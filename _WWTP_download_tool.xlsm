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7bfe202308394a16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THAMAN\Documents\NPDES\"/>
    </mc:Choice>
  </mc:AlternateContent>
  <xr:revisionPtr revIDLastSave="0" documentId="13_ncr:1_{8F42CCDD-1508-4246-A37E-3A157D98C5B6}" xr6:coauthVersionLast="47" xr6:coauthVersionMax="47" xr10:uidLastSave="{00000000-0000-0000-0000-000000000000}"/>
  <bookViews>
    <workbookView xWindow="-120" yWindow="-120" windowWidth="38640" windowHeight="15840" activeTab="1" xr2:uid="{00000000-000D-0000-FFFF-FFFF00000000}"/>
  </bookViews>
  <sheets>
    <sheet name="Settings" sheetId="7" r:id="rId1"/>
    <sheet name="TCEQ_Outfalls" sheetId="13" r:id="rId2"/>
    <sheet name="Wastewater_Outfalls" sheetId="20" r:id="rId3"/>
    <sheet name="WAM" sheetId="17" r:id="rId4"/>
    <sheet name="TWDB_MRBs_2014" sheetId="14" r:id="rId5"/>
    <sheet name="COUNTIES" sheetId="15" r:id="rId6"/>
    <sheet name="pop_county" sheetId="16" r:id="rId7"/>
    <sheet name="discharge_pt_avg_grouped" sheetId="18" r:id="rId8"/>
    <sheet name="Sheet2" sheetId="19" r:id="rId9"/>
    <sheet name="TCEQ_Outfalls_ALL" sheetId="11" state="hidden" r:id="rId10"/>
    <sheet name="xlwings.conf" sheetId="6" r:id="rId11"/>
  </sheets>
  <functionGroups builtInGroupCount="19"/>
  <externalReferences>
    <externalReference r:id="rId12"/>
    <externalReference r:id="rId13"/>
  </externalReferences>
  <definedNames>
    <definedName name="_xlnm._FilterDatabase" localSheetId="7" hidden="1">discharge_pt_avg_grouped!$A$1:$F$2328</definedName>
    <definedName name="_xlnm._FilterDatabase" localSheetId="1" hidden="1">TCEQ_Outfalls!$A$1:$I$125</definedName>
    <definedName name="_xlnm._FilterDatabase" localSheetId="9" hidden="1">TCEQ_Outfalls_ALL!$A$1:$R$3812</definedName>
    <definedName name="_xlnm._FilterDatabase" localSheetId="4" hidden="1">TWDB_MRBs_2014!$A$1:$D$24</definedName>
    <definedName name="_xlnm._FilterDatabase" localSheetId="2" hidden="1">Wastewater_Outfalls!$A$1:$AC$191</definedName>
    <definedName name="basins">TWDB_MRBs_2014!$A$2:$D$24</definedName>
    <definedName name="county">pop_county!$A$4:$A$257</definedName>
    <definedName name="DATA">TCEQ_Outfalls_ALL!$F$2:$O$3812</definedName>
    <definedName name="_xlnm.Database" localSheetId="4">TWDB_MRBs_2014!$A$1:$D$24</definedName>
    <definedName name="_xlnm.Database">TCEQ_Outfalls_ALL!$A$1:$O$3812</definedName>
    <definedName name="equip_class">#REF!</definedName>
    <definedName name="equip_tag">OFFSET([1]LISTS!$B$300, 0, 0, COUNTA([1]LISTS!$B$300:$B$1500),1)</definedName>
    <definedName name="equip_unit">OFFSET([1]LISTS!$A$300, 0, 0, COUNTA([1]LISTS!$A$300:$A$600),1)</definedName>
    <definedName name="etype">OFFSET(#REF!, 0, [1]ESS_1!$A$4-1, COUNTIF(INDIRECT([1]ESS_1!$A$5), "&lt;&gt;-"), 1)</definedName>
    <definedName name="facilities">[1]GENERAL_LISTS!$C$2:$C$41</definedName>
    <definedName name="maintenance_frequency">[1]LISTS!$B$185:$B$190</definedName>
    <definedName name="process_areas">[1]GENERAL_LISTS!$A$2:$A$11</definedName>
    <definedName name="sb">Sheet2!$A$1:$A$61</definedName>
    <definedName name="subclass">OFFSET([1]LISTS!$B$15, 0, [1]ESS_1!XFA1, COUNTIF(INDIRECT([1]ESS_1!XFA2), "&lt;&gt;-"), 1)</definedName>
    <definedName name="subprocesses">[1]GENERAL_LISTS!$B$2:$B$35</definedName>
    <definedName name="suspect">discharge_pt_avg_grouped!$A$2:$A$48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3" i="13" l="1"/>
  <c r="G12" i="13"/>
  <c r="G11" i="13"/>
  <c r="G10" i="13"/>
  <c r="G9" i="13"/>
  <c r="G8" i="13"/>
  <c r="G7" i="13"/>
  <c r="G6" i="13"/>
  <c r="G5" i="13"/>
  <c r="G4" i="13"/>
  <c r="G3" i="13"/>
  <c r="G2" i="13"/>
  <c r="I126" i="13"/>
  <c r="I127" i="13"/>
  <c r="I128" i="13"/>
  <c r="I129" i="13"/>
  <c r="I130" i="13"/>
  <c r="I131" i="13"/>
  <c r="I132" i="13"/>
  <c r="I133" i="13"/>
  <c r="I134" i="13"/>
  <c r="I135" i="13"/>
  <c r="I136" i="13"/>
  <c r="I137" i="13"/>
  <c r="I138" i="13"/>
  <c r="I139" i="13"/>
  <c r="I140" i="13"/>
  <c r="I141" i="13"/>
  <c r="I142" i="13"/>
  <c r="I143" i="13"/>
  <c r="I144" i="13"/>
  <c r="I145" i="13"/>
  <c r="I146" i="13"/>
  <c r="I147" i="13"/>
  <c r="I148" i="13"/>
  <c r="I149" i="13"/>
  <c r="I150" i="13"/>
  <c r="I151" i="13"/>
  <c r="I152" i="13"/>
  <c r="I153" i="13"/>
  <c r="I154" i="13"/>
  <c r="I155" i="13"/>
  <c r="I156" i="13"/>
  <c r="I157" i="13"/>
  <c r="I158" i="13"/>
  <c r="I159" i="13"/>
  <c r="I160" i="13"/>
  <c r="H127" i="13"/>
  <c r="H128" i="13"/>
  <c r="H129" i="13"/>
  <c r="H130" i="13"/>
  <c r="H131" i="13"/>
  <c r="H132" i="13"/>
  <c r="H133" i="13"/>
  <c r="H134" i="13"/>
  <c r="H135" i="13"/>
  <c r="H136" i="13"/>
  <c r="H137" i="13"/>
  <c r="H138" i="13"/>
  <c r="H139" i="13"/>
  <c r="H140" i="13"/>
  <c r="H141" i="13"/>
  <c r="H142" i="13"/>
  <c r="H143" i="13"/>
  <c r="H144" i="13"/>
  <c r="H145" i="13"/>
  <c r="H146" i="13"/>
  <c r="H147" i="13"/>
  <c r="H148" i="13"/>
  <c r="H149" i="13"/>
  <c r="H150" i="13"/>
  <c r="H151" i="13"/>
  <c r="H152" i="13"/>
  <c r="H153" i="13"/>
  <c r="H154" i="13"/>
  <c r="H155" i="13"/>
  <c r="H156" i="13"/>
  <c r="H157" i="13"/>
  <c r="H158" i="13"/>
  <c r="H159" i="13"/>
  <c r="H160" i="13"/>
  <c r="H126" i="13"/>
  <c r="J14" i="20"/>
  <c r="J40" i="20"/>
  <c r="J37" i="20"/>
  <c r="J3" i="20"/>
  <c r="J152" i="20"/>
  <c r="J132" i="20"/>
  <c r="J51" i="20"/>
  <c r="J63" i="20"/>
  <c r="J41" i="20"/>
  <c r="J129" i="20"/>
  <c r="J123" i="20"/>
  <c r="J109" i="20"/>
  <c r="J150" i="20"/>
  <c r="J45" i="20"/>
  <c r="J135" i="20"/>
  <c r="J169" i="20"/>
  <c r="J39" i="20"/>
  <c r="J122" i="20"/>
  <c r="J61" i="20"/>
  <c r="J78" i="20"/>
  <c r="J70" i="20"/>
  <c r="J162" i="20"/>
  <c r="J136" i="20"/>
  <c r="J178" i="20"/>
  <c r="J183" i="20"/>
  <c r="J71" i="20"/>
  <c r="J161" i="20"/>
  <c r="J186" i="20"/>
  <c r="J190" i="20"/>
  <c r="J106" i="20"/>
  <c r="J112" i="20"/>
  <c r="J44" i="20"/>
  <c r="J116" i="20"/>
  <c r="J64" i="20"/>
  <c r="J104" i="20"/>
  <c r="J120" i="20"/>
  <c r="J73" i="20"/>
  <c r="J133" i="20"/>
  <c r="J81" i="20"/>
  <c r="J84" i="20"/>
  <c r="J89" i="20"/>
  <c r="J154" i="20"/>
  <c r="J74" i="20"/>
  <c r="J182" i="20"/>
  <c r="J128" i="20"/>
  <c r="J91" i="20"/>
  <c r="J124" i="20"/>
  <c r="J95" i="20"/>
  <c r="J174" i="20"/>
  <c r="J168" i="20"/>
  <c r="J87" i="20"/>
  <c r="J98" i="20"/>
  <c r="J99" i="20"/>
  <c r="J100" i="20"/>
  <c r="J148" i="20"/>
  <c r="J149" i="20"/>
  <c r="J67" i="20"/>
  <c r="J50" i="20"/>
  <c r="J125" i="20"/>
  <c r="J189" i="20"/>
  <c r="J76" i="20"/>
  <c r="I110" i="20"/>
  <c r="J110" i="20" s="1"/>
  <c r="I40" i="20"/>
  <c r="I2" i="20"/>
  <c r="I48" i="20"/>
  <c r="J48" i="20" s="1"/>
  <c r="I47" i="20"/>
  <c r="J47" i="20" s="1"/>
  <c r="I37" i="20"/>
  <c r="I38" i="20"/>
  <c r="J38" i="20" s="1"/>
  <c r="I142" i="20"/>
  <c r="J142" i="20" s="1"/>
  <c r="I3" i="20"/>
  <c r="I4" i="20"/>
  <c r="I57" i="20"/>
  <c r="J57" i="20" s="1"/>
  <c r="I153" i="20"/>
  <c r="J153" i="20" s="1"/>
  <c r="I62" i="20"/>
  <c r="J62" i="20" s="1"/>
  <c r="I152" i="20"/>
  <c r="I158" i="20"/>
  <c r="J158" i="20" s="1"/>
  <c r="I131" i="20"/>
  <c r="J131" i="20" s="1"/>
  <c r="I132" i="20"/>
  <c r="I51" i="20"/>
  <c r="I130" i="20"/>
  <c r="J130" i="20" s="1"/>
  <c r="I144" i="20"/>
  <c r="J144" i="20" s="1"/>
  <c r="I54" i="20"/>
  <c r="J54" i="20" s="1"/>
  <c r="I5" i="20"/>
  <c r="I77" i="20"/>
  <c r="J77" i="20" s="1"/>
  <c r="I160" i="20"/>
  <c r="J160" i="20" s="1"/>
  <c r="I63" i="20"/>
  <c r="I41" i="20"/>
  <c r="I126" i="20"/>
  <c r="J126" i="20" s="1"/>
  <c r="I72" i="20"/>
  <c r="J72" i="20" s="1"/>
  <c r="I49" i="20"/>
  <c r="J49" i="20" s="1"/>
  <c r="I129" i="20"/>
  <c r="I105" i="20"/>
  <c r="J105" i="20" s="1"/>
  <c r="I111" i="20"/>
  <c r="J111" i="20" s="1"/>
  <c r="I123" i="20"/>
  <c r="I109" i="20"/>
  <c r="I184" i="20"/>
  <c r="J184" i="20" s="1"/>
  <c r="I56" i="20"/>
  <c r="J56" i="20" s="1"/>
  <c r="I155" i="20"/>
  <c r="J155" i="20" s="1"/>
  <c r="I150" i="20"/>
  <c r="I156" i="20"/>
  <c r="J156" i="20" s="1"/>
  <c r="I46" i="20"/>
  <c r="J46" i="20" s="1"/>
  <c r="I45" i="20"/>
  <c r="I135" i="20"/>
  <c r="I163" i="20"/>
  <c r="J163" i="20" s="1"/>
  <c r="I166" i="20"/>
  <c r="J166" i="20" s="1"/>
  <c r="I139" i="20"/>
  <c r="J139" i="20" s="1"/>
  <c r="I169" i="20"/>
  <c r="I167" i="20"/>
  <c r="J167" i="20" s="1"/>
  <c r="I6" i="20"/>
  <c r="I39" i="20"/>
  <c r="I122" i="20"/>
  <c r="I171" i="20"/>
  <c r="J171" i="20" s="1"/>
  <c r="I173" i="20"/>
  <c r="J173" i="20" s="1"/>
  <c r="I108" i="20"/>
  <c r="J108" i="20" s="1"/>
  <c r="I61" i="20"/>
  <c r="I181" i="20"/>
  <c r="J181" i="20" s="1"/>
  <c r="I179" i="20"/>
  <c r="J179" i="20" s="1"/>
  <c r="I7" i="20"/>
  <c r="I78" i="20"/>
  <c r="I79" i="20"/>
  <c r="J79" i="20" s="1"/>
  <c r="I176" i="20"/>
  <c r="J176" i="20" s="1"/>
  <c r="I8" i="20"/>
  <c r="I70" i="20"/>
  <c r="I55" i="20"/>
  <c r="J55" i="20" s="1"/>
  <c r="I145" i="20"/>
  <c r="J145" i="20" s="1"/>
  <c r="I162" i="20"/>
  <c r="I136" i="20"/>
  <c r="I177" i="20"/>
  <c r="J177" i="20" s="1"/>
  <c r="I53" i="20"/>
  <c r="J53" i="20" s="1"/>
  <c r="I137" i="20"/>
  <c r="J137" i="20" s="1"/>
  <c r="I178" i="20"/>
  <c r="I180" i="20"/>
  <c r="J180" i="20" s="1"/>
  <c r="I170" i="20"/>
  <c r="J170" i="20" s="1"/>
  <c r="I183" i="20"/>
  <c r="I71" i="20"/>
  <c r="I107" i="20"/>
  <c r="J107" i="20" s="1"/>
  <c r="I9" i="20"/>
  <c r="J9" i="20" s="1"/>
  <c r="I10" i="20"/>
  <c r="I11" i="20"/>
  <c r="I12" i="20"/>
  <c r="I13" i="20"/>
  <c r="I14" i="20"/>
  <c r="I161" i="20"/>
  <c r="I140" i="20"/>
  <c r="J140" i="20" s="1"/>
  <c r="I141" i="20"/>
  <c r="J141" i="20" s="1"/>
  <c r="I185" i="20"/>
  <c r="J185" i="20" s="1"/>
  <c r="I15" i="20"/>
  <c r="I127" i="20"/>
  <c r="J127" i="20" s="1"/>
  <c r="I16" i="20"/>
  <c r="I17" i="20"/>
  <c r="I186" i="20"/>
  <c r="I18" i="20"/>
  <c r="I19" i="20"/>
  <c r="J19" i="20" s="1"/>
  <c r="I187" i="20"/>
  <c r="J187" i="20" s="1"/>
  <c r="I190" i="20"/>
  <c r="I20" i="20"/>
  <c r="I21" i="20"/>
  <c r="I22" i="20"/>
  <c r="I106" i="20"/>
  <c r="I191" i="20"/>
  <c r="J191" i="20" s="1"/>
  <c r="I23" i="20"/>
  <c r="J23" i="20" s="1"/>
  <c r="I24" i="20"/>
  <c r="J24" i="20" s="1"/>
  <c r="I25" i="20"/>
  <c r="I66" i="20"/>
  <c r="J66" i="20" s="1"/>
  <c r="I52" i="20"/>
  <c r="J52" i="20" s="1"/>
  <c r="I112" i="20"/>
  <c r="I44" i="20"/>
  <c r="I26" i="20"/>
  <c r="I114" i="20"/>
  <c r="J114" i="20" s="1"/>
  <c r="I146" i="20"/>
  <c r="J146" i="20" s="1"/>
  <c r="I116" i="20"/>
  <c r="I138" i="20"/>
  <c r="J138" i="20" s="1"/>
  <c r="I42" i="20"/>
  <c r="J42" i="20" s="1"/>
  <c r="I64" i="20"/>
  <c r="I104" i="20"/>
  <c r="I117" i="20"/>
  <c r="J117" i="20" s="1"/>
  <c r="I118" i="20"/>
  <c r="J118" i="20" s="1"/>
  <c r="I119" i="20"/>
  <c r="J119" i="20" s="1"/>
  <c r="I120" i="20"/>
  <c r="I75" i="20"/>
  <c r="J75" i="20" s="1"/>
  <c r="I27" i="20"/>
  <c r="J27" i="20" s="1"/>
  <c r="I73" i="20"/>
  <c r="I133" i="20"/>
  <c r="I59" i="20"/>
  <c r="J59" i="20" s="1"/>
  <c r="I60" i="20"/>
  <c r="J60" i="20" s="1"/>
  <c r="I80" i="20"/>
  <c r="J80" i="20" s="1"/>
  <c r="I81" i="20"/>
  <c r="I82" i="20"/>
  <c r="J82" i="20" s="1"/>
  <c r="I83" i="20"/>
  <c r="J83" i="20" s="1"/>
  <c r="I84" i="20"/>
  <c r="I89" i="20"/>
  <c r="I90" i="20"/>
  <c r="J90" i="20" s="1"/>
  <c r="I113" i="20"/>
  <c r="J113" i="20" s="1"/>
  <c r="I43" i="20"/>
  <c r="J43" i="20" s="1"/>
  <c r="I154" i="20"/>
  <c r="I69" i="20"/>
  <c r="J69" i="20" s="1"/>
  <c r="I121" i="20"/>
  <c r="J121" i="20" s="1"/>
  <c r="I74" i="20"/>
  <c r="I182" i="20"/>
  <c r="I65" i="20"/>
  <c r="J65" i="20" s="1"/>
  <c r="I157" i="20"/>
  <c r="J157" i="20" s="1"/>
  <c r="I165" i="20"/>
  <c r="J165" i="20" s="1"/>
  <c r="I128" i="20"/>
  <c r="I28" i="20"/>
  <c r="J28" i="20" s="1"/>
  <c r="I164" i="20"/>
  <c r="J164" i="20" s="1"/>
  <c r="I91" i="20"/>
  <c r="I124" i="20"/>
  <c r="I92" i="20"/>
  <c r="J92" i="20" s="1"/>
  <c r="I93" i="20"/>
  <c r="J93" i="20" s="1"/>
  <c r="I94" i="20"/>
  <c r="J94" i="20" s="1"/>
  <c r="I95" i="20"/>
  <c r="I96" i="20"/>
  <c r="J96" i="20" s="1"/>
  <c r="I172" i="20"/>
  <c r="J172" i="20" s="1"/>
  <c r="I174" i="20"/>
  <c r="I168" i="20"/>
  <c r="I151" i="20"/>
  <c r="J151" i="20" s="1"/>
  <c r="I85" i="20"/>
  <c r="J85" i="20" s="1"/>
  <c r="I86" i="20"/>
  <c r="J86" i="20" s="1"/>
  <c r="I87" i="20"/>
  <c r="I88" i="20"/>
  <c r="J88" i="20" s="1"/>
  <c r="I97" i="20"/>
  <c r="J97" i="20" s="1"/>
  <c r="I98" i="20"/>
  <c r="I99" i="20"/>
  <c r="I29" i="20"/>
  <c r="I147" i="20"/>
  <c r="J147" i="20" s="1"/>
  <c r="I58" i="20"/>
  <c r="J58" i="20" s="1"/>
  <c r="I100" i="20"/>
  <c r="I101" i="20"/>
  <c r="J101" i="20" s="1"/>
  <c r="I102" i="20"/>
  <c r="J102" i="20" s="1"/>
  <c r="I148" i="20"/>
  <c r="I149" i="20"/>
  <c r="I159" i="20"/>
  <c r="J159" i="20" s="1"/>
  <c r="I134" i="20"/>
  <c r="J134" i="20" s="1"/>
  <c r="I30" i="20"/>
  <c r="J30" i="20" s="1"/>
  <c r="I67" i="20"/>
  <c r="I115" i="20"/>
  <c r="J115" i="20" s="1"/>
  <c r="I68" i="20"/>
  <c r="J68" i="20" s="1"/>
  <c r="I50" i="20"/>
  <c r="I125" i="20"/>
  <c r="I143" i="20"/>
  <c r="J143" i="20" s="1"/>
  <c r="I31" i="20"/>
  <c r="J31" i="20" s="1"/>
  <c r="I188" i="20"/>
  <c r="J188" i="20" s="1"/>
  <c r="I189" i="20"/>
  <c r="I32" i="20"/>
  <c r="J32" i="20" s="1"/>
  <c r="I175" i="20"/>
  <c r="J175" i="20" s="1"/>
  <c r="I33" i="20"/>
  <c r="I34" i="20"/>
  <c r="I35" i="20"/>
  <c r="J35" i="20" s="1"/>
  <c r="I103" i="20"/>
  <c r="J103" i="20" s="1"/>
  <c r="I36" i="20"/>
  <c r="J36" i="20" s="1"/>
  <c r="I76" i="20"/>
  <c r="I79" i="13"/>
  <c r="I80" i="13"/>
  <c r="I81" i="13"/>
  <c r="I82" i="13"/>
  <c r="I83" i="13"/>
  <c r="I84" i="13"/>
  <c r="I85" i="13"/>
  <c r="I88" i="13"/>
  <c r="I89" i="13"/>
  <c r="I90" i="13"/>
  <c r="I91" i="13"/>
  <c r="I92" i="13"/>
  <c r="I94" i="13"/>
  <c r="I95" i="13"/>
  <c r="I96" i="13"/>
  <c r="I97" i="13"/>
  <c r="I98" i="13"/>
  <c r="I99" i="13"/>
  <c r="I100" i="13"/>
  <c r="I102" i="13"/>
  <c r="I103" i="13"/>
  <c r="I104" i="13"/>
  <c r="I2" i="13"/>
  <c r="I3" i="13"/>
  <c r="I4" i="13"/>
  <c r="I5" i="13"/>
  <c r="I6" i="13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7" i="13"/>
  <c r="I105" i="13"/>
  <c r="I28" i="13"/>
  <c r="I106" i="13"/>
  <c r="I29" i="13"/>
  <c r="I107" i="13"/>
  <c r="I30" i="13"/>
  <c r="I108" i="13"/>
  <c r="I31" i="13"/>
  <c r="I32" i="13"/>
  <c r="I33" i="13"/>
  <c r="I109" i="13"/>
  <c r="I35" i="13"/>
  <c r="I36" i="13"/>
  <c r="I37" i="13"/>
  <c r="I38" i="13"/>
  <c r="I39" i="13"/>
  <c r="I40" i="13"/>
  <c r="I41" i="13"/>
  <c r="I42" i="13"/>
  <c r="I43" i="13"/>
  <c r="I44" i="13"/>
  <c r="I45" i="13"/>
  <c r="I110" i="13"/>
  <c r="I46" i="13"/>
  <c r="I47" i="13"/>
  <c r="I48" i="13"/>
  <c r="I49" i="13"/>
  <c r="I50" i="13"/>
  <c r="I51" i="13"/>
  <c r="I11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112" i="13"/>
  <c r="I113" i="13"/>
  <c r="I114" i="13"/>
  <c r="I115" i="13"/>
  <c r="I116" i="13"/>
  <c r="I67" i="13"/>
  <c r="I117" i="13"/>
  <c r="I118" i="13"/>
  <c r="I119" i="13"/>
  <c r="I68" i="13"/>
  <c r="I69" i="13"/>
  <c r="I70" i="13"/>
  <c r="I120" i="13"/>
  <c r="I121" i="13"/>
  <c r="I122" i="13"/>
  <c r="I71" i="13"/>
  <c r="I72" i="13"/>
  <c r="I73" i="13"/>
  <c r="I74" i="13"/>
  <c r="I75" i="13"/>
  <c r="I76" i="13"/>
  <c r="I77" i="13"/>
  <c r="I78" i="13"/>
  <c r="I123" i="13"/>
  <c r="I124" i="13"/>
  <c r="I125" i="13"/>
  <c r="C10" i="19"/>
  <c r="C9" i="19"/>
  <c r="D3" i="19"/>
  <c r="D2" i="19"/>
  <c r="J12" i="20" l="1"/>
  <c r="J33" i="20"/>
  <c r="J11" i="20"/>
  <c r="J7" i="20"/>
  <c r="J10" i="20"/>
  <c r="J8" i="20"/>
  <c r="J22" i="20"/>
  <c r="J4" i="20"/>
  <c r="J29" i="20"/>
  <c r="J2" i="20"/>
  <c r="J26" i="20"/>
  <c r="J17" i="20"/>
  <c r="J18" i="20"/>
  <c r="J15" i="20"/>
  <c r="J5" i="20"/>
  <c r="J21" i="20"/>
  <c r="J16" i="20"/>
  <c r="J13" i="20"/>
  <c r="J6" i="20"/>
  <c r="J20" i="20"/>
  <c r="J34" i="20"/>
  <c r="J25" i="20"/>
  <c r="D4" i="19"/>
  <c r="D6" i="19" s="1"/>
  <c r="C12" i="19"/>
  <c r="D7" i="19"/>
  <c r="K258" i="16"/>
  <c r="K257" i="16"/>
  <c r="B257" i="16"/>
  <c r="J257" i="16" s="1"/>
  <c r="K256" i="16"/>
  <c r="B256" i="16"/>
  <c r="J256" i="16" s="1"/>
  <c r="K255" i="16"/>
  <c r="B255" i="16"/>
  <c r="J255" i="16" s="1"/>
  <c r="K254" i="16"/>
  <c r="B254" i="16"/>
  <c r="J254" i="16" s="1"/>
  <c r="K253" i="16"/>
  <c r="B253" i="16"/>
  <c r="J253" i="16" s="1"/>
  <c r="K252" i="16"/>
  <c r="B252" i="16"/>
  <c r="J252" i="16" s="1"/>
  <c r="K251" i="16"/>
  <c r="B251" i="16"/>
  <c r="J251" i="16" s="1"/>
  <c r="K250" i="16"/>
  <c r="B250" i="16"/>
  <c r="J250" i="16" s="1"/>
  <c r="K249" i="16"/>
  <c r="B249" i="16"/>
  <c r="J249" i="16" s="1"/>
  <c r="K248" i="16"/>
  <c r="B248" i="16"/>
  <c r="J248" i="16" s="1"/>
  <c r="K247" i="16"/>
  <c r="B247" i="16"/>
  <c r="J247" i="16" s="1"/>
  <c r="K246" i="16"/>
  <c r="B246" i="16"/>
  <c r="J246" i="16" s="1"/>
  <c r="K245" i="16"/>
  <c r="B245" i="16"/>
  <c r="J245" i="16" s="1"/>
  <c r="K244" i="16"/>
  <c r="B244" i="16"/>
  <c r="J244" i="16" s="1"/>
  <c r="K243" i="16"/>
  <c r="B243" i="16"/>
  <c r="J243" i="16" s="1"/>
  <c r="K242" i="16"/>
  <c r="B242" i="16"/>
  <c r="J242" i="16" s="1"/>
  <c r="K241" i="16"/>
  <c r="B241" i="16"/>
  <c r="J241" i="16" s="1"/>
  <c r="K240" i="16"/>
  <c r="B240" i="16"/>
  <c r="J240" i="16" s="1"/>
  <c r="K239" i="16"/>
  <c r="B239" i="16"/>
  <c r="J239" i="16" s="1"/>
  <c r="K238" i="16"/>
  <c r="B238" i="16"/>
  <c r="J238" i="16" s="1"/>
  <c r="K237" i="16"/>
  <c r="B237" i="16"/>
  <c r="J237" i="16" s="1"/>
  <c r="K236" i="16"/>
  <c r="B236" i="16"/>
  <c r="J236" i="16" s="1"/>
  <c r="K235" i="16"/>
  <c r="B235" i="16"/>
  <c r="J235" i="16" s="1"/>
  <c r="K234" i="16"/>
  <c r="B234" i="16"/>
  <c r="J234" i="16" s="1"/>
  <c r="K233" i="16"/>
  <c r="B233" i="16"/>
  <c r="J233" i="16" s="1"/>
  <c r="K232" i="16"/>
  <c r="B232" i="16"/>
  <c r="J232" i="16" s="1"/>
  <c r="K231" i="16"/>
  <c r="B231" i="16"/>
  <c r="J231" i="16" s="1"/>
  <c r="K230" i="16"/>
  <c r="B230" i="16"/>
  <c r="J230" i="16" s="1"/>
  <c r="K229" i="16"/>
  <c r="B229" i="16"/>
  <c r="J229" i="16" s="1"/>
  <c r="K228" i="16"/>
  <c r="B228" i="16"/>
  <c r="J228" i="16" s="1"/>
  <c r="K227" i="16"/>
  <c r="B227" i="16"/>
  <c r="J227" i="16" s="1"/>
  <c r="K226" i="16"/>
  <c r="B226" i="16"/>
  <c r="J226" i="16" s="1"/>
  <c r="K225" i="16"/>
  <c r="B225" i="16"/>
  <c r="J225" i="16" s="1"/>
  <c r="K224" i="16"/>
  <c r="B224" i="16"/>
  <c r="J224" i="16" s="1"/>
  <c r="K223" i="16"/>
  <c r="B223" i="16"/>
  <c r="J223" i="16" s="1"/>
  <c r="K222" i="16"/>
  <c r="B222" i="16"/>
  <c r="J222" i="16" s="1"/>
  <c r="K221" i="16"/>
  <c r="B221" i="16"/>
  <c r="J221" i="16" s="1"/>
  <c r="K220" i="16"/>
  <c r="B220" i="16"/>
  <c r="J220" i="16" s="1"/>
  <c r="K219" i="16"/>
  <c r="B219" i="16"/>
  <c r="J219" i="16" s="1"/>
  <c r="K218" i="16"/>
  <c r="B218" i="16"/>
  <c r="J218" i="16" s="1"/>
  <c r="K217" i="16"/>
  <c r="B217" i="16"/>
  <c r="J217" i="16" s="1"/>
  <c r="K216" i="16"/>
  <c r="B216" i="16"/>
  <c r="J216" i="16" s="1"/>
  <c r="K215" i="16"/>
  <c r="B215" i="16"/>
  <c r="J215" i="16" s="1"/>
  <c r="K214" i="16"/>
  <c r="B214" i="16"/>
  <c r="J214" i="16" s="1"/>
  <c r="K213" i="16"/>
  <c r="B213" i="16"/>
  <c r="J213" i="16" s="1"/>
  <c r="K212" i="16"/>
  <c r="B212" i="16"/>
  <c r="J212" i="16" s="1"/>
  <c r="K211" i="16"/>
  <c r="B211" i="16"/>
  <c r="J211" i="16" s="1"/>
  <c r="K210" i="16"/>
  <c r="B210" i="16"/>
  <c r="J210" i="16" s="1"/>
  <c r="K209" i="16"/>
  <c r="B209" i="16"/>
  <c r="J209" i="16" s="1"/>
  <c r="K208" i="16"/>
  <c r="B208" i="16"/>
  <c r="J208" i="16" s="1"/>
  <c r="K207" i="16"/>
  <c r="B207" i="16"/>
  <c r="J207" i="16" s="1"/>
  <c r="K206" i="16"/>
  <c r="B206" i="16"/>
  <c r="J206" i="16" s="1"/>
  <c r="K205" i="16"/>
  <c r="B205" i="16"/>
  <c r="J205" i="16" s="1"/>
  <c r="K204" i="16"/>
  <c r="B204" i="16"/>
  <c r="J204" i="16" s="1"/>
  <c r="K203" i="16"/>
  <c r="B203" i="16"/>
  <c r="J203" i="16" s="1"/>
  <c r="K202" i="16"/>
  <c r="B202" i="16"/>
  <c r="J202" i="16" s="1"/>
  <c r="K201" i="16"/>
  <c r="B201" i="16"/>
  <c r="J201" i="16" s="1"/>
  <c r="K200" i="16"/>
  <c r="B200" i="16"/>
  <c r="J200" i="16" s="1"/>
  <c r="K199" i="16"/>
  <c r="B199" i="16"/>
  <c r="J199" i="16" s="1"/>
  <c r="K198" i="16"/>
  <c r="B198" i="16"/>
  <c r="J198" i="16" s="1"/>
  <c r="K197" i="16"/>
  <c r="B197" i="16"/>
  <c r="J197" i="16" s="1"/>
  <c r="K196" i="16"/>
  <c r="B196" i="16"/>
  <c r="J196" i="16" s="1"/>
  <c r="K195" i="16"/>
  <c r="B195" i="16"/>
  <c r="J195" i="16" s="1"/>
  <c r="K194" i="16"/>
  <c r="B194" i="16"/>
  <c r="J194" i="16" s="1"/>
  <c r="K193" i="16"/>
  <c r="B193" i="16"/>
  <c r="J193" i="16" s="1"/>
  <c r="K192" i="16"/>
  <c r="J192" i="16"/>
  <c r="B192" i="16"/>
  <c r="K191" i="16"/>
  <c r="B191" i="16"/>
  <c r="J191" i="16" s="1"/>
  <c r="K190" i="16"/>
  <c r="B190" i="16"/>
  <c r="J190" i="16" s="1"/>
  <c r="K189" i="16"/>
  <c r="B189" i="16"/>
  <c r="J189" i="16" s="1"/>
  <c r="K188" i="16"/>
  <c r="B188" i="16"/>
  <c r="J188" i="16" s="1"/>
  <c r="K187" i="16"/>
  <c r="B187" i="16"/>
  <c r="J187" i="16" s="1"/>
  <c r="K186" i="16"/>
  <c r="B186" i="16"/>
  <c r="J186" i="16" s="1"/>
  <c r="K185" i="16"/>
  <c r="B185" i="16"/>
  <c r="J185" i="16" s="1"/>
  <c r="K184" i="16"/>
  <c r="B184" i="16"/>
  <c r="J184" i="16" s="1"/>
  <c r="K183" i="16"/>
  <c r="B183" i="16"/>
  <c r="J183" i="16" s="1"/>
  <c r="K182" i="16"/>
  <c r="B182" i="16"/>
  <c r="J182" i="16" s="1"/>
  <c r="K181" i="16"/>
  <c r="B181" i="16"/>
  <c r="J181" i="16" s="1"/>
  <c r="K180" i="16"/>
  <c r="B180" i="16"/>
  <c r="J180" i="16" s="1"/>
  <c r="K179" i="16"/>
  <c r="B179" i="16"/>
  <c r="J179" i="16" s="1"/>
  <c r="K178" i="16"/>
  <c r="B178" i="16"/>
  <c r="J178" i="16" s="1"/>
  <c r="K177" i="16"/>
  <c r="B177" i="16"/>
  <c r="J177" i="16" s="1"/>
  <c r="K176" i="16"/>
  <c r="B176" i="16"/>
  <c r="J176" i="16" s="1"/>
  <c r="K175" i="16"/>
  <c r="B175" i="16"/>
  <c r="J175" i="16" s="1"/>
  <c r="K174" i="16"/>
  <c r="B174" i="16"/>
  <c r="J174" i="16" s="1"/>
  <c r="K173" i="16"/>
  <c r="B173" i="16"/>
  <c r="J173" i="16" s="1"/>
  <c r="K172" i="16"/>
  <c r="B172" i="16"/>
  <c r="J172" i="16" s="1"/>
  <c r="K171" i="16"/>
  <c r="B171" i="16"/>
  <c r="J171" i="16" s="1"/>
  <c r="K170" i="16"/>
  <c r="B170" i="16"/>
  <c r="J170" i="16" s="1"/>
  <c r="K169" i="16"/>
  <c r="B169" i="16"/>
  <c r="J169" i="16" s="1"/>
  <c r="K168" i="16"/>
  <c r="B168" i="16"/>
  <c r="J168" i="16" s="1"/>
  <c r="K167" i="16"/>
  <c r="B167" i="16"/>
  <c r="J167" i="16" s="1"/>
  <c r="K166" i="16"/>
  <c r="B166" i="16"/>
  <c r="J166" i="16" s="1"/>
  <c r="K165" i="16"/>
  <c r="B165" i="16"/>
  <c r="J165" i="16" s="1"/>
  <c r="K164" i="16"/>
  <c r="B164" i="16"/>
  <c r="J164" i="16" s="1"/>
  <c r="K163" i="16"/>
  <c r="B163" i="16"/>
  <c r="J163" i="16" s="1"/>
  <c r="K162" i="16"/>
  <c r="B162" i="16"/>
  <c r="J162" i="16" s="1"/>
  <c r="K161" i="16"/>
  <c r="B161" i="16"/>
  <c r="J161" i="16" s="1"/>
  <c r="K160" i="16"/>
  <c r="B160" i="16"/>
  <c r="J160" i="16" s="1"/>
  <c r="K159" i="16"/>
  <c r="B159" i="16"/>
  <c r="J159" i="16" s="1"/>
  <c r="K158" i="16"/>
  <c r="B158" i="16"/>
  <c r="J158" i="16" s="1"/>
  <c r="K157" i="16"/>
  <c r="B157" i="16"/>
  <c r="J157" i="16" s="1"/>
  <c r="K156" i="16"/>
  <c r="B156" i="16"/>
  <c r="J156" i="16" s="1"/>
  <c r="K155" i="16"/>
  <c r="B155" i="16"/>
  <c r="J155" i="16" s="1"/>
  <c r="K154" i="16"/>
  <c r="B154" i="16"/>
  <c r="J154" i="16" s="1"/>
  <c r="K153" i="16"/>
  <c r="B153" i="16"/>
  <c r="J153" i="16" s="1"/>
  <c r="K152" i="16"/>
  <c r="B152" i="16"/>
  <c r="J152" i="16" s="1"/>
  <c r="K151" i="16"/>
  <c r="B151" i="16"/>
  <c r="J151" i="16" s="1"/>
  <c r="K150" i="16"/>
  <c r="B150" i="16"/>
  <c r="J150" i="16" s="1"/>
  <c r="K149" i="16"/>
  <c r="B149" i="16"/>
  <c r="J149" i="16" s="1"/>
  <c r="K148" i="16"/>
  <c r="B148" i="16"/>
  <c r="J148" i="16" s="1"/>
  <c r="K147" i="16"/>
  <c r="B147" i="16"/>
  <c r="J147" i="16" s="1"/>
  <c r="K146" i="16"/>
  <c r="B146" i="16"/>
  <c r="J146" i="16" s="1"/>
  <c r="K145" i="16"/>
  <c r="B145" i="16"/>
  <c r="J145" i="16" s="1"/>
  <c r="K144" i="16"/>
  <c r="B144" i="16"/>
  <c r="J144" i="16" s="1"/>
  <c r="K143" i="16"/>
  <c r="B143" i="16"/>
  <c r="J143" i="16" s="1"/>
  <c r="K142" i="16"/>
  <c r="B142" i="16"/>
  <c r="J142" i="16" s="1"/>
  <c r="K141" i="16"/>
  <c r="B141" i="16"/>
  <c r="J141" i="16" s="1"/>
  <c r="K140" i="16"/>
  <c r="B140" i="16"/>
  <c r="J140" i="16" s="1"/>
  <c r="K139" i="16"/>
  <c r="B139" i="16"/>
  <c r="J139" i="16" s="1"/>
  <c r="K138" i="16"/>
  <c r="B138" i="16"/>
  <c r="J138" i="16" s="1"/>
  <c r="K137" i="16"/>
  <c r="B137" i="16"/>
  <c r="J137" i="16" s="1"/>
  <c r="K136" i="16"/>
  <c r="B136" i="16"/>
  <c r="J136" i="16" s="1"/>
  <c r="K135" i="16"/>
  <c r="B135" i="16"/>
  <c r="J135" i="16" s="1"/>
  <c r="K134" i="16"/>
  <c r="B134" i="16"/>
  <c r="J134" i="16" s="1"/>
  <c r="K133" i="16"/>
  <c r="B133" i="16"/>
  <c r="J133" i="16" s="1"/>
  <c r="K132" i="16"/>
  <c r="B132" i="16"/>
  <c r="J132" i="16" s="1"/>
  <c r="K131" i="16"/>
  <c r="B131" i="16"/>
  <c r="J131" i="16" s="1"/>
  <c r="K130" i="16"/>
  <c r="B130" i="16"/>
  <c r="J130" i="16" s="1"/>
  <c r="K129" i="16"/>
  <c r="B129" i="16"/>
  <c r="J129" i="16" s="1"/>
  <c r="K128" i="16"/>
  <c r="B128" i="16"/>
  <c r="J128" i="16" s="1"/>
  <c r="K127" i="16"/>
  <c r="B127" i="16"/>
  <c r="J127" i="16" s="1"/>
  <c r="K126" i="16"/>
  <c r="B126" i="16"/>
  <c r="J126" i="16" s="1"/>
  <c r="K125" i="16"/>
  <c r="B125" i="16"/>
  <c r="J125" i="16" s="1"/>
  <c r="K124" i="16"/>
  <c r="B124" i="16"/>
  <c r="J124" i="16" s="1"/>
  <c r="K123" i="16"/>
  <c r="B123" i="16"/>
  <c r="J123" i="16" s="1"/>
  <c r="K122" i="16"/>
  <c r="B122" i="16"/>
  <c r="J122" i="16" s="1"/>
  <c r="K121" i="16"/>
  <c r="B121" i="16"/>
  <c r="J121" i="16" s="1"/>
  <c r="K120" i="16"/>
  <c r="B120" i="16"/>
  <c r="J120" i="16" s="1"/>
  <c r="K119" i="16"/>
  <c r="B119" i="16"/>
  <c r="J119" i="16" s="1"/>
  <c r="K118" i="16"/>
  <c r="B118" i="16"/>
  <c r="J118" i="16" s="1"/>
  <c r="K117" i="16"/>
  <c r="B117" i="16"/>
  <c r="J117" i="16" s="1"/>
  <c r="K116" i="16"/>
  <c r="B116" i="16"/>
  <c r="J116" i="16" s="1"/>
  <c r="K115" i="16"/>
  <c r="B115" i="16"/>
  <c r="J115" i="16" s="1"/>
  <c r="K114" i="16"/>
  <c r="B114" i="16"/>
  <c r="J114" i="16" s="1"/>
  <c r="K113" i="16"/>
  <c r="B113" i="16"/>
  <c r="J113" i="16" s="1"/>
  <c r="K112" i="16"/>
  <c r="B112" i="16"/>
  <c r="J112" i="16" s="1"/>
  <c r="K111" i="16"/>
  <c r="B111" i="16"/>
  <c r="J111" i="16" s="1"/>
  <c r="K110" i="16"/>
  <c r="B110" i="16"/>
  <c r="J110" i="16" s="1"/>
  <c r="K109" i="16"/>
  <c r="B109" i="16"/>
  <c r="J109" i="16" s="1"/>
  <c r="K108" i="16"/>
  <c r="B108" i="16"/>
  <c r="J108" i="16" s="1"/>
  <c r="K107" i="16"/>
  <c r="B107" i="16"/>
  <c r="J107" i="16" s="1"/>
  <c r="K106" i="16"/>
  <c r="B106" i="16"/>
  <c r="J106" i="16" s="1"/>
  <c r="K105" i="16"/>
  <c r="B105" i="16"/>
  <c r="J105" i="16" s="1"/>
  <c r="K104" i="16"/>
  <c r="B104" i="16"/>
  <c r="J104" i="16" s="1"/>
  <c r="K103" i="16"/>
  <c r="B103" i="16"/>
  <c r="J103" i="16" s="1"/>
  <c r="K102" i="16"/>
  <c r="B102" i="16"/>
  <c r="J102" i="16" s="1"/>
  <c r="K101" i="16"/>
  <c r="B101" i="16"/>
  <c r="J101" i="16" s="1"/>
  <c r="K100" i="16"/>
  <c r="B100" i="16"/>
  <c r="J100" i="16" s="1"/>
  <c r="K99" i="16"/>
  <c r="B99" i="16"/>
  <c r="J99" i="16" s="1"/>
  <c r="K98" i="16"/>
  <c r="B98" i="16"/>
  <c r="J98" i="16" s="1"/>
  <c r="K97" i="16"/>
  <c r="B97" i="16"/>
  <c r="J97" i="16" s="1"/>
  <c r="K96" i="16"/>
  <c r="B96" i="16"/>
  <c r="J96" i="16" s="1"/>
  <c r="K95" i="16"/>
  <c r="B95" i="16"/>
  <c r="J95" i="16" s="1"/>
  <c r="K94" i="16"/>
  <c r="B94" i="16"/>
  <c r="J94" i="16" s="1"/>
  <c r="K93" i="16"/>
  <c r="B93" i="16"/>
  <c r="J93" i="16" s="1"/>
  <c r="K92" i="16"/>
  <c r="B92" i="16"/>
  <c r="J92" i="16" s="1"/>
  <c r="K91" i="16"/>
  <c r="B91" i="16"/>
  <c r="J91" i="16" s="1"/>
  <c r="K90" i="16"/>
  <c r="B90" i="16"/>
  <c r="J90" i="16" s="1"/>
  <c r="K89" i="16"/>
  <c r="B89" i="16"/>
  <c r="J89" i="16" s="1"/>
  <c r="K88" i="16"/>
  <c r="B88" i="16"/>
  <c r="J88" i="16" s="1"/>
  <c r="K87" i="16"/>
  <c r="B87" i="16"/>
  <c r="J87" i="16" s="1"/>
  <c r="K86" i="16"/>
  <c r="B86" i="16"/>
  <c r="J86" i="16" s="1"/>
  <c r="K85" i="16"/>
  <c r="B85" i="16"/>
  <c r="J85" i="16" s="1"/>
  <c r="K84" i="16"/>
  <c r="B84" i="16"/>
  <c r="J84" i="16" s="1"/>
  <c r="K83" i="16"/>
  <c r="B83" i="16"/>
  <c r="J83" i="16" s="1"/>
  <c r="K82" i="16"/>
  <c r="B82" i="16"/>
  <c r="J82" i="16" s="1"/>
  <c r="K81" i="16"/>
  <c r="B81" i="16"/>
  <c r="J81" i="16" s="1"/>
  <c r="K80" i="16"/>
  <c r="B80" i="16"/>
  <c r="J80" i="16" s="1"/>
  <c r="K79" i="16"/>
  <c r="B79" i="16"/>
  <c r="J79" i="16" s="1"/>
  <c r="K78" i="16"/>
  <c r="B78" i="16"/>
  <c r="J78" i="16" s="1"/>
  <c r="K77" i="16"/>
  <c r="B77" i="16"/>
  <c r="J77" i="16" s="1"/>
  <c r="K76" i="16"/>
  <c r="B76" i="16"/>
  <c r="J76" i="16" s="1"/>
  <c r="K75" i="16"/>
  <c r="B75" i="16"/>
  <c r="J75" i="16" s="1"/>
  <c r="K74" i="16"/>
  <c r="B74" i="16"/>
  <c r="J74" i="16" s="1"/>
  <c r="K73" i="16"/>
  <c r="B73" i="16"/>
  <c r="J73" i="16" s="1"/>
  <c r="K72" i="16"/>
  <c r="B72" i="16"/>
  <c r="J72" i="16" s="1"/>
  <c r="K71" i="16"/>
  <c r="B71" i="16"/>
  <c r="J71" i="16" s="1"/>
  <c r="K70" i="16"/>
  <c r="B70" i="16"/>
  <c r="J70" i="16" s="1"/>
  <c r="K69" i="16"/>
  <c r="B69" i="16"/>
  <c r="J69" i="16" s="1"/>
  <c r="K68" i="16"/>
  <c r="B68" i="16"/>
  <c r="J68" i="16" s="1"/>
  <c r="K67" i="16"/>
  <c r="B67" i="16"/>
  <c r="J67" i="16" s="1"/>
  <c r="K66" i="16"/>
  <c r="B66" i="16"/>
  <c r="J66" i="16" s="1"/>
  <c r="K65" i="16"/>
  <c r="B65" i="16"/>
  <c r="J65" i="16" s="1"/>
  <c r="K64" i="16"/>
  <c r="B64" i="16"/>
  <c r="J64" i="16" s="1"/>
  <c r="K63" i="16"/>
  <c r="B63" i="16"/>
  <c r="J63" i="16" s="1"/>
  <c r="K62" i="16"/>
  <c r="B62" i="16"/>
  <c r="J62" i="16" s="1"/>
  <c r="K61" i="16"/>
  <c r="B61" i="16"/>
  <c r="J61" i="16" s="1"/>
  <c r="K60" i="16"/>
  <c r="B60" i="16"/>
  <c r="J60" i="16" s="1"/>
  <c r="K59" i="16"/>
  <c r="B59" i="16"/>
  <c r="J59" i="16" s="1"/>
  <c r="K58" i="16"/>
  <c r="B58" i="16"/>
  <c r="J58" i="16" s="1"/>
  <c r="K57" i="16"/>
  <c r="B57" i="16"/>
  <c r="J57" i="16" s="1"/>
  <c r="K56" i="16"/>
  <c r="B56" i="16"/>
  <c r="J56" i="16" s="1"/>
  <c r="K55" i="16"/>
  <c r="B55" i="16"/>
  <c r="J55" i="16" s="1"/>
  <c r="K54" i="16"/>
  <c r="B54" i="16"/>
  <c r="J54" i="16" s="1"/>
  <c r="K53" i="16"/>
  <c r="B53" i="16"/>
  <c r="J53" i="16" s="1"/>
  <c r="K52" i="16"/>
  <c r="B52" i="16"/>
  <c r="J52" i="16" s="1"/>
  <c r="K51" i="16"/>
  <c r="B51" i="16"/>
  <c r="J51" i="16" s="1"/>
  <c r="K50" i="16"/>
  <c r="B50" i="16"/>
  <c r="J50" i="16" s="1"/>
  <c r="K49" i="16"/>
  <c r="B49" i="16"/>
  <c r="J49" i="16" s="1"/>
  <c r="K48" i="16"/>
  <c r="B48" i="16"/>
  <c r="J48" i="16" s="1"/>
  <c r="K47" i="16"/>
  <c r="B47" i="16"/>
  <c r="J47" i="16" s="1"/>
  <c r="K46" i="16"/>
  <c r="B46" i="16"/>
  <c r="J46" i="16" s="1"/>
  <c r="K45" i="16"/>
  <c r="B45" i="16"/>
  <c r="J45" i="16" s="1"/>
  <c r="K44" i="16"/>
  <c r="J44" i="16"/>
  <c r="B44" i="16"/>
  <c r="K43" i="16"/>
  <c r="B43" i="16"/>
  <c r="J43" i="16" s="1"/>
  <c r="K42" i="16"/>
  <c r="B42" i="16"/>
  <c r="J42" i="16" s="1"/>
  <c r="K41" i="16"/>
  <c r="B41" i="16"/>
  <c r="J41" i="16" s="1"/>
  <c r="K40" i="16"/>
  <c r="B40" i="16"/>
  <c r="J40" i="16" s="1"/>
  <c r="K39" i="16"/>
  <c r="B39" i="16"/>
  <c r="J39" i="16" s="1"/>
  <c r="K38" i="16"/>
  <c r="B38" i="16"/>
  <c r="J38" i="16" s="1"/>
  <c r="K37" i="16"/>
  <c r="B37" i="16"/>
  <c r="J37" i="16" s="1"/>
  <c r="K36" i="16"/>
  <c r="B36" i="16"/>
  <c r="J36" i="16" s="1"/>
  <c r="K35" i="16"/>
  <c r="B35" i="16"/>
  <c r="J35" i="16" s="1"/>
  <c r="K34" i="16"/>
  <c r="B34" i="16"/>
  <c r="J34" i="16" s="1"/>
  <c r="K33" i="16"/>
  <c r="B33" i="16"/>
  <c r="J33" i="16" s="1"/>
  <c r="K32" i="16"/>
  <c r="B32" i="16"/>
  <c r="J32" i="16" s="1"/>
  <c r="K31" i="16"/>
  <c r="B31" i="16"/>
  <c r="J31" i="16" s="1"/>
  <c r="K30" i="16"/>
  <c r="B30" i="16"/>
  <c r="J30" i="16" s="1"/>
  <c r="K29" i="16"/>
  <c r="B29" i="16"/>
  <c r="J29" i="16" s="1"/>
  <c r="K28" i="16"/>
  <c r="B28" i="16"/>
  <c r="J28" i="16" s="1"/>
  <c r="K27" i="16"/>
  <c r="B27" i="16"/>
  <c r="J27" i="16" s="1"/>
  <c r="K26" i="16"/>
  <c r="B26" i="16"/>
  <c r="J26" i="16" s="1"/>
  <c r="K25" i="16"/>
  <c r="B25" i="16"/>
  <c r="J25" i="16" s="1"/>
  <c r="K24" i="16"/>
  <c r="B24" i="16"/>
  <c r="J24" i="16" s="1"/>
  <c r="K23" i="16"/>
  <c r="B23" i="16"/>
  <c r="J23" i="16" s="1"/>
  <c r="K22" i="16"/>
  <c r="B22" i="16"/>
  <c r="J22" i="16" s="1"/>
  <c r="K21" i="16"/>
  <c r="B21" i="16"/>
  <c r="J21" i="16" s="1"/>
  <c r="K20" i="16"/>
  <c r="B20" i="16"/>
  <c r="J20" i="16" s="1"/>
  <c r="K19" i="16"/>
  <c r="B19" i="16"/>
  <c r="J19" i="16" s="1"/>
  <c r="K18" i="16"/>
  <c r="B18" i="16"/>
  <c r="J18" i="16" s="1"/>
  <c r="K17" i="16"/>
  <c r="B17" i="16"/>
  <c r="J17" i="16" s="1"/>
  <c r="K16" i="16"/>
  <c r="B16" i="16"/>
  <c r="J16" i="16" s="1"/>
  <c r="K15" i="16"/>
  <c r="B15" i="16"/>
  <c r="J15" i="16" s="1"/>
  <c r="K14" i="16"/>
  <c r="B14" i="16"/>
  <c r="J14" i="16" s="1"/>
  <c r="K13" i="16"/>
  <c r="B13" i="16"/>
  <c r="J13" i="16" s="1"/>
  <c r="K12" i="16"/>
  <c r="B12" i="16"/>
  <c r="J12" i="16" s="1"/>
  <c r="K11" i="16"/>
  <c r="B11" i="16"/>
  <c r="J11" i="16" s="1"/>
  <c r="K10" i="16"/>
  <c r="B10" i="16"/>
  <c r="J10" i="16" s="1"/>
  <c r="K9" i="16"/>
  <c r="B9" i="16"/>
  <c r="J9" i="16" s="1"/>
  <c r="K8" i="16"/>
  <c r="B8" i="16"/>
  <c r="J8" i="16" s="1"/>
  <c r="K7" i="16"/>
  <c r="B7" i="16"/>
  <c r="J7" i="16" s="1"/>
  <c r="K6" i="16"/>
  <c r="B6" i="16"/>
  <c r="K5" i="16"/>
  <c r="B5" i="16"/>
  <c r="J5" i="16" s="1"/>
  <c r="K4" i="16"/>
  <c r="B4" i="16"/>
  <c r="J4" i="16" s="1"/>
  <c r="B258" i="16" l="1"/>
  <c r="J258" i="16" s="1"/>
  <c r="J6" i="16"/>
  <c r="E71" i="13" l="1"/>
  <c r="H71" i="13" s="1"/>
  <c r="E72" i="13"/>
  <c r="H72" i="13" s="1"/>
  <c r="E73" i="13"/>
  <c r="H73" i="13" s="1"/>
  <c r="E45" i="13"/>
  <c r="H45" i="13" s="1"/>
  <c r="E79" i="13"/>
  <c r="H79" i="13" s="1"/>
  <c r="E109" i="13"/>
  <c r="H109" i="13" s="1"/>
  <c r="E110" i="13"/>
  <c r="H110" i="13" s="1"/>
  <c r="E4" i="13"/>
  <c r="H4" i="13" s="1"/>
  <c r="E5" i="13"/>
  <c r="H5" i="13" s="1"/>
  <c r="E33" i="13"/>
  <c r="H33" i="13" s="1"/>
  <c r="E74" i="13"/>
  <c r="H74" i="13" s="1"/>
  <c r="E6" i="13"/>
  <c r="H6" i="13" s="1"/>
  <c r="E80" i="13"/>
  <c r="H80" i="13" s="1"/>
  <c r="E31" i="13"/>
  <c r="H31" i="13" s="1"/>
  <c r="E116" i="13"/>
  <c r="H116" i="13" s="1"/>
  <c r="E75" i="13"/>
  <c r="H75" i="13" s="1"/>
  <c r="E46" i="13"/>
  <c r="H46" i="13" s="1"/>
  <c r="E47" i="13"/>
  <c r="H47" i="13" s="1"/>
  <c r="E35" i="13"/>
  <c r="H35" i="13" s="1"/>
  <c r="E112" i="13"/>
  <c r="H112" i="13" s="1"/>
  <c r="E81" i="13"/>
  <c r="H81" i="13" s="1"/>
  <c r="E7" i="13"/>
  <c r="H7" i="13" s="1"/>
  <c r="E36" i="13"/>
  <c r="H36" i="13" s="1"/>
  <c r="E68" i="13"/>
  <c r="H68" i="13" s="1"/>
  <c r="E54" i="13"/>
  <c r="H54" i="13" s="1"/>
  <c r="E82" i="13"/>
  <c r="H82" i="13" s="1"/>
  <c r="E83" i="13"/>
  <c r="H83" i="13" s="1"/>
  <c r="E123" i="13"/>
  <c r="H123" i="13" s="1"/>
  <c r="E84" i="13"/>
  <c r="H84" i="13" s="1"/>
  <c r="E124" i="13"/>
  <c r="H124" i="13" s="1"/>
  <c r="E2" i="13"/>
  <c r="H2" i="13" s="1"/>
  <c r="E32" i="13"/>
  <c r="H32" i="13" s="1"/>
  <c r="E113" i="13"/>
  <c r="H113" i="13" s="1"/>
  <c r="E85" i="13"/>
  <c r="H85" i="13" s="1"/>
  <c r="E125" i="13"/>
  <c r="H125" i="13" s="1"/>
  <c r="E37" i="13"/>
  <c r="H37" i="13" s="1"/>
  <c r="E55" i="13"/>
  <c r="H55" i="13" s="1"/>
  <c r="E86" i="13"/>
  <c r="H86" i="13" s="1"/>
  <c r="E87" i="13"/>
  <c r="H87" i="13" s="1"/>
  <c r="E88" i="13"/>
  <c r="H88" i="13" s="1"/>
  <c r="E89" i="13"/>
  <c r="H89" i="13" s="1"/>
  <c r="E23" i="13"/>
  <c r="H23" i="13" s="1"/>
  <c r="E38" i="13"/>
  <c r="H38" i="13" s="1"/>
  <c r="E34" i="13"/>
  <c r="H34" i="13" s="1"/>
  <c r="E39" i="13"/>
  <c r="H39" i="13" s="1"/>
  <c r="E24" i="13"/>
  <c r="H24" i="13" s="1"/>
  <c r="E90" i="13"/>
  <c r="H90" i="13" s="1"/>
  <c r="E91" i="13"/>
  <c r="H91" i="13" s="1"/>
  <c r="E92" i="13"/>
  <c r="H92" i="13" s="1"/>
  <c r="E93" i="13"/>
  <c r="H93" i="13" s="1"/>
  <c r="E48" i="13"/>
  <c r="H48" i="13" s="1"/>
  <c r="E25" i="13"/>
  <c r="H25" i="13" s="1"/>
  <c r="E94" i="13"/>
  <c r="H94" i="13" s="1"/>
  <c r="E95" i="13"/>
  <c r="H95" i="13" s="1"/>
  <c r="E49" i="13"/>
  <c r="H49" i="13" s="1"/>
  <c r="E120" i="13"/>
  <c r="H120" i="13" s="1"/>
  <c r="E8" i="13"/>
  <c r="H8" i="13" s="1"/>
  <c r="E67" i="13"/>
  <c r="H67" i="13" s="1"/>
  <c r="E9" i="13"/>
  <c r="H9" i="13" s="1"/>
  <c r="E10" i="13"/>
  <c r="H10" i="13" s="1"/>
  <c r="E96" i="13"/>
  <c r="H96" i="13" s="1"/>
  <c r="E114" i="13"/>
  <c r="H114" i="13" s="1"/>
  <c r="E56" i="13"/>
  <c r="H56" i="13" s="1"/>
  <c r="E50" i="13"/>
  <c r="H50" i="13" s="1"/>
  <c r="E57" i="13"/>
  <c r="H57" i="13" s="1"/>
  <c r="E40" i="13"/>
  <c r="H40" i="13" s="1"/>
  <c r="E97" i="13"/>
  <c r="H97" i="13" s="1"/>
  <c r="E58" i="13"/>
  <c r="H58" i="13" s="1"/>
  <c r="E11" i="13"/>
  <c r="H11" i="13" s="1"/>
  <c r="E41" i="13"/>
  <c r="H41" i="13" s="1"/>
  <c r="E98" i="13"/>
  <c r="H98" i="13" s="1"/>
  <c r="E59" i="13"/>
  <c r="H59" i="13" s="1"/>
  <c r="E42" i="13"/>
  <c r="H42" i="13" s="1"/>
  <c r="E117" i="13"/>
  <c r="H117" i="13" s="1"/>
  <c r="E121" i="13"/>
  <c r="H121" i="13" s="1"/>
  <c r="E12" i="13"/>
  <c r="H12" i="13" s="1"/>
  <c r="E99" i="13"/>
  <c r="H99" i="13" s="1"/>
  <c r="E13" i="13"/>
  <c r="H13" i="13" s="1"/>
  <c r="E115" i="13"/>
  <c r="H115" i="13" s="1"/>
  <c r="E51" i="13"/>
  <c r="H51" i="13" s="1"/>
  <c r="E118" i="13"/>
  <c r="H118" i="13" s="1"/>
  <c r="E76" i="13"/>
  <c r="H76" i="13" s="1"/>
  <c r="E77" i="13"/>
  <c r="H77" i="13" s="1"/>
  <c r="E100" i="13"/>
  <c r="H100" i="13" s="1"/>
  <c r="E60" i="13"/>
  <c r="H60" i="13" s="1"/>
  <c r="E26" i="13"/>
  <c r="H26" i="13" s="1"/>
  <c r="E122" i="13"/>
  <c r="H122" i="13" s="1"/>
  <c r="E27" i="13"/>
  <c r="H27" i="13" s="1"/>
  <c r="E14" i="13"/>
  <c r="H14" i="13" s="1"/>
  <c r="E105" i="13"/>
  <c r="H105" i="13" s="1"/>
  <c r="E15" i="13"/>
  <c r="H15" i="13" s="1"/>
  <c r="E28" i="13"/>
  <c r="H28" i="13" s="1"/>
  <c r="E78" i="13"/>
  <c r="H78" i="13" s="1"/>
  <c r="E16" i="13"/>
  <c r="H16" i="13" s="1"/>
  <c r="E17" i="13"/>
  <c r="H17" i="13" s="1"/>
  <c r="E101" i="13"/>
  <c r="H101" i="13" s="1"/>
  <c r="E18" i="13"/>
  <c r="H18" i="13" s="1"/>
  <c r="E106" i="13"/>
  <c r="H106" i="13" s="1"/>
  <c r="E61" i="13"/>
  <c r="H61" i="13" s="1"/>
  <c r="E29" i="13"/>
  <c r="H29" i="13" s="1"/>
  <c r="E107" i="13"/>
  <c r="H107" i="13" s="1"/>
  <c r="E62" i="13"/>
  <c r="H62" i="13" s="1"/>
  <c r="E30" i="13"/>
  <c r="H30" i="13" s="1"/>
  <c r="E19" i="13"/>
  <c r="H19" i="13" s="1"/>
  <c r="E102" i="13"/>
  <c r="H102" i="13" s="1"/>
  <c r="E69" i="13"/>
  <c r="H69" i="13" s="1"/>
  <c r="E111" i="13"/>
  <c r="H111" i="13" s="1"/>
  <c r="E103" i="13"/>
  <c r="H103" i="13" s="1"/>
  <c r="E20" i="13"/>
  <c r="H20" i="13" s="1"/>
  <c r="E104" i="13"/>
  <c r="H104" i="13" s="1"/>
  <c r="E63" i="13"/>
  <c r="H63" i="13" s="1"/>
  <c r="E3" i="13"/>
  <c r="H3" i="13" s="1"/>
  <c r="E64" i="13"/>
  <c r="H64" i="13" s="1"/>
  <c r="E43" i="13"/>
  <c r="H43" i="13" s="1"/>
  <c r="E44" i="13"/>
  <c r="H44" i="13" s="1"/>
  <c r="E108" i="13"/>
  <c r="H108" i="13" s="1"/>
  <c r="E70" i="13"/>
  <c r="H70" i="13" s="1"/>
  <c r="E21" i="13"/>
  <c r="H21" i="13" s="1"/>
  <c r="E22" i="13"/>
  <c r="H22" i="13" s="1"/>
  <c r="E65" i="13"/>
  <c r="H65" i="13" s="1"/>
  <c r="E66" i="13"/>
  <c r="H66" i="13" s="1"/>
  <c r="E119" i="13"/>
  <c r="H119" i="13" s="1"/>
  <c r="E52" i="13"/>
  <c r="H52" i="13" s="1"/>
  <c r="E53" i="13"/>
  <c r="H53" i="13" s="1"/>
  <c r="D71" i="13"/>
  <c r="D72" i="13"/>
  <c r="D73" i="13"/>
  <c r="D45" i="13"/>
  <c r="D79" i="13"/>
  <c r="D109" i="13"/>
  <c r="D110" i="13"/>
  <c r="D4" i="13"/>
  <c r="D5" i="13"/>
  <c r="D33" i="13"/>
  <c r="D74" i="13"/>
  <c r="D6" i="13"/>
  <c r="D80" i="13"/>
  <c r="D31" i="13"/>
  <c r="D116" i="13"/>
  <c r="D75" i="13"/>
  <c r="D46" i="13"/>
  <c r="D47" i="13"/>
  <c r="D35" i="13"/>
  <c r="D112" i="13"/>
  <c r="D81" i="13"/>
  <c r="D7" i="13"/>
  <c r="D36" i="13"/>
  <c r="D68" i="13"/>
  <c r="D54" i="13"/>
  <c r="D82" i="13"/>
  <c r="D83" i="13"/>
  <c r="D123" i="13"/>
  <c r="D84" i="13"/>
  <c r="D124" i="13"/>
  <c r="D2" i="13"/>
  <c r="D32" i="13"/>
  <c r="D113" i="13"/>
  <c r="D85" i="13"/>
  <c r="D125" i="13"/>
  <c r="D37" i="13"/>
  <c r="D55" i="13"/>
  <c r="D86" i="13"/>
  <c r="D87" i="13"/>
  <c r="D88" i="13"/>
  <c r="D89" i="13"/>
  <c r="D23" i="13"/>
  <c r="D38" i="13"/>
  <c r="D34" i="13"/>
  <c r="D39" i="13"/>
  <c r="D24" i="13"/>
  <c r="D90" i="13"/>
  <c r="D91" i="13"/>
  <c r="D92" i="13"/>
  <c r="D93" i="13"/>
  <c r="D48" i="13"/>
  <c r="D25" i="13"/>
  <c r="D94" i="13"/>
  <c r="D95" i="13"/>
  <c r="D49" i="13"/>
  <c r="D120" i="13"/>
  <c r="D8" i="13"/>
  <c r="D67" i="13"/>
  <c r="D9" i="13"/>
  <c r="D10" i="13"/>
  <c r="D96" i="13"/>
  <c r="D114" i="13"/>
  <c r="D56" i="13"/>
  <c r="D50" i="13"/>
  <c r="D57" i="13"/>
  <c r="D40" i="13"/>
  <c r="D97" i="13"/>
  <c r="D58" i="13"/>
  <c r="D11" i="13"/>
  <c r="D41" i="13"/>
  <c r="D98" i="13"/>
  <c r="D59" i="13"/>
  <c r="D42" i="13"/>
  <c r="D117" i="13"/>
  <c r="D121" i="13"/>
  <c r="D12" i="13"/>
  <c r="D99" i="13"/>
  <c r="D13" i="13"/>
  <c r="D115" i="13"/>
  <c r="D51" i="13"/>
  <c r="D118" i="13"/>
  <c r="D76" i="13"/>
  <c r="D77" i="13"/>
  <c r="D100" i="13"/>
  <c r="D60" i="13"/>
  <c r="D26" i="13"/>
  <c r="D122" i="13"/>
  <c r="D27" i="13"/>
  <c r="D14" i="13"/>
  <c r="D105" i="13"/>
  <c r="D15" i="13"/>
  <c r="D28" i="13"/>
  <c r="D78" i="13"/>
  <c r="D16" i="13"/>
  <c r="D17" i="13"/>
  <c r="D101" i="13"/>
  <c r="D18" i="13"/>
  <c r="D106" i="13"/>
  <c r="D61" i="13"/>
  <c r="D29" i="13"/>
  <c r="D107" i="13"/>
  <c r="D62" i="13"/>
  <c r="D30" i="13"/>
  <c r="D19" i="13"/>
  <c r="D102" i="13"/>
  <c r="D69" i="13"/>
  <c r="D111" i="13"/>
  <c r="D103" i="13"/>
  <c r="D20" i="13"/>
  <c r="D104" i="13"/>
  <c r="D63" i="13"/>
  <c r="D3" i="13"/>
  <c r="D64" i="13"/>
  <c r="D43" i="13"/>
  <c r="D44" i="13"/>
  <c r="D108" i="13"/>
  <c r="D70" i="13"/>
  <c r="D21" i="13"/>
  <c r="D22" i="13"/>
  <c r="D65" i="13"/>
  <c r="D66" i="13"/>
  <c r="D119" i="13"/>
  <c r="D52" i="13"/>
  <c r="D53" i="13"/>
</calcChain>
</file>

<file path=xl/sharedStrings.xml><?xml version="1.0" encoding="utf-8"?>
<sst xmlns="http://schemas.openxmlformats.org/spreadsheetml/2006/main" count="56396" uniqueCount="17477">
  <si>
    <t>Interpreter</t>
  </si>
  <si>
    <t>PYTHONPATH</t>
  </si>
  <si>
    <t>UDF Modules</t>
  </si>
  <si>
    <t>Debug UDFs</t>
  </si>
  <si>
    <t>Log File</t>
  </si>
  <si>
    <t>Use UDF Server</t>
  </si>
  <si>
    <t>Instructions: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</si>
  <si>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</si>
  <si>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</si>
  <si>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If you want to rely on the settings in the addin, then you can delete this sheet.</t>
  </si>
  <si>
    <t>14</t>
  </si>
  <si>
    <t>22</t>
  </si>
  <si>
    <t>2484</t>
  </si>
  <si>
    <t>NUECES</t>
  </si>
  <si>
    <t>KJC</t>
  </si>
  <si>
    <t>W</t>
  </si>
  <si>
    <t>C</t>
  </si>
  <si>
    <t>MAGELLAN TERMINALS HOLDINGS LP, MAGELLAN PROCESSING LP</t>
  </si>
  <si>
    <t>0072737</t>
  </si>
  <si>
    <t>002</t>
  </si>
  <si>
    <t>02070-000</t>
  </si>
  <si>
    <t>02070-000.002</t>
  </si>
  <si>
    <t>15</t>
  </si>
  <si>
    <t>12</t>
  </si>
  <si>
    <t>10</t>
  </si>
  <si>
    <t>1015</t>
  </si>
  <si>
    <t>MONTGOMERY</t>
  </si>
  <si>
    <t>NLV</t>
  </si>
  <si>
    <t>D</t>
  </si>
  <si>
    <t>QUADVEST LP</t>
  </si>
  <si>
    <t>0136000</t>
  </si>
  <si>
    <t>001</t>
  </si>
  <si>
    <t>15317-001</t>
  </si>
  <si>
    <t>15317-001.001</t>
  </si>
  <si>
    <t>1006</t>
  </si>
  <si>
    <t>HARRIS</t>
  </si>
  <si>
    <t>KLS</t>
  </si>
  <si>
    <t>INTERCONTINENTAL TERMINALS CO LLC</t>
  </si>
  <si>
    <t>0135593</t>
  </si>
  <si>
    <t>05136-000</t>
  </si>
  <si>
    <t>05136-000.001</t>
  </si>
  <si>
    <t>05136-000.002</t>
  </si>
  <si>
    <t>04</t>
  </si>
  <si>
    <t>02</t>
  </si>
  <si>
    <t>0202</t>
  </si>
  <si>
    <t>FANNIN</t>
  </si>
  <si>
    <t>JMB</t>
  </si>
  <si>
    <t>NORTH TEXAS MWD</t>
  </si>
  <si>
    <t>0135569</t>
  </si>
  <si>
    <t>15278-001</t>
  </si>
  <si>
    <t>15278-001.002</t>
  </si>
  <si>
    <t>15278-001.001</t>
  </si>
  <si>
    <t>06</t>
  </si>
  <si>
    <t>0604</t>
  </si>
  <si>
    <t>TRINITY</t>
  </si>
  <si>
    <t>APPLE SPRINGS ISD</t>
  </si>
  <si>
    <t>0118966</t>
  </si>
  <si>
    <t>14086-001</t>
  </si>
  <si>
    <t>14086-001.001</t>
  </si>
  <si>
    <t>1010</t>
  </si>
  <si>
    <t>KNS</t>
  </si>
  <si>
    <t>CRYSTAL SPRINGS WATER CO INC</t>
  </si>
  <si>
    <t>0118311</t>
  </si>
  <si>
    <t>14081-001</t>
  </si>
  <si>
    <t>14081-001.001</t>
  </si>
  <si>
    <t>05</t>
  </si>
  <si>
    <t>0605</t>
  </si>
  <si>
    <t>SMITH</t>
  </si>
  <si>
    <t>SOUTHERN UTILITIES CO</t>
  </si>
  <si>
    <t>0118362</t>
  </si>
  <si>
    <t>14080-001</t>
  </si>
  <si>
    <t>14080-001.001</t>
  </si>
  <si>
    <t>CHEROKEE</t>
  </si>
  <si>
    <t>GMW</t>
  </si>
  <si>
    <t>0118273</t>
  </si>
  <si>
    <t>14079-001</t>
  </si>
  <si>
    <t>14079-001.001</t>
  </si>
  <si>
    <t>1017</t>
  </si>
  <si>
    <t>WEST HARRIS COUNTY MUD 10</t>
  </si>
  <si>
    <t>0082317</t>
  </si>
  <si>
    <t>14072-001</t>
  </si>
  <si>
    <t>14072-001.001</t>
  </si>
  <si>
    <t>17</t>
  </si>
  <si>
    <t>1701</t>
  </si>
  <si>
    <t>CALHOUN</t>
  </si>
  <si>
    <t>GUADALUPE DELTA BAY RESORT LLC</t>
  </si>
  <si>
    <t>0129682</t>
  </si>
  <si>
    <t>14815-001</t>
  </si>
  <si>
    <t>14815-001.001</t>
  </si>
  <si>
    <t>2491</t>
  </si>
  <si>
    <t>CAMERON</t>
  </si>
  <si>
    <t>LAGUNA MADRE WATER DISTRICT</t>
  </si>
  <si>
    <t>0117072</t>
  </si>
  <si>
    <t>14069-001</t>
  </si>
  <si>
    <t>14069-001.001</t>
  </si>
  <si>
    <t>03</t>
  </si>
  <si>
    <t>0303</t>
  </si>
  <si>
    <t>LAMAR</t>
  </si>
  <si>
    <t>PRAIRILAND ISD</t>
  </si>
  <si>
    <t>0126136</t>
  </si>
  <si>
    <t>14473-001</t>
  </si>
  <si>
    <t>14473-001.001</t>
  </si>
  <si>
    <t>08</t>
  </si>
  <si>
    <t>0805</t>
  </si>
  <si>
    <t>KAUFMAN</t>
  </si>
  <si>
    <t>SCURRY-ROSSER ISD</t>
  </si>
  <si>
    <t>0126128</t>
  </si>
  <si>
    <t>14471-001</t>
  </si>
  <si>
    <t>14471-001.001</t>
  </si>
  <si>
    <t>0507</t>
  </si>
  <si>
    <t>RAINS</t>
  </si>
  <si>
    <t>CITY OF POINT</t>
  </si>
  <si>
    <t>0124966</t>
  </si>
  <si>
    <t>14470-001</t>
  </si>
  <si>
    <t>14470-001.001</t>
  </si>
  <si>
    <t>ROCKWALL</t>
  </si>
  <si>
    <t>NORTH TEXAS MUNICIPAL WATER DISTRICT</t>
  </si>
  <si>
    <t>0126110</t>
  </si>
  <si>
    <t>14469-001</t>
  </si>
  <si>
    <t>14469-001.001</t>
  </si>
  <si>
    <t>09</t>
  </si>
  <si>
    <t>1242</t>
  </si>
  <si>
    <t>MCLENNAN</t>
  </si>
  <si>
    <t>METHODIST CHILDREN'S HOME</t>
  </si>
  <si>
    <t>0126217</t>
  </si>
  <si>
    <t>14464-002</t>
  </si>
  <si>
    <t>14464-002.001</t>
  </si>
  <si>
    <t>CITY OF HONEY GROVE</t>
  </si>
  <si>
    <t>0117951</t>
  </si>
  <si>
    <t>10710-003</t>
  </si>
  <si>
    <t>10710-003.001</t>
  </si>
  <si>
    <t>1014</t>
  </si>
  <si>
    <t>FORT BEND</t>
  </si>
  <si>
    <t>CITY OF KATY</t>
  </si>
  <si>
    <t>0025747</t>
  </si>
  <si>
    <t>10706-001</t>
  </si>
  <si>
    <t>10706-001.001</t>
  </si>
  <si>
    <t>20</t>
  </si>
  <si>
    <t>2472</t>
  </si>
  <si>
    <t>SAN PATRICIO</t>
  </si>
  <si>
    <t>CITY OF TAFT</t>
  </si>
  <si>
    <t>0027472</t>
  </si>
  <si>
    <t>10705-001</t>
  </si>
  <si>
    <t>10705-001.001</t>
  </si>
  <si>
    <t>0607</t>
  </si>
  <si>
    <t>HARDIN</t>
  </si>
  <si>
    <t>CITY OF SOUR LAKE</t>
  </si>
  <si>
    <t>0023876</t>
  </si>
  <si>
    <t>10703-001</t>
  </si>
  <si>
    <t>10703-001.001</t>
  </si>
  <si>
    <t>0810</t>
  </si>
  <si>
    <t>WISE</t>
  </si>
  <si>
    <t>CITY OF RHOME</t>
  </si>
  <si>
    <t>0118621</t>
  </si>
  <si>
    <t>10701-002</t>
  </si>
  <si>
    <t>10701-002.001</t>
  </si>
  <si>
    <t>0826</t>
  </si>
  <si>
    <t>0024783</t>
  </si>
  <si>
    <t>10701-001</t>
  </si>
  <si>
    <t>10701-001.001</t>
  </si>
  <si>
    <t>11</t>
  </si>
  <si>
    <t>1108</t>
  </si>
  <si>
    <t>BRAZORIA</t>
  </si>
  <si>
    <t>OAK MANOR MUD</t>
  </si>
  <si>
    <t>0023337</t>
  </si>
  <si>
    <t>10700-001</t>
  </si>
  <si>
    <t>10700-001.001</t>
  </si>
  <si>
    <t>0823</t>
  </si>
  <si>
    <t>DENTON</t>
  </si>
  <si>
    <t>UPPER TRINITY REGIONAL WATER DISTRICT</t>
  </si>
  <si>
    <t>0125172</t>
  </si>
  <si>
    <t>10698-003</t>
  </si>
  <si>
    <t>10698-003.001</t>
  </si>
  <si>
    <t>0123781</t>
  </si>
  <si>
    <t>10698-002</t>
  </si>
  <si>
    <t>10698-002.001</t>
  </si>
  <si>
    <t>0020354</t>
  </si>
  <si>
    <t>10698-001</t>
  </si>
  <si>
    <t>10698-001.001</t>
  </si>
  <si>
    <t>2202</t>
  </si>
  <si>
    <t>CITY OF LA FERIA</t>
  </si>
  <si>
    <t>0032689</t>
  </si>
  <si>
    <t>10697-001</t>
  </si>
  <si>
    <t>10697-001.001</t>
  </si>
  <si>
    <t>2492</t>
  </si>
  <si>
    <t>KLEBERG</t>
  </si>
  <si>
    <t>CITY OF KINGSVILLE</t>
  </si>
  <si>
    <t>0117978</t>
  </si>
  <si>
    <t>10696-004</t>
  </si>
  <si>
    <t>10696-004.001</t>
  </si>
  <si>
    <t>0023418</t>
  </si>
  <si>
    <t>10696-001</t>
  </si>
  <si>
    <t>10696-001.001</t>
  </si>
  <si>
    <t>0818</t>
  </si>
  <si>
    <t>CITY OF KEMP</t>
  </si>
  <si>
    <t>0023396</t>
  </si>
  <si>
    <t>10695-001</t>
  </si>
  <si>
    <t>10695-001.001</t>
  </si>
  <si>
    <t>1016</t>
  </si>
  <si>
    <t>AQUA UTILITIES INC</t>
  </si>
  <si>
    <t>0027707</t>
  </si>
  <si>
    <t>10694-001</t>
  </si>
  <si>
    <t>10694-001.001</t>
  </si>
  <si>
    <t>0611</t>
  </si>
  <si>
    <t>CITY OF JACKSONVILLE</t>
  </si>
  <si>
    <t>0100587</t>
  </si>
  <si>
    <t>10693-003</t>
  </si>
  <si>
    <t>10693-003.001</t>
  </si>
  <si>
    <t>0214</t>
  </si>
  <si>
    <t>WICHITA</t>
  </si>
  <si>
    <t>CITY OF IOWA PARK</t>
  </si>
  <si>
    <t>0052922</t>
  </si>
  <si>
    <t>10691-002</t>
  </si>
  <si>
    <t>10691-002.001</t>
  </si>
  <si>
    <t>2424</t>
  </si>
  <si>
    <t>GALVESTON</t>
  </si>
  <si>
    <t>CITY OF HITCHCOCK</t>
  </si>
  <si>
    <t>0062243</t>
  </si>
  <si>
    <t>10690-001</t>
  </si>
  <si>
    <t>10690-001.001</t>
  </si>
  <si>
    <t>1247</t>
  </si>
  <si>
    <t>WILLIAMSON</t>
  </si>
  <si>
    <t>CITY OF GRANGER</t>
  </si>
  <si>
    <t>0071030</t>
  </si>
  <si>
    <t>10891-001</t>
  </si>
  <si>
    <t>10891-001.001</t>
  </si>
  <si>
    <t>CLAY</t>
  </si>
  <si>
    <t>CITY OF BYERS</t>
  </si>
  <si>
    <t>0075442</t>
  </si>
  <si>
    <t>10890-001</t>
  </si>
  <si>
    <t>10890-001.001</t>
  </si>
  <si>
    <t>13</t>
  </si>
  <si>
    <t>19</t>
  </si>
  <si>
    <t>1903</t>
  </si>
  <si>
    <t>MEDINA</t>
  </si>
  <si>
    <t>CITY OF LA COSTE</t>
  </si>
  <si>
    <t>0107743</t>
  </si>
  <si>
    <t>10889-001</t>
  </si>
  <si>
    <t>10889-001.001</t>
  </si>
  <si>
    <t>COLLIN</t>
  </si>
  <si>
    <t>CITY OF JOSEPHINE</t>
  </si>
  <si>
    <t>0027502</t>
  </si>
  <si>
    <t>10887-001</t>
  </si>
  <si>
    <t>10887-001.001</t>
  </si>
  <si>
    <t>1201</t>
  </si>
  <si>
    <t>CITY OF FREEPORT</t>
  </si>
  <si>
    <t>0033341</t>
  </si>
  <si>
    <t>10882-002</t>
  </si>
  <si>
    <t>10882-002.001</t>
  </si>
  <si>
    <t>0033332</t>
  </si>
  <si>
    <t>10882-001</t>
  </si>
  <si>
    <t>10882-001.001</t>
  </si>
  <si>
    <t>1213</t>
  </si>
  <si>
    <t>BELL</t>
  </si>
  <si>
    <t>CITY OF BARTLETT</t>
  </si>
  <si>
    <t>0027006</t>
  </si>
  <si>
    <t>10880-001</t>
  </si>
  <si>
    <t>10880-001.001</t>
  </si>
  <si>
    <t>GALVESTON COUNTY FWSD 6</t>
  </si>
  <si>
    <t>0020079</t>
  </si>
  <si>
    <t>10879-001</t>
  </si>
  <si>
    <t>10879-001.001</t>
  </si>
  <si>
    <t>1301</t>
  </si>
  <si>
    <t>TEXAS DEPT OF CRIMINAL JUSTICE</t>
  </si>
  <si>
    <t>0031569</t>
  </si>
  <si>
    <t>10878-001</t>
  </si>
  <si>
    <t>10878-001.001</t>
  </si>
  <si>
    <t>0809</t>
  </si>
  <si>
    <t>TARRANT</t>
  </si>
  <si>
    <t>LUMINANT GENERATION CO LLC</t>
  </si>
  <si>
    <t>0135321</t>
  </si>
  <si>
    <t>05122-000</t>
  </si>
  <si>
    <t>05122-000.001</t>
  </si>
  <si>
    <t>1908</t>
  </si>
  <si>
    <t>COMAL</t>
  </si>
  <si>
    <t>TWO SEVENTY SEVEN LIMITED &amp; GBRA</t>
  </si>
  <si>
    <t>0135135</t>
  </si>
  <si>
    <t>14959-001</t>
  </si>
  <si>
    <t>14959-001.001</t>
  </si>
  <si>
    <t>1009</t>
  </si>
  <si>
    <t>CYPRESS 600 DEV PARTNERS LP</t>
  </si>
  <si>
    <t>0135241</t>
  </si>
  <si>
    <t>15231-001</t>
  </si>
  <si>
    <t>15231-001.001</t>
  </si>
  <si>
    <t>P</t>
  </si>
  <si>
    <t>MCNABB UTILITIES LLC</t>
  </si>
  <si>
    <t>0139017</t>
  </si>
  <si>
    <t>15765-001</t>
  </si>
  <si>
    <t>15765-001.001</t>
  </si>
  <si>
    <t>2451</t>
  </si>
  <si>
    <t>MATAGORDA</t>
  </si>
  <si>
    <t>GULF STATES AQUACULTURE LLC</t>
  </si>
  <si>
    <t>0119016</t>
  </si>
  <si>
    <t>03660-000</t>
  </si>
  <si>
    <t>03660-000.001</t>
  </si>
  <si>
    <t>1402</t>
  </si>
  <si>
    <t>FAYETTE</t>
  </si>
  <si>
    <t>LANTANA AT ROUND TOP LLC AND ROUND TOP COMPOUND LLC</t>
  </si>
  <si>
    <t>0138924</t>
  </si>
  <si>
    <t>15751-001</t>
  </si>
  <si>
    <t>15751-001.001</t>
  </si>
  <si>
    <t>1003</t>
  </si>
  <si>
    <t>0134996</t>
  </si>
  <si>
    <t>15192-001</t>
  </si>
  <si>
    <t>15192-001.001</t>
  </si>
  <si>
    <t>0212</t>
  </si>
  <si>
    <t>ARCHER</t>
  </si>
  <si>
    <t>CITY OF OLNEY</t>
  </si>
  <si>
    <t>0024261</t>
  </si>
  <si>
    <t>10050-001</t>
  </si>
  <si>
    <t>10050-001.002</t>
  </si>
  <si>
    <t>1205</t>
  </si>
  <si>
    <t>HOOD</t>
  </si>
  <si>
    <t>CITY OF GRANBURY</t>
  </si>
  <si>
    <t>0134953</t>
  </si>
  <si>
    <t>05099-000</t>
  </si>
  <si>
    <t>05099-000.001</t>
  </si>
  <si>
    <t>0803</t>
  </si>
  <si>
    <t>POLK</t>
  </si>
  <si>
    <t>POLK COUNTY FWSD 2</t>
  </si>
  <si>
    <t>0078841</t>
  </si>
  <si>
    <t>11298-001</t>
  </si>
  <si>
    <t>11298-001.001</t>
  </si>
  <si>
    <t>TYLER</t>
  </si>
  <si>
    <t>CITY OF COLMESNEIL</t>
  </si>
  <si>
    <t>0100692</t>
  </si>
  <si>
    <t>11295-001</t>
  </si>
  <si>
    <t>11295-001.001</t>
  </si>
  <si>
    <t>JACKRABBIT ROAD PUD</t>
  </si>
  <si>
    <t>0046621</t>
  </si>
  <si>
    <t>11290-001</t>
  </si>
  <si>
    <t>11290-001.001</t>
  </si>
  <si>
    <t>TOWN OF PONDER</t>
  </si>
  <si>
    <t>0123862</t>
  </si>
  <si>
    <t>11287-003</t>
  </si>
  <si>
    <t>11287-003.001</t>
  </si>
  <si>
    <t>PATEL, CHHOTUBHAI THAKORBHAI</t>
  </si>
  <si>
    <t>0103624</t>
  </si>
  <si>
    <t>11286-001</t>
  </si>
  <si>
    <t>11286-001.001</t>
  </si>
  <si>
    <t>1012</t>
  </si>
  <si>
    <t>CORINTHIAN POINT MUD NO 2</t>
  </si>
  <si>
    <t>0027049</t>
  </si>
  <si>
    <t>11285-001</t>
  </si>
  <si>
    <t>11285-001.001</t>
  </si>
  <si>
    <t>WESTLAKE MUD NO 1</t>
  </si>
  <si>
    <t>0053091</t>
  </si>
  <si>
    <t>11284-001</t>
  </si>
  <si>
    <t>11284-001.001</t>
  </si>
  <si>
    <t>0821</t>
  </si>
  <si>
    <t>AEW</t>
  </si>
  <si>
    <t>CITY OF ANNA</t>
  </si>
  <si>
    <t>0056677</t>
  </si>
  <si>
    <t>11283-001</t>
  </si>
  <si>
    <t>11283-001.001</t>
  </si>
  <si>
    <t>1202</t>
  </si>
  <si>
    <t>WALLER</t>
  </si>
  <si>
    <t>PRAIRIE VIEW A&amp;M UNIVERSITY</t>
  </si>
  <si>
    <t>0111201</t>
  </si>
  <si>
    <t>11275-002</t>
  </si>
  <si>
    <t>11275-002.001</t>
  </si>
  <si>
    <t>WEST HARDIN CISD</t>
  </si>
  <si>
    <t>0030813</t>
  </si>
  <si>
    <t>11274-001</t>
  </si>
  <si>
    <t>11274-001.001</t>
  </si>
  <si>
    <t>HARRIS COUNTY MUD 6</t>
  </si>
  <si>
    <t>0026352</t>
  </si>
  <si>
    <t>11273-001</t>
  </si>
  <si>
    <t>11273-001.001</t>
  </si>
  <si>
    <t>MONTGOMERY COUNTY UD NO 2</t>
  </si>
  <si>
    <t>0032514</t>
  </si>
  <si>
    <t>11271-001</t>
  </si>
  <si>
    <t>11271-001.001</t>
  </si>
  <si>
    <t>23</t>
  </si>
  <si>
    <t>2302</t>
  </si>
  <si>
    <t>STARR</t>
  </si>
  <si>
    <t>CITY OF ROMA</t>
  </si>
  <si>
    <t>0119709</t>
  </si>
  <si>
    <t>11212-003</t>
  </si>
  <si>
    <t>11212-003.001</t>
  </si>
  <si>
    <t>0117544</t>
  </si>
  <si>
    <t>11212-002</t>
  </si>
  <si>
    <t>11212-002.001</t>
  </si>
  <si>
    <t>07</t>
  </si>
  <si>
    <t>0701</t>
  </si>
  <si>
    <t>JEFFERSON</t>
  </si>
  <si>
    <t>TEXAS A&amp;M UNIVERSITY</t>
  </si>
  <si>
    <t>0030953</t>
  </si>
  <si>
    <t>11211-001</t>
  </si>
  <si>
    <t>11211-001.001</t>
  </si>
  <si>
    <t>WILLACY</t>
  </si>
  <si>
    <t>CITY OF LYFORD</t>
  </si>
  <si>
    <t>0084719</t>
  </si>
  <si>
    <t>11210-001</t>
  </si>
  <si>
    <t>11210-001.001</t>
  </si>
  <si>
    <t>RED RIVER</t>
  </si>
  <si>
    <t>RIVERCREST ISD</t>
  </si>
  <si>
    <t>0116556</t>
  </si>
  <si>
    <t>11204-001</t>
  </si>
  <si>
    <t>11204-001.001</t>
  </si>
  <si>
    <t>MONTGOMERY COUNTY UD NO 3</t>
  </si>
  <si>
    <t>0069469</t>
  </si>
  <si>
    <t>11203-001</t>
  </si>
  <si>
    <t>11203-001.001</t>
  </si>
  <si>
    <t>BRAZORIA CO MUD NO 30</t>
  </si>
  <si>
    <t>0126055</t>
  </si>
  <si>
    <t>14461-001</t>
  </si>
  <si>
    <t>14461-001.001</t>
  </si>
  <si>
    <t>1428</t>
  </si>
  <si>
    <t>TRAVIS</t>
  </si>
  <si>
    <t>CITY OF AUSTIN</t>
  </si>
  <si>
    <t>0067466</t>
  </si>
  <si>
    <t>14459-001</t>
  </si>
  <si>
    <t>14459-001.001</t>
  </si>
  <si>
    <t>FORT BEND COUNTY MUD NO 146</t>
  </si>
  <si>
    <t>0126004</t>
  </si>
  <si>
    <t>14455-001</t>
  </si>
  <si>
    <t>14455-001.001</t>
  </si>
  <si>
    <t>0702</t>
  </si>
  <si>
    <t>BOLIVAR UTILITIES SERVICES LLC</t>
  </si>
  <si>
    <t>0125776</t>
  </si>
  <si>
    <t>14452-001</t>
  </si>
  <si>
    <t>14452-001.001</t>
  </si>
  <si>
    <t>0506</t>
  </si>
  <si>
    <t>WOOD</t>
  </si>
  <si>
    <t>CITY OF ALBA</t>
  </si>
  <si>
    <t>0022489</t>
  </si>
  <si>
    <t>14451-001</t>
  </si>
  <si>
    <t>14451-001.001</t>
  </si>
  <si>
    <t>0601</t>
  </si>
  <si>
    <t>S</t>
  </si>
  <si>
    <t>MARTIN OPERATING PARTNERSHIP LP</t>
  </si>
  <si>
    <t>0003662</t>
  </si>
  <si>
    <t>006</t>
  </si>
  <si>
    <t>01202-000</t>
  </si>
  <si>
    <t>01202-000.006</t>
  </si>
  <si>
    <t>003</t>
  </si>
  <si>
    <t>01202-000.003</t>
  </si>
  <si>
    <t>HARRIS COUNTY MUD NO 405</t>
  </si>
  <si>
    <t>0125938</t>
  </si>
  <si>
    <t>14448-001</t>
  </si>
  <si>
    <t>14448-001.001</t>
  </si>
  <si>
    <t>HARRIS COUNTY MUD NO 191</t>
  </si>
  <si>
    <t>0090476</t>
  </si>
  <si>
    <t>14447-001</t>
  </si>
  <si>
    <t>14447-001.001</t>
  </si>
  <si>
    <t>HARRIS COUNTY MUD NO 449</t>
  </si>
  <si>
    <t>0128082</t>
  </si>
  <si>
    <t>14635-001</t>
  </si>
  <si>
    <t>14635-001.001</t>
  </si>
  <si>
    <t>0819</t>
  </si>
  <si>
    <t>HELMS TRAIL PROPERTIES INC</t>
  </si>
  <si>
    <t>0128023</t>
  </si>
  <si>
    <t>14627-001</t>
  </si>
  <si>
    <t>14627-001.001</t>
  </si>
  <si>
    <t>1434</t>
  </si>
  <si>
    <t>BASTROP</t>
  </si>
  <si>
    <t>AQUA WSC</t>
  </si>
  <si>
    <t>0127809</t>
  </si>
  <si>
    <t>14607-001</t>
  </si>
  <si>
    <t>14607-001.001</t>
  </si>
  <si>
    <t>HUNT</t>
  </si>
  <si>
    <t>BEARPEN CREEK LP</t>
  </si>
  <si>
    <t>0127892</t>
  </si>
  <si>
    <t>14614-001</t>
  </si>
  <si>
    <t>14614-001.001</t>
  </si>
  <si>
    <t>1204</t>
  </si>
  <si>
    <t>FALL CREEK UTILITY CO INC</t>
  </si>
  <si>
    <t>0127426</t>
  </si>
  <si>
    <t>13809-001</t>
  </si>
  <si>
    <t>13809-001.001</t>
  </si>
  <si>
    <t>DALLAS</t>
  </si>
  <si>
    <t>UNIVAR USA INC</t>
  </si>
  <si>
    <t>0126268</t>
  </si>
  <si>
    <t>04687-000</t>
  </si>
  <si>
    <t>04687-000.002</t>
  </si>
  <si>
    <t>FORT BEND COUNTY MUD NO 34</t>
  </si>
  <si>
    <t>0085448</t>
  </si>
  <si>
    <t>12298-001</t>
  </si>
  <si>
    <t>12298-001.001</t>
  </si>
  <si>
    <t>HIDALGO</t>
  </si>
  <si>
    <t>NORTH ALAMO WSC</t>
  </si>
  <si>
    <t>0128350</t>
  </si>
  <si>
    <t>04782-000</t>
  </si>
  <si>
    <t>04782-000.001</t>
  </si>
  <si>
    <t>NECHES RIVER TREATMENT CORP AND LOWER NECHES VALLEY AUTHORITY</t>
  </si>
  <si>
    <t>0062677</t>
  </si>
  <si>
    <t>01727-000</t>
  </si>
  <si>
    <t>01727-000.001</t>
  </si>
  <si>
    <t>CITY OF GALVESTON</t>
  </si>
  <si>
    <t>0066125</t>
  </si>
  <si>
    <t>10688-005</t>
  </si>
  <si>
    <t>10688-005.001</t>
  </si>
  <si>
    <t>0027791</t>
  </si>
  <si>
    <t>10688-002</t>
  </si>
  <si>
    <t>10688-002.001</t>
  </si>
  <si>
    <t>2439</t>
  </si>
  <si>
    <t>0047309</t>
  </si>
  <si>
    <t>10688-001</t>
  </si>
  <si>
    <t>10688-001.001</t>
  </si>
  <si>
    <t>1416</t>
  </si>
  <si>
    <t>SAN SABA</t>
  </si>
  <si>
    <t>CITY OF SAN SABA</t>
  </si>
  <si>
    <t>0021296</t>
  </si>
  <si>
    <t>10687-001</t>
  </si>
  <si>
    <t>10687-001.001</t>
  </si>
  <si>
    <t>PORT MANSFIELD PUD AND WILLACY CO NAVIGATION DISTRICT</t>
  </si>
  <si>
    <t>0076392</t>
  </si>
  <si>
    <t>10682-003</t>
  </si>
  <si>
    <t>10682-003.001</t>
  </si>
  <si>
    <t>16</t>
  </si>
  <si>
    <t>2304</t>
  </si>
  <si>
    <t>WEBB</t>
  </si>
  <si>
    <t>CITY OF LAREDO</t>
  </si>
  <si>
    <t>0107395</t>
  </si>
  <si>
    <t>10681-006</t>
  </si>
  <si>
    <t>10681-006.001</t>
  </si>
  <si>
    <t>0126926</t>
  </si>
  <si>
    <t>10681-005</t>
  </si>
  <si>
    <t>10681-005.002</t>
  </si>
  <si>
    <t>TAWAKONI WASTE LLC</t>
  </si>
  <si>
    <t>0139050</t>
  </si>
  <si>
    <t>14297-003</t>
  </si>
  <si>
    <t>14297-003.001</t>
  </si>
  <si>
    <t>21</t>
  </si>
  <si>
    <t>2114</t>
  </si>
  <si>
    <t>BANDERA</t>
  </si>
  <si>
    <t>RR 417 LLC</t>
  </si>
  <si>
    <t>00138673</t>
  </si>
  <si>
    <t>15713-001</t>
  </si>
  <si>
    <t>15713-001.001</t>
  </si>
  <si>
    <t>CITY OF BRUCEVILLE-EDDY</t>
  </si>
  <si>
    <t>0138797</t>
  </si>
  <si>
    <t>15620-002</t>
  </si>
  <si>
    <t>15620-002.001</t>
  </si>
  <si>
    <t>01</t>
  </si>
  <si>
    <t>0229</t>
  </si>
  <si>
    <t>POTTER</t>
  </si>
  <si>
    <t>LOVES TRAVEL STOPS AND COUNTRY STORES INC</t>
  </si>
  <si>
    <t>0138037</t>
  </si>
  <si>
    <t>15618-001</t>
  </si>
  <si>
    <t>15618-001.001</t>
  </si>
  <si>
    <t>1102</t>
  </si>
  <si>
    <t>MHP UTILITY SYSTEMS INC</t>
  </si>
  <si>
    <t>0135283</t>
  </si>
  <si>
    <t>15237-001</t>
  </si>
  <si>
    <t>15237-001.001</t>
  </si>
  <si>
    <t>0302</t>
  </si>
  <si>
    <t>BOWIE</t>
  </si>
  <si>
    <t>CITY OF NEW BOSTON</t>
  </si>
  <si>
    <t>0136409</t>
  </si>
  <si>
    <t>10482-002</t>
  </si>
  <si>
    <t>10482-002.001</t>
  </si>
  <si>
    <t>GEORGIA-PACIFIC WOOD PRODUCTS LLC</t>
  </si>
  <si>
    <t>0006076</t>
  </si>
  <si>
    <t>01598-000</t>
  </si>
  <si>
    <t>01598-000.006</t>
  </si>
  <si>
    <t>005</t>
  </si>
  <si>
    <t>01598-000.005</t>
  </si>
  <si>
    <t>18</t>
  </si>
  <si>
    <t>1806</t>
  </si>
  <si>
    <t>KERR</t>
  </si>
  <si>
    <t>HILL COUNTRY CAMP</t>
  </si>
  <si>
    <t>0136298</t>
  </si>
  <si>
    <t>14832-002</t>
  </si>
  <si>
    <t>14832-002.001</t>
  </si>
  <si>
    <t>RUSK</t>
  </si>
  <si>
    <t>CLEAR WATER SOLUTIONS LLC</t>
  </si>
  <si>
    <t>0136093</t>
  </si>
  <si>
    <t>05154-000</t>
  </si>
  <si>
    <t>05154-000.001</t>
  </si>
  <si>
    <t>SOMERVELL</t>
  </si>
  <si>
    <t>OCP - TRES RIOS LLC</t>
  </si>
  <si>
    <t>0136395</t>
  </si>
  <si>
    <t>15376-001</t>
  </si>
  <si>
    <t>15376-001.001</t>
  </si>
  <si>
    <t>GRIMES</t>
  </si>
  <si>
    <t>TENASKA ROANS PRAIRIE PARTNERS LLC</t>
  </si>
  <si>
    <t>0135071</t>
  </si>
  <si>
    <t>05111-000</t>
  </si>
  <si>
    <t>05111-000.001</t>
  </si>
  <si>
    <t>GOSPEL FOR ASIA INC</t>
  </si>
  <si>
    <t>0134708</t>
  </si>
  <si>
    <t>15104-001</t>
  </si>
  <si>
    <t>15104-001.001</t>
  </si>
  <si>
    <t>HARRIS COUNTY MUD 530</t>
  </si>
  <si>
    <t>0134759</t>
  </si>
  <si>
    <t>15139-001</t>
  </si>
  <si>
    <t>15139-001.001</t>
  </si>
  <si>
    <t>1212</t>
  </si>
  <si>
    <t>LEE</t>
  </si>
  <si>
    <t>M</t>
  </si>
  <si>
    <t>LUMINANT MINING CO LLC</t>
  </si>
  <si>
    <t>0124311</t>
  </si>
  <si>
    <t>04348-000</t>
  </si>
  <si>
    <t>04348-000.006</t>
  </si>
  <si>
    <t>04348-000.005</t>
  </si>
  <si>
    <t>004</t>
  </si>
  <si>
    <t>04348-000.004</t>
  </si>
  <si>
    <t>2427</t>
  </si>
  <si>
    <t>LINDE LLC</t>
  </si>
  <si>
    <t>0135101</t>
  </si>
  <si>
    <t>05108-000</t>
  </si>
  <si>
    <t>05108-000.001</t>
  </si>
  <si>
    <t>2311</t>
  </si>
  <si>
    <t>REEVES</t>
  </si>
  <si>
    <t>QUAIL RUN SERVICES LLC</t>
  </si>
  <si>
    <t>0138983</t>
  </si>
  <si>
    <t>15725-002</t>
  </si>
  <si>
    <t>15725-002.001</t>
  </si>
  <si>
    <t>0703</t>
  </si>
  <si>
    <t>JBS PACKING COMPANY INC</t>
  </si>
  <si>
    <t>0134651</t>
  </si>
  <si>
    <t>05021-000</t>
  </si>
  <si>
    <t>05021-000.002</t>
  </si>
  <si>
    <t>05021-000.001</t>
  </si>
  <si>
    <t>1245</t>
  </si>
  <si>
    <t>FORT BEND COUNTY MUD NO 142</t>
  </si>
  <si>
    <t>0135879</t>
  </si>
  <si>
    <t>B</t>
  </si>
  <si>
    <t>15308-001</t>
  </si>
  <si>
    <t>15308-001.001</t>
  </si>
  <si>
    <t>0134686</t>
  </si>
  <si>
    <t>15101-001</t>
  </si>
  <si>
    <t>15101-001.001</t>
  </si>
  <si>
    <t>1418</t>
  </si>
  <si>
    <t>BROWN</t>
  </si>
  <si>
    <t>DTT LLC</t>
  </si>
  <si>
    <t>0134601</t>
  </si>
  <si>
    <t>15096-001</t>
  </si>
  <si>
    <t>15096-001.001</t>
  </si>
  <si>
    <t>0501</t>
  </si>
  <si>
    <t>ORANGE</t>
  </si>
  <si>
    <t>CONRAD ORANGE SHIPYARD INC</t>
  </si>
  <si>
    <t>0134422</t>
  </si>
  <si>
    <t>010</t>
  </si>
  <si>
    <t>05010-000</t>
  </si>
  <si>
    <t>05010-000.010</t>
  </si>
  <si>
    <t>009</t>
  </si>
  <si>
    <t>05010-000.009</t>
  </si>
  <si>
    <t>CONROE ISD</t>
  </si>
  <si>
    <t>0138932</t>
  </si>
  <si>
    <t>13690-002</t>
  </si>
  <si>
    <t>13690-002.001</t>
  </si>
  <si>
    <t>0610</t>
  </si>
  <si>
    <t>NACOGDOCHES</t>
  </si>
  <si>
    <t>WODEN ISD</t>
  </si>
  <si>
    <t>0134449</t>
  </si>
  <si>
    <t>14345-001</t>
  </si>
  <si>
    <t>14345-001.001</t>
  </si>
  <si>
    <t>MONTGOMERY COUNTY MUD 139</t>
  </si>
  <si>
    <t>0134520</t>
  </si>
  <si>
    <t>15089-001</t>
  </si>
  <si>
    <t>15089-001.001</t>
  </si>
  <si>
    <t>EMERALD FOREST UD</t>
  </si>
  <si>
    <t>0027324</t>
  </si>
  <si>
    <t>11201-001</t>
  </si>
  <si>
    <t>11201-001.001</t>
  </si>
  <si>
    <t>DOUGLAS UTILITY CO</t>
  </si>
  <si>
    <t>0031461</t>
  </si>
  <si>
    <t>11200-001</t>
  </si>
  <si>
    <t>11200-001.001</t>
  </si>
  <si>
    <t>0409</t>
  </si>
  <si>
    <t>UPSHUR</t>
  </si>
  <si>
    <t>DIANA SPECIAL UTILITY DISTRICT</t>
  </si>
  <si>
    <t>0027944</t>
  </si>
  <si>
    <t>11199-001</t>
  </si>
  <si>
    <t>11199-001.001</t>
  </si>
  <si>
    <t>CITY OF WELLS</t>
  </si>
  <si>
    <t>0071021</t>
  </si>
  <si>
    <t>11196-001</t>
  </si>
  <si>
    <t>11196-001.001</t>
  </si>
  <si>
    <t>2437</t>
  </si>
  <si>
    <t>BP AMOCO CHEMCIAL CO</t>
  </si>
  <si>
    <t>0004766</t>
  </si>
  <si>
    <t>00452-000</t>
  </si>
  <si>
    <t>00452-000.005</t>
  </si>
  <si>
    <t>BASTROP COUNTY MUD NO 1</t>
  </si>
  <si>
    <t>0131539</t>
  </si>
  <si>
    <t>13894-001</t>
  </si>
  <si>
    <t>13894-001.001</t>
  </si>
  <si>
    <t>1233</t>
  </si>
  <si>
    <t>EASTLAND</t>
  </si>
  <si>
    <t>CITY OF CISCO</t>
  </si>
  <si>
    <t>0053716</t>
  </si>
  <si>
    <t>14877-001</t>
  </si>
  <si>
    <t>14877-001.001</t>
  </si>
  <si>
    <t>HARRIS COUNTY MUD NO 148</t>
  </si>
  <si>
    <t>0131482</t>
  </si>
  <si>
    <t>11818-003</t>
  </si>
  <si>
    <t>11818-003.001</t>
  </si>
  <si>
    <t>0101</t>
  </si>
  <si>
    <t>HUTCHINSON</t>
  </si>
  <si>
    <t>ORION ENGINEERED CARBONS LLC</t>
  </si>
  <si>
    <t>0127051</t>
  </si>
  <si>
    <t>00734-000</t>
  </si>
  <si>
    <t>00734-000.001</t>
  </si>
  <si>
    <t>AIR LIQUIDE LARGE INDUSTRIES US LP</t>
  </si>
  <si>
    <t>0007277</t>
  </si>
  <si>
    <t>01595-000</t>
  </si>
  <si>
    <t>01595-000.002</t>
  </si>
  <si>
    <t>1005</t>
  </si>
  <si>
    <t>CHANNEL SHIPYARD CO INC</t>
  </si>
  <si>
    <t>0104531</t>
  </si>
  <si>
    <t>03059-000</t>
  </si>
  <si>
    <t>03059-000.001</t>
  </si>
  <si>
    <t>2432</t>
  </si>
  <si>
    <t>AUC GROUP LP</t>
  </si>
  <si>
    <t>0134333</t>
  </si>
  <si>
    <t>15077-001</t>
  </si>
  <si>
    <t>15077-001.001</t>
  </si>
  <si>
    <t>24</t>
  </si>
  <si>
    <t>VALERO REFININGTEXAS LP</t>
  </si>
  <si>
    <t>0006904</t>
  </si>
  <si>
    <t>00465-000</t>
  </si>
  <si>
    <t>00465-000.005</t>
  </si>
  <si>
    <t>1001</t>
  </si>
  <si>
    <t>OPTIM ENERGY ALTURA COGEN LLC</t>
  </si>
  <si>
    <t>0100919</t>
  </si>
  <si>
    <t>02845-000</t>
  </si>
  <si>
    <t>02845-000.001</t>
  </si>
  <si>
    <t>TRINITY PINES CONFERENCE CENTER INC</t>
  </si>
  <si>
    <t>0087203</t>
  </si>
  <si>
    <t>14842-001</t>
  </si>
  <si>
    <t>14842-001.001</t>
  </si>
  <si>
    <t>0839</t>
  </si>
  <si>
    <t>COOKE</t>
  </si>
  <si>
    <t>ERA ISD</t>
  </si>
  <si>
    <t>0130117</t>
  </si>
  <si>
    <t>14864-001</t>
  </si>
  <si>
    <t>14864-001.001</t>
  </si>
  <si>
    <t>1008</t>
  </si>
  <si>
    <t>RAYFORD CROSING LTD</t>
  </si>
  <si>
    <t>0130095</t>
  </si>
  <si>
    <t>14862-001</t>
  </si>
  <si>
    <t>14862-001.001</t>
  </si>
  <si>
    <t>TRINITY RIVER AUTHORITY OF TEXAS</t>
  </si>
  <si>
    <t>0104957</t>
  </si>
  <si>
    <t>13457-001</t>
  </si>
  <si>
    <t>13457-001.002</t>
  </si>
  <si>
    <t>CITIES OF WACO, WOODWAY, BELLMEAD, LACY-LAKEVIEW, ROBINSON...</t>
  </si>
  <si>
    <t>0026506</t>
  </si>
  <si>
    <t>11071-001</t>
  </si>
  <si>
    <t>11071-001.001</t>
  </si>
  <si>
    <t>INTERURBAN FOREST LLP</t>
  </si>
  <si>
    <t>0135062</t>
  </si>
  <si>
    <t>15204-001</t>
  </si>
  <si>
    <t>15204-001.001</t>
  </si>
  <si>
    <t>GREENWOOD UTILITY DISTRICT</t>
  </si>
  <si>
    <t>0020800</t>
  </si>
  <si>
    <t>11061-001</t>
  </si>
  <si>
    <t>11061-001.001</t>
  </si>
  <si>
    <t>1810</t>
  </si>
  <si>
    <t>HAYS</t>
  </si>
  <si>
    <t>CITY OF BUDA AND GBRA</t>
  </si>
  <si>
    <t>0057436</t>
  </si>
  <si>
    <t>11060-001</t>
  </si>
  <si>
    <t>11060-001.001</t>
  </si>
  <si>
    <t>0511</t>
  </si>
  <si>
    <t>MILLER WASTE MILLS INC</t>
  </si>
  <si>
    <t>0104710</t>
  </si>
  <si>
    <t>02835-000</t>
  </si>
  <si>
    <t>02835-000.003</t>
  </si>
  <si>
    <t>02835-000.002</t>
  </si>
  <si>
    <t>02835-000.001</t>
  </si>
  <si>
    <t>0606</t>
  </si>
  <si>
    <t>HELMS, TONDA JOLANE</t>
  </si>
  <si>
    <t>0134287</t>
  </si>
  <si>
    <t>15074-001</t>
  </si>
  <si>
    <t>15074-001.001</t>
  </si>
  <si>
    <t>2494</t>
  </si>
  <si>
    <t>BROWNSVILLE NAVIGATION DISTRICT</t>
  </si>
  <si>
    <t>0100242</t>
  </si>
  <si>
    <t>02817-000</t>
  </si>
  <si>
    <t>02817-000.001</t>
  </si>
  <si>
    <t>1206</t>
  </si>
  <si>
    <t>PALO PINTO</t>
  </si>
  <si>
    <t>DOUBLE DIAMOND UTILITIES CO</t>
  </si>
  <si>
    <t>0099015</t>
  </si>
  <si>
    <t>02789-000</t>
  </si>
  <si>
    <t>02789-000.001</t>
  </si>
  <si>
    <t>HARRISON</t>
  </si>
  <si>
    <t>SNIDER INDUSTRIES LLP</t>
  </si>
  <si>
    <t>0099228</t>
  </si>
  <si>
    <t>02770-000</t>
  </si>
  <si>
    <t>02770-000.004</t>
  </si>
  <si>
    <t>02770-000.002</t>
  </si>
  <si>
    <t>02770-000.001</t>
  </si>
  <si>
    <t>WEST ROAD WSC &amp; MCDONALDS CORP</t>
  </si>
  <si>
    <t>0092037</t>
  </si>
  <si>
    <t>02761-000</t>
  </si>
  <si>
    <t>02761-000.001</t>
  </si>
  <si>
    <t>2204</t>
  </si>
  <si>
    <t>THE GEO GROUP INC</t>
  </si>
  <si>
    <t>0129607</t>
  </si>
  <si>
    <t>14802-001</t>
  </si>
  <si>
    <t>14802-001.001</t>
  </si>
  <si>
    <t>0502</t>
  </si>
  <si>
    <t>NEWTON</t>
  </si>
  <si>
    <t>LLF</t>
  </si>
  <si>
    <t>CITY OF NEWTON</t>
  </si>
  <si>
    <t>0133205</t>
  </si>
  <si>
    <t>14748-002</t>
  </si>
  <si>
    <t>14748-002.001</t>
  </si>
  <si>
    <t>2425</t>
  </si>
  <si>
    <t>LYONDELL CHEMICAL CO</t>
  </si>
  <si>
    <t>0030228</t>
  </si>
  <si>
    <t>02756-000</t>
  </si>
  <si>
    <t>02756-000.003</t>
  </si>
  <si>
    <t>02756-000.002</t>
  </si>
  <si>
    <t>SAN AUGUSTINE</t>
  </si>
  <si>
    <t>NEW WSC</t>
  </si>
  <si>
    <t>0136328</t>
  </si>
  <si>
    <t>15357-001</t>
  </si>
  <si>
    <t>15357-001.001</t>
  </si>
  <si>
    <t>CRYSTAL SPRINGS WATER CO</t>
  </si>
  <si>
    <t>0136263</t>
  </si>
  <si>
    <t>15349-001</t>
  </si>
  <si>
    <t>15349-001.001</t>
  </si>
  <si>
    <t>2483</t>
  </si>
  <si>
    <t>MILE 533 MARINE WAYS INC</t>
  </si>
  <si>
    <t>0136271</t>
  </si>
  <si>
    <t>05162-000</t>
  </si>
  <si>
    <t>05162-000.001</t>
  </si>
  <si>
    <t>NEW WATER SUPPLY CORPORATION</t>
  </si>
  <si>
    <t>0136182</t>
  </si>
  <si>
    <t>15339-001</t>
  </si>
  <si>
    <t>15339-001.001</t>
  </si>
  <si>
    <t>SPRING CYPRESS WATER SUPPLY CORPORATION</t>
  </si>
  <si>
    <t>0136310</t>
  </si>
  <si>
    <t>13711-002</t>
  </si>
  <si>
    <t>13711-002.001</t>
  </si>
  <si>
    <t>SOLVAY SPECIALTY POLYMERS USA LLC</t>
  </si>
  <si>
    <t>0136344</t>
  </si>
  <si>
    <t>05164-000</t>
  </si>
  <si>
    <t>05164-000.003</t>
  </si>
  <si>
    <t>MSEC ENTERPRISES INC</t>
  </si>
  <si>
    <t>0136191</t>
  </si>
  <si>
    <t>15341-001</t>
  </si>
  <si>
    <t>15341-001.001</t>
  </si>
  <si>
    <t>GOODMAN MANUFACTURING COMPANY LP</t>
  </si>
  <si>
    <t>0136239</t>
  </si>
  <si>
    <t>15344-001</t>
  </si>
  <si>
    <t>15344-001.001</t>
  </si>
  <si>
    <t>CITY OF DECATUR</t>
  </si>
  <si>
    <t>0136204</t>
  </si>
  <si>
    <t>15342-001</t>
  </si>
  <si>
    <t>15342-001.001</t>
  </si>
  <si>
    <t>LARG MANAGEMENT GROUP LLC</t>
  </si>
  <si>
    <t>0136212</t>
  </si>
  <si>
    <t>15343-001</t>
  </si>
  <si>
    <t>15343-001.001</t>
  </si>
  <si>
    <t>2423</t>
  </si>
  <si>
    <t>CHAMBERS</t>
  </si>
  <si>
    <t>STYN LLC</t>
  </si>
  <si>
    <t>0136115</t>
  </si>
  <si>
    <t>15330-001</t>
  </si>
  <si>
    <t>15330-001.001</t>
  </si>
  <si>
    <t>HARRIS COUNTY MUD NO 50</t>
  </si>
  <si>
    <t>0136174</t>
  </si>
  <si>
    <t>11770-002</t>
  </si>
  <si>
    <t>11770-002.001</t>
  </si>
  <si>
    <t>FOSTER TIMBER LTD</t>
  </si>
  <si>
    <t>0136077</t>
  </si>
  <si>
    <t>15328-001</t>
  </si>
  <si>
    <t>15328-001.001</t>
  </si>
  <si>
    <t>1007</t>
  </si>
  <si>
    <t>GREENSPORT SHIP CHANNEL PARTNERS LP</t>
  </si>
  <si>
    <t>0008524</t>
  </si>
  <si>
    <t>012</t>
  </si>
  <si>
    <t>00509-000</t>
  </si>
  <si>
    <t>00509-000.012</t>
  </si>
  <si>
    <t>1913</t>
  </si>
  <si>
    <t>BEXAR</t>
  </si>
  <si>
    <t>CIBOLO CREEK MUNICIPAL AUTHORITY</t>
  </si>
  <si>
    <t>0136131</t>
  </si>
  <si>
    <t>15334-001</t>
  </si>
  <si>
    <t>15334-001.001</t>
  </si>
  <si>
    <t>FORT BEND MUD NO 198</t>
  </si>
  <si>
    <t>0136018</t>
  </si>
  <si>
    <t>15318-001</t>
  </si>
  <si>
    <t>15318-001.001</t>
  </si>
  <si>
    <t>0301</t>
  </si>
  <si>
    <t>CASS</t>
  </si>
  <si>
    <t>CITY OF DOMINO</t>
  </si>
  <si>
    <t>0136123</t>
  </si>
  <si>
    <t>15332-001</t>
  </si>
  <si>
    <t>15332-001.001</t>
  </si>
  <si>
    <t>1415</t>
  </si>
  <si>
    <t>LLANO</t>
  </si>
  <si>
    <t>CITY OF LLANO</t>
  </si>
  <si>
    <t>0135968</t>
  </si>
  <si>
    <t>10209-001</t>
  </si>
  <si>
    <t>10209-001.001</t>
  </si>
  <si>
    <t>2422</t>
  </si>
  <si>
    <t>AQUA TEXAS INC</t>
  </si>
  <si>
    <t>0066656</t>
  </si>
  <si>
    <t>11449-001</t>
  </si>
  <si>
    <t>11449-001.001</t>
  </si>
  <si>
    <t>1501</t>
  </si>
  <si>
    <t>MARKHAM MUD</t>
  </si>
  <si>
    <t>0134309</t>
  </si>
  <si>
    <t>15075-001</t>
  </si>
  <si>
    <t>15075-001.001</t>
  </si>
  <si>
    <t>PARKER</t>
  </si>
  <si>
    <t>PARKER COUNTY SUD</t>
  </si>
  <si>
    <t>0131504</t>
  </si>
  <si>
    <t>A</t>
  </si>
  <si>
    <t>04852-000</t>
  </si>
  <si>
    <t>04852-000.001</t>
  </si>
  <si>
    <t>MONT 200 LLC</t>
  </si>
  <si>
    <t>0138851</t>
  </si>
  <si>
    <t>15740-001</t>
  </si>
  <si>
    <t>15740-001.001</t>
  </si>
  <si>
    <t>0902</t>
  </si>
  <si>
    <t>CHEVRON PHILLIPS CHEMICAL CO LP</t>
  </si>
  <si>
    <t>0003948</t>
  </si>
  <si>
    <t>01006-000</t>
  </si>
  <si>
    <t>01006-000.004</t>
  </si>
  <si>
    <t>CINCO MUD 1</t>
  </si>
  <si>
    <t>0135194</t>
  </si>
  <si>
    <t>05115-000</t>
  </si>
  <si>
    <t>05115-000.001</t>
  </si>
  <si>
    <t>BETHESDA LUTHERAN COMMUNITIES INC</t>
  </si>
  <si>
    <t>0135330</t>
  </si>
  <si>
    <t>15244-001</t>
  </si>
  <si>
    <t>15244-001.001</t>
  </si>
  <si>
    <t>1209</t>
  </si>
  <si>
    <t>LEON</t>
  </si>
  <si>
    <t>LEON ISD</t>
  </si>
  <si>
    <t>0135127</t>
  </si>
  <si>
    <t>14659-002</t>
  </si>
  <si>
    <t>14659-002.001</t>
  </si>
  <si>
    <t>SOUTH ATLANTIC SERVICES INC</t>
  </si>
  <si>
    <t>0135186</t>
  </si>
  <si>
    <t>05114-000</t>
  </si>
  <si>
    <t>05114-000.001</t>
  </si>
  <si>
    <t>2461</t>
  </si>
  <si>
    <t>PORT O'CONNOR IMPROVEMENT DISTRICT</t>
  </si>
  <si>
    <t>0135232</t>
  </si>
  <si>
    <t>05119-000</t>
  </si>
  <si>
    <t>05119-000.001</t>
  </si>
  <si>
    <t>0046744</t>
  </si>
  <si>
    <t>11314-001</t>
  </si>
  <si>
    <t>11314-001.001</t>
  </si>
  <si>
    <t>2307</t>
  </si>
  <si>
    <t>HUDSPETH</t>
  </si>
  <si>
    <t>FORT HANCOCK WCID</t>
  </si>
  <si>
    <t>0129038</t>
  </si>
  <si>
    <t>11173-001</t>
  </si>
  <si>
    <t>11173-001.001</t>
  </si>
  <si>
    <t>ARANSAS</t>
  </si>
  <si>
    <t>ARANSAS CO MUD NO 1</t>
  </si>
  <si>
    <t>0128970</t>
  </si>
  <si>
    <t>11624-001</t>
  </si>
  <si>
    <t>11624-001.001</t>
  </si>
  <si>
    <t>0512</t>
  </si>
  <si>
    <t>HOPKINS</t>
  </si>
  <si>
    <t>CITY OF COMO</t>
  </si>
  <si>
    <t>0032654</t>
  </si>
  <si>
    <t>11313-001</t>
  </si>
  <si>
    <t>11313-001.001</t>
  </si>
  <si>
    <t>CITY OF JUSTIN</t>
  </si>
  <si>
    <t>0022501</t>
  </si>
  <si>
    <t>11312-001</t>
  </si>
  <si>
    <t>11312-001.001</t>
  </si>
  <si>
    <t>03660-000.004</t>
  </si>
  <si>
    <t>03660-000.003</t>
  </si>
  <si>
    <t>03660-000.002</t>
  </si>
  <si>
    <t>VAM USA LLC</t>
  </si>
  <si>
    <t>0129917</t>
  </si>
  <si>
    <t>15008-001</t>
  </si>
  <si>
    <t>15008-001.001</t>
  </si>
  <si>
    <t>MANN, JANICE SUE</t>
  </si>
  <si>
    <t>0130044</t>
  </si>
  <si>
    <t>14858-001</t>
  </si>
  <si>
    <t>14858-001.001</t>
  </si>
  <si>
    <t>CITY OF SOUTHSIDE PLACE</t>
  </si>
  <si>
    <t>0026972</t>
  </si>
  <si>
    <t>14850-001</t>
  </si>
  <si>
    <t>14850-001.001</t>
  </si>
  <si>
    <t>0836</t>
  </si>
  <si>
    <t>NAVARRO</t>
  </si>
  <si>
    <t>TEXAS DEPT OF TRANSPORTATION</t>
  </si>
  <si>
    <t>0130028</t>
  </si>
  <si>
    <t>14854-001</t>
  </si>
  <si>
    <t>14854-001.001</t>
  </si>
  <si>
    <t>ARKEMA INC</t>
  </si>
  <si>
    <t>0007064</t>
  </si>
  <si>
    <t>00445-000</t>
  </si>
  <si>
    <t>00445-000.004</t>
  </si>
  <si>
    <t>2442</t>
  </si>
  <si>
    <t>PHILLIPS 66 CO</t>
  </si>
  <si>
    <t>0007536</t>
  </si>
  <si>
    <t>00721-000</t>
  </si>
  <si>
    <t>00721-000.012</t>
  </si>
  <si>
    <t>NATIONAL OILWELL VARCO LP</t>
  </si>
  <si>
    <t>0130036</t>
  </si>
  <si>
    <t>14856-001</t>
  </si>
  <si>
    <t>14856-001.001</t>
  </si>
  <si>
    <t>WILLIAMSBURG REGIONAL SEWAGE AUTHORITY</t>
  </si>
  <si>
    <t>0058408</t>
  </si>
  <si>
    <t>11598-001</t>
  </si>
  <si>
    <t>11598-001.001</t>
  </si>
  <si>
    <t>TROPHY CLUB MUD NO 1</t>
  </si>
  <si>
    <t>0055735</t>
  </si>
  <si>
    <t>11593-001</t>
  </si>
  <si>
    <t>11593-001.001</t>
  </si>
  <si>
    <t>NORTH ORANGE WATER AND SEWER LLC</t>
  </si>
  <si>
    <t>0054801</t>
  </si>
  <si>
    <t>11589-001</t>
  </si>
  <si>
    <t>11589-001.001</t>
  </si>
  <si>
    <t>0615</t>
  </si>
  <si>
    <t>ANGELINA</t>
  </si>
  <si>
    <t>OREAL INC</t>
  </si>
  <si>
    <t>0054127</t>
  </si>
  <si>
    <t>11588-001</t>
  </si>
  <si>
    <t>11588-001.001</t>
  </si>
  <si>
    <t>NUECES COUNTY WCID NO 5</t>
  </si>
  <si>
    <t>0137197</t>
  </si>
  <si>
    <t>11583-002</t>
  </si>
  <si>
    <t>11583-002.001</t>
  </si>
  <si>
    <t>1004</t>
  </si>
  <si>
    <t>TOWN OF WOODLOCH</t>
  </si>
  <si>
    <t>0075680</t>
  </si>
  <si>
    <t>11580-001</t>
  </si>
  <si>
    <t>11580-001.001</t>
  </si>
  <si>
    <t>SPRING CREEK UTILITY DISTRICT</t>
  </si>
  <si>
    <t>0026221</t>
  </si>
  <si>
    <t>11574-001</t>
  </si>
  <si>
    <t>11574-001.001</t>
  </si>
  <si>
    <t>0804</t>
  </si>
  <si>
    <t>GUADALUPE</t>
  </si>
  <si>
    <t>NEW BRAUNFELS UTILITIES</t>
  </si>
  <si>
    <t>0133248</t>
  </si>
  <si>
    <t>10232-004</t>
  </si>
  <si>
    <t>10232-004.002</t>
  </si>
  <si>
    <t>1101</t>
  </si>
  <si>
    <t>GULF COAST AUTHORITY</t>
  </si>
  <si>
    <t>0069728</t>
  </si>
  <si>
    <t>11571-001</t>
  </si>
  <si>
    <t>11571-001.001</t>
  </si>
  <si>
    <t>CITY OF THE COLONY</t>
  </si>
  <si>
    <t>0053112</t>
  </si>
  <si>
    <t>11570-001</t>
  </si>
  <si>
    <t>11570-001.001</t>
  </si>
  <si>
    <t>LAKE CONROE HILLS MUD</t>
  </si>
  <si>
    <t>0054364</t>
  </si>
  <si>
    <t>11569-001</t>
  </si>
  <si>
    <t>11569-001.001</t>
  </si>
  <si>
    <t>02756-000.001</t>
  </si>
  <si>
    <t>0304</t>
  </si>
  <si>
    <t>ALUMAX MILL PRODUCTS INC</t>
  </si>
  <si>
    <t>0097055</t>
  </si>
  <si>
    <t>02742-000</t>
  </si>
  <si>
    <t>02742-000.002</t>
  </si>
  <si>
    <t>GRAVITY MIDSTREAM CORPUS CHRISTI LLC</t>
  </si>
  <si>
    <t>0096474</t>
  </si>
  <si>
    <t>02720-000</t>
  </si>
  <si>
    <t>02720-000.001</t>
  </si>
  <si>
    <t>0087190</t>
  </si>
  <si>
    <t>02475-000</t>
  </si>
  <si>
    <t>02475-000.002</t>
  </si>
  <si>
    <t>1302</t>
  </si>
  <si>
    <t>WHARTON</t>
  </si>
  <si>
    <t>LAMBERTI USA INC</t>
  </si>
  <si>
    <t>0086363</t>
  </si>
  <si>
    <t>02469-000</t>
  </si>
  <si>
    <t>02469-000.002</t>
  </si>
  <si>
    <t>02469-000.001</t>
  </si>
  <si>
    <t>PELICAN ISLAND STORAGE TERMINAL INC</t>
  </si>
  <si>
    <t>0086568</t>
  </si>
  <si>
    <t>02466-000</t>
  </si>
  <si>
    <t>02466-000.001</t>
  </si>
  <si>
    <t>AUSTIN</t>
  </si>
  <si>
    <t>HAILIANG COPPER TEXAS INC</t>
  </si>
  <si>
    <t>0085936</t>
  </si>
  <si>
    <t>02462-000</t>
  </si>
  <si>
    <t>02462-000.001</t>
  </si>
  <si>
    <t>0086002</t>
  </si>
  <si>
    <t>02449-000</t>
  </si>
  <si>
    <t>02449-000.001</t>
  </si>
  <si>
    <t>FRITO-LAY INC</t>
  </si>
  <si>
    <t>0085782</t>
  </si>
  <si>
    <t>02443-000</t>
  </si>
  <si>
    <t>02443-000.002</t>
  </si>
  <si>
    <t>02443-000.001</t>
  </si>
  <si>
    <t>2454</t>
  </si>
  <si>
    <t>FORMOSA PLASTICS CO TEXAS AND FORMOSA UTILITY VENTURE LTD</t>
  </si>
  <si>
    <t>0085570</t>
  </si>
  <si>
    <t>02436-000</t>
  </si>
  <si>
    <t>02436-000.012</t>
  </si>
  <si>
    <t>011</t>
  </si>
  <si>
    <t>02436-000.011</t>
  </si>
  <si>
    <t>02436-000.010</t>
  </si>
  <si>
    <t>02436-000.009</t>
  </si>
  <si>
    <t>008</t>
  </si>
  <si>
    <t>02436-000.008</t>
  </si>
  <si>
    <t>007</t>
  </si>
  <si>
    <t>02436-000.007</t>
  </si>
  <si>
    <t>KMTEX LLC</t>
  </si>
  <si>
    <t>0136034</t>
  </si>
  <si>
    <t>15321-001</t>
  </si>
  <si>
    <t>15321-001.001</t>
  </si>
  <si>
    <t>WALTON TEXAS LP</t>
  </si>
  <si>
    <t>0136069</t>
  </si>
  <si>
    <t>15323-001</t>
  </si>
  <si>
    <t>15323-001.001</t>
  </si>
  <si>
    <t>SAN JACINTO BARGE REPAIR INC</t>
  </si>
  <si>
    <t>0133124</t>
  </si>
  <si>
    <t>04963-000</t>
  </si>
  <si>
    <t>04963-000.004</t>
  </si>
  <si>
    <t>04963-000.003</t>
  </si>
  <si>
    <t>04963-000.002</t>
  </si>
  <si>
    <t>0407</t>
  </si>
  <si>
    <t>CITY OF LINDEN</t>
  </si>
  <si>
    <t>0135984</t>
  </si>
  <si>
    <t>10429-004</t>
  </si>
  <si>
    <t>10429-004.001</t>
  </si>
  <si>
    <t>1400</t>
  </si>
  <si>
    <t>GAINES</t>
  </si>
  <si>
    <t>COOPER NATURAL RESOURCES INC</t>
  </si>
  <si>
    <t>0112038</t>
  </si>
  <si>
    <t>03642-000</t>
  </si>
  <si>
    <t>03642-000.004</t>
  </si>
  <si>
    <t>NUSTAR TERMINALS PARTNERS TX LP</t>
  </si>
  <si>
    <t>0075311</t>
  </si>
  <si>
    <t>02109-000</t>
  </si>
  <si>
    <t>02109-000.001</t>
  </si>
  <si>
    <t>BRASKEM AMERICA INC</t>
  </si>
  <si>
    <t>0074276</t>
  </si>
  <si>
    <t>02107-000</t>
  </si>
  <si>
    <t>02107-000.003</t>
  </si>
  <si>
    <t>02107-000.002</t>
  </si>
  <si>
    <t>02107-000.001</t>
  </si>
  <si>
    <t>LOWER COLORADO RIVER AUTHORITY</t>
  </si>
  <si>
    <t>0073121</t>
  </si>
  <si>
    <t>02105-000</t>
  </si>
  <si>
    <t>02105-000.004</t>
  </si>
  <si>
    <t>02105-000.003</t>
  </si>
  <si>
    <t>02105-000.002</t>
  </si>
  <si>
    <t>02105-000.001</t>
  </si>
  <si>
    <t>OXY VINYLS LP</t>
  </si>
  <si>
    <t>0070416</t>
  </si>
  <si>
    <t>02097-000</t>
  </si>
  <si>
    <t>02097-000.003</t>
  </si>
  <si>
    <t>02097-000.002</t>
  </si>
  <si>
    <t>02097-000.001</t>
  </si>
  <si>
    <t>03642-000.003</t>
  </si>
  <si>
    <t>03642-000.002</t>
  </si>
  <si>
    <t>VOPAK TERMINAL DEER PARK INC</t>
  </si>
  <si>
    <t>0084115</t>
  </si>
  <si>
    <t>02383-000</t>
  </si>
  <si>
    <t>02383-000.002</t>
  </si>
  <si>
    <t>02383-000.001</t>
  </si>
  <si>
    <t>AIR PRODUCTS LLC</t>
  </si>
  <si>
    <t>0084581</t>
  </si>
  <si>
    <t>02382-000</t>
  </si>
  <si>
    <t>02382-000.002</t>
  </si>
  <si>
    <t>02382-000.001</t>
  </si>
  <si>
    <t>BNSF RAILWAY CO</t>
  </si>
  <si>
    <t>0119261</t>
  </si>
  <si>
    <t>02376-000</t>
  </si>
  <si>
    <t>02376-000.001</t>
  </si>
  <si>
    <t>MAVERICK TUBE CORPORATION</t>
  </si>
  <si>
    <t>0034681</t>
  </si>
  <si>
    <t>02365-000</t>
  </si>
  <si>
    <t>02365-000.001</t>
  </si>
  <si>
    <t>2481</t>
  </si>
  <si>
    <t>US DEPT OF THE NAVY</t>
  </si>
  <si>
    <t>0007889</t>
  </si>
  <si>
    <t>02317-000</t>
  </si>
  <si>
    <t>02317-000.001</t>
  </si>
  <si>
    <t>POSTIVE FEED LTD</t>
  </si>
  <si>
    <t>0093343</t>
  </si>
  <si>
    <t>02314-000</t>
  </si>
  <si>
    <t>02314-000.001</t>
  </si>
  <si>
    <t>0224</t>
  </si>
  <si>
    <t>CARSON</t>
  </si>
  <si>
    <t>US DEPT OF ENERGY AND CONSOLIDATED NUCLEAR SECURITY LLC</t>
  </si>
  <si>
    <t>0107107</t>
  </si>
  <si>
    <t>02296-000</t>
  </si>
  <si>
    <t>02296-000.001</t>
  </si>
  <si>
    <t>TEXAS DISTRIBUTION SERVICES INC</t>
  </si>
  <si>
    <t>0079561</t>
  </si>
  <si>
    <t>02294-000</t>
  </si>
  <si>
    <t>02294-000.004</t>
  </si>
  <si>
    <t>MARATHON PETROLEUM CO LP</t>
  </si>
  <si>
    <t>0003697</t>
  </si>
  <si>
    <t>014</t>
  </si>
  <si>
    <t>00990-000</t>
  </si>
  <si>
    <t>00990-000.014</t>
  </si>
  <si>
    <t>CITY OF HEMPSTEAD</t>
  </si>
  <si>
    <t>0023809</t>
  </si>
  <si>
    <t>10948-001</t>
  </si>
  <si>
    <t>10948-001.001</t>
  </si>
  <si>
    <t>EAGLE MOUNTAIN RV PARK LLC</t>
  </si>
  <si>
    <t>0097853</t>
  </si>
  <si>
    <t>12909-001</t>
  </si>
  <si>
    <t>12909-001.001</t>
  </si>
  <si>
    <t>YK</t>
  </si>
  <si>
    <t>0117161</t>
  </si>
  <si>
    <t>14032-001</t>
  </si>
  <si>
    <t>14032-001.001</t>
  </si>
  <si>
    <t>FORT BEND COUNTY MUD NO 182</t>
  </si>
  <si>
    <t>0129216</t>
  </si>
  <si>
    <t>14758-001</t>
  </si>
  <si>
    <t>14758-001.001</t>
  </si>
  <si>
    <t>1226</t>
  </si>
  <si>
    <t>BOSQUE</t>
  </si>
  <si>
    <t>CITY OF IREDELL</t>
  </si>
  <si>
    <t>0024848</t>
  </si>
  <si>
    <t>11565-001</t>
  </si>
  <si>
    <t>11565-001.001</t>
  </si>
  <si>
    <t>HARRIS COUNTY MUD NO 465</t>
  </si>
  <si>
    <t>0139706</t>
  </si>
  <si>
    <t>15772-001</t>
  </si>
  <si>
    <t>15772-001.001</t>
  </si>
  <si>
    <t>0505</t>
  </si>
  <si>
    <t>SOUTHWESTERN ELECTRIC POWER CO</t>
  </si>
  <si>
    <t>0087726</t>
  </si>
  <si>
    <t>02496-000</t>
  </si>
  <si>
    <t>02496-000.006</t>
  </si>
  <si>
    <t>02496-000.005</t>
  </si>
  <si>
    <t>02496-000.004</t>
  </si>
  <si>
    <t>02496-000.003</t>
  </si>
  <si>
    <t>02496-000.002</t>
  </si>
  <si>
    <t>LION ELASTOMERS LLC</t>
  </si>
  <si>
    <t>0087602</t>
  </si>
  <si>
    <t>02487-000</t>
  </si>
  <si>
    <t>02487-000.001</t>
  </si>
  <si>
    <t>0095869</t>
  </si>
  <si>
    <t>002C</t>
  </si>
  <si>
    <t>02484-000</t>
  </si>
  <si>
    <t>02484-000.002</t>
  </si>
  <si>
    <t>03642-000.001</t>
  </si>
  <si>
    <t>VLS RECOVERY SERVICES LLC</t>
  </si>
  <si>
    <t>0118320</t>
  </si>
  <si>
    <t>03627-000</t>
  </si>
  <si>
    <t>03627-000.001</t>
  </si>
  <si>
    <t>VICTORIA</t>
  </si>
  <si>
    <t>INVISTA S A R L</t>
  </si>
  <si>
    <t>0006050</t>
  </si>
  <si>
    <t>00476-000</t>
  </si>
  <si>
    <t>00476-000.006</t>
  </si>
  <si>
    <t>A SCHULMAN INC</t>
  </si>
  <si>
    <t>0111350</t>
  </si>
  <si>
    <t>03608-000</t>
  </si>
  <si>
    <t>03608-000.001</t>
  </si>
  <si>
    <t>ANDERSON</t>
  </si>
  <si>
    <t>WAL-MART STORES EAST LP</t>
  </si>
  <si>
    <t>0111660</t>
  </si>
  <si>
    <t>03597-000</t>
  </si>
  <si>
    <t>03597-000.001</t>
  </si>
  <si>
    <t>2201</t>
  </si>
  <si>
    <t>TAIWAN SHRIMP VILLAGE ASSOC INC &amp; ARROYO AQUACULTURE ASSN INC</t>
  </si>
  <si>
    <t>0103811</t>
  </si>
  <si>
    <t>03596-000</t>
  </si>
  <si>
    <t>03596-000.002</t>
  </si>
  <si>
    <t>UA HOLDINGS 1994-5 LP</t>
  </si>
  <si>
    <t>0126101</t>
  </si>
  <si>
    <t>14468-001</t>
  </si>
  <si>
    <t>14468-001.001</t>
  </si>
  <si>
    <t>MARSHALL MINE LLC</t>
  </si>
  <si>
    <t>0133566</t>
  </si>
  <si>
    <t>04987-000</t>
  </si>
  <si>
    <t>04987-000.001</t>
  </si>
  <si>
    <t>02436-000.006</t>
  </si>
  <si>
    <t>02436-000.005</t>
  </si>
  <si>
    <t>02436-000.004</t>
  </si>
  <si>
    <t>02436-000.003</t>
  </si>
  <si>
    <t>02436-000.002</t>
  </si>
  <si>
    <t>2453</t>
  </si>
  <si>
    <t>02436-000.001</t>
  </si>
  <si>
    <t>1252</t>
  </si>
  <si>
    <t>FREESTONE</t>
  </si>
  <si>
    <t>NRG TEXAS POWER LLC</t>
  </si>
  <si>
    <t>0082651</t>
  </si>
  <si>
    <t>02430-000</t>
  </si>
  <si>
    <t>02430-000.008</t>
  </si>
  <si>
    <t>02430-000.007</t>
  </si>
  <si>
    <t>LIMESTONE</t>
  </si>
  <si>
    <t>02430-000.006</t>
  </si>
  <si>
    <t>02430-000.005</t>
  </si>
  <si>
    <t>02430-000.004</t>
  </si>
  <si>
    <t>02430-000.003</t>
  </si>
  <si>
    <t>02430-000.001</t>
  </si>
  <si>
    <t>0838</t>
  </si>
  <si>
    <t>ELLIS</t>
  </si>
  <si>
    <t>ASH GROVE CEMENT COMPANY</t>
  </si>
  <si>
    <t>0083437</t>
  </si>
  <si>
    <t>02427-000</t>
  </si>
  <si>
    <t>02427-000.001</t>
  </si>
  <si>
    <t>VEOLIA ES TECHNICAL SOLUTIONS LLC</t>
  </si>
  <si>
    <t>0083828</t>
  </si>
  <si>
    <t>02417-000</t>
  </si>
  <si>
    <t>02417-000.001</t>
  </si>
  <si>
    <t>METTON AMERICA INC</t>
  </si>
  <si>
    <t>0084808</t>
  </si>
  <si>
    <t>02406-000</t>
  </si>
  <si>
    <t>02406-000.001</t>
  </si>
  <si>
    <t>EXPLORER PIPELINE CO</t>
  </si>
  <si>
    <t>0116891</t>
  </si>
  <si>
    <t>02399-000</t>
  </si>
  <si>
    <t>02399-000.002</t>
  </si>
  <si>
    <t>ROCKPORT TERMINALS LLC</t>
  </si>
  <si>
    <t>0033090</t>
  </si>
  <si>
    <t>02077-000</t>
  </si>
  <si>
    <t>02077-000.001</t>
  </si>
  <si>
    <t>2485</t>
  </si>
  <si>
    <t>EQUISTAR CHEMICALS LP</t>
  </si>
  <si>
    <t>0076996</t>
  </si>
  <si>
    <t>02075-000</t>
  </si>
  <si>
    <t>02075-000.003</t>
  </si>
  <si>
    <t>02075-000.002</t>
  </si>
  <si>
    <t>02075-000.001</t>
  </si>
  <si>
    <t>POLYNT COMPOSITES USA INC</t>
  </si>
  <si>
    <t>0072818</t>
  </si>
  <si>
    <t>02073-000</t>
  </si>
  <si>
    <t>02073-000.002</t>
  </si>
  <si>
    <t>02073-000.001</t>
  </si>
  <si>
    <t>02070-000.001</t>
  </si>
  <si>
    <t>1221</t>
  </si>
  <si>
    <t>COMANCHE</t>
  </si>
  <si>
    <t>CITY OF COMANCHE</t>
  </si>
  <si>
    <t>0022730</t>
  </si>
  <si>
    <t>14445-001</t>
  </si>
  <si>
    <t>14445-001.001</t>
  </si>
  <si>
    <t>HARRIS COUNTY MUD NO 389</t>
  </si>
  <si>
    <t>0125881</t>
  </si>
  <si>
    <t>14441-001</t>
  </si>
  <si>
    <t>14441-001.001</t>
  </si>
  <si>
    <t>0125806</t>
  </si>
  <si>
    <t>14434-001</t>
  </si>
  <si>
    <t>14434-001.001</t>
  </si>
  <si>
    <t>2106</t>
  </si>
  <si>
    <t>LIVE OAK</t>
  </si>
  <si>
    <t>CITY OF THREE RIVERS</t>
  </si>
  <si>
    <t>0137235</t>
  </si>
  <si>
    <t>10301-003</t>
  </si>
  <si>
    <t>10301-003.001</t>
  </si>
  <si>
    <t>CITY OF SAN JUAN</t>
  </si>
  <si>
    <t>0057592</t>
  </si>
  <si>
    <t>11512-001</t>
  </si>
  <si>
    <t>11512-001.002</t>
  </si>
  <si>
    <t>VAL VERDE</t>
  </si>
  <si>
    <t>VAL VERDE UTILITY CO LLC</t>
  </si>
  <si>
    <t>0129399</t>
  </si>
  <si>
    <t>14777-001</t>
  </si>
  <si>
    <t>14777-001.001</t>
  </si>
  <si>
    <t>AUSTIN COUNTY WSC</t>
  </si>
  <si>
    <t>0125709</t>
  </si>
  <si>
    <t>14423-001</t>
  </si>
  <si>
    <t>14423-001.001</t>
  </si>
  <si>
    <t>HARRIS COUNTY MUD NO 401</t>
  </si>
  <si>
    <t>0125687</t>
  </si>
  <si>
    <t>14421-001</t>
  </si>
  <si>
    <t>14421-001.001</t>
  </si>
  <si>
    <t>HARRIS COUNTY MUD NO 400</t>
  </si>
  <si>
    <t>0125661</t>
  </si>
  <si>
    <t>14419-001</t>
  </si>
  <si>
    <t>14419-001.001</t>
  </si>
  <si>
    <t>CHELFORD CITY MUD</t>
  </si>
  <si>
    <t>0056481</t>
  </si>
  <si>
    <t>14418-001</t>
  </si>
  <si>
    <t>14418-001.001</t>
  </si>
  <si>
    <t>CITY OF DENTON</t>
  </si>
  <si>
    <t>0125628</t>
  </si>
  <si>
    <t>14416-001</t>
  </si>
  <si>
    <t>14416-001.001</t>
  </si>
  <si>
    <t>TRINITY BAY CONSERVATION DISTRICT</t>
  </si>
  <si>
    <t>0128988</t>
  </si>
  <si>
    <t>14734-001</t>
  </si>
  <si>
    <t>14734-001.001</t>
  </si>
  <si>
    <t>COMBINED CONSUMERS SPECIAL UTILITY DISTRICT</t>
  </si>
  <si>
    <t>0128538</t>
  </si>
  <si>
    <t>14685-001</t>
  </si>
  <si>
    <t>14685-001.001</t>
  </si>
  <si>
    <t>DELEK REFINING LTD</t>
  </si>
  <si>
    <t>0001449</t>
  </si>
  <si>
    <t>01590-000</t>
  </si>
  <si>
    <t>01590-000.003</t>
  </si>
  <si>
    <t>HOUSTON</t>
  </si>
  <si>
    <t>CITY OF GRAPELAND</t>
  </si>
  <si>
    <t>0055239</t>
  </si>
  <si>
    <t>10181-002</t>
  </si>
  <si>
    <t>10181-002.001</t>
  </si>
  <si>
    <t>02443-000.003</t>
  </si>
  <si>
    <t>2456</t>
  </si>
  <si>
    <t>FARMERS TRANSPORT INC</t>
  </si>
  <si>
    <t>0092142</t>
  </si>
  <si>
    <t>14823-001</t>
  </si>
  <si>
    <t>14823-001.001</t>
  </si>
  <si>
    <t>HARRIS COUNTY FWSD 61</t>
  </si>
  <si>
    <t>0091804</t>
  </si>
  <si>
    <t>10876-002</t>
  </si>
  <si>
    <t>10876-002.001</t>
  </si>
  <si>
    <t>0022853</t>
  </si>
  <si>
    <t>10876-001</t>
  </si>
  <si>
    <t>10876-001.001</t>
  </si>
  <si>
    <t>ORANGE COUNTY WCID 1</t>
  </si>
  <si>
    <t>0023795</t>
  </si>
  <si>
    <t>10875-001</t>
  </si>
  <si>
    <t>10875-001.001</t>
  </si>
  <si>
    <t>0100</t>
  </si>
  <si>
    <t>MOORE</t>
  </si>
  <si>
    <t>DIAMOND SHAMROCK REFINING CO LP</t>
  </si>
  <si>
    <t>0115851</t>
  </si>
  <si>
    <t>03927-000</t>
  </si>
  <si>
    <t>03927-000.008</t>
  </si>
  <si>
    <t>KLA</t>
  </si>
  <si>
    <t>BROWNSVILLE PUBLIC UTILITIES BOARD</t>
  </si>
  <si>
    <t>0105651</t>
  </si>
  <si>
    <t>03096-000</t>
  </si>
  <si>
    <t>03096-000.002</t>
  </si>
  <si>
    <t>03096-000.001</t>
  </si>
  <si>
    <t>GULF WEST LANDFILL TX LP</t>
  </si>
  <si>
    <t>0104621</t>
  </si>
  <si>
    <t>03064-000</t>
  </si>
  <si>
    <t>03064-000.003</t>
  </si>
  <si>
    <t>03064-000.001</t>
  </si>
  <si>
    <t>HC MANVEL INC</t>
  </si>
  <si>
    <t>0072168</t>
  </si>
  <si>
    <t>02068-000</t>
  </si>
  <si>
    <t>02068-000.002</t>
  </si>
  <si>
    <t>02068-000.001</t>
  </si>
  <si>
    <t>GEORGIA GULF CHEMICALS &amp; VINYL LLC</t>
  </si>
  <si>
    <t>0072320</t>
  </si>
  <si>
    <t>02067-000</t>
  </si>
  <si>
    <t>02067-000.006</t>
  </si>
  <si>
    <t>WILLIAM DONALD SMITH</t>
  </si>
  <si>
    <t>0090735</t>
  </si>
  <si>
    <t>14900-001</t>
  </si>
  <si>
    <t>14900-001.001</t>
  </si>
  <si>
    <t>SYNTECH CHEMICALS INC</t>
  </si>
  <si>
    <t>0117811</t>
  </si>
  <si>
    <t>03593-000</t>
  </si>
  <si>
    <t>03593-000.002</t>
  </si>
  <si>
    <t>03593-000.001</t>
  </si>
  <si>
    <t>CITGO REFINING &amp; CHEMICALS CO LP</t>
  </si>
  <si>
    <t>0110124</t>
  </si>
  <si>
    <t>03562-000</t>
  </si>
  <si>
    <t>03562-000.003</t>
  </si>
  <si>
    <t>03562-000.002</t>
  </si>
  <si>
    <t>03562-000.001</t>
  </si>
  <si>
    <t>0901</t>
  </si>
  <si>
    <t>COVESTRO LLC</t>
  </si>
  <si>
    <t>0002798</t>
  </si>
  <si>
    <t>01499-000</t>
  </si>
  <si>
    <t>01499-000.008</t>
  </si>
  <si>
    <t>1203</t>
  </si>
  <si>
    <t>HILL</t>
  </si>
  <si>
    <t>COUNTRY CLUB RETIREMENT COMMUNITY LP</t>
  </si>
  <si>
    <t>0131407</t>
  </si>
  <si>
    <t>14871-001</t>
  </si>
  <si>
    <t>14871-001.001</t>
  </si>
  <si>
    <t>0116360</t>
  </si>
  <si>
    <t>03544-000</t>
  </si>
  <si>
    <t>03544-000.001</t>
  </si>
  <si>
    <t>US STEEL TUBULAR PRODUCTS INC</t>
  </si>
  <si>
    <t>0087599</t>
  </si>
  <si>
    <t>03540-000</t>
  </si>
  <si>
    <t>03540-000.002</t>
  </si>
  <si>
    <t>03540-000.001</t>
  </si>
  <si>
    <t>DUVAL</t>
  </si>
  <si>
    <t>DUVAL CO CONSERVATION AND RECLAMATION DIST</t>
  </si>
  <si>
    <t>0127141</t>
  </si>
  <si>
    <t>10067-002</t>
  </si>
  <si>
    <t>10067-002.001</t>
  </si>
  <si>
    <t>0124362</t>
  </si>
  <si>
    <t>04351-000</t>
  </si>
  <si>
    <t>04351-000.001</t>
  </si>
  <si>
    <t>THE SABINE MINING CO</t>
  </si>
  <si>
    <t>0088935</t>
  </si>
  <si>
    <t>050</t>
  </si>
  <si>
    <t>02538-000</t>
  </si>
  <si>
    <t>02538-000.050</t>
  </si>
  <si>
    <t>0009067</t>
  </si>
  <si>
    <t>00948-000</t>
  </si>
  <si>
    <t>00948-000.002</t>
  </si>
  <si>
    <t>1403</t>
  </si>
  <si>
    <t>0109444</t>
  </si>
  <si>
    <t>03516-000</t>
  </si>
  <si>
    <t>03516-000.001</t>
  </si>
  <si>
    <t>FORT BEND CO MUD NO.134A</t>
  </si>
  <si>
    <t>0128791</t>
  </si>
  <si>
    <t>14715-001</t>
  </si>
  <si>
    <t>14715-001.001</t>
  </si>
  <si>
    <t>CITGO REFINING AND CHEMICALS CO LP</t>
  </si>
  <si>
    <t>0006211</t>
  </si>
  <si>
    <t>00467-000</t>
  </si>
  <si>
    <t>00467-000.006</t>
  </si>
  <si>
    <t>02399-000.001</t>
  </si>
  <si>
    <t>0084328</t>
  </si>
  <si>
    <t>02395-000</t>
  </si>
  <si>
    <t>02395-000.001</t>
  </si>
  <si>
    <t>02383-000.003</t>
  </si>
  <si>
    <t>TIDWELL WASTEWATER UTILITY LLC</t>
  </si>
  <si>
    <t>0124702</t>
  </si>
  <si>
    <t>14320-001</t>
  </si>
  <si>
    <t>14320-001.001</t>
  </si>
  <si>
    <t>ELENA SLEPTSOVA ODA</t>
  </si>
  <si>
    <t>0124699</t>
  </si>
  <si>
    <t>14319-001</t>
  </si>
  <si>
    <t>14319-001.001</t>
  </si>
  <si>
    <t>SKY RANCHES INC</t>
  </si>
  <si>
    <t>0124681</t>
  </si>
  <si>
    <t>14318-001</t>
  </si>
  <si>
    <t>14318-001.001</t>
  </si>
  <si>
    <t>1230</t>
  </si>
  <si>
    <t>CITY OF GORDON</t>
  </si>
  <si>
    <t>0137002</t>
  </si>
  <si>
    <t>14837-002</t>
  </si>
  <si>
    <t>14837-002.001</t>
  </si>
  <si>
    <t>0832</t>
  </si>
  <si>
    <t>CITY OF WEATHERFORD</t>
  </si>
  <si>
    <t>0047724</t>
  </si>
  <si>
    <t>10380-002</t>
  </si>
  <si>
    <t>10380-002.002</t>
  </si>
  <si>
    <t>LIBERTY</t>
  </si>
  <si>
    <t>0136921</t>
  </si>
  <si>
    <t>15452-001</t>
  </si>
  <si>
    <t>15452-001.001</t>
  </si>
  <si>
    <t>TWINWOOD (US) INC</t>
  </si>
  <si>
    <t>0137707</t>
  </si>
  <si>
    <t>15463-002</t>
  </si>
  <si>
    <t>15463-002.001</t>
  </si>
  <si>
    <t>BAILEY BARK MATERIALS INC</t>
  </si>
  <si>
    <t>0136964</t>
  </si>
  <si>
    <t>05195-000</t>
  </si>
  <si>
    <t>05195-000.002</t>
  </si>
  <si>
    <t>05195-000.001</t>
  </si>
  <si>
    <t>11060-001.002</t>
  </si>
  <si>
    <t>1427</t>
  </si>
  <si>
    <t>CITY OF DRIPPING SPRINGS</t>
  </si>
  <si>
    <t>0136778</t>
  </si>
  <si>
    <t>14488-003</t>
  </si>
  <si>
    <t>14488-003.001</t>
  </si>
  <si>
    <t>GALVESTION COUNTY MUD NO 51</t>
  </si>
  <si>
    <t>0136891</t>
  </si>
  <si>
    <t>15446-001</t>
  </si>
  <si>
    <t>15446-001.001</t>
  </si>
  <si>
    <t>CITY OF ROSE CITY</t>
  </si>
  <si>
    <t>0136956</t>
  </si>
  <si>
    <t>15455-001</t>
  </si>
  <si>
    <t>15455-001.001</t>
  </si>
  <si>
    <t>TEXAS PROVIDENCE INVESTMENTS LLC</t>
  </si>
  <si>
    <t>0137014</t>
  </si>
  <si>
    <t>15460-001</t>
  </si>
  <si>
    <t>15460-001.001</t>
  </si>
  <si>
    <t>FULSHEAR MUD NO 3B</t>
  </si>
  <si>
    <t>0136883</t>
  </si>
  <si>
    <t>15443-001</t>
  </si>
  <si>
    <t>15443-001.001</t>
  </si>
  <si>
    <t>AGUA SUD</t>
  </si>
  <si>
    <t>0125598</t>
  </si>
  <si>
    <t>14415-001</t>
  </si>
  <si>
    <t>14415-001.001</t>
  </si>
  <si>
    <t>242 LLC</t>
  </si>
  <si>
    <t>0125601</t>
  </si>
  <si>
    <t>14414-001</t>
  </si>
  <si>
    <t>14414-001.001</t>
  </si>
  <si>
    <t>FORT BEND CO MUD NO 142</t>
  </si>
  <si>
    <t>0125555</t>
  </si>
  <si>
    <t>14408-001</t>
  </si>
  <si>
    <t>14408-001.002</t>
  </si>
  <si>
    <t>10681-005.001</t>
  </si>
  <si>
    <t>1804</t>
  </si>
  <si>
    <t>STRUCTURAL METALS INC</t>
  </si>
  <si>
    <t>0083178</t>
  </si>
  <si>
    <t>01712-000</t>
  </si>
  <si>
    <t>01712-000.001</t>
  </si>
  <si>
    <t>PABTEX INC &amp; SAVAGE SERVICES CORP</t>
  </si>
  <si>
    <t>0008834</t>
  </si>
  <si>
    <t>01702-000</t>
  </si>
  <si>
    <t>01702-000.001</t>
  </si>
  <si>
    <t>ARCOSA LWS LLC</t>
  </si>
  <si>
    <t>0047791</t>
  </si>
  <si>
    <t>01691-000</t>
  </si>
  <si>
    <t>01691-000.002</t>
  </si>
  <si>
    <t>01691-000.001</t>
  </si>
  <si>
    <t>INTEGRITY GOLDEN TRIANGLE MARINE SERVICES LLC</t>
  </si>
  <si>
    <t>0064718</t>
  </si>
  <si>
    <t>01674-000</t>
  </si>
  <si>
    <t>01674-000.002</t>
  </si>
  <si>
    <t>01674-000.001</t>
  </si>
  <si>
    <t>NORIT AMERICAS INC</t>
  </si>
  <si>
    <t>0000710</t>
  </si>
  <si>
    <t>00703-000</t>
  </si>
  <si>
    <t>00703-000.002</t>
  </si>
  <si>
    <t>KM LIQUIDS TERMINALS LLC</t>
  </si>
  <si>
    <t>0030929</t>
  </si>
  <si>
    <t>01662-000</t>
  </si>
  <si>
    <t>01662-000.002</t>
  </si>
  <si>
    <t>THE CHEMOURS CO FC LLC</t>
  </si>
  <si>
    <t>0008907</t>
  </si>
  <si>
    <t>01651-000</t>
  </si>
  <si>
    <t>01651-000.002</t>
  </si>
  <si>
    <t>01651-000.001</t>
  </si>
  <si>
    <t>GULF SULPHUR SERVICES LTD LLLP</t>
  </si>
  <si>
    <t>0003867</t>
  </si>
  <si>
    <t>01634-000</t>
  </si>
  <si>
    <t>01634-000.001</t>
  </si>
  <si>
    <t>0084093</t>
  </si>
  <si>
    <t>15026-001</t>
  </si>
  <si>
    <t>15026-001.001</t>
  </si>
  <si>
    <t>1111</t>
  </si>
  <si>
    <t>WOOD GROUP USA INC</t>
  </si>
  <si>
    <t>0133264</t>
  </si>
  <si>
    <t>04971-000</t>
  </si>
  <si>
    <t>04971-000.002</t>
  </si>
  <si>
    <t>GREGG</t>
  </si>
  <si>
    <t>NUCOR STEEL LONGVIEW LLC</t>
  </si>
  <si>
    <t>0029777</t>
  </si>
  <si>
    <t>01603-000</t>
  </si>
  <si>
    <t>01603-000.001</t>
  </si>
  <si>
    <t>02067-000.004</t>
  </si>
  <si>
    <t>GEORGIA GULF CHEMICALS &amp; VINYLLLC</t>
  </si>
  <si>
    <t>02067-000.003</t>
  </si>
  <si>
    <t>EAST FORK PARTNERS LLC</t>
  </si>
  <si>
    <t>0137642</t>
  </si>
  <si>
    <t>15565-001</t>
  </si>
  <si>
    <t>15565-001.001</t>
  </si>
  <si>
    <t>VULCAN CONSTRUCTION MATERIALS LLC</t>
  </si>
  <si>
    <t>0132993</t>
  </si>
  <si>
    <t>04952-000</t>
  </si>
  <si>
    <t>04952-000.001</t>
  </si>
  <si>
    <t>1218</t>
  </si>
  <si>
    <t>AMERICAN WATER OPERATIONS AND MAINTENANCE INC</t>
  </si>
  <si>
    <t>0132446</t>
  </si>
  <si>
    <t>14994-001</t>
  </si>
  <si>
    <t>14994-001.001</t>
  </si>
  <si>
    <t>WILLOW POINT MUD</t>
  </si>
  <si>
    <t>0134261</t>
  </si>
  <si>
    <t>15072-001</t>
  </si>
  <si>
    <t>15072-001.001</t>
  </si>
  <si>
    <t>BAYOU PINES LLC</t>
  </si>
  <si>
    <t>0133418</t>
  </si>
  <si>
    <t>15029-001</t>
  </si>
  <si>
    <t>15029-001.001</t>
  </si>
  <si>
    <t>FOREST GLEN UTILITY CO</t>
  </si>
  <si>
    <t>0133442</t>
  </si>
  <si>
    <t>15030-001</t>
  </si>
  <si>
    <t>15030-001.001</t>
  </si>
  <si>
    <t>2117</t>
  </si>
  <si>
    <t>MCMULLEN</t>
  </si>
  <si>
    <t>0133230</t>
  </si>
  <si>
    <t>15016-001</t>
  </si>
  <si>
    <t>15016-001.001</t>
  </si>
  <si>
    <t>0807</t>
  </si>
  <si>
    <t>ABRAXAS CORP</t>
  </si>
  <si>
    <t>0133116</t>
  </si>
  <si>
    <t>15010-001</t>
  </si>
  <si>
    <t>15010-001.001</t>
  </si>
  <si>
    <t>TRINITY INDUSTRIES INC</t>
  </si>
  <si>
    <t>0111465</t>
  </si>
  <si>
    <t>14249-001</t>
  </si>
  <si>
    <t>14249-001.001</t>
  </si>
  <si>
    <t>CITY OF CELINA</t>
  </si>
  <si>
    <t>0023272</t>
  </si>
  <si>
    <t>14246-001</t>
  </si>
  <si>
    <t>14246-001.001</t>
  </si>
  <si>
    <t>0123901</t>
  </si>
  <si>
    <t>14245-001</t>
  </si>
  <si>
    <t>14245-001.001</t>
  </si>
  <si>
    <t>AQUA TEXAS CO</t>
  </si>
  <si>
    <t>0118982</t>
  </si>
  <si>
    <t>14243-001</t>
  </si>
  <si>
    <t>14243-001.001</t>
  </si>
  <si>
    <t>2300</t>
  </si>
  <si>
    <t>CULBERSON</t>
  </si>
  <si>
    <t>TOWN OF VAN HORN</t>
  </si>
  <si>
    <t>0107867</t>
  </si>
  <si>
    <t>14241-001</t>
  </si>
  <si>
    <t>14241-001.001</t>
  </si>
  <si>
    <t>2108</t>
  </si>
  <si>
    <t>FRIO</t>
  </si>
  <si>
    <t>MOORE WSC</t>
  </si>
  <si>
    <t>0123854</t>
  </si>
  <si>
    <t>14239-001</t>
  </si>
  <si>
    <t>14239-001.001</t>
  </si>
  <si>
    <t>1229</t>
  </si>
  <si>
    <t>CITY OF TOLAR</t>
  </si>
  <si>
    <t>0027685</t>
  </si>
  <si>
    <t>14233-001</t>
  </si>
  <si>
    <t>14233-001.001</t>
  </si>
  <si>
    <t>BUCKLEY OIL CO</t>
  </si>
  <si>
    <t>0135208</t>
  </si>
  <si>
    <t>05116-000</t>
  </si>
  <si>
    <t>05116-000.001</t>
  </si>
  <si>
    <t>PANOLA</t>
  </si>
  <si>
    <t>0091120</t>
  </si>
  <si>
    <t>303</t>
  </si>
  <si>
    <t>02644-000</t>
  </si>
  <si>
    <t>02644-000.303</t>
  </si>
  <si>
    <t>203</t>
  </si>
  <si>
    <t>02644-000.203</t>
  </si>
  <si>
    <t>0075434</t>
  </si>
  <si>
    <t>11193-001</t>
  </si>
  <si>
    <t>11193-001.001</t>
  </si>
  <si>
    <t>ROLLING FORK PUD</t>
  </si>
  <si>
    <t>0026697</t>
  </si>
  <si>
    <t>11188-001</t>
  </si>
  <si>
    <t>11188-001.001</t>
  </si>
  <si>
    <t>0608</t>
  </si>
  <si>
    <t>WILDWOOD PROPERTY OWNERS ASSN</t>
  </si>
  <si>
    <t>0103641</t>
  </si>
  <si>
    <t>11184-001</t>
  </si>
  <si>
    <t>11184-001.001</t>
  </si>
  <si>
    <t>CITY OF AZLE</t>
  </si>
  <si>
    <t>0023116</t>
  </si>
  <si>
    <t>11183-003</t>
  </si>
  <si>
    <t>11183-003.003</t>
  </si>
  <si>
    <t>0031593</t>
  </si>
  <si>
    <t>11181-001</t>
  </si>
  <si>
    <t>11181-001.001</t>
  </si>
  <si>
    <t>WALKER</t>
  </si>
  <si>
    <t>0092789</t>
  </si>
  <si>
    <t>11180-002</t>
  </si>
  <si>
    <t>11180-002.001</t>
  </si>
  <si>
    <t>0031607</t>
  </si>
  <si>
    <t>11180-001</t>
  </si>
  <si>
    <t>11180-001.001</t>
  </si>
  <si>
    <t>LIBERTY CITY WSC</t>
  </si>
  <si>
    <t>0077771</t>
  </si>
  <si>
    <t>11179-001</t>
  </si>
  <si>
    <t>11179-001.001</t>
  </si>
  <si>
    <t>MADISON</t>
  </si>
  <si>
    <t>0031615</t>
  </si>
  <si>
    <t>11176-001</t>
  </si>
  <si>
    <t>11176-001.001</t>
  </si>
  <si>
    <t>LUCE BAYOU PUD</t>
  </si>
  <si>
    <t>0074870</t>
  </si>
  <si>
    <t>11167-001</t>
  </si>
  <si>
    <t>11167-001.001</t>
  </si>
  <si>
    <t>HUMBLE PARTNERS LP</t>
  </si>
  <si>
    <t>0020320</t>
  </si>
  <si>
    <t>11161-001</t>
  </si>
  <si>
    <t>11161-001.001</t>
  </si>
  <si>
    <t>1803</t>
  </si>
  <si>
    <t>CANYON REGIONAL WATER AUTHORITY</t>
  </si>
  <si>
    <t>0131351</t>
  </si>
  <si>
    <t>14872-001</t>
  </si>
  <si>
    <t>14872-001.001</t>
  </si>
  <si>
    <t>03059-000.005</t>
  </si>
  <si>
    <t>03059-000.004</t>
  </si>
  <si>
    <t>03059-000.003</t>
  </si>
  <si>
    <t>03059-000.002</t>
  </si>
  <si>
    <t>FORT BEND COUNTY MUD NO 134A</t>
  </si>
  <si>
    <t>0136875</t>
  </si>
  <si>
    <t>14715-002</t>
  </si>
  <si>
    <t>14715-002.001</t>
  </si>
  <si>
    <t>SAN JACINTO</t>
  </si>
  <si>
    <t>SAM HOUSTON AREA COUNCIL BOY SCOUTS OF AMERICA</t>
  </si>
  <si>
    <t>0136948</t>
  </si>
  <si>
    <t>15454-001</t>
  </si>
  <si>
    <t>15454-001.001</t>
  </si>
  <si>
    <t>LAND TEJAS COMPANIES LTD</t>
  </si>
  <si>
    <t>0136832</t>
  </si>
  <si>
    <t>15433-001</t>
  </si>
  <si>
    <t>15433-001.001</t>
  </si>
  <si>
    <t>1253</t>
  </si>
  <si>
    <t>BISTONE MUNICIPAL WATER SUPPLY DISTRICT</t>
  </si>
  <si>
    <t>0136751</t>
  </si>
  <si>
    <t>15425-001</t>
  </si>
  <si>
    <t>15425-001.001</t>
  </si>
  <si>
    <t>1002</t>
  </si>
  <si>
    <t>HARRIS COUNTY MUD NO 525</t>
  </si>
  <si>
    <t>0136816</t>
  </si>
  <si>
    <t>15432-001</t>
  </si>
  <si>
    <t>15432-001.001</t>
  </si>
  <si>
    <t>RONAN BAILEY SMITH</t>
  </si>
  <si>
    <t>0136859</t>
  </si>
  <si>
    <t>15436-001</t>
  </si>
  <si>
    <t>15436-001.001</t>
  </si>
  <si>
    <t>JEFFERSON RAILPORT TERMINAL I (TEXAS) LLC</t>
  </si>
  <si>
    <t>0136824</t>
  </si>
  <si>
    <t>05188-000</t>
  </si>
  <si>
    <t>05188-000.002</t>
  </si>
  <si>
    <t>JTI CONSTRUCTORS</t>
  </si>
  <si>
    <t>0136913</t>
  </si>
  <si>
    <t>15449-001</t>
  </si>
  <si>
    <t>15449-001.001</t>
  </si>
  <si>
    <t>05188-000.001</t>
  </si>
  <si>
    <t>0136727</t>
  </si>
  <si>
    <t>05185-000</t>
  </si>
  <si>
    <t>05185-000.001</t>
  </si>
  <si>
    <t>VAN ZANDT</t>
  </si>
  <si>
    <t>SUNDOWN RANCH INC</t>
  </si>
  <si>
    <t>0136743</t>
  </si>
  <si>
    <t>15423-001</t>
  </si>
  <si>
    <t>15423-001.001</t>
  </si>
  <si>
    <t>1911</t>
  </si>
  <si>
    <t>TIGER SANITATION INC</t>
  </si>
  <si>
    <t>0136565</t>
  </si>
  <si>
    <t>05174-000</t>
  </si>
  <si>
    <t>05174-000.001</t>
  </si>
  <si>
    <t>NE TX ELECTRIC COOP INC; ENTERGY POWER OP US INC; E TX ELECTRIC COOP</t>
  </si>
  <si>
    <t>0124516</t>
  </si>
  <si>
    <t>04370-000</t>
  </si>
  <si>
    <t>04370-000.002</t>
  </si>
  <si>
    <t>1412</t>
  </si>
  <si>
    <t>GAINES COUNTY WATER COMPANY LLC</t>
  </si>
  <si>
    <t>0136603</t>
  </si>
  <si>
    <t>05178-000</t>
  </si>
  <si>
    <t>05178-000.001</t>
  </si>
  <si>
    <t>0136425</t>
  </si>
  <si>
    <t>15378-001</t>
  </si>
  <si>
    <t>15378-001.001</t>
  </si>
  <si>
    <t>CEMEX CONSTRUCTION MATERIALS SOUTH LLC</t>
  </si>
  <si>
    <t>0004022</t>
  </si>
  <si>
    <t>01021-000</t>
  </si>
  <si>
    <t>01021-000.004</t>
  </si>
  <si>
    <t>FMC TECHNOLOGIES INC</t>
  </si>
  <si>
    <t>0136158</t>
  </si>
  <si>
    <t>05157-000</t>
  </si>
  <si>
    <t>05157-000.002</t>
  </si>
  <si>
    <t>LINDE GAS NORTH AMERICA LLC</t>
  </si>
  <si>
    <t>0124401</t>
  </si>
  <si>
    <t>04770-000</t>
  </si>
  <si>
    <t>04770-000.001</t>
  </si>
  <si>
    <t>01598-000.004</t>
  </si>
  <si>
    <t>01598-000.002</t>
  </si>
  <si>
    <t>01598-000.001</t>
  </si>
  <si>
    <t>01590-000.002</t>
  </si>
  <si>
    <t>01590-000.001</t>
  </si>
  <si>
    <t>0008150</t>
  </si>
  <si>
    <t>01539-000</t>
  </si>
  <si>
    <t>01539-000.002</t>
  </si>
  <si>
    <t>01539-000.001</t>
  </si>
  <si>
    <t>0408</t>
  </si>
  <si>
    <t>TITUS</t>
  </si>
  <si>
    <t>0000086</t>
  </si>
  <si>
    <t>01528-000</t>
  </si>
  <si>
    <t>01528-000.001</t>
  </si>
  <si>
    <t>SOUTH TEXAS ELECTRIC COOPERATIVE INC</t>
  </si>
  <si>
    <t>0005118</t>
  </si>
  <si>
    <t>01521-000</t>
  </si>
  <si>
    <t>01521-000.001</t>
  </si>
  <si>
    <t>CITY PUBLIC SERVICE OF SAN ANTONIO</t>
  </si>
  <si>
    <t>0063690</t>
  </si>
  <si>
    <t>015</t>
  </si>
  <si>
    <t>01515-000</t>
  </si>
  <si>
    <t>01515-000.015</t>
  </si>
  <si>
    <t>013</t>
  </si>
  <si>
    <t>01515-000.013</t>
  </si>
  <si>
    <t>01515-000.011</t>
  </si>
  <si>
    <t>01515-000.008</t>
  </si>
  <si>
    <t>01515-000.007</t>
  </si>
  <si>
    <t>MERCY SHIPS FOUNDATION</t>
  </si>
  <si>
    <t>0138631</t>
  </si>
  <si>
    <t>11771-001</t>
  </si>
  <si>
    <t>11771-001.001</t>
  </si>
  <si>
    <t>KARNES</t>
  </si>
  <si>
    <t>0138657</t>
  </si>
  <si>
    <t>15711-001</t>
  </si>
  <si>
    <t>15711-001.001</t>
  </si>
  <si>
    <t>FPLE FORNEY LLC</t>
  </si>
  <si>
    <t>0124419</t>
  </si>
  <si>
    <t>04359-000</t>
  </si>
  <si>
    <t>04359-000.002</t>
  </si>
  <si>
    <t>BRAZOS</t>
  </si>
  <si>
    <t>SANDERSON FARMS INC PROCESSING DIVISION</t>
  </si>
  <si>
    <t>0113603</t>
  </si>
  <si>
    <t>03821-000</t>
  </si>
  <si>
    <t>03821-000.001</t>
  </si>
  <si>
    <t>R&amp;A HARRIS SOUTH LP</t>
  </si>
  <si>
    <t>0135038</t>
  </si>
  <si>
    <t>05105-000</t>
  </si>
  <si>
    <t>05105-000.001</t>
  </si>
  <si>
    <t>TEXAS MUNICIPAL POWER AGENCY</t>
  </si>
  <si>
    <t>0083101</t>
  </si>
  <si>
    <t>R</t>
  </si>
  <si>
    <t>02460-000</t>
  </si>
  <si>
    <t>02460-000.004</t>
  </si>
  <si>
    <t>02460-000.003</t>
  </si>
  <si>
    <t>EAST RIO HONDO WATER SUPPLY CO</t>
  </si>
  <si>
    <t>0134899</t>
  </si>
  <si>
    <t>15162-001</t>
  </si>
  <si>
    <t>15162-001.001</t>
  </si>
  <si>
    <t>VOESTALPINE TEXAS LLC</t>
  </si>
  <si>
    <t>0134911</t>
  </si>
  <si>
    <t>05097-000</t>
  </si>
  <si>
    <t>05097-000.001</t>
  </si>
  <si>
    <t>2104</t>
  </si>
  <si>
    <t>MULTI-CHEM GROUP LLC</t>
  </si>
  <si>
    <t>0134741</t>
  </si>
  <si>
    <t>05091-000</t>
  </si>
  <si>
    <t>05091-000.001</t>
  </si>
  <si>
    <t>ELG METALS INC</t>
  </si>
  <si>
    <t>0134619</t>
  </si>
  <si>
    <t>05018-000</t>
  </si>
  <si>
    <t>05018-000.001</t>
  </si>
  <si>
    <t>1424</t>
  </si>
  <si>
    <t>IRION</t>
  </si>
  <si>
    <t>0134643</t>
  </si>
  <si>
    <t>15099-001</t>
  </si>
  <si>
    <t>15099-001.001</t>
  </si>
  <si>
    <t>0211</t>
  </si>
  <si>
    <t>CITY OF HENRIETTA</t>
  </si>
  <si>
    <t>0022306</t>
  </si>
  <si>
    <t>10454-001</t>
  </si>
  <si>
    <t>10454-001.002</t>
  </si>
  <si>
    <t>9</t>
  </si>
  <si>
    <t>0817</t>
  </si>
  <si>
    <t>CITY OF BYNUM</t>
  </si>
  <si>
    <t>0134791</t>
  </si>
  <si>
    <t>11542-002</t>
  </si>
  <si>
    <t>11542-002.001</t>
  </si>
  <si>
    <t>M&amp;G RESINS USA LLC</t>
  </si>
  <si>
    <t>0134635</t>
  </si>
  <si>
    <t>05019-000</t>
  </si>
  <si>
    <t>05019-000.001</t>
  </si>
  <si>
    <t>2438</t>
  </si>
  <si>
    <t>LBC HOUSTON LP</t>
  </si>
  <si>
    <t>0075302</t>
  </si>
  <si>
    <t>02110-000</t>
  </si>
  <si>
    <t>02110-000.004</t>
  </si>
  <si>
    <t>02110-000.003</t>
  </si>
  <si>
    <t>02430-000.002</t>
  </si>
  <si>
    <t>529 #35 LTD</t>
  </si>
  <si>
    <t>0134376</t>
  </si>
  <si>
    <t>15081-001</t>
  </si>
  <si>
    <t>15081-001.001</t>
  </si>
  <si>
    <t>0134325</t>
  </si>
  <si>
    <t>05013-000</t>
  </si>
  <si>
    <t>05013-000.001</t>
  </si>
  <si>
    <t>FLINT HILLS RESOURCES PORT ARTHUR LLC</t>
  </si>
  <si>
    <t>0105287</t>
  </si>
  <si>
    <t>03057-000</t>
  </si>
  <si>
    <t>03057-000.002</t>
  </si>
  <si>
    <t>03057-000.001</t>
  </si>
  <si>
    <t>1113</t>
  </si>
  <si>
    <t>0103900</t>
  </si>
  <si>
    <t>03029-000</t>
  </si>
  <si>
    <t>03029-000.001</t>
  </si>
  <si>
    <t>PARIS GENERATION LP</t>
  </si>
  <si>
    <t>0103586</t>
  </si>
  <si>
    <t>03021-000</t>
  </si>
  <si>
    <t>03021-000.002</t>
  </si>
  <si>
    <t>03021-000.001</t>
  </si>
  <si>
    <t>0404</t>
  </si>
  <si>
    <t>PILGRIMS PRIDE CORPORATION</t>
  </si>
  <si>
    <t>0062936</t>
  </si>
  <si>
    <t>03017-000</t>
  </si>
  <si>
    <t>03017-000.001</t>
  </si>
  <si>
    <t>LONE STAR GROWERS LP</t>
  </si>
  <si>
    <t>0103608</t>
  </si>
  <si>
    <t>03015-000</t>
  </si>
  <si>
    <t>03015-000.001</t>
  </si>
  <si>
    <t>GULF MARINE FABRICATORS LP</t>
  </si>
  <si>
    <t>0102890</t>
  </si>
  <si>
    <t>03012-000</t>
  </si>
  <si>
    <t>03012-000.001</t>
  </si>
  <si>
    <t>POWELL JACKIE DIANE</t>
  </si>
  <si>
    <t>0103578</t>
  </si>
  <si>
    <t>03007-000</t>
  </si>
  <si>
    <t>03007-000.001</t>
  </si>
  <si>
    <t>0002747</t>
  </si>
  <si>
    <t>04002-000</t>
  </si>
  <si>
    <t>04002-000.001</t>
  </si>
  <si>
    <t>EQUISTAR CHEMICALS LP AND LYONDELLBASELL ACETYLS LLC</t>
  </si>
  <si>
    <t>0119792</t>
  </si>
  <si>
    <t>04013-000</t>
  </si>
  <si>
    <t>04013-000.007</t>
  </si>
  <si>
    <t>MOTIVA ENTERPRISES LLC</t>
  </si>
  <si>
    <t>0007102</t>
  </si>
  <si>
    <t>00415-000</t>
  </si>
  <si>
    <t>00415-000.005</t>
  </si>
  <si>
    <t>WLSK-PASADENA LLC</t>
  </si>
  <si>
    <t>0116904</t>
  </si>
  <si>
    <t>03999-000</t>
  </si>
  <si>
    <t>03999-000.001</t>
  </si>
  <si>
    <t>TENASKA FRONTIER PARTNERS LTD</t>
  </si>
  <si>
    <t>0120146</t>
  </si>
  <si>
    <t>03996-000</t>
  </si>
  <si>
    <t>03996-000.001</t>
  </si>
  <si>
    <t>2462</t>
  </si>
  <si>
    <t>REFUGIO</t>
  </si>
  <si>
    <t>AUSTWELL AQUA FARM INC</t>
  </si>
  <si>
    <t>0115002</t>
  </si>
  <si>
    <t>03995-000</t>
  </si>
  <si>
    <t>03995-000.001</t>
  </si>
  <si>
    <t>GENERATION PARK MANAGEMENT DISTRICT</t>
  </si>
  <si>
    <t>0133213</t>
  </si>
  <si>
    <t>15015-001</t>
  </si>
  <si>
    <t>15015-001.001</t>
  </si>
  <si>
    <t>UNIMIN CORP</t>
  </si>
  <si>
    <t>0104175</t>
  </si>
  <si>
    <t>02973-000</t>
  </si>
  <si>
    <t>02973-000.001</t>
  </si>
  <si>
    <t>05157-000.001</t>
  </si>
  <si>
    <t>0136166</t>
  </si>
  <si>
    <t>15336-001</t>
  </si>
  <si>
    <t>15336-001.001</t>
  </si>
  <si>
    <t>GRAND PARKWAY INDUSTRIAL LP</t>
  </si>
  <si>
    <t>0136051</t>
  </si>
  <si>
    <t>15322-001</t>
  </si>
  <si>
    <t>15322-001.001</t>
  </si>
  <si>
    <t>1105</t>
  </si>
  <si>
    <t>MAMMOET USA SOUTH INC</t>
  </si>
  <si>
    <t>0135950</t>
  </si>
  <si>
    <t>05149-000</t>
  </si>
  <si>
    <t>05149-000.001</t>
  </si>
  <si>
    <t>LA PALOMA ENERGY CENTER LLC</t>
  </si>
  <si>
    <t>0135607</t>
  </si>
  <si>
    <t>05137-000</t>
  </si>
  <si>
    <t>05137-000.001</t>
  </si>
  <si>
    <t>TWAN DEVELOPMENT LLC</t>
  </si>
  <si>
    <t>0129381</t>
  </si>
  <si>
    <t>14776-001</t>
  </si>
  <si>
    <t>14776-001.001</t>
  </si>
  <si>
    <t>0128643</t>
  </si>
  <si>
    <t>04789-000</t>
  </si>
  <si>
    <t>04789-000.001</t>
  </si>
  <si>
    <t>0830</t>
  </si>
  <si>
    <t>STONETOWN BENBROOK LLC</t>
  </si>
  <si>
    <t>0093092</t>
  </si>
  <si>
    <t>14792-001</t>
  </si>
  <si>
    <t>14792-001.001</t>
  </si>
  <si>
    <t>MONTGOMERY COUNTY MUD NO 8</t>
  </si>
  <si>
    <t>0022080</t>
  </si>
  <si>
    <t>11371-001</t>
  </si>
  <si>
    <t>11371-001.001</t>
  </si>
  <si>
    <t>CITY OF GROESBECK</t>
  </si>
  <si>
    <t>0054445</t>
  </si>
  <si>
    <t>10182-001</t>
  </si>
  <si>
    <t>10182-001.001</t>
  </si>
  <si>
    <t>01590-000.012</t>
  </si>
  <si>
    <t>MHC TT INC</t>
  </si>
  <si>
    <t>0097675</t>
  </si>
  <si>
    <t>14736-001</t>
  </si>
  <si>
    <t>14736-001.001</t>
  </si>
  <si>
    <t>01590-000.011</t>
  </si>
  <si>
    <t>01590-000.010</t>
  </si>
  <si>
    <t>01590-000.008</t>
  </si>
  <si>
    <t>01590-000.006</t>
  </si>
  <si>
    <t>0127817</t>
  </si>
  <si>
    <t>10454-003</t>
  </si>
  <si>
    <t>10454-003.001</t>
  </si>
  <si>
    <t>01590-000.005</t>
  </si>
  <si>
    <t>SIGMA PRO PROPERTIES LLC</t>
  </si>
  <si>
    <t>0138754</t>
  </si>
  <si>
    <t>15722-001</t>
  </si>
  <si>
    <t>15722-001.001</t>
  </si>
  <si>
    <t>0138584</t>
  </si>
  <si>
    <t>15693-001</t>
  </si>
  <si>
    <t>15693-001.001</t>
  </si>
  <si>
    <t>0814</t>
  </si>
  <si>
    <t>CITY OF VENUS</t>
  </si>
  <si>
    <t>0138703</t>
  </si>
  <si>
    <t>10883-002</t>
  </si>
  <si>
    <t>10883-002.001</t>
  </si>
  <si>
    <t>04013-000.009</t>
  </si>
  <si>
    <t>04013-000.010</t>
  </si>
  <si>
    <t>0801</t>
  </si>
  <si>
    <t>RIVER RANCH HOLDINGS LLC</t>
  </si>
  <si>
    <t>0137901</t>
  </si>
  <si>
    <t>15597-001</t>
  </si>
  <si>
    <t>15597-001.001</t>
  </si>
  <si>
    <t>CITY OF WORTHAM</t>
  </si>
  <si>
    <t>0137782</t>
  </si>
  <si>
    <t>10551-002</t>
  </si>
  <si>
    <t>10551-002.001</t>
  </si>
  <si>
    <t>SSPS PROPERTIES LLC</t>
  </si>
  <si>
    <t>0137774</t>
  </si>
  <si>
    <t>15578-001</t>
  </si>
  <si>
    <t>15578-001.001</t>
  </si>
  <si>
    <t>CENTERVILLE PETROLEUM LLC</t>
  </si>
  <si>
    <t>0135992</t>
  </si>
  <si>
    <t>15316-001</t>
  </si>
  <si>
    <t>15316-001.001</t>
  </si>
  <si>
    <t>SOUTH CENTRAL WATER CO</t>
  </si>
  <si>
    <t>0135852</t>
  </si>
  <si>
    <t>14875-002</t>
  </si>
  <si>
    <t>14875-002.001</t>
  </si>
  <si>
    <t>BLANCHARD REFINING CO LLC</t>
  </si>
  <si>
    <t>0003522</t>
  </si>
  <si>
    <t>00443-000</t>
  </si>
  <si>
    <t>00443-000.011</t>
  </si>
  <si>
    <t>MONTGOMERY COUNTY MUD NO 127</t>
  </si>
  <si>
    <t>0135941</t>
  </si>
  <si>
    <t>15313-001</t>
  </si>
  <si>
    <t>15313-001.001</t>
  </si>
  <si>
    <t>APEX TEXAS POWER LLC</t>
  </si>
  <si>
    <t>0135861</t>
  </si>
  <si>
    <t>05144-000</t>
  </si>
  <si>
    <t>05144-000.001</t>
  </si>
  <si>
    <t>PETRA NOVA CCS I LLC</t>
  </si>
  <si>
    <t>0135763</t>
  </si>
  <si>
    <t>05142-000</t>
  </si>
  <si>
    <t>05142-000.001</t>
  </si>
  <si>
    <t>1401</t>
  </si>
  <si>
    <t>J WEST DEVELOPMENT INC</t>
  </si>
  <si>
    <t>0135810</t>
  </si>
  <si>
    <t>15301-001</t>
  </si>
  <si>
    <t>15301-001.001</t>
  </si>
  <si>
    <t>FULSHEAR LAKES LTD</t>
  </si>
  <si>
    <t>0135909</t>
  </si>
  <si>
    <t>15309-001</t>
  </si>
  <si>
    <t>15309-001.001</t>
  </si>
  <si>
    <t>GRAYSON</t>
  </si>
  <si>
    <t>0134783</t>
  </si>
  <si>
    <t>15143-001</t>
  </si>
  <si>
    <t>15143-001.001</t>
  </si>
  <si>
    <t>0403</t>
  </si>
  <si>
    <t>MARION</t>
  </si>
  <si>
    <t>SOUTHWESTERN ELECTRIC POWER COMPANY</t>
  </si>
  <si>
    <t>0062006</t>
  </si>
  <si>
    <t>01331-001</t>
  </si>
  <si>
    <t>01331-000.003</t>
  </si>
  <si>
    <t>EF90 LLC</t>
  </si>
  <si>
    <t>0134694</t>
  </si>
  <si>
    <t>05024-000</t>
  </si>
  <si>
    <t>05024-000.002</t>
  </si>
  <si>
    <t>0305</t>
  </si>
  <si>
    <t>LA FRONTERA HOLDINGS LLC</t>
  </si>
  <si>
    <t>0119288</t>
  </si>
  <si>
    <t>04127-000</t>
  </si>
  <si>
    <t>04127-000.002</t>
  </si>
  <si>
    <t>1429</t>
  </si>
  <si>
    <t>STRATUS BLOCK 21 LLC</t>
  </si>
  <si>
    <t>0131547</t>
  </si>
  <si>
    <t>04854-000</t>
  </si>
  <si>
    <t>04854-000.001</t>
  </si>
  <si>
    <t>0134562</t>
  </si>
  <si>
    <t>15093-001</t>
  </si>
  <si>
    <t>15093-001.001</t>
  </si>
  <si>
    <t>M&amp;D DEVELOPMENT LLC</t>
  </si>
  <si>
    <t>0134546</t>
  </si>
  <si>
    <t>15090-001</t>
  </si>
  <si>
    <t>15090-001.001</t>
  </si>
  <si>
    <t>CLEAR LAKE CITY WATER AUTHORITY</t>
  </si>
  <si>
    <t>0022543</t>
  </si>
  <si>
    <t>10539-001</t>
  </si>
  <si>
    <t>10539-001.003</t>
  </si>
  <si>
    <t>10539-001.002</t>
  </si>
  <si>
    <t>CALDWELL</t>
  </si>
  <si>
    <t>POLONIA WSC</t>
  </si>
  <si>
    <t>0134481</t>
  </si>
  <si>
    <t>14033-003</t>
  </si>
  <si>
    <t>14033-003.001</t>
  </si>
  <si>
    <t>ENTERPRISE PRODUCTS OPERATING LLC</t>
  </si>
  <si>
    <t>0134465</t>
  </si>
  <si>
    <t>05014-000</t>
  </si>
  <si>
    <t>05014-000.004</t>
  </si>
  <si>
    <t>05014-000.003</t>
  </si>
  <si>
    <t>05014-000.002</t>
  </si>
  <si>
    <t>05014-000.001</t>
  </si>
  <si>
    <t>1808</t>
  </si>
  <si>
    <t>JDB TURNER CREST WASTEWATER LLC</t>
  </si>
  <si>
    <t>0129810</t>
  </si>
  <si>
    <t>14831-001</t>
  </si>
  <si>
    <t>14831-001.001</t>
  </si>
  <si>
    <t>CITY OF BRYAN</t>
  </si>
  <si>
    <t>0128554</t>
  </si>
  <si>
    <t>10426-004</t>
  </si>
  <si>
    <t>10426-004.001</t>
  </si>
  <si>
    <t>0128457</t>
  </si>
  <si>
    <t>14675-001</t>
  </si>
  <si>
    <t>14675-001.001</t>
  </si>
  <si>
    <t>SEDONA LAKES MUD 1</t>
  </si>
  <si>
    <t>0129178</t>
  </si>
  <si>
    <t>14756-001</t>
  </si>
  <si>
    <t>14756-001.001</t>
  </si>
  <si>
    <t>EXIDE TECHNOLOGIES</t>
  </si>
  <si>
    <t>0103292</t>
  </si>
  <si>
    <t>02964-000</t>
  </si>
  <si>
    <t>02964-000.001</t>
  </si>
  <si>
    <t>CITY OF NOME</t>
  </si>
  <si>
    <t>0054178</t>
  </si>
  <si>
    <t>11564-001</t>
  </si>
  <si>
    <t>11564-001.001</t>
  </si>
  <si>
    <t>REID ROAD MUD 1</t>
  </si>
  <si>
    <t>0053325</t>
  </si>
  <si>
    <t>11563-001</t>
  </si>
  <si>
    <t>11563-001.001</t>
  </si>
  <si>
    <t>2314</t>
  </si>
  <si>
    <t>EL PASO</t>
  </si>
  <si>
    <t>CANUTILLO ISD</t>
  </si>
  <si>
    <t>0137146</t>
  </si>
  <si>
    <t>11561-005</t>
  </si>
  <si>
    <t>11561-005.001</t>
  </si>
  <si>
    <t>CITY OF RANGER</t>
  </si>
  <si>
    <t>0118702</t>
  </si>
  <si>
    <t>11557-003</t>
  </si>
  <si>
    <t>11557-003.001</t>
  </si>
  <si>
    <t>BLUE RIDGE WEST MUD</t>
  </si>
  <si>
    <t>0053643</t>
  </si>
  <si>
    <t>11553-001</t>
  </si>
  <si>
    <t>11553-001.001</t>
  </si>
  <si>
    <t>CITY OF BEVIL OAKS</t>
  </si>
  <si>
    <t>0054551</t>
  </si>
  <si>
    <t>11551-001</t>
  </si>
  <si>
    <t>11551-001.001</t>
  </si>
  <si>
    <t>1406</t>
  </si>
  <si>
    <t>KINGSLAND MUD</t>
  </si>
  <si>
    <t>0066010</t>
  </si>
  <si>
    <t>11549-001</t>
  </si>
  <si>
    <t>11549-001.001</t>
  </si>
  <si>
    <t>SAN LEON MUD</t>
  </si>
  <si>
    <t>0071978</t>
  </si>
  <si>
    <t>11546-001</t>
  </si>
  <si>
    <t>11546-001.001</t>
  </si>
  <si>
    <t>CITY OF ORCHARD</t>
  </si>
  <si>
    <t>0069108</t>
  </si>
  <si>
    <t>11545-001</t>
  </si>
  <si>
    <t>11545-001.001</t>
  </si>
  <si>
    <t>CITY OF ABBOTT</t>
  </si>
  <si>
    <t>0075396</t>
  </si>
  <si>
    <t>11544-001</t>
  </si>
  <si>
    <t>11544-001.001</t>
  </si>
  <si>
    <t>10232-004.001</t>
  </si>
  <si>
    <t>CITY OF DRISCOLL</t>
  </si>
  <si>
    <t>0094145</t>
  </si>
  <si>
    <t>11541-001</t>
  </si>
  <si>
    <t>11541-001.001</t>
  </si>
  <si>
    <t>CITY OF DEVERS</t>
  </si>
  <si>
    <t>0071510</t>
  </si>
  <si>
    <t>11540-001</t>
  </si>
  <si>
    <t>11540-001.001</t>
  </si>
  <si>
    <t>WHITE OAK BAYOU JOINT POWERS BOARD</t>
  </si>
  <si>
    <t>0057029</t>
  </si>
  <si>
    <t>11538-001</t>
  </si>
  <si>
    <t>11538-001.001</t>
  </si>
  <si>
    <t>0054917</t>
  </si>
  <si>
    <t>11537-001</t>
  </si>
  <si>
    <t>11537-001.001</t>
  </si>
  <si>
    <t>HARRIS COUNTY MUD NO 109</t>
  </si>
  <si>
    <t>0058963</t>
  </si>
  <si>
    <t>11533-001</t>
  </si>
  <si>
    <t>11533-001.001</t>
  </si>
  <si>
    <t>HARRIS COUNTY MUD NO 102</t>
  </si>
  <si>
    <t>0052906</t>
  </si>
  <si>
    <t>11523-001</t>
  </si>
  <si>
    <t>11523-001.001</t>
  </si>
  <si>
    <t>01590-000.004</t>
  </si>
  <si>
    <t>LABARGE COATING LLC</t>
  </si>
  <si>
    <t>0086100</t>
  </si>
  <si>
    <t>14700-001</t>
  </si>
  <si>
    <t>14700.001.001</t>
  </si>
  <si>
    <t>CITY OF WILLS POINT</t>
  </si>
  <si>
    <t>0020346</t>
  </si>
  <si>
    <t>14834-001</t>
  </si>
  <si>
    <t>14834-001.001</t>
  </si>
  <si>
    <t>2430</t>
  </si>
  <si>
    <t>SI GROUP INC</t>
  </si>
  <si>
    <t>0087254</t>
  </si>
  <si>
    <t>02485-000</t>
  </si>
  <si>
    <t>02485-000.001</t>
  </si>
  <si>
    <t>DALLAS COUNTY PARK CITIES MUD</t>
  </si>
  <si>
    <t>0128686</t>
  </si>
  <si>
    <t>14699-001</t>
  </si>
  <si>
    <t>14699-001.001</t>
  </si>
  <si>
    <t>VALERO REFINING TEXAS LP</t>
  </si>
  <si>
    <t>0006009</t>
  </si>
  <si>
    <t>00449-000</t>
  </si>
  <si>
    <t>00449-000.009</t>
  </si>
  <si>
    <t>CITY OF FRISCO</t>
  </si>
  <si>
    <t>0027723</t>
  </si>
  <si>
    <t>10172-002</t>
  </si>
  <si>
    <t>10172-002.001</t>
  </si>
  <si>
    <t>LUCITE INTERNATIONAL INC</t>
  </si>
  <si>
    <t>0004669</t>
  </si>
  <si>
    <t>020</t>
  </si>
  <si>
    <t>00473-000</t>
  </si>
  <si>
    <t>00473-000.020</t>
  </si>
  <si>
    <t>HENDERSON</t>
  </si>
  <si>
    <t>CITY OF CHANDLER</t>
  </si>
  <si>
    <t>0033499</t>
  </si>
  <si>
    <t>11012-001</t>
  </si>
  <si>
    <t>11012-001.001</t>
  </si>
  <si>
    <t>1220</t>
  </si>
  <si>
    <t>CORYELL</t>
  </si>
  <si>
    <t>CITY OF EVANT</t>
  </si>
  <si>
    <t>0055522</t>
  </si>
  <si>
    <t>11011-001</t>
  </si>
  <si>
    <t>11011-001.001</t>
  </si>
  <si>
    <t>CHAMPS WATER CO</t>
  </si>
  <si>
    <t>0020095</t>
  </si>
  <si>
    <t>11005-001</t>
  </si>
  <si>
    <t>11005-001.001</t>
  </si>
  <si>
    <t>SOUTHERN MONTGOMERY COUNTY MUD</t>
  </si>
  <si>
    <t>0024759</t>
  </si>
  <si>
    <t>11001-001</t>
  </si>
  <si>
    <t>11001-001.001</t>
  </si>
  <si>
    <t>0609</t>
  </si>
  <si>
    <t>JASPER</t>
  </si>
  <si>
    <t>BROOKELAND FWSD</t>
  </si>
  <si>
    <t>0031283</t>
  </si>
  <si>
    <t>10998-001</t>
  </si>
  <si>
    <t>10998-001.001</t>
  </si>
  <si>
    <t>CAPE ROYALE UD</t>
  </si>
  <si>
    <t>0021083</t>
  </si>
  <si>
    <t>10997-001</t>
  </si>
  <si>
    <t>10997-001.001</t>
  </si>
  <si>
    <t>CITY OF KENDLETON</t>
  </si>
  <si>
    <t>0098949</t>
  </si>
  <si>
    <t>10996-001</t>
  </si>
  <si>
    <t>10996-001.001</t>
  </si>
  <si>
    <t>0812</t>
  </si>
  <si>
    <t>JACK</t>
  </si>
  <si>
    <t>CITY OF JACKSBORO</t>
  </si>
  <si>
    <t>0069825</t>
  </si>
  <si>
    <t>10994-001</t>
  </si>
  <si>
    <t>10994-001.001</t>
  </si>
  <si>
    <t>0022811</t>
  </si>
  <si>
    <t>10984-001</t>
  </si>
  <si>
    <t>10984-001.001</t>
  </si>
  <si>
    <t>RIVER PLANTATION MUD</t>
  </si>
  <si>
    <t>0025674</t>
  </si>
  <si>
    <t>10978-001</t>
  </si>
  <si>
    <t>10978-001.001</t>
  </si>
  <si>
    <t>GOSLING OFFICE PARK LLC</t>
  </si>
  <si>
    <t>0135771</t>
  </si>
  <si>
    <t>15297-001</t>
  </si>
  <si>
    <t>15297-001.001</t>
  </si>
  <si>
    <t>BRAZORIA COUNTY MUD NO 43</t>
  </si>
  <si>
    <t>0135577</t>
  </si>
  <si>
    <t>15279-001</t>
  </si>
  <si>
    <t>15279-001.001</t>
  </si>
  <si>
    <t>ROSEHILL RESERVE LTD</t>
  </si>
  <si>
    <t>0135925</t>
  </si>
  <si>
    <t>15312-001</t>
  </si>
  <si>
    <t>15312-001.001</t>
  </si>
  <si>
    <t>1216</t>
  </si>
  <si>
    <t>CENTRAL TEXAS WSC</t>
  </si>
  <si>
    <t>0135895</t>
  </si>
  <si>
    <t>05146-000</t>
  </si>
  <si>
    <t>05146-000.001</t>
  </si>
  <si>
    <t>NATGASOLINE LLC</t>
  </si>
  <si>
    <t>0135836</t>
  </si>
  <si>
    <t>05143-000</t>
  </si>
  <si>
    <t>05143-000.002</t>
  </si>
  <si>
    <t>05143-000.001</t>
  </si>
  <si>
    <t>WOODLANDS OAKS UTILITY LP</t>
  </si>
  <si>
    <t>0135755</t>
  </si>
  <si>
    <t>15296-001</t>
  </si>
  <si>
    <t>15296-001.001</t>
  </si>
  <si>
    <t>1211</t>
  </si>
  <si>
    <t>BURLESON</t>
  </si>
  <si>
    <t>0135844</t>
  </si>
  <si>
    <t>15306-001</t>
  </si>
  <si>
    <t>15306-001.001</t>
  </si>
  <si>
    <t>HARRIS COUNTY MUD 536</t>
  </si>
  <si>
    <t>0135704</t>
  </si>
  <si>
    <t>15292-001</t>
  </si>
  <si>
    <t>15292-001.001</t>
  </si>
  <si>
    <t>0135780</t>
  </si>
  <si>
    <t>15298-001</t>
  </si>
  <si>
    <t>15298-001.001</t>
  </si>
  <si>
    <t>CITY OF SAN BENITO</t>
  </si>
  <si>
    <t>0135470</t>
  </si>
  <si>
    <t>15265-001</t>
  </si>
  <si>
    <t>15265-001.002</t>
  </si>
  <si>
    <t>0802</t>
  </si>
  <si>
    <t>ARTESIAN LAKES LTD</t>
  </si>
  <si>
    <t>0135631</t>
  </si>
  <si>
    <t>15281-001</t>
  </si>
  <si>
    <t>15281-001.001</t>
  </si>
  <si>
    <t>MONTGOMERY COUNTY MUD NO 96</t>
  </si>
  <si>
    <t>0135682</t>
  </si>
  <si>
    <t>15288-001</t>
  </si>
  <si>
    <t>15288-001.001</t>
  </si>
  <si>
    <t>HOA KHUONG BUI AND CHUONG ANH NGUYEN</t>
  </si>
  <si>
    <t>0135364</t>
  </si>
  <si>
    <t>14921-002</t>
  </si>
  <si>
    <t>14921-002.001</t>
  </si>
  <si>
    <t>0135551</t>
  </si>
  <si>
    <t>05132-000</t>
  </si>
  <si>
    <t>05132-000.001</t>
  </si>
  <si>
    <t>CADDO BASIN SUD</t>
  </si>
  <si>
    <t>0135496</t>
  </si>
  <si>
    <t>15267-001</t>
  </si>
  <si>
    <t>15267-001.001</t>
  </si>
  <si>
    <t>CRYSTAL CLEAR SUD</t>
  </si>
  <si>
    <t>0135488</t>
  </si>
  <si>
    <t>15266-001</t>
  </si>
  <si>
    <t>15266-001.001</t>
  </si>
  <si>
    <t>KINDER MORGAN CRUDE &amp; CONDENSATE LLC</t>
  </si>
  <si>
    <t>0135640</t>
  </si>
  <si>
    <t>05139-000</t>
  </si>
  <si>
    <t>05139-000.002</t>
  </si>
  <si>
    <t>SIENNA PLANTATION MUD NO 5</t>
  </si>
  <si>
    <t>0127868</t>
  </si>
  <si>
    <t>14611-001</t>
  </si>
  <si>
    <t>14611-001.001</t>
  </si>
  <si>
    <t>HEMANI, FRANK</t>
  </si>
  <si>
    <t>0128406</t>
  </si>
  <si>
    <t>14668-001</t>
  </si>
  <si>
    <t>14668-001.001</t>
  </si>
  <si>
    <t>0126934</t>
  </si>
  <si>
    <t>14542-001</t>
  </si>
  <si>
    <t>14542-001.001</t>
  </si>
  <si>
    <t>2109</t>
  </si>
  <si>
    <t>UVALDE</t>
  </si>
  <si>
    <t>CITY OF UVALDE</t>
  </si>
  <si>
    <t>0023094</t>
  </si>
  <si>
    <t>10306-001</t>
  </si>
  <si>
    <t>10306-001.003</t>
  </si>
  <si>
    <t>0831</t>
  </si>
  <si>
    <t>COWTOWN RV PARK LTD</t>
  </si>
  <si>
    <t>0117919</t>
  </si>
  <si>
    <t>14003-001</t>
  </si>
  <si>
    <t>14003-001.001</t>
  </si>
  <si>
    <t>HOUSTON COUNTY WCID 1</t>
  </si>
  <si>
    <t>0023078</t>
  </si>
  <si>
    <t>10871-001</t>
  </si>
  <si>
    <t>10871-001.001</t>
  </si>
  <si>
    <t>CITY OF TALCO</t>
  </si>
  <si>
    <t>0021105</t>
  </si>
  <si>
    <t>10869-001</t>
  </si>
  <si>
    <t>10869-001.001</t>
  </si>
  <si>
    <t>0811</t>
  </si>
  <si>
    <t>CITY OF RUNAWAY BAY</t>
  </si>
  <si>
    <t>0026689</t>
  </si>
  <si>
    <t>10862-001</t>
  </si>
  <si>
    <t>10862-001.001</t>
  </si>
  <si>
    <t>MONTGOMERY COUNTY WCID NO 1</t>
  </si>
  <si>
    <t>0025399</t>
  </si>
  <si>
    <t>10857-001</t>
  </si>
  <si>
    <t>10857-001.001</t>
  </si>
  <si>
    <t>0020460</t>
  </si>
  <si>
    <t>10851-001</t>
  </si>
  <si>
    <t>10851-001.001</t>
  </si>
  <si>
    <t>CITY OF TATUM</t>
  </si>
  <si>
    <t>0022551</t>
  </si>
  <si>
    <t>10850-001</t>
  </si>
  <si>
    <t>10850-001.001</t>
  </si>
  <si>
    <t>1604</t>
  </si>
  <si>
    <t>KLV</t>
  </si>
  <si>
    <t>WHARTON COUNTY WCID 1</t>
  </si>
  <si>
    <t>0027456</t>
  </si>
  <si>
    <t>10849-001</t>
  </si>
  <si>
    <t>10849-001.001</t>
  </si>
  <si>
    <t>CITY OF ALEDO</t>
  </si>
  <si>
    <t>0027120</t>
  </si>
  <si>
    <t>10847-001</t>
  </si>
  <si>
    <t>10847-001.001</t>
  </si>
  <si>
    <t>NUECES COUNTY WCID NO 4</t>
  </si>
  <si>
    <t>0091031</t>
  </si>
  <si>
    <t>10846-002</t>
  </si>
  <si>
    <t>10846-002.001</t>
  </si>
  <si>
    <t>0024287</t>
  </si>
  <si>
    <t>10846-001</t>
  </si>
  <si>
    <t>10846-001.001</t>
  </si>
  <si>
    <t>1502</t>
  </si>
  <si>
    <t>CITY OF EL CAMPO</t>
  </si>
  <si>
    <t>0021474</t>
  </si>
  <si>
    <t>10844-001</t>
  </si>
  <si>
    <t>10844-001.001</t>
  </si>
  <si>
    <t>1305</t>
  </si>
  <si>
    <t>BOLING MWD</t>
  </si>
  <si>
    <t>0033910</t>
  </si>
  <si>
    <t>10843-001</t>
  </si>
  <si>
    <t>10843-001.001</t>
  </si>
  <si>
    <t>CITY OF GUSTINE</t>
  </si>
  <si>
    <t>0117722</t>
  </si>
  <si>
    <t>10841-001</t>
  </si>
  <si>
    <t>10841-001.001</t>
  </si>
  <si>
    <t>BRAZOSPORT WATER AUTHORITY</t>
  </si>
  <si>
    <t>0135887</t>
  </si>
  <si>
    <t>05145-000</t>
  </si>
  <si>
    <t>05145-000.001</t>
  </si>
  <si>
    <t>DRY CREEK (HOUSTON) ASLI VII LLC</t>
  </si>
  <si>
    <t>0135747</t>
  </si>
  <si>
    <t>15295-001</t>
  </si>
  <si>
    <t>15295-001.001</t>
  </si>
  <si>
    <t>15265-001.001</t>
  </si>
  <si>
    <t>HARRIS COUNTY MUD NO 171</t>
  </si>
  <si>
    <t>0135461</t>
  </si>
  <si>
    <t>15264-001</t>
  </si>
  <si>
    <t>15264-001.001</t>
  </si>
  <si>
    <t>0704</t>
  </si>
  <si>
    <t>EXXONMOBIL OIL CORP</t>
  </si>
  <si>
    <t>0068934</t>
  </si>
  <si>
    <t>02029-000</t>
  </si>
  <si>
    <t>02029-000.002</t>
  </si>
  <si>
    <t>2452</t>
  </si>
  <si>
    <t>REED LAMAR BOWERS</t>
  </si>
  <si>
    <t>0112691</t>
  </si>
  <si>
    <t>04005-000</t>
  </si>
  <si>
    <t>04005-000.004</t>
  </si>
  <si>
    <t>CAROLINA CREEK CHRISTIAN CAMP</t>
  </si>
  <si>
    <t>0127370</t>
  </si>
  <si>
    <t>14582-001</t>
  </si>
  <si>
    <t>14582-001.001</t>
  </si>
  <si>
    <t>HFOTCO LLC</t>
  </si>
  <si>
    <t>0031534</t>
  </si>
  <si>
    <t>02277-000</t>
  </si>
  <si>
    <t>02277-000.001</t>
  </si>
  <si>
    <t>HARRIS COUNTY MUD NO 49</t>
  </si>
  <si>
    <t>0074446</t>
  </si>
  <si>
    <t>11919-002</t>
  </si>
  <si>
    <t>11919-002.001</t>
  </si>
  <si>
    <t>1812</t>
  </si>
  <si>
    <t>CLIFF VIEW CONDOMINIUM COMMUNITY INC</t>
  </si>
  <si>
    <t>0133515</t>
  </si>
  <si>
    <t>04983-000</t>
  </si>
  <si>
    <t>04983-000.001</t>
  </si>
  <si>
    <t>KENDALL</t>
  </si>
  <si>
    <t>CITY OF BOERNE</t>
  </si>
  <si>
    <t>0131831</t>
  </si>
  <si>
    <t>10066-002</t>
  </si>
  <si>
    <t>10066-002.001</t>
  </si>
  <si>
    <t>US DEPT OF THE ARMY</t>
  </si>
  <si>
    <t>0002313</t>
  </si>
  <si>
    <t>02233-000</t>
  </si>
  <si>
    <t>02233-000.006</t>
  </si>
  <si>
    <t>MONTGOMERY COUNTY MUD NO 112</t>
  </si>
  <si>
    <t>0128431</t>
  </si>
  <si>
    <t>14671-001</t>
  </si>
  <si>
    <t>14671-001.001</t>
  </si>
  <si>
    <t>02233-000.005</t>
  </si>
  <si>
    <t>02233-000.004</t>
  </si>
  <si>
    <t>IGLOO PRODUCTS CORP</t>
  </si>
  <si>
    <t>0079057</t>
  </si>
  <si>
    <t>02229-000</t>
  </si>
  <si>
    <t>02229-000.001</t>
  </si>
  <si>
    <t>DSM NUTRITIONAL PRODUCTS INC</t>
  </si>
  <si>
    <t>0064912</t>
  </si>
  <si>
    <t>02216-000</t>
  </si>
  <si>
    <t>02216-000.001</t>
  </si>
  <si>
    <t>0124541</t>
  </si>
  <si>
    <t>02212-000</t>
  </si>
  <si>
    <t>02212-000.001</t>
  </si>
  <si>
    <t>HANSFORD</t>
  </si>
  <si>
    <t>CITY OF SPEARMAN</t>
  </si>
  <si>
    <t>0032328</t>
  </si>
  <si>
    <t>10977-001</t>
  </si>
  <si>
    <t>10977-001.001</t>
  </si>
  <si>
    <t>JEFF DAVIS</t>
  </si>
  <si>
    <t>FORT DAVIS WSC</t>
  </si>
  <si>
    <t>0066133</t>
  </si>
  <si>
    <t>10971-001</t>
  </si>
  <si>
    <t>10971-001.001</t>
  </si>
  <si>
    <t>0108146</t>
  </si>
  <si>
    <t>10968-003</t>
  </si>
  <si>
    <t>10968-003.001</t>
  </si>
  <si>
    <t>MONUMENT CHEMICAL HOUSTON LTD</t>
  </si>
  <si>
    <t>0085979</t>
  </si>
  <si>
    <t>02458-000</t>
  </si>
  <si>
    <t>02458-000.003</t>
  </si>
  <si>
    <t>02458-000.002</t>
  </si>
  <si>
    <t>02458-000.001</t>
  </si>
  <si>
    <t>IS ZEN CENTER</t>
  </si>
  <si>
    <t>0126306</t>
  </si>
  <si>
    <t>14491-001</t>
  </si>
  <si>
    <t>14491-001.001</t>
  </si>
  <si>
    <t>PLANTATION CROSSING OWNERS ASSOCIATION INC</t>
  </si>
  <si>
    <t>0126284</t>
  </si>
  <si>
    <t>14490-001</t>
  </si>
  <si>
    <t>14490-001.001</t>
  </si>
  <si>
    <t>YOUNG MEN'S CHRISTIAN ASSOCIATON OF METROPOLITAN DALLAS</t>
  </si>
  <si>
    <t>0126241</t>
  </si>
  <si>
    <t>14486-001</t>
  </si>
  <si>
    <t>14486-001.001</t>
  </si>
  <si>
    <t>NORTHLAKE PARTNERS LTD</t>
  </si>
  <si>
    <t>0120022</t>
  </si>
  <si>
    <t>14484-001</t>
  </si>
  <si>
    <t>14484-001.001</t>
  </si>
  <si>
    <t>MONTGOMERY COUNTY MUD NO 83</t>
  </si>
  <si>
    <t>0126209</t>
  </si>
  <si>
    <t>14482-001</t>
  </si>
  <si>
    <t>14482-001.001</t>
  </si>
  <si>
    <t>2426</t>
  </si>
  <si>
    <t>LAKE MUNICIPAL UD</t>
  </si>
  <si>
    <t>0126187</t>
  </si>
  <si>
    <t>14478-001</t>
  </si>
  <si>
    <t>14478-001.001</t>
  </si>
  <si>
    <t>1250</t>
  </si>
  <si>
    <t>CITY OF LIBERTY HILL</t>
  </si>
  <si>
    <t>0126195</t>
  </si>
  <si>
    <t>14477-001</t>
  </si>
  <si>
    <t>14477-001.001</t>
  </si>
  <si>
    <t>HARRIS COUNTY MUD NO 418</t>
  </si>
  <si>
    <t>0126161</t>
  </si>
  <si>
    <t>14476-001</t>
  </si>
  <si>
    <t>14476-001.001</t>
  </si>
  <si>
    <t>NORTHWEST HARRIS COUNTY MUD NO 19</t>
  </si>
  <si>
    <t>0126152</t>
  </si>
  <si>
    <t>14908-001</t>
  </si>
  <si>
    <t>14908-001.001</t>
  </si>
  <si>
    <t>MORRIS</t>
  </si>
  <si>
    <t>CITY OF LONE STAR</t>
  </si>
  <si>
    <t>0088081</t>
  </si>
  <si>
    <t>14365-001</t>
  </si>
  <si>
    <t>14365-001.001</t>
  </si>
  <si>
    <t>HARRIS COUNTY MUD NO 287</t>
  </si>
  <si>
    <t>0125164</t>
  </si>
  <si>
    <t>14362-001</t>
  </si>
  <si>
    <t>14362-001.001</t>
  </si>
  <si>
    <t>05139-000.001</t>
  </si>
  <si>
    <t>DMS REAL TREE LLC</t>
  </si>
  <si>
    <t>0135712</t>
  </si>
  <si>
    <t>15293-001</t>
  </si>
  <si>
    <t>15293-001.001</t>
  </si>
  <si>
    <t>PALO PINTO COUNTY MWD 1AND CITY OF MINERAL WELLS</t>
  </si>
  <si>
    <t>0135585</t>
  </si>
  <si>
    <t>05134-000</t>
  </si>
  <si>
    <t>05134-000.001</t>
  </si>
  <si>
    <t>14408-001.001</t>
  </si>
  <si>
    <t>HARRIS COUNTY MUD NO 221</t>
  </si>
  <si>
    <t>0089184</t>
  </si>
  <si>
    <t>12470-001</t>
  </si>
  <si>
    <t>12470-001.001</t>
  </si>
  <si>
    <t>2501</t>
  </si>
  <si>
    <t>CORIX UTILITIES TEXAS INC</t>
  </si>
  <si>
    <t>0125521</t>
  </si>
  <si>
    <t>14404-001</t>
  </si>
  <si>
    <t>14404-001.001</t>
  </si>
  <si>
    <t>FAYETTE COUNTY</t>
  </si>
  <si>
    <t>0125491</t>
  </si>
  <si>
    <t>14401-001</t>
  </si>
  <si>
    <t>14401-001.001</t>
  </si>
  <si>
    <t>IOLA ISD</t>
  </si>
  <si>
    <t>0092363</t>
  </si>
  <si>
    <t>14400-001</t>
  </si>
  <si>
    <t>14400-001.001</t>
  </si>
  <si>
    <t>0402</t>
  </si>
  <si>
    <t>CITY OF AVINGER</t>
  </si>
  <si>
    <t>0071803</t>
  </si>
  <si>
    <t>14399-001</t>
  </si>
  <si>
    <t>14399-001.001</t>
  </si>
  <si>
    <t>ZAVALA</t>
  </si>
  <si>
    <t>BATESVILLE WSC</t>
  </si>
  <si>
    <t>0125385</t>
  </si>
  <si>
    <t>14394-001</t>
  </si>
  <si>
    <t>14394-001.001</t>
  </si>
  <si>
    <t>CITY OF ORE CITY</t>
  </si>
  <si>
    <t>0024236</t>
  </si>
  <si>
    <t>14389-001</t>
  </si>
  <si>
    <t>14389-001.001</t>
  </si>
  <si>
    <t>BISHOP TRAVIS LYNN</t>
  </si>
  <si>
    <t>0116459</t>
  </si>
  <si>
    <t>14388-001</t>
  </si>
  <si>
    <t>14388-001.001</t>
  </si>
  <si>
    <t>BELL COUNTY WCID NO 1</t>
  </si>
  <si>
    <t>0125377</t>
  </si>
  <si>
    <t>14387-001</t>
  </si>
  <si>
    <t>14387-001.001</t>
  </si>
  <si>
    <t>0513</t>
  </si>
  <si>
    <t>CITY OF KIRBYVILLE</t>
  </si>
  <si>
    <t>0023574</t>
  </si>
  <si>
    <t>14384-001</t>
  </si>
  <si>
    <t>14384-001.001</t>
  </si>
  <si>
    <t>FALLS</t>
  </si>
  <si>
    <t>WESTPHALIA WATER &amp; SEWER SUPPLY CORP</t>
  </si>
  <si>
    <t>0125342</t>
  </si>
  <si>
    <t>14382-001</t>
  </si>
  <si>
    <t>14382-001.001</t>
  </si>
  <si>
    <t>HOLY TRINITY EPISCOPAL SCHOOL OF GREATER HOUSTON INC</t>
  </si>
  <si>
    <t>0125326</t>
  </si>
  <si>
    <t>14897-001</t>
  </si>
  <si>
    <t>14897-001.001</t>
  </si>
  <si>
    <t>EAST MONTGOMERY COUNTY MUD 3</t>
  </si>
  <si>
    <t>0125300</t>
  </si>
  <si>
    <t>14379-001</t>
  </si>
  <si>
    <t>14379-001.001</t>
  </si>
  <si>
    <t>SUNFIELD MUD NO 4 &amp; GBRA</t>
  </si>
  <si>
    <t>0125288</t>
  </si>
  <si>
    <t>14377-001</t>
  </si>
  <si>
    <t>14377-001.001</t>
  </si>
  <si>
    <t>CITY OF FAYETTEVILLE</t>
  </si>
  <si>
    <t>0055077</t>
  </si>
  <si>
    <t>10840-001</t>
  </si>
  <si>
    <t>10840-001.001</t>
  </si>
  <si>
    <t>JEFFERSON COUNTY WCID 10</t>
  </si>
  <si>
    <t>0111589</t>
  </si>
  <si>
    <t>10838-003</t>
  </si>
  <si>
    <t>10838-003.001</t>
  </si>
  <si>
    <t>WS</t>
  </si>
  <si>
    <t>CITY OF CRANDALL</t>
  </si>
  <si>
    <t>0024929</t>
  </si>
  <si>
    <t>10834-001</t>
  </si>
  <si>
    <t>10834-001.001</t>
  </si>
  <si>
    <t>CITY OF GALENA PARK</t>
  </si>
  <si>
    <t>0057185</t>
  </si>
  <si>
    <t>10831-001</t>
  </si>
  <si>
    <t>10831-001.001</t>
  </si>
  <si>
    <t>1110</t>
  </si>
  <si>
    <t>0031658</t>
  </si>
  <si>
    <t>10829-001</t>
  </si>
  <si>
    <t>10829-001.001</t>
  </si>
  <si>
    <t>CITY OF THORNTON</t>
  </si>
  <si>
    <t>0075639</t>
  </si>
  <si>
    <t>10824-001</t>
  </si>
  <si>
    <t>10824-001.001</t>
  </si>
  <si>
    <t>0031577</t>
  </si>
  <si>
    <t>10823-001</t>
  </si>
  <si>
    <t>10823-001.001</t>
  </si>
  <si>
    <t>CITY OF SEADRIFT</t>
  </si>
  <si>
    <t>0026671</t>
  </si>
  <si>
    <t>10822-001</t>
  </si>
  <si>
    <t>10822-001.001</t>
  </si>
  <si>
    <t>0504</t>
  </si>
  <si>
    <t>SHELBY</t>
  </si>
  <si>
    <t>CITY OF TENAHA</t>
  </si>
  <si>
    <t>0069086</t>
  </si>
  <si>
    <t>10818-001</t>
  </si>
  <si>
    <t>10818-001.001</t>
  </si>
  <si>
    <t>CITY OF CALDWELL</t>
  </si>
  <si>
    <t>0023175</t>
  </si>
  <si>
    <t>10813-001</t>
  </si>
  <si>
    <t>10813-001.001</t>
  </si>
  <si>
    <t>SUNBELT FWSD</t>
  </si>
  <si>
    <t>0021270</t>
  </si>
  <si>
    <t>10812-001</t>
  </si>
  <si>
    <t>10812-001.001</t>
  </si>
  <si>
    <t>CHILTON WATER SUPPLY &amp; SEWER SERVICE CORP</t>
  </si>
  <si>
    <t>0053520</t>
  </si>
  <si>
    <t>10811-001</t>
  </si>
  <si>
    <t>10811-001.001</t>
  </si>
  <si>
    <t>GRAND MISSION MUD 1</t>
  </si>
  <si>
    <t>0123749</t>
  </si>
  <si>
    <t>14231-001</t>
  </si>
  <si>
    <t>14231-001.001</t>
  </si>
  <si>
    <t>TWINWOOD US INC</t>
  </si>
  <si>
    <t>0123714</t>
  </si>
  <si>
    <t>14230-001</t>
  </si>
  <si>
    <t>14230-001.001</t>
  </si>
  <si>
    <t>MPB PROPERTIES LLC AND CORPUS CHRISTI PEOPLES BAPTIST CHURCH</t>
  </si>
  <si>
    <t>0123676</t>
  </si>
  <si>
    <t>14228-001</t>
  </si>
  <si>
    <t>14228-001.001</t>
  </si>
  <si>
    <t>LIBERTY UTILITIES SILVERLEAF WATER LLC</t>
  </si>
  <si>
    <t>0137995</t>
  </si>
  <si>
    <t>13849-002</t>
  </si>
  <si>
    <t>13849-002.001</t>
  </si>
  <si>
    <t>0119962</t>
  </si>
  <si>
    <t>14225-001</t>
  </si>
  <si>
    <t>14225-001.001</t>
  </si>
  <si>
    <t>0119954</t>
  </si>
  <si>
    <t>14224-001</t>
  </si>
  <si>
    <t>14224-001.001</t>
  </si>
  <si>
    <t>0078905</t>
  </si>
  <si>
    <t>02207-000</t>
  </si>
  <si>
    <t>02207-000.001</t>
  </si>
  <si>
    <t>04005-000.003</t>
  </si>
  <si>
    <t>EXXON MOBIL CORP</t>
  </si>
  <si>
    <t>0077887</t>
  </si>
  <si>
    <t>02184-000</t>
  </si>
  <si>
    <t>02184-000.002</t>
  </si>
  <si>
    <t>INEOS NITRILES USA LLC</t>
  </si>
  <si>
    <t>0077577</t>
  </si>
  <si>
    <t>02181-000</t>
  </si>
  <si>
    <t>02181-000.005</t>
  </si>
  <si>
    <t>02181-000.001</t>
  </si>
  <si>
    <t>1811</t>
  </si>
  <si>
    <t>0077534</t>
  </si>
  <si>
    <t>02179-000</t>
  </si>
  <si>
    <t>02179-000.001</t>
  </si>
  <si>
    <t>SEQUA CORP</t>
  </si>
  <si>
    <t>0076945</t>
  </si>
  <si>
    <t>02160-000</t>
  </si>
  <si>
    <t>02160-000.001</t>
  </si>
  <si>
    <t>STP NUCLEAR OPERATING CO</t>
  </si>
  <si>
    <t>0064947</t>
  </si>
  <si>
    <t>01908-000</t>
  </si>
  <si>
    <t>01908-000.003</t>
  </si>
  <si>
    <t>01908-000.002</t>
  </si>
  <si>
    <t>0119270</t>
  </si>
  <si>
    <t>14106-001</t>
  </si>
  <si>
    <t>14106-001.001</t>
  </si>
  <si>
    <t>AUS-TEX PARTS &amp; SERVICES INC</t>
  </si>
  <si>
    <t>0119245</t>
  </si>
  <si>
    <t>14104-001</t>
  </si>
  <si>
    <t>14104-001.001</t>
  </si>
  <si>
    <t>JOHNSON</t>
  </si>
  <si>
    <t>ALVARADO ISD</t>
  </si>
  <si>
    <t>0119229</t>
  </si>
  <si>
    <t>14101-001</t>
  </si>
  <si>
    <t>14101-001.001</t>
  </si>
  <si>
    <t>BRAZORIA COUNTY MUD 55</t>
  </si>
  <si>
    <t>0129470</t>
  </si>
  <si>
    <t>14724-003</t>
  </si>
  <si>
    <t>14724-003.001</t>
  </si>
  <si>
    <t>CITY OF MISSOURI CITY</t>
  </si>
  <si>
    <t>0119199</t>
  </si>
  <si>
    <t>14100-001</t>
  </si>
  <si>
    <t>14100-001.001</t>
  </si>
  <si>
    <t>FRANCIS MILONE REID</t>
  </si>
  <si>
    <t>0119521</t>
  </si>
  <si>
    <t>14098-001</t>
  </si>
  <si>
    <t>14098-001.001</t>
  </si>
  <si>
    <t>0112747</t>
  </si>
  <si>
    <t>14096-001</t>
  </si>
  <si>
    <t>14096-001.001</t>
  </si>
  <si>
    <t>SAM HOUSTON AREA COUNCIL BOYS SCOUTS OF AMERICA</t>
  </si>
  <si>
    <t>0119083</t>
  </si>
  <si>
    <t>14095-001</t>
  </si>
  <si>
    <t>14095-001.001</t>
  </si>
  <si>
    <t>CITY OF DEPORT</t>
  </si>
  <si>
    <t>0136930</t>
  </si>
  <si>
    <t>10741-002</t>
  </si>
  <si>
    <t>10741-002.001</t>
  </si>
  <si>
    <t>0124958</t>
  </si>
  <si>
    <t>14361-001</t>
  </si>
  <si>
    <t>14361-001.001</t>
  </si>
  <si>
    <t>HARRIS COUNTY MUD NO 366</t>
  </si>
  <si>
    <t>0119431</t>
  </si>
  <si>
    <t>14359-001</t>
  </si>
  <si>
    <t>14359-001.001</t>
  </si>
  <si>
    <t>CITY OF CADDO MILLS</t>
  </si>
  <si>
    <t>0128392</t>
  </si>
  <si>
    <t>10425-002</t>
  </si>
  <si>
    <t>10425-002.001</t>
  </si>
  <si>
    <t>FLINT HILLS RESOURCES CORPUS CHRISTI LLC</t>
  </si>
  <si>
    <t>0006289</t>
  </si>
  <si>
    <t>00531-000</t>
  </si>
  <si>
    <t>00531-001.012</t>
  </si>
  <si>
    <t>0125113</t>
  </si>
  <si>
    <t>14357-001</t>
  </si>
  <si>
    <t>14357-001.001</t>
  </si>
  <si>
    <t>0074047</t>
  </si>
  <si>
    <t>14355-001</t>
  </si>
  <si>
    <t>14355-001.001</t>
  </si>
  <si>
    <t>HARRIS COUNTY MUD 374</t>
  </si>
  <si>
    <t>0124974</t>
  </si>
  <si>
    <t>14354-001</t>
  </si>
  <si>
    <t>14354-001.001</t>
  </si>
  <si>
    <t>0612</t>
  </si>
  <si>
    <t>CITY OF CENTER</t>
  </si>
  <si>
    <t>0133311</t>
  </si>
  <si>
    <t>14352-002</t>
  </si>
  <si>
    <t>14352-002.001</t>
  </si>
  <si>
    <t>0828</t>
  </si>
  <si>
    <t>JOHNSON COUNTY SUD</t>
  </si>
  <si>
    <t>0124923</t>
  </si>
  <si>
    <t>14350-001</t>
  </si>
  <si>
    <t>14350-001.001</t>
  </si>
  <si>
    <t>BREWSTER</t>
  </si>
  <si>
    <t>CITY OF ALPINE</t>
  </si>
  <si>
    <t>0022985</t>
  </si>
  <si>
    <t>14349-001</t>
  </si>
  <si>
    <t>14349-001.001</t>
  </si>
  <si>
    <t>HARRIS COUNTY MUD NO 387</t>
  </si>
  <si>
    <t>0124907</t>
  </si>
  <si>
    <t>14347-001</t>
  </si>
  <si>
    <t>14347-001.001</t>
  </si>
  <si>
    <t>CITY OF WEST TAWAKONI</t>
  </si>
  <si>
    <t>0064513</t>
  </si>
  <si>
    <t>14344-001</t>
  </si>
  <si>
    <t>14344-001.001</t>
  </si>
  <si>
    <t>CINCO SOUTHWEST MUD NO 1</t>
  </si>
  <si>
    <t>0124851</t>
  </si>
  <si>
    <t>14343-001</t>
  </si>
  <si>
    <t>14343-001.001</t>
  </si>
  <si>
    <t>MOTIVA ENTP, FLINT HILLS RES PORT ARTHUR, AFTON CHEM ADDITIVES CORP</t>
  </si>
  <si>
    <t>0005835</t>
  </si>
  <si>
    <t>00414-000</t>
  </si>
  <si>
    <t>00414-000.003</t>
  </si>
  <si>
    <t>00414-000.002</t>
  </si>
  <si>
    <t>CITY OF ALVORD</t>
  </si>
  <si>
    <t>0057631</t>
  </si>
  <si>
    <t>14339-001</t>
  </si>
  <si>
    <t>14339-001.001</t>
  </si>
  <si>
    <t>HARRIS COUNTY MUD NO 391</t>
  </si>
  <si>
    <t>0124770</t>
  </si>
  <si>
    <t>14327-001</t>
  </si>
  <si>
    <t>14327-001.001</t>
  </si>
  <si>
    <t>1907</t>
  </si>
  <si>
    <t>LEON SPRINGS UTILITY CO</t>
  </si>
  <si>
    <t>0090603</t>
  </si>
  <si>
    <t>14376-001</t>
  </si>
  <si>
    <t>14376-001.001</t>
  </si>
  <si>
    <t>0125270</t>
  </si>
  <si>
    <t>14373-001</t>
  </si>
  <si>
    <t>14373-001.001</t>
  </si>
  <si>
    <t>021</t>
  </si>
  <si>
    <t>00473-000.021</t>
  </si>
  <si>
    <t>CITY OF MONTGOMERY</t>
  </si>
  <si>
    <t>0128031</t>
  </si>
  <si>
    <t>14737-001</t>
  </si>
  <si>
    <t>14737-001.001</t>
  </si>
  <si>
    <t>DAWSON</t>
  </si>
  <si>
    <t>CITY OF LAMESA</t>
  </si>
  <si>
    <t>0129011</t>
  </si>
  <si>
    <t>10107-001</t>
  </si>
  <si>
    <t>10107-001.001</t>
  </si>
  <si>
    <t>0127132</t>
  </si>
  <si>
    <t>14561-001</t>
  </si>
  <si>
    <t>14561-001.001</t>
  </si>
  <si>
    <t>FORT BEND COUNTY MUD NO 151</t>
  </si>
  <si>
    <t>0126764</t>
  </si>
  <si>
    <t>14528-001</t>
  </si>
  <si>
    <t>14528-001.001</t>
  </si>
  <si>
    <t>HARRIS COUNTY MUD 412</t>
  </si>
  <si>
    <t>0126756</t>
  </si>
  <si>
    <t>14527-001</t>
  </si>
  <si>
    <t>14527-001.001</t>
  </si>
  <si>
    <t>MAVERICK</t>
  </si>
  <si>
    <t>CITY OF EAGLE PASS WATER WORKS SYSTEM</t>
  </si>
  <si>
    <t>0128589</t>
  </si>
  <si>
    <t>14688-001</t>
  </si>
  <si>
    <t>14688-001.001</t>
  </si>
  <si>
    <t>2306</t>
  </si>
  <si>
    <t>PRESIDIO</t>
  </si>
  <si>
    <t>CITY OF PRESIDIO</t>
  </si>
  <si>
    <t>0128481</t>
  </si>
  <si>
    <t>14679-001</t>
  </si>
  <si>
    <t>14679-001.001</t>
  </si>
  <si>
    <t>FORT BEND COUNTY MUD NO 133</t>
  </si>
  <si>
    <t>0126624</t>
  </si>
  <si>
    <t>14514-001</t>
  </si>
  <si>
    <t>14514-001.001</t>
  </si>
  <si>
    <t>0203</t>
  </si>
  <si>
    <t>MUNSON POINT LTD</t>
  </si>
  <si>
    <t>0126250</t>
  </si>
  <si>
    <t>14487-002</t>
  </si>
  <si>
    <t>14487-002.001</t>
  </si>
  <si>
    <t>CITY OF DAISETTA</t>
  </si>
  <si>
    <t>0126837</t>
  </si>
  <si>
    <t>10736-002</t>
  </si>
  <si>
    <t>10736-002.001</t>
  </si>
  <si>
    <t>BLOOMINGTON ISD</t>
  </si>
  <si>
    <t>0127353</t>
  </si>
  <si>
    <t>14578-001</t>
  </si>
  <si>
    <t>14578-001.001</t>
  </si>
  <si>
    <t>MONTGOMERY MUD NO 105</t>
  </si>
  <si>
    <t>0127400</t>
  </si>
  <si>
    <t>14586-001</t>
  </si>
  <si>
    <t>14586-001.001</t>
  </si>
  <si>
    <t>MILITARY HIGHWAY WSC</t>
  </si>
  <si>
    <t>0127230</t>
  </si>
  <si>
    <t>04754-000</t>
  </si>
  <si>
    <t>04754-000.001</t>
  </si>
  <si>
    <t>FORT BEND COUNTY MUD NO 50</t>
  </si>
  <si>
    <t>0129267</t>
  </si>
  <si>
    <t>14763-001</t>
  </si>
  <si>
    <t>14763-001.001</t>
  </si>
  <si>
    <t>HARRIS COUNTY MUD NO 1</t>
  </si>
  <si>
    <t>0129330</t>
  </si>
  <si>
    <t>11630-002</t>
  </si>
  <si>
    <t>11630-002.001</t>
  </si>
  <si>
    <t>0119946</t>
  </si>
  <si>
    <t>14223-001</t>
  </si>
  <si>
    <t>14223-001.001</t>
  </si>
  <si>
    <t>BRAZORIA COUNTY MUD 21</t>
  </si>
  <si>
    <t>0123633</t>
  </si>
  <si>
    <t>14222-001</t>
  </si>
  <si>
    <t>14222-001.001</t>
  </si>
  <si>
    <t>0123595</t>
  </si>
  <si>
    <t>14219-001</t>
  </si>
  <si>
    <t>14219-001.001</t>
  </si>
  <si>
    <t>ARCHDIOCESE OF GALVESTONHOUSTON</t>
  </si>
  <si>
    <t>0123587</t>
  </si>
  <si>
    <t>14218-001</t>
  </si>
  <si>
    <t>14218-001.001</t>
  </si>
  <si>
    <t>KARBALAI, RITA LAURA REDOW</t>
  </si>
  <si>
    <t>0123579</t>
  </si>
  <si>
    <t>14217-001</t>
  </si>
  <si>
    <t>14217-001.001</t>
  </si>
  <si>
    <t>CITY OF SANGER</t>
  </si>
  <si>
    <t>0022403</t>
  </si>
  <si>
    <t>14372-001</t>
  </si>
  <si>
    <t>14372-001.001</t>
  </si>
  <si>
    <t>RICETEC INC</t>
  </si>
  <si>
    <t>0117927</t>
  </si>
  <si>
    <t>14068-001</t>
  </si>
  <si>
    <t>14068-001.001</t>
  </si>
  <si>
    <t>STAFFORD MOBILE HOME PARK INC</t>
  </si>
  <si>
    <t>0117358</t>
  </si>
  <si>
    <t>14064-001</t>
  </si>
  <si>
    <t>14064-001.001</t>
  </si>
  <si>
    <t>AQUA DEVELOPMENT INC</t>
  </si>
  <si>
    <t>0117315</t>
  </si>
  <si>
    <t>14061-001</t>
  </si>
  <si>
    <t>14061-001.001</t>
  </si>
  <si>
    <t>AUS-TEX PARTS &amp; SERVICE LTD</t>
  </si>
  <si>
    <t>0117676</t>
  </si>
  <si>
    <t>14060-001</t>
  </si>
  <si>
    <t>14060-001.001</t>
  </si>
  <si>
    <t>CITY OF MERTENS</t>
  </si>
  <si>
    <t>0133761</t>
  </si>
  <si>
    <t>15055-001</t>
  </si>
  <si>
    <t>15055-001.001</t>
  </si>
  <si>
    <t>02973-000.006</t>
  </si>
  <si>
    <t>02973-000.002</t>
  </si>
  <si>
    <t>02973-000.007</t>
  </si>
  <si>
    <t>ROYALWOOD MUD</t>
  </si>
  <si>
    <t>0062952</t>
  </si>
  <si>
    <t>10608-002</t>
  </si>
  <si>
    <t>10608-002.001</t>
  </si>
  <si>
    <t>CITY OF ROSENBERG</t>
  </si>
  <si>
    <t>0125512</t>
  </si>
  <si>
    <t>10607-004</t>
  </si>
  <si>
    <t>10607-004.001</t>
  </si>
  <si>
    <t>0098914</t>
  </si>
  <si>
    <t>10607-003</t>
  </si>
  <si>
    <t>10607-003.001</t>
  </si>
  <si>
    <t>0024490</t>
  </si>
  <si>
    <t>10607-002</t>
  </si>
  <si>
    <t>10607-002.001</t>
  </si>
  <si>
    <t>CITY OF MALAKOFF</t>
  </si>
  <si>
    <t>0020559</t>
  </si>
  <si>
    <t>10738-001</t>
  </si>
  <si>
    <t>10738-001.001</t>
  </si>
  <si>
    <t>CITY OF ELKHART</t>
  </si>
  <si>
    <t>0022578</t>
  </si>
  <si>
    <t>10735-001</t>
  </si>
  <si>
    <t>10735-001.001</t>
  </si>
  <si>
    <t>CITY OF LOVELADY</t>
  </si>
  <si>
    <t>0027138</t>
  </si>
  <si>
    <t>10734-001</t>
  </si>
  <si>
    <t>10734-001.001</t>
  </si>
  <si>
    <t>CITY OF AVERY</t>
  </si>
  <si>
    <t>0053503</t>
  </si>
  <si>
    <t>10733-002</t>
  </si>
  <si>
    <t>10733-002.001</t>
  </si>
  <si>
    <t>CITY OF NASSAU BAY</t>
  </si>
  <si>
    <t>0023833</t>
  </si>
  <si>
    <t>10526-001</t>
  </si>
  <si>
    <t>10526-001.001</t>
  </si>
  <si>
    <t>CITY OF ARANSAS PASS</t>
  </si>
  <si>
    <t>0025682</t>
  </si>
  <si>
    <t>10521-002</t>
  </si>
  <si>
    <t>10521-002.001</t>
  </si>
  <si>
    <t>CITY OF WEBSTER</t>
  </si>
  <si>
    <t>0024589</t>
  </si>
  <si>
    <t>10520-001</t>
  </si>
  <si>
    <t>10520-001.001</t>
  </si>
  <si>
    <t>CITY OF DEER PARK</t>
  </si>
  <si>
    <t>0025321</t>
  </si>
  <si>
    <t>10519-002</t>
  </si>
  <si>
    <t>10519-002.001</t>
  </si>
  <si>
    <t>0021261</t>
  </si>
  <si>
    <t>10518-001</t>
  </si>
  <si>
    <t>10518-001.001</t>
  </si>
  <si>
    <t>CITY OF MALONE</t>
  </si>
  <si>
    <t>0020303</t>
  </si>
  <si>
    <t>10514-001</t>
  </si>
  <si>
    <t>10514-001.001</t>
  </si>
  <si>
    <t>VICTORIA COUNTY WCID 1</t>
  </si>
  <si>
    <t>0122246</t>
  </si>
  <si>
    <t>10513-002</t>
  </si>
  <si>
    <t>10513-002.001</t>
  </si>
  <si>
    <t>CITY OF ARP</t>
  </si>
  <si>
    <t>0054194</t>
  </si>
  <si>
    <t>10511-001</t>
  </si>
  <si>
    <t>10511-001.001</t>
  </si>
  <si>
    <t>CITY OF WICHITA FALLS</t>
  </si>
  <si>
    <t>0084557</t>
  </si>
  <si>
    <t>10509-005</t>
  </si>
  <si>
    <t>10509-005.001</t>
  </si>
  <si>
    <t>MASON</t>
  </si>
  <si>
    <t>CITY OF MASON</t>
  </si>
  <si>
    <t>0071111</t>
  </si>
  <si>
    <t>10670-001</t>
  </si>
  <si>
    <t>10670-001.001</t>
  </si>
  <si>
    <t>HARRIS COUNTY FWSD 58</t>
  </si>
  <si>
    <t>0027758</t>
  </si>
  <si>
    <t>10668-001</t>
  </si>
  <si>
    <t>10668-001.001</t>
  </si>
  <si>
    <t>TOWN OF WINDOM</t>
  </si>
  <si>
    <t>0072711</t>
  </si>
  <si>
    <t>10666-001</t>
  </si>
  <si>
    <t>10666-001.001</t>
  </si>
  <si>
    <t>MATAGORDA COUNTY WCID 6</t>
  </si>
  <si>
    <t>0024155</t>
  </si>
  <si>
    <t>10663-001</t>
  </si>
  <si>
    <t>10663-001.001</t>
  </si>
  <si>
    <t>APEX BETHEL ENERGY CENTER LLC</t>
  </si>
  <si>
    <t>0133949</t>
  </si>
  <si>
    <t>05002-000</t>
  </si>
  <si>
    <t>05002-000.001</t>
  </si>
  <si>
    <t>1103</t>
  </si>
  <si>
    <t>BAYOU DEVELOPMENT LLC</t>
  </si>
  <si>
    <t>0124761</t>
  </si>
  <si>
    <t>14326-001</t>
  </si>
  <si>
    <t>14326-001.001</t>
  </si>
  <si>
    <t>1107</t>
  </si>
  <si>
    <t>0119041</t>
  </si>
  <si>
    <t>14324-001</t>
  </si>
  <si>
    <t>14324-001.001</t>
  </si>
  <si>
    <t>COVIA HOLDINGS CORP</t>
  </si>
  <si>
    <t>0001830</t>
  </si>
  <si>
    <t>01401-000</t>
  </si>
  <si>
    <t>01401-000.005</t>
  </si>
  <si>
    <t>GONZALES</t>
  </si>
  <si>
    <t>GONZALES COUNTY WSC</t>
  </si>
  <si>
    <t>0138215</t>
  </si>
  <si>
    <t>15648-001</t>
  </si>
  <si>
    <t>15648-001.001</t>
  </si>
  <si>
    <t>0138231</t>
  </si>
  <si>
    <t>15650-001</t>
  </si>
  <si>
    <t>15650-001.001</t>
  </si>
  <si>
    <t>ODFJELL TERMINALS (HOUSTON) INC</t>
  </si>
  <si>
    <t>0089192</t>
  </si>
  <si>
    <t>02547-000</t>
  </si>
  <si>
    <t>02547-000.002</t>
  </si>
  <si>
    <t>7</t>
  </si>
  <si>
    <t>TOWN OF PECOS CITY</t>
  </si>
  <si>
    <t>0137693</t>
  </si>
  <si>
    <t>10245-001</t>
  </si>
  <si>
    <t>10245-001.001</t>
  </si>
  <si>
    <t>FORT BEND COUNTY MUD 134E</t>
  </si>
  <si>
    <t>0136140</t>
  </si>
  <si>
    <t>15335-001</t>
  </si>
  <si>
    <t>15335-001.001</t>
  </si>
  <si>
    <t>LENNAR HOMES OF TEXAS LAND AND CONSTRUCTION LTD</t>
  </si>
  <si>
    <t>0135691</t>
  </si>
  <si>
    <t>15095-001</t>
  </si>
  <si>
    <t>15095-001.001</t>
  </si>
  <si>
    <t>2107</t>
  </si>
  <si>
    <t>ATASCOSA</t>
  </si>
  <si>
    <t>SAN MIGUEL ELECTRIC COOP INC</t>
  </si>
  <si>
    <t>0090611</t>
  </si>
  <si>
    <t>02601-000</t>
  </si>
  <si>
    <t>02601-000.001</t>
  </si>
  <si>
    <t>BLUEJACK DEVELOPMENT CO LLC</t>
  </si>
  <si>
    <t>0135658</t>
  </si>
  <si>
    <t>15283-001</t>
  </si>
  <si>
    <t>15283-001.001</t>
  </si>
  <si>
    <t>EL PASO WATER UTILITIES PUBLIC SERVICE BOARD</t>
  </si>
  <si>
    <t>0135500</t>
  </si>
  <si>
    <t>15268-001</t>
  </si>
  <si>
    <t>15268-001.001</t>
  </si>
  <si>
    <t>SR AUS LLC</t>
  </si>
  <si>
    <t>0136701</t>
  </si>
  <si>
    <t>15418-001</t>
  </si>
  <si>
    <t>15418-001.001</t>
  </si>
  <si>
    <t>JOHNSON COUNTY PIPE INC</t>
  </si>
  <si>
    <t>0136646</t>
  </si>
  <si>
    <t>15411-001</t>
  </si>
  <si>
    <t>15411-001.001</t>
  </si>
  <si>
    <t>WALKER AERO ENVIRONMENTAL LLC</t>
  </si>
  <si>
    <t>0136654</t>
  </si>
  <si>
    <t>05181-000</t>
  </si>
  <si>
    <t>05181-000.001</t>
  </si>
  <si>
    <t>METRO WATER SYSTEMS INC</t>
  </si>
  <si>
    <t>0136590</t>
  </si>
  <si>
    <t>05177-000</t>
  </si>
  <si>
    <t>05177-000.001</t>
  </si>
  <si>
    <t>99 WEST 570 PARTNERS LLC</t>
  </si>
  <si>
    <t>0136611</t>
  </si>
  <si>
    <t>14905-003</t>
  </si>
  <si>
    <t>14905-003.001</t>
  </si>
  <si>
    <t>01515-000.006</t>
  </si>
  <si>
    <t>HARRIS COUNTY MUD NO 531</t>
  </si>
  <si>
    <t>0135119</t>
  </si>
  <si>
    <t>15218-001</t>
  </si>
  <si>
    <t>15218-001.001</t>
  </si>
  <si>
    <t>FORT BEND COUNTY MUD 143</t>
  </si>
  <si>
    <t>0135305</t>
  </si>
  <si>
    <t>15241-001</t>
  </si>
  <si>
    <t>15241-001.001</t>
  </si>
  <si>
    <t>FORT BEND COUNTY MUD NO 30</t>
  </si>
  <si>
    <t>0135259</t>
  </si>
  <si>
    <t>15233-001</t>
  </si>
  <si>
    <t>15233-001.001</t>
  </si>
  <si>
    <t>SABINE</t>
  </si>
  <si>
    <t>SABINE RIVER AUTHORITY OF TEXAS</t>
  </si>
  <si>
    <t>0135160</t>
  </si>
  <si>
    <t>15223-001</t>
  </si>
  <si>
    <t>15223-001.001</t>
  </si>
  <si>
    <t>SHINTECH INC</t>
  </si>
  <si>
    <t>0053813</t>
  </si>
  <si>
    <t>04818-000</t>
  </si>
  <si>
    <t>04818-000.006</t>
  </si>
  <si>
    <t>DOS REPUBLICAS COAL PARTNERSHIP</t>
  </si>
  <si>
    <t>0109011</t>
  </si>
  <si>
    <t>03511-000</t>
  </si>
  <si>
    <t>03511-000.021</t>
  </si>
  <si>
    <t>0047686</t>
  </si>
  <si>
    <t>10509-001</t>
  </si>
  <si>
    <t>10509-001.002</t>
  </si>
  <si>
    <t>05024-000.004</t>
  </si>
  <si>
    <t>05024-000.001</t>
  </si>
  <si>
    <t>0134716</t>
  </si>
  <si>
    <t>05025-000</t>
  </si>
  <si>
    <t>05025-000.001</t>
  </si>
  <si>
    <t>0134864</t>
  </si>
  <si>
    <t>15158-001</t>
  </si>
  <si>
    <t>15158-001.001</t>
  </si>
  <si>
    <t>1236</t>
  </si>
  <si>
    <t>JONES</t>
  </si>
  <si>
    <t>CITY OF ABILENE</t>
  </si>
  <si>
    <t>0023973</t>
  </si>
  <si>
    <t>10334-004</t>
  </si>
  <si>
    <t>10334-004.003</t>
  </si>
  <si>
    <t>HANSON AGGREGATES LLC</t>
  </si>
  <si>
    <t>0000825</t>
  </si>
  <si>
    <t>01214-000</t>
  </si>
  <si>
    <t>01214-000.002</t>
  </si>
  <si>
    <t>MONTGOMERY COUNTY MUD 137</t>
  </si>
  <si>
    <t>0134856</t>
  </si>
  <si>
    <t>15157-001</t>
  </si>
  <si>
    <t>15157-001.001</t>
  </si>
  <si>
    <t>THE DOW CHEMICAL CO</t>
  </si>
  <si>
    <t>0006483</t>
  </si>
  <si>
    <t>00007-000</t>
  </si>
  <si>
    <t>00007-000.004</t>
  </si>
  <si>
    <t>SHERRY SMITH MILNER</t>
  </si>
  <si>
    <t>0135089</t>
  </si>
  <si>
    <t>15207-001</t>
  </si>
  <si>
    <t>15207-001.001</t>
  </si>
  <si>
    <t>1241</t>
  </si>
  <si>
    <t>LUBBOCK</t>
  </si>
  <si>
    <t>CITY OF LUBBOCK</t>
  </si>
  <si>
    <t>0135054</t>
  </si>
  <si>
    <t>10353-011</t>
  </si>
  <si>
    <t>10353-011.001</t>
  </si>
  <si>
    <t>0206</t>
  </si>
  <si>
    <t>HARDEMAN</t>
  </si>
  <si>
    <t>CITY OF QUANAH</t>
  </si>
  <si>
    <t>0024139</t>
  </si>
  <si>
    <t>10600-001</t>
  </si>
  <si>
    <t>10600-001.001</t>
  </si>
  <si>
    <t>CITY OF POINT COMFORT</t>
  </si>
  <si>
    <t>0023167</t>
  </si>
  <si>
    <t>10599-001</t>
  </si>
  <si>
    <t>10599-001.001</t>
  </si>
  <si>
    <t>CITY OF PLEASANTON</t>
  </si>
  <si>
    <t>0022594</t>
  </si>
  <si>
    <t>10598-001</t>
  </si>
  <si>
    <t>10598-001.001</t>
  </si>
  <si>
    <t>0508</t>
  </si>
  <si>
    <t>CITY OF PINEHURST</t>
  </si>
  <si>
    <t>0024171</t>
  </si>
  <si>
    <t>10597-001</t>
  </si>
  <si>
    <t>10597-001.001</t>
  </si>
  <si>
    <t>CITY OF PHARR</t>
  </si>
  <si>
    <t>0062219</t>
  </si>
  <si>
    <t>10596-001</t>
  </si>
  <si>
    <t>10596-001.001</t>
  </si>
  <si>
    <t>CITY OF PALACIOS</t>
  </si>
  <si>
    <t>0023051</t>
  </si>
  <si>
    <t>10593-001</t>
  </si>
  <si>
    <t>10593-001.001</t>
  </si>
  <si>
    <t>JIM WELLS</t>
  </si>
  <si>
    <t>CITY OF ORANGE GROVE</t>
  </si>
  <si>
    <t>0020397</t>
  </si>
  <si>
    <t>10592-001</t>
  </si>
  <si>
    <t>10592-001.001</t>
  </si>
  <si>
    <t>CITY OF POTTSBORO</t>
  </si>
  <si>
    <t>0068756</t>
  </si>
  <si>
    <t>10591-001</t>
  </si>
  <si>
    <t>10591-001.001</t>
  </si>
  <si>
    <t>CITY OF LOS FRESNOS</t>
  </si>
  <si>
    <t>0091243</t>
  </si>
  <si>
    <t>10590-002</t>
  </si>
  <si>
    <t>10590-002.001</t>
  </si>
  <si>
    <t>CITY OF LONGVIEW</t>
  </si>
  <si>
    <t>0125237</t>
  </si>
  <si>
    <t>10589-004</t>
  </si>
  <si>
    <t>10589-004.001</t>
  </si>
  <si>
    <t>0022217</t>
  </si>
  <si>
    <t>10589-002</t>
  </si>
  <si>
    <t>10589-002.001</t>
  </si>
  <si>
    <t>HOWARD</t>
  </si>
  <si>
    <t>COLORADO RIVER MWD</t>
  </si>
  <si>
    <t>0131857</t>
  </si>
  <si>
    <t>04872-000</t>
  </si>
  <si>
    <t>04872-000.001</t>
  </si>
  <si>
    <t>CITY OF EDCOUCH</t>
  </si>
  <si>
    <t>0057614</t>
  </si>
  <si>
    <t>14919-001</t>
  </si>
  <si>
    <t>14919-001.001</t>
  </si>
  <si>
    <t>02109-000.006</t>
  </si>
  <si>
    <t>02109-000.005</t>
  </si>
  <si>
    <t>02109-000.004</t>
  </si>
  <si>
    <t>02109-000.003</t>
  </si>
  <si>
    <t>001B</t>
  </si>
  <si>
    <t>04852-000.001B</t>
  </si>
  <si>
    <t>NUSTAR TERMINALS OPERATIONS PARTNERSHIP LP</t>
  </si>
  <si>
    <t>0089753</t>
  </si>
  <si>
    <t>02565-000</t>
  </si>
  <si>
    <t>02565-000.001</t>
  </si>
  <si>
    <t>GEO SPECIALTY CHEMICALS INC</t>
  </si>
  <si>
    <t>0089567</t>
  </si>
  <si>
    <t>02558-000</t>
  </si>
  <si>
    <t>02558-000.002</t>
  </si>
  <si>
    <t>02558-000.001</t>
  </si>
  <si>
    <t>02547-000.001</t>
  </si>
  <si>
    <t>0089125</t>
  </si>
  <si>
    <t>02546-000</t>
  </si>
  <si>
    <t>02546-000.001</t>
  </si>
  <si>
    <t>4</t>
  </si>
  <si>
    <t>CITY OF PALMER</t>
  </si>
  <si>
    <t>0026603</t>
  </si>
  <si>
    <t>14795-001</t>
  </si>
  <si>
    <t>14795-001.001</t>
  </si>
  <si>
    <t>ALON USA LP</t>
  </si>
  <si>
    <t>0104515</t>
  </si>
  <si>
    <t>01768-000</t>
  </si>
  <si>
    <t>01768-000.001</t>
  </si>
  <si>
    <t>0602</t>
  </si>
  <si>
    <t>TEXAS ELECTRIC COOPERATIVES INC</t>
  </si>
  <si>
    <t>0006351</t>
  </si>
  <si>
    <t>01766-000</t>
  </si>
  <si>
    <t>01766-000.001</t>
  </si>
  <si>
    <t>RIO GRANDE VALLEY SUGAR GROWERS INC</t>
  </si>
  <si>
    <t>0032905</t>
  </si>
  <si>
    <t>01752-000</t>
  </si>
  <si>
    <t>01752-000.001</t>
  </si>
  <si>
    <t>CHEVRON USA INC</t>
  </si>
  <si>
    <t>0118214</t>
  </si>
  <si>
    <t>01745-000</t>
  </si>
  <si>
    <t>01745-000.004</t>
  </si>
  <si>
    <t>01745-000.003</t>
  </si>
  <si>
    <t>01745-000.002</t>
  </si>
  <si>
    <t>0052591</t>
  </si>
  <si>
    <t>01740-000</t>
  </si>
  <si>
    <t>01740-000.001</t>
  </si>
  <si>
    <t>GEORGIA-PACIFIC CHEMICALS LLC</t>
  </si>
  <si>
    <t>0082261</t>
  </si>
  <si>
    <t>01737-000</t>
  </si>
  <si>
    <t>01737-000.001</t>
  </si>
  <si>
    <t>VOPAK LOGISTICS SERVICES USA INC</t>
  </si>
  <si>
    <t>0030937</t>
  </si>
  <si>
    <t>01731-000</t>
  </si>
  <si>
    <t>01731-000.001</t>
  </si>
  <si>
    <t>MONTGOMERY CO MUD 113</t>
  </si>
  <si>
    <t>0129674</t>
  </si>
  <si>
    <t>14814-001</t>
  </si>
  <si>
    <t>14814-001.001</t>
  </si>
  <si>
    <t>EAST MONTGOMERY COUNTY MUD 5</t>
  </si>
  <si>
    <t>0133906</t>
  </si>
  <si>
    <t>15065-001</t>
  </si>
  <si>
    <t>15065-001.001</t>
  </si>
  <si>
    <t>WESTWOOD WSC</t>
  </si>
  <si>
    <t>0031275</t>
  </si>
  <si>
    <t>11337-001</t>
  </si>
  <si>
    <t>11337-001.001</t>
  </si>
  <si>
    <t>MOMIN, ZEHRABEN</t>
  </si>
  <si>
    <t>0136522</t>
  </si>
  <si>
    <t>15398-001</t>
  </si>
  <si>
    <t>15398-001.001</t>
  </si>
  <si>
    <t>FOREST WSC</t>
  </si>
  <si>
    <t>0135267</t>
  </si>
  <si>
    <t>15234-001</t>
  </si>
  <si>
    <t>15234-001.001</t>
  </si>
  <si>
    <t>ANGELINA COUNTY WCID NO 3</t>
  </si>
  <si>
    <t>0133329</t>
  </si>
  <si>
    <t>15021-001</t>
  </si>
  <si>
    <t>15021-001.001</t>
  </si>
  <si>
    <t>1227</t>
  </si>
  <si>
    <t>CITY OF RIO VISTA</t>
  </si>
  <si>
    <t>0135411</t>
  </si>
  <si>
    <t>13546-002</t>
  </si>
  <si>
    <t>13546-002.001</t>
  </si>
  <si>
    <t>BRAZOS ELECTRIC POWER COOPERATIVE INC</t>
  </si>
  <si>
    <t>0062197</t>
  </si>
  <si>
    <t>01903-000</t>
  </si>
  <si>
    <t>01903-000.003</t>
  </si>
  <si>
    <t>TARGA TERMINALS LLC</t>
  </si>
  <si>
    <t>0136573</t>
  </si>
  <si>
    <t>05175-000</t>
  </si>
  <si>
    <t>05175-000.004</t>
  </si>
  <si>
    <t>05175-000.003</t>
  </si>
  <si>
    <t>05175-000.002</t>
  </si>
  <si>
    <t>05175-000.001</t>
  </si>
  <si>
    <t>HARRIS COUNTY MUD NO 438</t>
  </si>
  <si>
    <t>0136484</t>
  </si>
  <si>
    <t>15394-001</t>
  </si>
  <si>
    <t>15394-001.001</t>
  </si>
  <si>
    <t>FORT BEND COUNTY MUD 213</t>
  </si>
  <si>
    <t>0136441</t>
  </si>
  <si>
    <t>15385-001</t>
  </si>
  <si>
    <t>15385-001.001</t>
  </si>
  <si>
    <t>DOWDELL PUD</t>
  </si>
  <si>
    <t>0136468</t>
  </si>
  <si>
    <t>11404-002</t>
  </si>
  <si>
    <t>11404-002.001</t>
  </si>
  <si>
    <t>0133523</t>
  </si>
  <si>
    <t>15039-001</t>
  </si>
  <si>
    <t>15039-001.001</t>
  </si>
  <si>
    <t>KATY-HOCKLEY CORP</t>
  </si>
  <si>
    <t>0119121</t>
  </si>
  <si>
    <t>14109-001</t>
  </si>
  <si>
    <t>14109-001.001</t>
  </si>
  <si>
    <t>MOUNT HOUSTON ROAD MUD</t>
  </si>
  <si>
    <t>0023515</t>
  </si>
  <si>
    <t>11154-001</t>
  </si>
  <si>
    <t>11154-001.001</t>
  </si>
  <si>
    <t>0515</t>
  </si>
  <si>
    <t>ALF PROPERTIES LLC</t>
  </si>
  <si>
    <t>0136417</t>
  </si>
  <si>
    <t>05165-000</t>
  </si>
  <si>
    <t>05165-000.001</t>
  </si>
  <si>
    <t>MONTGOMERY RIDGE LTD</t>
  </si>
  <si>
    <t>0136379</t>
  </si>
  <si>
    <t>15372-001</t>
  </si>
  <si>
    <t>15372-001.001</t>
  </si>
  <si>
    <t>FOSSIL RIM WILDLIFE CENTER INC</t>
  </si>
  <si>
    <t>0135373</t>
  </si>
  <si>
    <t>15250-001</t>
  </si>
  <si>
    <t>15250-001.001</t>
  </si>
  <si>
    <t>01401-000.004</t>
  </si>
  <si>
    <t>HARRIS COUNTY MUD 495</t>
  </si>
  <si>
    <t>0135143</t>
  </si>
  <si>
    <t>15222-001</t>
  </si>
  <si>
    <t>15222-001.001</t>
  </si>
  <si>
    <t>NORTH ALAMO WATER SUPPLY CORP</t>
  </si>
  <si>
    <t>0134902</t>
  </si>
  <si>
    <t>15163-001</t>
  </si>
  <si>
    <t>15163-001.001</t>
  </si>
  <si>
    <t>TXI OPERATIONS LP</t>
  </si>
  <si>
    <t>0134732</t>
  </si>
  <si>
    <t>05092-000</t>
  </si>
  <si>
    <t>05092-000.001</t>
  </si>
  <si>
    <t>JUDSON ISD</t>
  </si>
  <si>
    <t>0134775</t>
  </si>
  <si>
    <t>15141-001</t>
  </si>
  <si>
    <t>15141-001.001</t>
  </si>
  <si>
    <t>CRAFT-TURNEY WSC</t>
  </si>
  <si>
    <t>0134571</t>
  </si>
  <si>
    <t>15094-001</t>
  </si>
  <si>
    <t>15094-001.001</t>
  </si>
  <si>
    <t>0134538</t>
  </si>
  <si>
    <t>05015-000</t>
  </si>
  <si>
    <t>05015-000.001</t>
  </si>
  <si>
    <t>GREENBAY REAL ESTATE INVESTMENT LP</t>
  </si>
  <si>
    <t>0134414</t>
  </si>
  <si>
    <t>15082-001</t>
  </si>
  <si>
    <t>15082-001.001</t>
  </si>
  <si>
    <t>0200</t>
  </si>
  <si>
    <t>WHEELER</t>
  </si>
  <si>
    <t>CITY OF WHEELER</t>
  </si>
  <si>
    <t>0135046</t>
  </si>
  <si>
    <t>05106-000</t>
  </si>
  <si>
    <t>05106-000.001</t>
  </si>
  <si>
    <t>KMCO LLC</t>
  </si>
  <si>
    <t>0095559</t>
  </si>
  <si>
    <t>02712-000</t>
  </si>
  <si>
    <t>02712-000.003</t>
  </si>
  <si>
    <t>NORTHEAST TEXAS MUNICIPAL WATER DISTRICT</t>
  </si>
  <si>
    <t>0134490</t>
  </si>
  <si>
    <t>15086-001</t>
  </si>
  <si>
    <t>15086-001.001</t>
  </si>
  <si>
    <t>CITY OF TRENTON</t>
  </si>
  <si>
    <t>0134244</t>
  </si>
  <si>
    <t>10704-002</t>
  </si>
  <si>
    <t>10704-002.001</t>
  </si>
  <si>
    <t>0134384</t>
  </si>
  <si>
    <t>10681-008</t>
  </si>
  <si>
    <t>10681-008.001</t>
  </si>
  <si>
    <t>PORT COMFORT POWER LLC</t>
  </si>
  <si>
    <t>0137511</t>
  </si>
  <si>
    <t>05220-000</t>
  </si>
  <si>
    <t>05220-000.001</t>
  </si>
  <si>
    <t>0102</t>
  </si>
  <si>
    <t>CITY OF DUMAS</t>
  </si>
  <si>
    <t>0135526</t>
  </si>
  <si>
    <t>15273-001</t>
  </si>
  <si>
    <t>15273-001.001</t>
  </si>
  <si>
    <t>0135666</t>
  </si>
  <si>
    <t>15284-001</t>
  </si>
  <si>
    <t>15284-001.001</t>
  </si>
  <si>
    <t>1813</t>
  </si>
  <si>
    <t>CITY OF WIMBERLY</t>
  </si>
  <si>
    <t>0135445</t>
  </si>
  <si>
    <t>13321-001</t>
  </si>
  <si>
    <t>13321-001.001</t>
  </si>
  <si>
    <t>FANNETT SEWER SERVICE &amp; WATER SUPPLY CORP</t>
  </si>
  <si>
    <t>0135429</t>
  </si>
  <si>
    <t>14867-002</t>
  </si>
  <si>
    <t>14867-002.001</t>
  </si>
  <si>
    <t>ROBERTSON</t>
  </si>
  <si>
    <t>G</t>
  </si>
  <si>
    <t>KT MINING LLC</t>
  </si>
  <si>
    <t>0101567</t>
  </si>
  <si>
    <t>017</t>
  </si>
  <si>
    <t>02881-000</t>
  </si>
  <si>
    <t>02881-000.017</t>
  </si>
  <si>
    <t>02881-000.012</t>
  </si>
  <si>
    <t>02881-000.011</t>
  </si>
  <si>
    <t>02277-000.021</t>
  </si>
  <si>
    <t>HUFFSMITH-KOHRVILLE INC</t>
  </si>
  <si>
    <t>0092894</t>
  </si>
  <si>
    <t>14923-001</t>
  </si>
  <si>
    <t>14923-001.001</t>
  </si>
  <si>
    <t>0131768</t>
  </si>
  <si>
    <t>04867-000</t>
  </si>
  <si>
    <t>04867-000.001</t>
  </si>
  <si>
    <t>1243</t>
  </si>
  <si>
    <t>VILLAGE OF SALADO</t>
  </si>
  <si>
    <t>0125610</t>
  </si>
  <si>
    <t>14898-001</t>
  </si>
  <si>
    <t>14898-001.001</t>
  </si>
  <si>
    <t>0119687</t>
  </si>
  <si>
    <t>14910-001</t>
  </si>
  <si>
    <t>14910-001.001</t>
  </si>
  <si>
    <t>02110-000.002</t>
  </si>
  <si>
    <t>ANDREWS</t>
  </si>
  <si>
    <t>ANDREWS COUNTY AND WASTE CONTROL SPECIALISTS LLC</t>
  </si>
  <si>
    <t>0131644</t>
  </si>
  <si>
    <t>04857-000</t>
  </si>
  <si>
    <t>04857-000.005</t>
  </si>
  <si>
    <t>04857-000.004</t>
  </si>
  <si>
    <t>0503</t>
  </si>
  <si>
    <t>SABINE RIVER AUTHORITY (SRA) OF TX, SRA-STATE OF LA AND ENTERGY TX INC</t>
  </si>
  <si>
    <t>0130109</t>
  </si>
  <si>
    <t>04845-000</t>
  </si>
  <si>
    <t>04845-000.003</t>
  </si>
  <si>
    <t>04845-000.002</t>
  </si>
  <si>
    <t>04845-000.001</t>
  </si>
  <si>
    <t>00443-000.008</t>
  </si>
  <si>
    <t>00443-000.007</t>
  </si>
  <si>
    <t>CW-MHP LTD</t>
  </si>
  <si>
    <t>0097209</t>
  </si>
  <si>
    <t>14886-001</t>
  </si>
  <si>
    <t>14886-001.001</t>
  </si>
  <si>
    <t>BURNET</t>
  </si>
  <si>
    <t>0062014</t>
  </si>
  <si>
    <t>11332-001</t>
  </si>
  <si>
    <t>11332-001.001</t>
  </si>
  <si>
    <t>TEXAS H2O INC</t>
  </si>
  <si>
    <t>0104833</t>
  </si>
  <si>
    <t>13025-001</t>
  </si>
  <si>
    <t>13025-001.001</t>
  </si>
  <si>
    <t>0098264</t>
  </si>
  <si>
    <t>13022-001</t>
  </si>
  <si>
    <t>13022-001.001</t>
  </si>
  <si>
    <t>BIG OAKS MUD</t>
  </si>
  <si>
    <t>0096911</t>
  </si>
  <si>
    <t>13021-001</t>
  </si>
  <si>
    <t>13021-001.001</t>
  </si>
  <si>
    <t>HARRIS COUNTY MUD 286</t>
  </si>
  <si>
    <t>0096920</t>
  </si>
  <si>
    <t>13020-001</t>
  </si>
  <si>
    <t>13020-001.001</t>
  </si>
  <si>
    <t>COLORADO</t>
  </si>
  <si>
    <t>THE FALLS MUD</t>
  </si>
  <si>
    <t>0096768</t>
  </si>
  <si>
    <t>13018-001</t>
  </si>
  <si>
    <t>13018-001.001</t>
  </si>
  <si>
    <t>RA-TE INC</t>
  </si>
  <si>
    <t>0097292</t>
  </si>
  <si>
    <t>13017-001</t>
  </si>
  <si>
    <t>13017-001.001</t>
  </si>
  <si>
    <t>LAMAR CONSOLIDATED ISD</t>
  </si>
  <si>
    <t>0096709</t>
  </si>
  <si>
    <t>13007-001</t>
  </si>
  <si>
    <t>13007-001.001</t>
  </si>
  <si>
    <t>TALL TIMBERS UTILITY CO INC</t>
  </si>
  <si>
    <t>0101010</t>
  </si>
  <si>
    <t>13000-001</t>
  </si>
  <si>
    <t>13000-001.001</t>
  </si>
  <si>
    <t>0096679</t>
  </si>
  <si>
    <t>12996-001</t>
  </si>
  <si>
    <t>12996-001.001</t>
  </si>
  <si>
    <t>DEVELOPMENT SOLUTIONS CW LLC</t>
  </si>
  <si>
    <t>0133132</t>
  </si>
  <si>
    <t>15011-001</t>
  </si>
  <si>
    <t>15011-001.001</t>
  </si>
  <si>
    <t>NORTHGATE CROSSING MUD 2</t>
  </si>
  <si>
    <t>0119181</t>
  </si>
  <si>
    <t>12979-004</t>
  </si>
  <si>
    <t>12979-004.001</t>
  </si>
  <si>
    <t>0097870</t>
  </si>
  <si>
    <t>12971-001</t>
  </si>
  <si>
    <t>12971-001.001</t>
  </si>
  <si>
    <t>LAKE FORK MARINA INC</t>
  </si>
  <si>
    <t>0096059</t>
  </si>
  <si>
    <t>12960-001</t>
  </si>
  <si>
    <t>12960-001.001</t>
  </si>
  <si>
    <t>HARRIS COUNTY MUD 284</t>
  </si>
  <si>
    <t>0095702</t>
  </si>
  <si>
    <t>12949-001</t>
  </si>
  <si>
    <t>12949-001.001</t>
  </si>
  <si>
    <t>HARRIS COUNTY WCID 89</t>
  </si>
  <si>
    <t>0095842</t>
  </si>
  <si>
    <t>12939-001</t>
  </si>
  <si>
    <t>12939-001.001</t>
  </si>
  <si>
    <t>PALMER PLANTATION MUD 1</t>
  </si>
  <si>
    <t>0090484</t>
  </si>
  <si>
    <t>12937-001</t>
  </si>
  <si>
    <t>12937-001.001</t>
  </si>
  <si>
    <t>BOLIVAR UTILITY SERVICES LLC</t>
  </si>
  <si>
    <t>0095923</t>
  </si>
  <si>
    <t>12936-001</t>
  </si>
  <si>
    <t>12936-001.001</t>
  </si>
  <si>
    <t>BRIGHT STAR-SALEM SPECIAL UTILITY DISTRICT</t>
  </si>
  <si>
    <t>0136387</t>
  </si>
  <si>
    <t>15374-001</t>
  </si>
  <si>
    <t>15374-001.001</t>
  </si>
  <si>
    <t>THE SIGNORELLI COMPANY</t>
  </si>
  <si>
    <t>0136247</t>
  </si>
  <si>
    <t>15345-001</t>
  </si>
  <si>
    <t>15345-001.001</t>
  </si>
  <si>
    <t>1902</t>
  </si>
  <si>
    <t>GREEN VALLEY SPECIAL UTILITY DISTRICT</t>
  </si>
  <si>
    <t>0136352</t>
  </si>
  <si>
    <t>15360-001</t>
  </si>
  <si>
    <t>15360-001.001</t>
  </si>
  <si>
    <t>01598-000.010</t>
  </si>
  <si>
    <t>01598-000.009</t>
  </si>
  <si>
    <t>01598-000.008</t>
  </si>
  <si>
    <t>01598-000.007</t>
  </si>
  <si>
    <t>0076023</t>
  </si>
  <si>
    <t>10968-002</t>
  </si>
  <si>
    <t>10968-002.001</t>
  </si>
  <si>
    <t>0071544</t>
  </si>
  <si>
    <t>10964-002</t>
  </si>
  <si>
    <t>10964-002.001</t>
  </si>
  <si>
    <t>HARRIS COUNTY WCID NO 113</t>
  </si>
  <si>
    <t>0062049</t>
  </si>
  <si>
    <t>10962-001</t>
  </si>
  <si>
    <t>10962-001.001</t>
  </si>
  <si>
    <t>RIVER HILLS OWNERS ASSN INC</t>
  </si>
  <si>
    <t>0033154</t>
  </si>
  <si>
    <t>10961-001</t>
  </si>
  <si>
    <t>10961-001.001</t>
  </si>
  <si>
    <t>HARRIS COUNTY WCID 116</t>
  </si>
  <si>
    <t>0046710</t>
  </si>
  <si>
    <t>10955-001</t>
  </si>
  <si>
    <t>10955-001.001</t>
  </si>
  <si>
    <t>ELLINGER SEWER WSC</t>
  </si>
  <si>
    <t>0066648</t>
  </si>
  <si>
    <t>10945-001</t>
  </si>
  <si>
    <t>10945-001.001</t>
  </si>
  <si>
    <t>CITY OF FLORENCE</t>
  </si>
  <si>
    <t>0078247</t>
  </si>
  <si>
    <t>10944-001</t>
  </si>
  <si>
    <t>10944-001.001</t>
  </si>
  <si>
    <t>CITY OF LULING</t>
  </si>
  <si>
    <t>0030970</t>
  </si>
  <si>
    <t>10943-001</t>
  </si>
  <si>
    <t>10943-001.001</t>
  </si>
  <si>
    <t>CITY OF WHITE OAK</t>
  </si>
  <si>
    <t>0026531</t>
  </si>
  <si>
    <t>10940-001</t>
  </si>
  <si>
    <t>10940-001.001</t>
  </si>
  <si>
    <t>0102326</t>
  </si>
  <si>
    <t>02940-000</t>
  </si>
  <si>
    <t>02940-000.005</t>
  </si>
  <si>
    <t>3180 MAVERICK INVESTMENTS LLC</t>
  </si>
  <si>
    <t>0135348</t>
  </si>
  <si>
    <t>15245-001</t>
  </si>
  <si>
    <t>15245-001.001</t>
  </si>
  <si>
    <t>GREENS PORT CBR LLC</t>
  </si>
  <si>
    <t>0135151</t>
  </si>
  <si>
    <t>05113-000</t>
  </si>
  <si>
    <t>05113-000.001</t>
  </si>
  <si>
    <t>NJM PROPERTY LTD</t>
  </si>
  <si>
    <t>0135356</t>
  </si>
  <si>
    <t>15246-001</t>
  </si>
  <si>
    <t>15246-001.001</t>
  </si>
  <si>
    <t>0135453</t>
  </si>
  <si>
    <t>15261-001</t>
  </si>
  <si>
    <t>15261-001.001</t>
  </si>
  <si>
    <t>14387-001.002</t>
  </si>
  <si>
    <t>0095125</t>
  </si>
  <si>
    <t>12898-001</t>
  </si>
  <si>
    <t>12898-001.001</t>
  </si>
  <si>
    <t>MCBRIDE, JOSEPH EDWARD</t>
  </si>
  <si>
    <t>0097977</t>
  </si>
  <si>
    <t>12893-001</t>
  </si>
  <si>
    <t>12893-001.001</t>
  </si>
  <si>
    <t>BAHRAM SOLHJOU</t>
  </si>
  <si>
    <t>0094986</t>
  </si>
  <si>
    <t>12882-001</t>
  </si>
  <si>
    <t>12882-001.001</t>
  </si>
  <si>
    <t>1255</t>
  </si>
  <si>
    <t>ERATH</t>
  </si>
  <si>
    <t>NORTHSIDE SUBDIVISION WATER PLANT AND DISTRIBUTION CORP</t>
  </si>
  <si>
    <t>0128996</t>
  </si>
  <si>
    <t>14735-001</t>
  </si>
  <si>
    <t>14735-001.001</t>
  </si>
  <si>
    <t>HARRIS COUNTY MUD 230</t>
  </si>
  <si>
    <t>0094706</t>
  </si>
  <si>
    <t>12877-001</t>
  </si>
  <si>
    <t>12877-001.001</t>
  </si>
  <si>
    <t>TECHNIP UMBILICALS INC</t>
  </si>
  <si>
    <t>0094803</t>
  </si>
  <si>
    <t>12874-001</t>
  </si>
  <si>
    <t>12874-001.001</t>
  </si>
  <si>
    <t>US DEPT OF THE INTERIOR</t>
  </si>
  <si>
    <t>0094684</t>
  </si>
  <si>
    <t>12865-001</t>
  </si>
  <si>
    <t>12865-001.001</t>
  </si>
  <si>
    <t>UTILITIES INVESTMENT CO INC</t>
  </si>
  <si>
    <t>0094650</t>
  </si>
  <si>
    <t>12863-001</t>
  </si>
  <si>
    <t>12863-001.001</t>
  </si>
  <si>
    <t>0075388</t>
  </si>
  <si>
    <t>11915-001</t>
  </si>
  <si>
    <t>11915-001.001</t>
  </si>
  <si>
    <t>NORTHWEST FREEWAY MUD</t>
  </si>
  <si>
    <t>0075183</t>
  </si>
  <si>
    <t>11913-001</t>
  </si>
  <si>
    <t>11913-001.001</t>
  </si>
  <si>
    <t>NORTHWEST HARRIS COUNTY MUD 10</t>
  </si>
  <si>
    <t>0075159</t>
  </si>
  <si>
    <t>11912-002</t>
  </si>
  <si>
    <t>11912-002.001</t>
  </si>
  <si>
    <t>WILSON</t>
  </si>
  <si>
    <t>0128449</t>
  </si>
  <si>
    <t>14672-001</t>
  </si>
  <si>
    <t>14672-001.001</t>
  </si>
  <si>
    <t>LOCHINVAR GOLF CLUB</t>
  </si>
  <si>
    <t>0131555</t>
  </si>
  <si>
    <t>14891-001</t>
  </si>
  <si>
    <t>14891-001.001</t>
  </si>
  <si>
    <t>04013-000.008</t>
  </si>
  <si>
    <t>MAMIE DELL BAKER</t>
  </si>
  <si>
    <t>0100188</t>
  </si>
  <si>
    <t>14880-001</t>
  </si>
  <si>
    <t>14880-001.001</t>
  </si>
  <si>
    <t>0840</t>
  </si>
  <si>
    <t>CITY OF VALLEY VIEW</t>
  </si>
  <si>
    <t>0087343</t>
  </si>
  <si>
    <t>14892-001</t>
  </si>
  <si>
    <t>14892-001.001</t>
  </si>
  <si>
    <t>CITY OF PENITAS</t>
  </si>
  <si>
    <t>0131491</t>
  </si>
  <si>
    <t>14884-001</t>
  </si>
  <si>
    <t>14884-001.001</t>
  </si>
  <si>
    <t>PILOT TRAVEL CENTERS LLC</t>
  </si>
  <si>
    <t>0131466</t>
  </si>
  <si>
    <t>04849-000</t>
  </si>
  <si>
    <t>04849-000.001</t>
  </si>
  <si>
    <t>JASPER COUNTY WCID 1</t>
  </si>
  <si>
    <t>0021300</t>
  </si>
  <si>
    <t>10808-001</t>
  </si>
  <si>
    <t>10808-001.001</t>
  </si>
  <si>
    <t>CITY OF ROGERS</t>
  </si>
  <si>
    <t>0027103</t>
  </si>
  <si>
    <t>10804-001</t>
  </si>
  <si>
    <t>10804-001.001</t>
  </si>
  <si>
    <t>CITY OF RIO GRANDE CITY</t>
  </si>
  <si>
    <t>0068764</t>
  </si>
  <si>
    <t>10802-001</t>
  </si>
  <si>
    <t>10802-001.001</t>
  </si>
  <si>
    <t>CITY OF JEFFERSON</t>
  </si>
  <si>
    <t>0024902</t>
  </si>
  <si>
    <t>10801-001</t>
  </si>
  <si>
    <t>10801-001.001</t>
  </si>
  <si>
    <t>JIM HOGG</t>
  </si>
  <si>
    <t>JIM HOGG COUNTY WCID 2</t>
  </si>
  <si>
    <t>0101826</t>
  </si>
  <si>
    <t>10799-001</t>
  </si>
  <si>
    <t>10799-001.001</t>
  </si>
  <si>
    <t>1109</t>
  </si>
  <si>
    <t>COMMODORE COVE IMPROVEMENT DIST</t>
  </si>
  <si>
    <t>0025283</t>
  </si>
  <si>
    <t>10798-001</t>
  </si>
  <si>
    <t>10798-001.001</t>
  </si>
  <si>
    <t>BELL COUNTY WCID 3</t>
  </si>
  <si>
    <t>0069191</t>
  </si>
  <si>
    <t>10797-001</t>
  </si>
  <si>
    <t>10797-001.001</t>
  </si>
  <si>
    <t>HARRIS COUNTY FWSD NO 47</t>
  </si>
  <si>
    <t>0022462</t>
  </si>
  <si>
    <t>10794-001</t>
  </si>
  <si>
    <t>10794-001.001</t>
  </si>
  <si>
    <t>1404</t>
  </si>
  <si>
    <t>CITY OF BURNET</t>
  </si>
  <si>
    <t>0026484</t>
  </si>
  <si>
    <t>10793-002</t>
  </si>
  <si>
    <t>10793-002.001</t>
  </si>
  <si>
    <t>RAYBURN COUNTRY MUD</t>
  </si>
  <si>
    <t>0023701</t>
  </si>
  <si>
    <t>10788-001</t>
  </si>
  <si>
    <t>10788-001.001</t>
  </si>
  <si>
    <t>0068357</t>
  </si>
  <si>
    <t>02697-000</t>
  </si>
  <si>
    <t>02697-000.001</t>
  </si>
  <si>
    <t>MONARCH UTILITIES I LP</t>
  </si>
  <si>
    <t>0094412</t>
  </si>
  <si>
    <t>02678-000</t>
  </si>
  <si>
    <t>02678-000.001</t>
  </si>
  <si>
    <t>TICONA POLYMERS INC</t>
  </si>
  <si>
    <t>0006025</t>
  </si>
  <si>
    <t>00579-000</t>
  </si>
  <si>
    <t>00579-000.002</t>
  </si>
  <si>
    <t>1104</t>
  </si>
  <si>
    <t>K C UTILITIES INC</t>
  </si>
  <si>
    <t>0095770</t>
  </si>
  <si>
    <t>12935-001</t>
  </si>
  <si>
    <t>12935-001.001</t>
  </si>
  <si>
    <t>RANKIN ROAD WEST MUD</t>
  </si>
  <si>
    <t>0097047</t>
  </si>
  <si>
    <t>12934-001</t>
  </si>
  <si>
    <t>12934-001.001</t>
  </si>
  <si>
    <t>HARRIS COUNTY MUD 285</t>
  </si>
  <si>
    <t>0095451</t>
  </si>
  <si>
    <t>12928-001</t>
  </si>
  <si>
    <t>12928-001.001</t>
  </si>
  <si>
    <t>HARRIS COUNTY MUD 276</t>
  </si>
  <si>
    <t>0095532</t>
  </si>
  <si>
    <t>12927-001</t>
  </si>
  <si>
    <t>12927-001.001</t>
  </si>
  <si>
    <t>SANJUAN, ESMERALDA</t>
  </si>
  <si>
    <t>0099171</t>
  </si>
  <si>
    <t>12919-001</t>
  </si>
  <si>
    <t>12919-001.001</t>
  </si>
  <si>
    <t>HARTZOG LINDA DIANNE</t>
  </si>
  <si>
    <t>0095508</t>
  </si>
  <si>
    <t>12918-001</t>
  </si>
  <si>
    <t>12918-001.001</t>
  </si>
  <si>
    <t>WILLIAM EMMETT HARTZOG JR</t>
  </si>
  <si>
    <t>0133001</t>
  </si>
  <si>
    <t>15001-001</t>
  </si>
  <si>
    <t>15001-001.001</t>
  </si>
  <si>
    <t>CITY OF MANOR</t>
  </si>
  <si>
    <t>0095184</t>
  </si>
  <si>
    <t>12900-001</t>
  </si>
  <si>
    <t>12900-001.001</t>
  </si>
  <si>
    <t>SMITH INTERNATIONAL INDUSTRIAL SUBDIVISION WATER SUPPLY AND SEWER</t>
  </si>
  <si>
    <t>0084298</t>
  </si>
  <si>
    <t>02453-000</t>
  </si>
  <si>
    <t>02453-000.001</t>
  </si>
  <si>
    <t>02449-000.002</t>
  </si>
  <si>
    <t>0137332</t>
  </si>
  <si>
    <t>10887-002</t>
  </si>
  <si>
    <t>10887-002.001</t>
  </si>
  <si>
    <t>0137260</t>
  </si>
  <si>
    <t>15501-001</t>
  </si>
  <si>
    <t>15501-001.001</t>
  </si>
  <si>
    <t>DOWNSTREAM ENVIRONMENTAL LLC</t>
  </si>
  <si>
    <t>0137031</t>
  </si>
  <si>
    <t>05200-000</t>
  </si>
  <si>
    <t>05200-000.001</t>
  </si>
  <si>
    <t>2434</t>
  </si>
  <si>
    <t>BLUE WATER RESORT INC</t>
  </si>
  <si>
    <t>0137243</t>
  </si>
  <si>
    <t>15498-001</t>
  </si>
  <si>
    <t>15498-001.001</t>
  </si>
  <si>
    <t>7E PROPERTY HOLDINGS LP</t>
  </si>
  <si>
    <t>0137251</t>
  </si>
  <si>
    <t>15500-001</t>
  </si>
  <si>
    <t>15500-001.001</t>
  </si>
  <si>
    <t>05200-000.002</t>
  </si>
  <si>
    <t>BP PRODUCTS NORTH AMERICA INC</t>
  </si>
  <si>
    <t>0137286</t>
  </si>
  <si>
    <t>05205-000</t>
  </si>
  <si>
    <t>05205-000.001</t>
  </si>
  <si>
    <t>HARRIS COUNTY</t>
  </si>
  <si>
    <t>0068047</t>
  </si>
  <si>
    <t>10932-001</t>
  </si>
  <si>
    <t>10932-001.001</t>
  </si>
  <si>
    <t>0057258</t>
  </si>
  <si>
    <t>10931-001</t>
  </si>
  <si>
    <t>10931-001.001</t>
  </si>
  <si>
    <t>CITY OF REDWATER</t>
  </si>
  <si>
    <t>0056251</t>
  </si>
  <si>
    <t>10926-001</t>
  </si>
  <si>
    <t>10926-001.001</t>
  </si>
  <si>
    <t>0824</t>
  </si>
  <si>
    <t>CITYOF LINDSAY</t>
  </si>
  <si>
    <t>0025097</t>
  </si>
  <si>
    <t>10923-001</t>
  </si>
  <si>
    <t>10923-001.001</t>
  </si>
  <si>
    <t>CITY OF WINONA</t>
  </si>
  <si>
    <t>0073229</t>
  </si>
  <si>
    <t>10922-001</t>
  </si>
  <si>
    <t>10922-001.001</t>
  </si>
  <si>
    <t>CITY OF LEONARD</t>
  </si>
  <si>
    <t>0054208</t>
  </si>
  <si>
    <t>10920-001</t>
  </si>
  <si>
    <t>10920-001.001</t>
  </si>
  <si>
    <t>FALLBROOK UTILITY DISTRICT</t>
  </si>
  <si>
    <t>0021237</t>
  </si>
  <si>
    <t>10919-001</t>
  </si>
  <si>
    <t>10919-001.001</t>
  </si>
  <si>
    <t>CITY OF BREMOND</t>
  </si>
  <si>
    <t>0023442</t>
  </si>
  <si>
    <t>10917-001</t>
  </si>
  <si>
    <t>10917-001.001</t>
  </si>
  <si>
    <t>1807</t>
  </si>
  <si>
    <t>GOLIAD</t>
  </si>
  <si>
    <t>COLETO CREEK POWER LP</t>
  </si>
  <si>
    <t>0070068</t>
  </si>
  <si>
    <t>02159-000</t>
  </si>
  <si>
    <t>02159-000.003</t>
  </si>
  <si>
    <t>PEN JOINT TENANTS AND NORTH CAMERON RWSC</t>
  </si>
  <si>
    <t>0127299</t>
  </si>
  <si>
    <t>04758-000</t>
  </si>
  <si>
    <t>04758-000.001</t>
  </si>
  <si>
    <t>02159-000.002</t>
  </si>
  <si>
    <t>02159-000.001</t>
  </si>
  <si>
    <t>PHILLIPS 66 PIPELINE LLC AND PHILLIPS 66 CARRIER LLC</t>
  </si>
  <si>
    <t>0108332</t>
  </si>
  <si>
    <t>02125-000</t>
  </si>
  <si>
    <t>02125-000.004</t>
  </si>
  <si>
    <t>02125-000.003</t>
  </si>
  <si>
    <t>02125-000.002</t>
  </si>
  <si>
    <t>02125-000.001</t>
  </si>
  <si>
    <t>0074438</t>
  </si>
  <si>
    <t>02120-000</t>
  </si>
  <si>
    <t>02120-000.004</t>
  </si>
  <si>
    <t>MILLS ROAD MUD</t>
  </si>
  <si>
    <t>0075132</t>
  </si>
  <si>
    <t>11907-002</t>
  </si>
  <si>
    <t>11907-002.001</t>
  </si>
  <si>
    <t>HARRIS COUNTY MUD NO 157</t>
  </si>
  <si>
    <t>0074896</t>
  </si>
  <si>
    <t>11906-001</t>
  </si>
  <si>
    <t>11906-001.001</t>
  </si>
  <si>
    <t>HARRIS COUNTY MUD 33</t>
  </si>
  <si>
    <t>0074136</t>
  </si>
  <si>
    <t>11904-001</t>
  </si>
  <si>
    <t>11904-001.001</t>
  </si>
  <si>
    <t>TRAIL OF THE LAKES MUD</t>
  </si>
  <si>
    <t>0074021</t>
  </si>
  <si>
    <t>11901-001</t>
  </si>
  <si>
    <t>11901-001.001</t>
  </si>
  <si>
    <t>TILLES TINA LEE</t>
  </si>
  <si>
    <t>0074217</t>
  </si>
  <si>
    <t>11900-001</t>
  </si>
  <si>
    <t>11900-001.001</t>
  </si>
  <si>
    <t>NEWPORT MUD</t>
  </si>
  <si>
    <t>0023230</t>
  </si>
  <si>
    <t>11329-001</t>
  </si>
  <si>
    <t>11329-001.001</t>
  </si>
  <si>
    <t>1244</t>
  </si>
  <si>
    <t>CITY OF HUTTO</t>
  </si>
  <si>
    <t>0025577</t>
  </si>
  <si>
    <t>11324-001</t>
  </si>
  <si>
    <t>11324-001.001</t>
  </si>
  <si>
    <t>0825</t>
  </si>
  <si>
    <t>TOWN OF FLOWER MOUND</t>
  </si>
  <si>
    <t>0020711</t>
  </si>
  <si>
    <t>11321-001</t>
  </si>
  <si>
    <t>11321-001.001</t>
  </si>
  <si>
    <t>CITY OF TEMPLE AND CITY OF BELTON</t>
  </si>
  <si>
    <t>0058378</t>
  </si>
  <si>
    <t>11318-001</t>
  </si>
  <si>
    <t>11318-001.001</t>
  </si>
  <si>
    <t>CITY OF SUGAR LAND</t>
  </si>
  <si>
    <t>0058114</t>
  </si>
  <si>
    <t>11317-001</t>
  </si>
  <si>
    <t>11317-001.001</t>
  </si>
  <si>
    <t>MANSFIELD ISD</t>
  </si>
  <si>
    <t>0133388</t>
  </si>
  <si>
    <t>13352-002</t>
  </si>
  <si>
    <t>13352-002.001</t>
  </si>
  <si>
    <t>NALCO CO LLC</t>
  </si>
  <si>
    <t>0008761</t>
  </si>
  <si>
    <t>01806-000</t>
  </si>
  <si>
    <t>01806-000.005</t>
  </si>
  <si>
    <t>HUNTSMAN(H) PETROCHEM;H INTRNTL FUELS;H PROPY OXIDE;BLUEHALL;TPC GROUP</t>
  </si>
  <si>
    <t>0005070</t>
  </si>
  <si>
    <t>00511-000</t>
  </si>
  <si>
    <t>00511-000.012</t>
  </si>
  <si>
    <t>00511-000.010</t>
  </si>
  <si>
    <t>00511-000.009</t>
  </si>
  <si>
    <t>00414-000.005</t>
  </si>
  <si>
    <t>00511-000.008</t>
  </si>
  <si>
    <t>OXBOW ENERGY SOLUTIONS LLC</t>
  </si>
  <si>
    <t>0094129</t>
  </si>
  <si>
    <t>02670-000</t>
  </si>
  <si>
    <t>02670-000.001</t>
  </si>
  <si>
    <t>KINDER MORGAN PETCOKE LP</t>
  </si>
  <si>
    <t>0104051</t>
  </si>
  <si>
    <t>02659-000</t>
  </si>
  <si>
    <t>02659-000.001</t>
  </si>
  <si>
    <t>BASF CORP</t>
  </si>
  <si>
    <t>0095605</t>
  </si>
  <si>
    <t>02656-000</t>
  </si>
  <si>
    <t>02656-000.001</t>
  </si>
  <si>
    <t>WESTMORELAND JEWETT MINING LLC</t>
  </si>
  <si>
    <t>0086541</t>
  </si>
  <si>
    <t>02653-000</t>
  </si>
  <si>
    <t>02653-000.001</t>
  </si>
  <si>
    <t>KIMBERLY CLARK CORP</t>
  </si>
  <si>
    <t>0093416</t>
  </si>
  <si>
    <t>02648-000</t>
  </si>
  <si>
    <t>02648-000.003</t>
  </si>
  <si>
    <t>02648-000.002</t>
  </si>
  <si>
    <t>02648-000.001</t>
  </si>
  <si>
    <t>0129780</t>
  </si>
  <si>
    <t>13857-001</t>
  </si>
  <si>
    <t>13857-001.001</t>
  </si>
  <si>
    <t>WHITEOAK SHORES SEWER SERVICE CORP</t>
  </si>
  <si>
    <t>0129992</t>
  </si>
  <si>
    <t>14851-001</t>
  </si>
  <si>
    <t>14851-001.001</t>
  </si>
  <si>
    <t>02644-000.001</t>
  </si>
  <si>
    <t>PWT ENTERPRISES INC</t>
  </si>
  <si>
    <t>0093483</t>
  </si>
  <si>
    <t>02642-000</t>
  </si>
  <si>
    <t>02642-000.001</t>
  </si>
  <si>
    <t>0092461</t>
  </si>
  <si>
    <t>02614-000</t>
  </si>
  <si>
    <t>02614-000.002</t>
  </si>
  <si>
    <t>TXDOT</t>
  </si>
  <si>
    <t>0125091</t>
  </si>
  <si>
    <t>14796-001</t>
  </si>
  <si>
    <t>14796-001.001</t>
  </si>
  <si>
    <t>0089109</t>
  </si>
  <si>
    <t>02545-000</t>
  </si>
  <si>
    <t>02545-000.002</t>
  </si>
  <si>
    <t>02545-000.001</t>
  </si>
  <si>
    <t>SOLVAY CHEMICALS INC</t>
  </si>
  <si>
    <t>0087971</t>
  </si>
  <si>
    <t>02544-000</t>
  </si>
  <si>
    <t>02544-000.002</t>
  </si>
  <si>
    <t>02544-000.001</t>
  </si>
  <si>
    <t>0089516</t>
  </si>
  <si>
    <t>02540-000</t>
  </si>
  <si>
    <t>02540-000.001</t>
  </si>
  <si>
    <t>0063681</t>
  </si>
  <si>
    <t>01514-000</t>
  </si>
  <si>
    <t>01514-000.015</t>
  </si>
  <si>
    <t>MUSTANG SPECIAL UTILITY DISTRICT</t>
  </si>
  <si>
    <t>0137464</t>
  </si>
  <si>
    <t>15536-001</t>
  </si>
  <si>
    <t>15536-001.001</t>
  </si>
  <si>
    <t>GULBRANDSEN TECHNOLOGIES INC</t>
  </si>
  <si>
    <t>0137413</t>
  </si>
  <si>
    <t>05214-000</t>
  </si>
  <si>
    <t>05214-000.001</t>
  </si>
  <si>
    <t>0137448</t>
  </si>
  <si>
    <t>14129-002</t>
  </si>
  <si>
    <t>14129-002.001</t>
  </si>
  <si>
    <t>MAVERICK TERMINALS LLC</t>
  </si>
  <si>
    <t>0137308</t>
  </si>
  <si>
    <t>05208-000</t>
  </si>
  <si>
    <t>05208-000.001</t>
  </si>
  <si>
    <t>CITY OF WEATHERFORD MUNICIPAL UTILITY BOARD OF TRUSTEES</t>
  </si>
  <si>
    <t>0123145</t>
  </si>
  <si>
    <t>14198-001</t>
  </si>
  <si>
    <t>14198-001.003</t>
  </si>
  <si>
    <t>NASHTEC LLC</t>
  </si>
  <si>
    <t>0137481</t>
  </si>
  <si>
    <t>05218-000</t>
  </si>
  <si>
    <t>05218-000.001</t>
  </si>
  <si>
    <t>14198-001.002</t>
  </si>
  <si>
    <t>MARLINE TREATMENT</t>
  </si>
  <si>
    <t>0137367</t>
  </si>
  <si>
    <t>15514-001</t>
  </si>
  <si>
    <t>15514-001.001</t>
  </si>
  <si>
    <t>0137324</t>
  </si>
  <si>
    <t>10695-002</t>
  </si>
  <si>
    <t>10695-002.001</t>
  </si>
  <si>
    <t>MAVERICK FUEL OIL TERMINAL LLC</t>
  </si>
  <si>
    <t>0137316</t>
  </si>
  <si>
    <t>05209-000</t>
  </si>
  <si>
    <t>05209-000.001</t>
  </si>
  <si>
    <t>DENNIS J WILKERSON TRUST</t>
  </si>
  <si>
    <t>0137073</t>
  </si>
  <si>
    <t>15472-001</t>
  </si>
  <si>
    <t>15472-001.001</t>
  </si>
  <si>
    <t>0136581</t>
  </si>
  <si>
    <t>05176-000</t>
  </si>
  <si>
    <t>05176-000.001</t>
  </si>
  <si>
    <t>NANTUCKET HOUSING LLC</t>
  </si>
  <si>
    <t>0136433</t>
  </si>
  <si>
    <t>15381-001</t>
  </si>
  <si>
    <t>15381-001.001</t>
  </si>
  <si>
    <t>TIDEHAVEN INDEPENDENT SCHOOL DISTRICT</t>
  </si>
  <si>
    <t>0136280</t>
  </si>
  <si>
    <t>15352-001</t>
  </si>
  <si>
    <t>15352-001.001</t>
  </si>
  <si>
    <t>1011</t>
  </si>
  <si>
    <t>CITY OF PATTON VILLAGE</t>
  </si>
  <si>
    <t>0135721</t>
  </si>
  <si>
    <t>15294-001</t>
  </si>
  <si>
    <t>15294-001.001</t>
  </si>
  <si>
    <t>FOLLETS ISLAND CUSTOM HOMES LLC</t>
  </si>
  <si>
    <t>0135828</t>
  </si>
  <si>
    <t>15303-001</t>
  </si>
  <si>
    <t>15303-001.001</t>
  </si>
  <si>
    <t>02120-000.002</t>
  </si>
  <si>
    <t>02120-000.001</t>
  </si>
  <si>
    <t>0073954</t>
  </si>
  <si>
    <t>02117-000</t>
  </si>
  <si>
    <t>02117-000.003</t>
  </si>
  <si>
    <t>02117-000.002</t>
  </si>
  <si>
    <t>02117-000.001</t>
  </si>
  <si>
    <t>02110-000.001</t>
  </si>
  <si>
    <t>02109-000.002</t>
  </si>
  <si>
    <t>0124745</t>
  </si>
  <si>
    <t>14323-001</t>
  </si>
  <si>
    <t>14323-001.001</t>
  </si>
  <si>
    <t>1100</t>
  </si>
  <si>
    <t>BRAZORIA CO MUD NO 25</t>
  </si>
  <si>
    <t>0124737</t>
  </si>
  <si>
    <t>14322-001</t>
  </si>
  <si>
    <t>14322-001.001</t>
  </si>
  <si>
    <t>CITY OF ROSEBUD</t>
  </si>
  <si>
    <t>0023981</t>
  </si>
  <si>
    <t>10731-001</t>
  </si>
  <si>
    <t>10731-001.001</t>
  </si>
  <si>
    <t>CITY OF KRUM</t>
  </si>
  <si>
    <t>0024198</t>
  </si>
  <si>
    <t>10729-001</t>
  </si>
  <si>
    <t>10729-001.001</t>
  </si>
  <si>
    <t>1235</t>
  </si>
  <si>
    <t>HASKELL</t>
  </si>
  <si>
    <t>CITY OF HASKELL</t>
  </si>
  <si>
    <t>0026891</t>
  </si>
  <si>
    <t>10728-001</t>
  </si>
  <si>
    <t>10728-001.001</t>
  </si>
  <si>
    <t>CITY OF GAINESVILLE</t>
  </si>
  <si>
    <t>0022357</t>
  </si>
  <si>
    <t>10726-001</t>
  </si>
  <si>
    <t>10726-001.001</t>
  </si>
  <si>
    <t>CITY OF DETROIT</t>
  </si>
  <si>
    <t>0055581</t>
  </si>
  <si>
    <t>10724-001</t>
  </si>
  <si>
    <t>10724-001.001</t>
  </si>
  <si>
    <t>CITY OF GRAFORD</t>
  </si>
  <si>
    <t>0104752</t>
  </si>
  <si>
    <t>10722-001</t>
  </si>
  <si>
    <t>10722-001.001</t>
  </si>
  <si>
    <t>CITY OF BECKVILLE</t>
  </si>
  <si>
    <t>0057215</t>
  </si>
  <si>
    <t>10718-001</t>
  </si>
  <si>
    <t>10718-001.001</t>
  </si>
  <si>
    <t>TEXAS DEPT OF AGING AND DISABILITES SERVICES</t>
  </si>
  <si>
    <t>0030775</t>
  </si>
  <si>
    <t>10717-001</t>
  </si>
  <si>
    <t>10717-001.001</t>
  </si>
  <si>
    <t>CITY OF BLOSSOM</t>
  </si>
  <si>
    <t>0075957</t>
  </si>
  <si>
    <t>10715-002</t>
  </si>
  <si>
    <t>10715-002.001</t>
  </si>
  <si>
    <t>00511-000.007</t>
  </si>
  <si>
    <t>00511-000.006</t>
  </si>
  <si>
    <t>LA SALLE</t>
  </si>
  <si>
    <t>REAGENT CHEMICAL &amp; RESEARCH INC</t>
  </si>
  <si>
    <t>0133647</t>
  </si>
  <si>
    <t>04994-000</t>
  </si>
  <si>
    <t>04994-000.001</t>
  </si>
  <si>
    <t>00511-000.004</t>
  </si>
  <si>
    <t>00414-000.004</t>
  </si>
  <si>
    <t>0133922</t>
  </si>
  <si>
    <t>10688-007</t>
  </si>
  <si>
    <t>10688-007.001</t>
  </si>
  <si>
    <t>0024775</t>
  </si>
  <si>
    <t>11310-001</t>
  </si>
  <si>
    <t>11310-001.001</t>
  </si>
  <si>
    <t>CITY OF OGLESBY</t>
  </si>
  <si>
    <t>0100854</t>
  </si>
  <si>
    <t>10914-001</t>
  </si>
  <si>
    <t>10914-001.001</t>
  </si>
  <si>
    <t>MATAGORDA WASTE DISPOSAL &amp; WSC</t>
  </si>
  <si>
    <t>0054038</t>
  </si>
  <si>
    <t>10913-001</t>
  </si>
  <si>
    <t>10913-001.001</t>
  </si>
  <si>
    <t>JACKSON</t>
  </si>
  <si>
    <t>JACKSON COUNTY WCID 1</t>
  </si>
  <si>
    <t>0064998</t>
  </si>
  <si>
    <t>10911-001</t>
  </si>
  <si>
    <t>10911-001.001</t>
  </si>
  <si>
    <t>NORTHAMPTON MUD</t>
  </si>
  <si>
    <t>0058548</t>
  </si>
  <si>
    <t>10910-001</t>
  </si>
  <si>
    <t>10910-001.001</t>
  </si>
  <si>
    <t>HARRIS COUNTY WCID 92</t>
  </si>
  <si>
    <t>0020974</t>
  </si>
  <si>
    <t>10908-001</t>
  </si>
  <si>
    <t>10908-001.001</t>
  </si>
  <si>
    <t>NORTH FOREST MUD</t>
  </si>
  <si>
    <t>0058424</t>
  </si>
  <si>
    <t>10905-001</t>
  </si>
  <si>
    <t>10905-001.001</t>
  </si>
  <si>
    <t>TOWN OF LAKEWOOD VILLAGE</t>
  </si>
  <si>
    <t>0026565</t>
  </si>
  <si>
    <t>10903-001</t>
  </si>
  <si>
    <t>10903-001.001</t>
  </si>
  <si>
    <t>CITY OF HOLLAND</t>
  </si>
  <si>
    <t>0046612</t>
  </si>
  <si>
    <t>10897-001</t>
  </si>
  <si>
    <t>10897-001.001</t>
  </si>
  <si>
    <t>TEXAS PARKS &amp; WILDLIFE DEPT</t>
  </si>
  <si>
    <t>0032549</t>
  </si>
  <si>
    <t>10896-001</t>
  </si>
  <si>
    <t>10896-001.001</t>
  </si>
  <si>
    <t>TARRANT BAPTIST ASSN INC</t>
  </si>
  <si>
    <t>0066702</t>
  </si>
  <si>
    <t>10895-001</t>
  </si>
  <si>
    <t>10895-001.001</t>
  </si>
  <si>
    <t>0230</t>
  </si>
  <si>
    <t>WILBARGER</t>
  </si>
  <si>
    <t>SOLVAY USA INC</t>
  </si>
  <si>
    <t>0088781</t>
  </si>
  <si>
    <t>02537-000</t>
  </si>
  <si>
    <t>02537-000.002</t>
  </si>
  <si>
    <t>02537-000.001</t>
  </si>
  <si>
    <t>PRAXAIR INC</t>
  </si>
  <si>
    <t>0088510</t>
  </si>
  <si>
    <t>02529-000</t>
  </si>
  <si>
    <t>02529-000.001</t>
  </si>
  <si>
    <t>0087793</t>
  </si>
  <si>
    <t>02502-000</t>
  </si>
  <si>
    <t>02502-000.002</t>
  </si>
  <si>
    <t>0129305</t>
  </si>
  <si>
    <t>14767-001</t>
  </si>
  <si>
    <t>14767-001.001</t>
  </si>
  <si>
    <t>CITY OF OAKWOOD</t>
  </si>
  <si>
    <t>0116173</t>
  </si>
  <si>
    <t>10586-002</t>
  </si>
  <si>
    <t>10586-002.001</t>
  </si>
  <si>
    <t>CITY OF MINERAL WELLS</t>
  </si>
  <si>
    <t>0047414</t>
  </si>
  <si>
    <t>10585-001</t>
  </si>
  <si>
    <t>10585-001.001</t>
  </si>
  <si>
    <t>MEMORIAL VILLAGES WATER AUTHORITY</t>
  </si>
  <si>
    <t>0047457</t>
  </si>
  <si>
    <t>10584-001</t>
  </si>
  <si>
    <t>10584-001.001</t>
  </si>
  <si>
    <t>CITY OF MARSHALL</t>
  </si>
  <si>
    <t>0021784</t>
  </si>
  <si>
    <t>10583-002</t>
  </si>
  <si>
    <t>10583-002.001</t>
  </si>
  <si>
    <t>0022764</t>
  </si>
  <si>
    <t>10582-002</t>
  </si>
  <si>
    <t>10582-002.001</t>
  </si>
  <si>
    <t>0022772</t>
  </si>
  <si>
    <t>10582-001</t>
  </si>
  <si>
    <t>10582-001.001</t>
  </si>
  <si>
    <t>CITY OF MABANK</t>
  </si>
  <si>
    <t>0002631</t>
  </si>
  <si>
    <t>10579-003</t>
  </si>
  <si>
    <t>10579-003.001</t>
  </si>
  <si>
    <t>0052949</t>
  </si>
  <si>
    <t>10579-001</t>
  </si>
  <si>
    <t>10579-001.001</t>
  </si>
  <si>
    <t>LAKEVIEW METHODIST ASSEMBLY</t>
  </si>
  <si>
    <t>0066150</t>
  </si>
  <si>
    <t>10578-001</t>
  </si>
  <si>
    <t>10578-001.001</t>
  </si>
  <si>
    <t>CITY OF KERRVILLE</t>
  </si>
  <si>
    <t>0047333</t>
  </si>
  <si>
    <t>10576-001</t>
  </si>
  <si>
    <t>10576-001.001</t>
  </si>
  <si>
    <t>CITY OF MOUNT PLEASANT</t>
  </si>
  <si>
    <t>0105171</t>
  </si>
  <si>
    <t>10575-004</t>
  </si>
  <si>
    <t>10575-004.001</t>
  </si>
  <si>
    <t>CITY OF GARRISON</t>
  </si>
  <si>
    <t>0076503</t>
  </si>
  <si>
    <t>11304-001</t>
  </si>
  <si>
    <t>11304-001.001</t>
  </si>
  <si>
    <t>EL DORADO UTILITY DISTRICT</t>
  </si>
  <si>
    <t>0025623</t>
  </si>
  <si>
    <t>11302-001</t>
  </si>
  <si>
    <t>11302-001.001</t>
  </si>
  <si>
    <t>MANVEL CENTER LTD</t>
  </si>
  <si>
    <t>0137189</t>
  </si>
  <si>
    <t>15486-001</t>
  </si>
  <si>
    <t>15486-001.001</t>
  </si>
  <si>
    <t>DUNHAM POINTE DEVELOPMENT LLC</t>
  </si>
  <si>
    <t>0137219</t>
  </si>
  <si>
    <t>15490-001</t>
  </si>
  <si>
    <t>15490-001.001</t>
  </si>
  <si>
    <t>290 KICKAPOO DEVELOPMENT INC</t>
  </si>
  <si>
    <t>0137162</t>
  </si>
  <si>
    <t>15483-001</t>
  </si>
  <si>
    <t>15483-001.001</t>
  </si>
  <si>
    <t>02110-000.005</t>
  </si>
  <si>
    <t>DAEDELUS CORPS</t>
  </si>
  <si>
    <t>0137154</t>
  </si>
  <si>
    <t>15482-001</t>
  </si>
  <si>
    <t>15482-001.001</t>
  </si>
  <si>
    <t>BIG SKY TRAILS LTD</t>
  </si>
  <si>
    <t>0137138</t>
  </si>
  <si>
    <t>15479-001</t>
  </si>
  <si>
    <t>15479-001.001</t>
  </si>
  <si>
    <t>WINDY HILL UTILITY CO LLC</t>
  </si>
  <si>
    <t>0137111</t>
  </si>
  <si>
    <t>15478-001</t>
  </si>
  <si>
    <t>15478-001.001</t>
  </si>
  <si>
    <t>ROMERICA ENTERTAINMENT LLC</t>
  </si>
  <si>
    <t>0137103</t>
  </si>
  <si>
    <t>15475-001</t>
  </si>
  <si>
    <t>15475-001.001</t>
  </si>
  <si>
    <t>CITY OF GLEN ROSE</t>
  </si>
  <si>
    <t>0033316</t>
  </si>
  <si>
    <t>001A</t>
  </si>
  <si>
    <t>10177-001</t>
  </si>
  <si>
    <t>10177-001.001A</t>
  </si>
  <si>
    <t>2441</t>
  </si>
  <si>
    <t>LIGHTHOUSE RV PARK LLC</t>
  </si>
  <si>
    <t>0136476</t>
  </si>
  <si>
    <t>15393-001</t>
  </si>
  <si>
    <t>15393-001.001</t>
  </si>
  <si>
    <t>0136671</t>
  </si>
  <si>
    <t>05182-000</t>
  </si>
  <si>
    <t>05182-000.001</t>
  </si>
  <si>
    <t>TRI-COUNTY POINT PROPERTY OWNERS ASSOCIATION</t>
  </si>
  <si>
    <t>0136531</t>
  </si>
  <si>
    <t>15399-001</t>
  </si>
  <si>
    <t>15399-001.001</t>
  </si>
  <si>
    <t>01590-000.015</t>
  </si>
  <si>
    <t>01590-000.014</t>
  </si>
  <si>
    <t>TEXAS PACK INC</t>
  </si>
  <si>
    <t>0136689</t>
  </si>
  <si>
    <t>04126-000</t>
  </si>
  <si>
    <t>04126-000.001</t>
  </si>
  <si>
    <t>AIRGAS USA LLC</t>
  </si>
  <si>
    <t>0136638</t>
  </si>
  <si>
    <t>05180-000</t>
  </si>
  <si>
    <t>05180-000.001</t>
  </si>
  <si>
    <t>02070-000.004</t>
  </si>
  <si>
    <t>02070-000.003</t>
  </si>
  <si>
    <t>02475-000.001</t>
  </si>
  <si>
    <t>TYSON FARMS INC</t>
  </si>
  <si>
    <t>0072982</t>
  </si>
  <si>
    <t>02064-000</t>
  </si>
  <si>
    <t>02064-000.002</t>
  </si>
  <si>
    <t>02064-000.001</t>
  </si>
  <si>
    <t>LCRA</t>
  </si>
  <si>
    <t>0064378</t>
  </si>
  <si>
    <t>02052-000</t>
  </si>
  <si>
    <t>02052-000.001</t>
  </si>
  <si>
    <t>SAN MIGUEL ELECTRIC COOPERATIVE INC</t>
  </si>
  <si>
    <t>0083445</t>
  </si>
  <si>
    <t>02043-000</t>
  </si>
  <si>
    <t>02043-000.001</t>
  </si>
  <si>
    <t>0070530</t>
  </si>
  <si>
    <t>02039-000</t>
  </si>
  <si>
    <t>02039-000.001</t>
  </si>
  <si>
    <t>0070807</t>
  </si>
  <si>
    <t>02032-000</t>
  </si>
  <si>
    <t>02032-000.004</t>
  </si>
  <si>
    <t>02032-000.003</t>
  </si>
  <si>
    <t>02032-000.002</t>
  </si>
  <si>
    <t>02032-000.001</t>
  </si>
  <si>
    <t>02029-000.001</t>
  </si>
  <si>
    <t>OXBOW CALCINING LLC</t>
  </si>
  <si>
    <t>0068781</t>
  </si>
  <si>
    <t>01994-000</t>
  </si>
  <si>
    <t>01994-000.002</t>
  </si>
  <si>
    <t>01994-000.001</t>
  </si>
  <si>
    <t>SOUTHWESTERN PUBLIC SERVICE CO</t>
  </si>
  <si>
    <t>0124575</t>
  </si>
  <si>
    <t>01990-000</t>
  </si>
  <si>
    <t>01990-000.009</t>
  </si>
  <si>
    <t>0103</t>
  </si>
  <si>
    <t>01990-000.008</t>
  </si>
  <si>
    <t>01990-000.007</t>
  </si>
  <si>
    <t>01990-000.006</t>
  </si>
  <si>
    <t>COUPLAND WATER SUPPLY CORP</t>
  </si>
  <si>
    <t>0116882</t>
  </si>
  <si>
    <t>14499-001</t>
  </si>
  <si>
    <t>14499-001.001</t>
  </si>
  <si>
    <t>10698-002.002</t>
  </si>
  <si>
    <t>GULF COAST UTILITY CO INC</t>
  </si>
  <si>
    <t>0126365</t>
  </si>
  <si>
    <t>14497-001</t>
  </si>
  <si>
    <t>14497-001.001</t>
  </si>
  <si>
    <t>MONTAGUE</t>
  </si>
  <si>
    <t>CITY OF SAINT JO</t>
  </si>
  <si>
    <t>0024821</t>
  </si>
  <si>
    <t>14496-001</t>
  </si>
  <si>
    <t>14496-001.001</t>
  </si>
  <si>
    <t>SP UTILITY CO INC</t>
  </si>
  <si>
    <t>0123994</t>
  </si>
  <si>
    <t>14149-001</t>
  </si>
  <si>
    <t>14149-001.001</t>
  </si>
  <si>
    <t>0120243</t>
  </si>
  <si>
    <t>14147-001</t>
  </si>
  <si>
    <t>14147-001.001</t>
  </si>
  <si>
    <t>BRIXMOR GA MOUNT HOUSTON TX LP</t>
  </si>
  <si>
    <t>0120189</t>
  </si>
  <si>
    <t>14144-001</t>
  </si>
  <si>
    <t>14144-001.001</t>
  </si>
  <si>
    <t>0120111</t>
  </si>
  <si>
    <t>14143-001</t>
  </si>
  <si>
    <t>14143-001.001</t>
  </si>
  <si>
    <t>0120073</t>
  </si>
  <si>
    <t>14141-001</t>
  </si>
  <si>
    <t>14141-001.001</t>
  </si>
  <si>
    <t>FORT BEND COUNTY MUD 124</t>
  </si>
  <si>
    <t>0119873</t>
  </si>
  <si>
    <t>14134-001</t>
  </si>
  <si>
    <t>14134-001.001</t>
  </si>
  <si>
    <t>UTILITIES INVESTMENT COMPANY INC</t>
  </si>
  <si>
    <t>0119857</t>
  </si>
  <si>
    <t>14133-001</t>
  </si>
  <si>
    <t>14133-001.001</t>
  </si>
  <si>
    <t>ANGELINA WSC</t>
  </si>
  <si>
    <t>0119679</t>
  </si>
  <si>
    <t>14128-001</t>
  </si>
  <si>
    <t>14128-001.001</t>
  </si>
  <si>
    <t>MAGNOLIA ISD</t>
  </si>
  <si>
    <t>0119598</t>
  </si>
  <si>
    <t>14124-001</t>
  </si>
  <si>
    <t>14124-001.001</t>
  </si>
  <si>
    <t>2004</t>
  </si>
  <si>
    <t>BEE</t>
  </si>
  <si>
    <t>TYNAN WSC</t>
  </si>
  <si>
    <t>0119601</t>
  </si>
  <si>
    <t>14123-001</t>
  </si>
  <si>
    <t>14123-001.001</t>
  </si>
  <si>
    <t>2003</t>
  </si>
  <si>
    <t>ST PAUL WSC</t>
  </si>
  <si>
    <t>0119563</t>
  </si>
  <si>
    <t>14119-001</t>
  </si>
  <si>
    <t>14119-001.001</t>
  </si>
  <si>
    <t>1258</t>
  </si>
  <si>
    <t>SIENNA PLANTATION MUD NO 1</t>
  </si>
  <si>
    <t>0119539</t>
  </si>
  <si>
    <t>14118-001</t>
  </si>
  <si>
    <t>14118-001.001</t>
  </si>
  <si>
    <t>0119571</t>
  </si>
  <si>
    <t>14117-001</t>
  </si>
  <si>
    <t>14117-001.001</t>
  </si>
  <si>
    <t>MONTGOMERY COUNTY MUD NO 24</t>
  </si>
  <si>
    <t>0071412</t>
  </si>
  <si>
    <t>14116-001</t>
  </si>
  <si>
    <t>14116-001.001</t>
  </si>
  <si>
    <t>01990-000.005</t>
  </si>
  <si>
    <t>01990-000.004</t>
  </si>
  <si>
    <t>01990-000.003</t>
  </si>
  <si>
    <t>01990-000.001</t>
  </si>
  <si>
    <t>01903-000.002</t>
  </si>
  <si>
    <t>PANOLA-BETHANY WSC</t>
  </si>
  <si>
    <t>0133469</t>
  </si>
  <si>
    <t>15033-001</t>
  </si>
  <si>
    <t>15033-001.001</t>
  </si>
  <si>
    <t>0133370</t>
  </si>
  <si>
    <t>04978-000</t>
  </si>
  <si>
    <t>04978-000.005</t>
  </si>
  <si>
    <t>01908-000.006</t>
  </si>
  <si>
    <t>01908-000.005</t>
  </si>
  <si>
    <t>01908-000.004</t>
  </si>
  <si>
    <t>CITY OF BROWNSBORO</t>
  </si>
  <si>
    <t>0062707</t>
  </si>
  <si>
    <t>10540-001</t>
  </si>
  <si>
    <t>10540-001.001</t>
  </si>
  <si>
    <t>10539-001.001</t>
  </si>
  <si>
    <t>CITY OF DODD CITY</t>
  </si>
  <si>
    <t>0057169</t>
  </si>
  <si>
    <t>10538-001</t>
  </si>
  <si>
    <t>10538-001.001</t>
  </si>
  <si>
    <t>1240</t>
  </si>
  <si>
    <t>HALE</t>
  </si>
  <si>
    <t>CITY OF PLAINVIEW</t>
  </si>
  <si>
    <t>0047571</t>
  </si>
  <si>
    <t>10537-001</t>
  </si>
  <si>
    <t>10537-001.001</t>
  </si>
  <si>
    <t>CITY OF ALICE</t>
  </si>
  <si>
    <t>0091219</t>
  </si>
  <si>
    <t>10536-004</t>
  </si>
  <si>
    <t>10536-004.001</t>
  </si>
  <si>
    <t>0034002</t>
  </si>
  <si>
    <t>10536-002</t>
  </si>
  <si>
    <t>10536-002.001</t>
  </si>
  <si>
    <t>CITY OF BORGER</t>
  </si>
  <si>
    <t>0047031</t>
  </si>
  <si>
    <t>10535-001</t>
  </si>
  <si>
    <t>10535-001.001</t>
  </si>
  <si>
    <t>CITY OF HUBBARD</t>
  </si>
  <si>
    <t>0053295</t>
  </si>
  <si>
    <t>10534-001</t>
  </si>
  <si>
    <t>10534-001.001</t>
  </si>
  <si>
    <t>0119504</t>
  </si>
  <si>
    <t>14114-001</t>
  </si>
  <si>
    <t>14114-001.001</t>
  </si>
  <si>
    <t>HALLIBURTON ENERGY SERVICES INC</t>
  </si>
  <si>
    <t>0119482</t>
  </si>
  <si>
    <t>14113-001</t>
  </si>
  <si>
    <t>14113-001.001</t>
  </si>
  <si>
    <t>SKIDMORE WSC</t>
  </si>
  <si>
    <t>0119407</t>
  </si>
  <si>
    <t>14112-001</t>
  </si>
  <si>
    <t>14112-001.001</t>
  </si>
  <si>
    <t>MILAM</t>
  </si>
  <si>
    <t>SOUTHWEST MILAM WSC</t>
  </si>
  <si>
    <t>0119351</t>
  </si>
  <si>
    <t>14110-001</t>
  </si>
  <si>
    <t>14110-001.001</t>
  </si>
  <si>
    <t>1228</t>
  </si>
  <si>
    <t>CITY OF CLEBURNE</t>
  </si>
  <si>
    <t>0047155</t>
  </si>
  <si>
    <t>10006-001</t>
  </si>
  <si>
    <t>10006-001.003</t>
  </si>
  <si>
    <t>HALEPASKA PROPERTY MANAGEMENT LLC</t>
  </si>
  <si>
    <t>0133981</t>
  </si>
  <si>
    <t>15071-001</t>
  </si>
  <si>
    <t>15071-001.001</t>
  </si>
  <si>
    <t>HWY 300 LLC</t>
  </si>
  <si>
    <t>0133434</t>
  </si>
  <si>
    <t>14395-001</t>
  </si>
  <si>
    <t>14395-001.001</t>
  </si>
  <si>
    <t>1901</t>
  </si>
  <si>
    <t>CITY OF KENEDY</t>
  </si>
  <si>
    <t>0027774</t>
  </si>
  <si>
    <t>10746-001</t>
  </si>
  <si>
    <t>10746-001.001</t>
  </si>
  <si>
    <t>CITY OF KERENS</t>
  </si>
  <si>
    <t>0023027</t>
  </si>
  <si>
    <t>10745-001</t>
  </si>
  <si>
    <t>10745-001.001</t>
  </si>
  <si>
    <t>0307</t>
  </si>
  <si>
    <t>DELTA</t>
  </si>
  <si>
    <t>DELTA COUNTY MUD</t>
  </si>
  <si>
    <t>0020192</t>
  </si>
  <si>
    <t>10744-001</t>
  </si>
  <si>
    <t>10744-001.001</t>
  </si>
  <si>
    <t>0031585</t>
  </si>
  <si>
    <t>10743-001</t>
  </si>
  <si>
    <t>10743-001.001</t>
  </si>
  <si>
    <t>0024601</t>
  </si>
  <si>
    <t>10742-001</t>
  </si>
  <si>
    <t>10742-001.001</t>
  </si>
  <si>
    <t>CITY OF CASTROVILLE</t>
  </si>
  <si>
    <t>0129364</t>
  </si>
  <si>
    <t>10952-001</t>
  </si>
  <si>
    <t>10952-001.001</t>
  </si>
  <si>
    <t>METROPLEX QUARRYS INC</t>
  </si>
  <si>
    <t>0129411</t>
  </si>
  <si>
    <t>04820-000</t>
  </si>
  <si>
    <t>04820-000.007</t>
  </si>
  <si>
    <t>04820-000.006</t>
  </si>
  <si>
    <t>04820-000.005</t>
  </si>
  <si>
    <t>04820-000.004</t>
  </si>
  <si>
    <t>04820-000.003</t>
  </si>
  <si>
    <t>HARRIS COUNTY WCID 70</t>
  </si>
  <si>
    <t>0025402</t>
  </si>
  <si>
    <t>10530-001</t>
  </si>
  <si>
    <t>10530-001.001</t>
  </si>
  <si>
    <t>HARRIS COUNTY FWSD 52</t>
  </si>
  <si>
    <t>0026450</t>
  </si>
  <si>
    <t>10528-001</t>
  </si>
  <si>
    <t>10528-001.001</t>
  </si>
  <si>
    <t>0032085</t>
  </si>
  <si>
    <t>11158-001</t>
  </si>
  <si>
    <t>11158-001.001</t>
  </si>
  <si>
    <t>NORTH ORANGE WATER &amp; SEWER LLC</t>
  </si>
  <si>
    <t>0053562</t>
  </si>
  <si>
    <t>11155-001</t>
  </si>
  <si>
    <t>11155-001.001</t>
  </si>
  <si>
    <t>WEST MEMORIAL MUD</t>
  </si>
  <si>
    <t>0021512</t>
  </si>
  <si>
    <t>11152-001</t>
  </si>
  <si>
    <t>11152-001.001</t>
  </si>
  <si>
    <t>MEMORIAL POINT UD</t>
  </si>
  <si>
    <t>0022845</t>
  </si>
  <si>
    <t>11147-001</t>
  </si>
  <si>
    <t>11147-001.001</t>
  </si>
  <si>
    <t>BC HUMBLE ENTERPRISES LLC</t>
  </si>
  <si>
    <t>0067539</t>
  </si>
  <si>
    <t>14874-001</t>
  </si>
  <si>
    <t>14874-001.001</t>
  </si>
  <si>
    <t>2115</t>
  </si>
  <si>
    <t>MEDINA COUNTY WCID 2</t>
  </si>
  <si>
    <t>0075779</t>
  </si>
  <si>
    <t>11144-001</t>
  </si>
  <si>
    <t>11144-001.001</t>
  </si>
  <si>
    <t>SPLENDORA ISD</t>
  </si>
  <si>
    <t>0117463</t>
  </si>
  <si>
    <t>11143-002</t>
  </si>
  <si>
    <t>11143-002.001</t>
  </si>
  <si>
    <t>TIMBER LANE UTILITY DISTRICT</t>
  </si>
  <si>
    <t>0046680</t>
  </si>
  <si>
    <t>11142-002</t>
  </si>
  <si>
    <t>11142-002.001</t>
  </si>
  <si>
    <t>TRESCHWIG JOINT POWERS BOARD</t>
  </si>
  <si>
    <t>0046728</t>
  </si>
  <si>
    <t>11141-001</t>
  </si>
  <si>
    <t>11141-001.001</t>
  </si>
  <si>
    <t>MOSCOW WSC</t>
  </si>
  <si>
    <t>0075701</t>
  </si>
  <si>
    <t>11139-001</t>
  </si>
  <si>
    <t>11139-001.001</t>
  </si>
  <si>
    <t>CORPUS CHRISTI PEOPLES BAPTIST CHURCH</t>
  </si>
  <si>
    <t>0076767</t>
  </si>
  <si>
    <t>11134-002</t>
  </si>
  <si>
    <t>11134-002.001</t>
  </si>
  <si>
    <t>CITY OF EUSTACE</t>
  </si>
  <si>
    <t>0027481</t>
  </si>
  <si>
    <t>14789-001</t>
  </si>
  <si>
    <t>14789-001.001</t>
  </si>
  <si>
    <t>BRAZORIA COUNTY FWSD 1</t>
  </si>
  <si>
    <t>0032425</t>
  </si>
  <si>
    <t>11130-001</t>
  </si>
  <si>
    <t>11130-001.001</t>
  </si>
  <si>
    <t>FRANKLIN</t>
  </si>
  <si>
    <t>CITY OF MOUNT VERNON</t>
  </si>
  <si>
    <t>0063096</t>
  </si>
  <si>
    <t>11122-002</t>
  </si>
  <si>
    <t>11122-002.001</t>
  </si>
  <si>
    <t>0075540</t>
  </si>
  <si>
    <t>11122-001</t>
  </si>
  <si>
    <t>11122-001.001</t>
  </si>
  <si>
    <t>CITY OF AUSTWELL</t>
  </si>
  <si>
    <t>0048038</t>
  </si>
  <si>
    <t>11117-001</t>
  </si>
  <si>
    <t>11117-001.001</t>
  </si>
  <si>
    <t>METROPLES QUARRYS INC</t>
  </si>
  <si>
    <t>04820-000.002</t>
  </si>
  <si>
    <t>04820-000.001</t>
  </si>
  <si>
    <t>ALLEN JAMES LEWIS</t>
  </si>
  <si>
    <t>0129127</t>
  </si>
  <si>
    <t>14746-001</t>
  </si>
  <si>
    <t>14746-001.001</t>
  </si>
  <si>
    <t>FORT BEND MUD NO 169 AND CITY OF FULSHEAR</t>
  </si>
  <si>
    <t>0129119</t>
  </si>
  <si>
    <t>14745-001</t>
  </si>
  <si>
    <t>14745-001.001</t>
  </si>
  <si>
    <t>HOLMES FOOD INC</t>
  </si>
  <si>
    <t>0128741</t>
  </si>
  <si>
    <t>04797-000</t>
  </si>
  <si>
    <t>04797-000.001</t>
  </si>
  <si>
    <t>AES DEEPWATER LLC</t>
  </si>
  <si>
    <t>0128830</t>
  </si>
  <si>
    <t>04795-000</t>
  </si>
  <si>
    <t>04795-000.001</t>
  </si>
  <si>
    <t>0062839</t>
  </si>
  <si>
    <t>14720-001</t>
  </si>
  <si>
    <t>14720-001.001</t>
  </si>
  <si>
    <t>BLUE WATER OAKS PROPERTY OWNERS ASSN SEWER SERVICE AND WSC</t>
  </si>
  <si>
    <t>0058360</t>
  </si>
  <si>
    <t>14411-001</t>
  </si>
  <si>
    <t>14411-001.001</t>
  </si>
  <si>
    <t>CITY OF LAKEPORT</t>
  </si>
  <si>
    <t>0128856</t>
  </si>
  <si>
    <t>14721-001</t>
  </si>
  <si>
    <t>14721-001.001</t>
  </si>
  <si>
    <t>HARRIS COUNTY MUD NO 167</t>
  </si>
  <si>
    <t>0094307</t>
  </si>
  <si>
    <t>12834-001</t>
  </si>
  <si>
    <t>12834-001.002</t>
  </si>
  <si>
    <t>FORT BEND MUD #185</t>
  </si>
  <si>
    <t>0128708</t>
  </si>
  <si>
    <t>14704-001</t>
  </si>
  <si>
    <t>14704-001.001</t>
  </si>
  <si>
    <t>LCY ELASTOMERS LP</t>
  </si>
  <si>
    <t>0128015</t>
  </si>
  <si>
    <t>04772-000</t>
  </si>
  <si>
    <t>04772-000.002</t>
  </si>
  <si>
    <t>0128007</t>
  </si>
  <si>
    <t>14626-001</t>
  </si>
  <si>
    <t>14626-001.001</t>
  </si>
  <si>
    <t>CITY OF JEWETT</t>
  </si>
  <si>
    <t>0074683</t>
  </si>
  <si>
    <t>11392-001</t>
  </si>
  <si>
    <t>11392-001.001</t>
  </si>
  <si>
    <t>CROSBY MUD</t>
  </si>
  <si>
    <t>0054151</t>
  </si>
  <si>
    <t>11388-001</t>
  </si>
  <si>
    <t>11388-001.001</t>
  </si>
  <si>
    <t>MONTGOMERY COUNTY MUD 16</t>
  </si>
  <si>
    <t>0078344</t>
  </si>
  <si>
    <t>11386-001</t>
  </si>
  <si>
    <t>11386-001.001</t>
  </si>
  <si>
    <t>CITY OF SHEPHERD</t>
  </si>
  <si>
    <t>0137596</t>
  </si>
  <si>
    <t>11380-002</t>
  </si>
  <si>
    <t>11380-002.001</t>
  </si>
  <si>
    <t>GUADALUPE-BLANCO RIVER AUTHORITY</t>
  </si>
  <si>
    <t>0025208</t>
  </si>
  <si>
    <t>11378-001</t>
  </si>
  <si>
    <t>11378-001.001</t>
  </si>
  <si>
    <t>WOODHAVEN INTERESTS LLC</t>
  </si>
  <si>
    <t>0139637</t>
  </si>
  <si>
    <t>15829-001</t>
  </si>
  <si>
    <t>15829-001.001</t>
  </si>
  <si>
    <t>CITY OF CRESSON</t>
  </si>
  <si>
    <t>0139401</t>
  </si>
  <si>
    <t>14805-002</t>
  </si>
  <si>
    <t>14805-002.001</t>
  </si>
  <si>
    <t>WHITE ROCK HOMEOWNERS ASSOCIATION INC</t>
  </si>
  <si>
    <t>0139009</t>
  </si>
  <si>
    <t>14821-002</t>
  </si>
  <si>
    <t>14821-002.001</t>
  </si>
  <si>
    <t>1906</t>
  </si>
  <si>
    <t>0063703</t>
  </si>
  <si>
    <t>101</t>
  </si>
  <si>
    <t>01517-000</t>
  </si>
  <si>
    <t>01517-000.101</t>
  </si>
  <si>
    <t>0139211</t>
  </si>
  <si>
    <t>05271-000</t>
  </si>
  <si>
    <t>05271-001.001</t>
  </si>
  <si>
    <t>05157-000.004</t>
  </si>
  <si>
    <t>05157-000.003</t>
  </si>
  <si>
    <t>NORTH WEST RUBBER USA INC AND GP/NWR LLC</t>
  </si>
  <si>
    <t>0139441</t>
  </si>
  <si>
    <t>05276-000</t>
  </si>
  <si>
    <t>05276-000.001</t>
  </si>
  <si>
    <t>INTEGRA WATER TEXAS LLC AND SHERRY LOVE DILL</t>
  </si>
  <si>
    <t>0139360</t>
  </si>
  <si>
    <t>15804-001</t>
  </si>
  <si>
    <t>15804-001.001</t>
  </si>
  <si>
    <t>REGAL LLC</t>
  </si>
  <si>
    <t>0139688</t>
  </si>
  <si>
    <t>15836-001</t>
  </si>
  <si>
    <t>15836-001.001</t>
  </si>
  <si>
    <t>STEEL DYNAMICS SOUTHWEST LLC</t>
  </si>
  <si>
    <t>0139629</t>
  </si>
  <si>
    <t>05283-000</t>
  </si>
  <si>
    <t>05283-000.001</t>
  </si>
  <si>
    <t>0139581</t>
  </si>
  <si>
    <t>15825-001</t>
  </si>
  <si>
    <t>15825-001.001</t>
  </si>
  <si>
    <t>BLACK BRANCH CREEK WWTP LLC</t>
  </si>
  <si>
    <t>0139670</t>
  </si>
  <si>
    <t>15834-001</t>
  </si>
  <si>
    <t>15834-001.001</t>
  </si>
  <si>
    <t>1248</t>
  </si>
  <si>
    <t>WILLIAMSON COUNTY MUD 16</t>
  </si>
  <si>
    <t>0139181</t>
  </si>
  <si>
    <t>15000-002</t>
  </si>
  <si>
    <t>15000-002.001</t>
  </si>
  <si>
    <t>KEPPEL AMFELS LLC</t>
  </si>
  <si>
    <t>0139530</t>
  </si>
  <si>
    <t>05281-000</t>
  </si>
  <si>
    <t>05281-000.006</t>
  </si>
  <si>
    <t>05281-000.005</t>
  </si>
  <si>
    <t>LEVERETTS CHAPEL ISD</t>
  </si>
  <si>
    <t>0030686</t>
  </si>
  <si>
    <t>11113-001</t>
  </si>
  <si>
    <t>11113-001.001</t>
  </si>
  <si>
    <t>TIKI LEASING COMPANY LTD</t>
  </si>
  <si>
    <t>0085961</t>
  </si>
  <si>
    <t>11109-001</t>
  </si>
  <si>
    <t>11109-001.001</t>
  </si>
  <si>
    <t>CITY OF TAYLOR LANDING</t>
  </si>
  <si>
    <t>0058572</t>
  </si>
  <si>
    <t>11107-001</t>
  </si>
  <si>
    <t>11107-001.001</t>
  </si>
  <si>
    <t>BAMMEL UD</t>
  </si>
  <si>
    <t>0046639</t>
  </si>
  <si>
    <t>11105-001</t>
  </si>
  <si>
    <t>11105-001.001</t>
  </si>
  <si>
    <t>FORRESTON SEWER SERVICE &amp; WSC</t>
  </si>
  <si>
    <t>0021717</t>
  </si>
  <si>
    <t>11103-001</t>
  </si>
  <si>
    <t>11103-001.001</t>
  </si>
  <si>
    <t>CITY OF PANORAMA VILLAGE</t>
  </si>
  <si>
    <t>0020206</t>
  </si>
  <si>
    <t>11097-001</t>
  </si>
  <si>
    <t>11097-001.001</t>
  </si>
  <si>
    <t>2482</t>
  </si>
  <si>
    <t>SUBLIGHT ENTERPRISES INC</t>
  </si>
  <si>
    <t>0066664</t>
  </si>
  <si>
    <t>11096-001</t>
  </si>
  <si>
    <t>11096-001.001</t>
  </si>
  <si>
    <t>BELL COUNTY WCID 2</t>
  </si>
  <si>
    <t>0020257</t>
  </si>
  <si>
    <t>11091-001</t>
  </si>
  <si>
    <t>11091-001.001</t>
  </si>
  <si>
    <t>0020249</t>
  </si>
  <si>
    <t>11090-001</t>
  </si>
  <si>
    <t>11090-001.001</t>
  </si>
  <si>
    <t>PRESTONWOOD FOREST UTILITY DISTRICT</t>
  </si>
  <si>
    <t>0046701</t>
  </si>
  <si>
    <t>11089-001</t>
  </si>
  <si>
    <t>11089-001.001</t>
  </si>
  <si>
    <t>NERRO SUPPLY LLC</t>
  </si>
  <si>
    <t>0100935</t>
  </si>
  <si>
    <t>03792-000</t>
  </si>
  <si>
    <t>03792-000.001</t>
  </si>
  <si>
    <t>VALLOUREC STAR LP</t>
  </si>
  <si>
    <t>0088455</t>
  </si>
  <si>
    <t>15658-001</t>
  </si>
  <si>
    <t>15658-001.001</t>
  </si>
  <si>
    <t>ECTOR</t>
  </si>
  <si>
    <t>0113026</t>
  </si>
  <si>
    <t>03776-000</t>
  </si>
  <si>
    <t>03776-000.001</t>
  </si>
  <si>
    <t>AMERIFORGE CORP</t>
  </si>
  <si>
    <t>0113972</t>
  </si>
  <si>
    <t>03767-000</t>
  </si>
  <si>
    <t>03767-000.001</t>
  </si>
  <si>
    <t>0127981</t>
  </si>
  <si>
    <t>14625-001</t>
  </si>
  <si>
    <t>14625-001.001</t>
  </si>
  <si>
    <t>0127949</t>
  </si>
  <si>
    <t>14620-001</t>
  </si>
  <si>
    <t>14620-001.001</t>
  </si>
  <si>
    <t>GULF REDUCTION CORP</t>
  </si>
  <si>
    <t>0118575</t>
  </si>
  <si>
    <t>03751-000</t>
  </si>
  <si>
    <t>03751-000.001</t>
  </si>
  <si>
    <t>SAFE HAVEN SHIPYARD INC</t>
  </si>
  <si>
    <t>0112861</t>
  </si>
  <si>
    <t>03749-000</t>
  </si>
  <si>
    <t>03749-000.001</t>
  </si>
  <si>
    <t>TARKINGTON ISD</t>
  </si>
  <si>
    <t>0132543</t>
  </si>
  <si>
    <t>14968-001</t>
  </si>
  <si>
    <t>14968-001.001</t>
  </si>
  <si>
    <t>0026247</t>
  </si>
  <si>
    <t>11375-001</t>
  </si>
  <si>
    <t>11375-001.001</t>
  </si>
  <si>
    <t>STANLEY LAKE MUD</t>
  </si>
  <si>
    <t>0022063</t>
  </si>
  <si>
    <t>11367-001</t>
  </si>
  <si>
    <t>11367-001.001</t>
  </si>
  <si>
    <t>CYPRESS-KLEIN UD</t>
  </si>
  <si>
    <t>0046779</t>
  </si>
  <si>
    <t>11366-001</t>
  </si>
  <si>
    <t>11366-001.001</t>
  </si>
  <si>
    <t>SABINE VALLEY REGIONAL MENTAL HEALTH AND MENTAL RETARDATION CENTER</t>
  </si>
  <si>
    <t>0068004</t>
  </si>
  <si>
    <t>11361-001</t>
  </si>
  <si>
    <t>11361-001.001</t>
  </si>
  <si>
    <t>HARRIS COUNTY MUD 11</t>
  </si>
  <si>
    <t>0111767</t>
  </si>
  <si>
    <t>11351-001</t>
  </si>
  <si>
    <t>11351-001.001</t>
  </si>
  <si>
    <t>01515-000.017</t>
  </si>
  <si>
    <t>019</t>
  </si>
  <si>
    <t>01515-000.019</t>
  </si>
  <si>
    <t>01515-000.010</t>
  </si>
  <si>
    <t>KOCH SULFUR PRODUCTS CO LLC</t>
  </si>
  <si>
    <t>0137421</t>
  </si>
  <si>
    <t>05217-000</t>
  </si>
  <si>
    <t>05217-000.001</t>
  </si>
  <si>
    <t>GSL WELCOME BP 32 LLC</t>
  </si>
  <si>
    <t>0137529</t>
  </si>
  <si>
    <t>15545-001</t>
  </si>
  <si>
    <t>15545-001.001</t>
  </si>
  <si>
    <t>018</t>
  </si>
  <si>
    <t>01514-000.018</t>
  </si>
  <si>
    <t>01514-000.017</t>
  </si>
  <si>
    <t>016</t>
  </si>
  <si>
    <t>01514-000.016</t>
  </si>
  <si>
    <t>GRAND NORTHWEST MUD</t>
  </si>
  <si>
    <t>0137472</t>
  </si>
  <si>
    <t>15537-001</t>
  </si>
  <si>
    <t>15537-001.001</t>
  </si>
  <si>
    <t>CITY OF STRAWN</t>
  </si>
  <si>
    <t>0137405</t>
  </si>
  <si>
    <t>10326-002</t>
  </si>
  <si>
    <t>10326-002.001</t>
  </si>
  <si>
    <t>BLANCO</t>
  </si>
  <si>
    <t>CITY OF BLANCO</t>
  </si>
  <si>
    <t>0054623</t>
  </si>
  <si>
    <t>10549-002</t>
  </si>
  <si>
    <t>10549-002.003</t>
  </si>
  <si>
    <t>05281-000.004</t>
  </si>
  <si>
    <t>621 KATY LLC</t>
  </si>
  <si>
    <t>0139424</t>
  </si>
  <si>
    <t>15809-001</t>
  </si>
  <si>
    <t>15809-001.001</t>
  </si>
  <si>
    <t>HOUSTON POLYMERS TERMINAL LP</t>
  </si>
  <si>
    <t>0139262</t>
  </si>
  <si>
    <t>15790-001</t>
  </si>
  <si>
    <t>15790-001.001</t>
  </si>
  <si>
    <t>93 SCHIEL ROAD LTD</t>
  </si>
  <si>
    <t>0139173</t>
  </si>
  <si>
    <t>15779-001</t>
  </si>
  <si>
    <t>15779-001.001</t>
  </si>
  <si>
    <t>STONETOWN PLEASANT OAKS LLC</t>
  </si>
  <si>
    <t>0139378</t>
  </si>
  <si>
    <t>14556-002</t>
  </si>
  <si>
    <t>14556-002.001</t>
  </si>
  <si>
    <t>0139483</t>
  </si>
  <si>
    <t>05278-000</t>
  </si>
  <si>
    <t>05278-000.001</t>
  </si>
  <si>
    <t>02070-000.006</t>
  </si>
  <si>
    <t>02070-000.005</t>
  </si>
  <si>
    <t>LEGACY HOUSING CORPORATION</t>
  </si>
  <si>
    <t>0139033</t>
  </si>
  <si>
    <t>15766-001</t>
  </si>
  <si>
    <t>15766-001.001</t>
  </si>
  <si>
    <t>0139521</t>
  </si>
  <si>
    <t>15817-001</t>
  </si>
  <si>
    <t>15817-001.001</t>
  </si>
  <si>
    <t>00467-000.008</t>
  </si>
  <si>
    <t>HK REAL ESTATE DEVELOPMENT LLC</t>
  </si>
  <si>
    <t>0139238</t>
  </si>
  <si>
    <t>15784-001</t>
  </si>
  <si>
    <t>15784-001.001</t>
  </si>
  <si>
    <t>NORTHLAKE CORNERS LLC</t>
  </si>
  <si>
    <t>0139271</t>
  </si>
  <si>
    <t>15791-001</t>
  </si>
  <si>
    <t>15791-001.001</t>
  </si>
  <si>
    <t>ESPERANZA WATER SERVICE CO INC</t>
  </si>
  <si>
    <t>0139459</t>
  </si>
  <si>
    <t>05277-000</t>
  </si>
  <si>
    <t>05277-000.001</t>
  </si>
  <si>
    <t>GUEFEN DEVELOPMENT CO</t>
  </si>
  <si>
    <t>0139475</t>
  </si>
  <si>
    <t>15813-001</t>
  </si>
  <si>
    <t>15813-001.001</t>
  </si>
  <si>
    <t>0137294</t>
  </si>
  <si>
    <t>05206-000</t>
  </si>
  <si>
    <t>05206-000.001</t>
  </si>
  <si>
    <t>02181-000.003</t>
  </si>
  <si>
    <t>02181-000.002</t>
  </si>
  <si>
    <t>CITY OF LEAGUE CITY</t>
  </si>
  <si>
    <t>0133043</t>
  </si>
  <si>
    <t>10568-008</t>
  </si>
  <si>
    <t>10568-008.001</t>
  </si>
  <si>
    <t>AGINUS HOLDINGS LLC AND BELLVILLE TUBE CO</t>
  </si>
  <si>
    <t>0082791</t>
  </si>
  <si>
    <t>03716-000</t>
  </si>
  <si>
    <t>03716-000.004</t>
  </si>
  <si>
    <t>CHEMICALS INC</t>
  </si>
  <si>
    <t>0118427</t>
  </si>
  <si>
    <t>03713-000</t>
  </si>
  <si>
    <t>03713-000.001</t>
  </si>
  <si>
    <t>03660-000.009</t>
  </si>
  <si>
    <t>03660-000.008</t>
  </si>
  <si>
    <t>03660-000.007</t>
  </si>
  <si>
    <t>03660-000.006</t>
  </si>
  <si>
    <t>03660-000.005</t>
  </si>
  <si>
    <t>PI DOCK FACILITIES LLC</t>
  </si>
  <si>
    <t>0133833</t>
  </si>
  <si>
    <t>05004-000</t>
  </si>
  <si>
    <t>05004-000.001</t>
  </si>
  <si>
    <t>2309</t>
  </si>
  <si>
    <t>SUTTON</t>
  </si>
  <si>
    <t>MULTI CHEM GROUP LLC</t>
  </si>
  <si>
    <t>0133884</t>
  </si>
  <si>
    <t>05001-000</t>
  </si>
  <si>
    <t>05001-000.002</t>
  </si>
  <si>
    <t>05001-000.001</t>
  </si>
  <si>
    <t>05001-000.003</t>
  </si>
  <si>
    <t>DHJB DEVELOPMENT LLC</t>
  </si>
  <si>
    <t>0133825</t>
  </si>
  <si>
    <t>14975-001</t>
  </si>
  <si>
    <t>14975-001.001</t>
  </si>
  <si>
    <t>FERNCO DEVELOPMENT LTD LENCO DEV LTD NORCO DEV LTD</t>
  </si>
  <si>
    <t>0075841</t>
  </si>
  <si>
    <t>14825-001</t>
  </si>
  <si>
    <t>14825-001-001</t>
  </si>
  <si>
    <t>CITY OF KARNES CITY</t>
  </si>
  <si>
    <t>0129984</t>
  </si>
  <si>
    <t>10352-003</t>
  </si>
  <si>
    <t>10352-003.001</t>
  </si>
  <si>
    <t>US DEPT OF JUSTICE</t>
  </si>
  <si>
    <t>0130052</t>
  </si>
  <si>
    <t>13461-001</t>
  </si>
  <si>
    <t>13461-001.001</t>
  </si>
  <si>
    <t>RICE CISD</t>
  </si>
  <si>
    <t>0129968</t>
  </si>
  <si>
    <t>14846-001</t>
  </si>
  <si>
    <t>14846-001.001</t>
  </si>
  <si>
    <t>0129950</t>
  </si>
  <si>
    <t>10543-014</t>
  </si>
  <si>
    <t>10543-014.001</t>
  </si>
  <si>
    <t>02181-000.007</t>
  </si>
  <si>
    <t>02181-000.006</t>
  </si>
  <si>
    <t>PECAN ACRES CREEK LLC</t>
  </si>
  <si>
    <t>0139599</t>
  </si>
  <si>
    <t>15826-001</t>
  </si>
  <si>
    <t>15826-001.001</t>
  </si>
  <si>
    <t>LH RANCH WWTP-1 LTD</t>
  </si>
  <si>
    <t>0139653</t>
  </si>
  <si>
    <t>15830-001</t>
  </si>
  <si>
    <t>15830-001.001</t>
  </si>
  <si>
    <t>JW DEVELOPMENT PARTNERS LLC</t>
  </si>
  <si>
    <t>0139165</t>
  </si>
  <si>
    <t>15778-001</t>
  </si>
  <si>
    <t>15778-001.001</t>
  </si>
  <si>
    <t>CRYSTAL CLEAR SUD AND MCLB LAND LLC</t>
  </si>
  <si>
    <t>0139131</t>
  </si>
  <si>
    <t>15266-002</t>
  </si>
  <si>
    <t>15266-002.001</t>
  </si>
  <si>
    <t>NGO INDUSTRIAL HOLDINGS LLC AND ACME BRICK CO</t>
  </si>
  <si>
    <t>0139084</t>
  </si>
  <si>
    <t>05268-000</t>
  </si>
  <si>
    <t>05268-000.001</t>
  </si>
  <si>
    <t>A &amp; M INTERESTS INC</t>
  </si>
  <si>
    <t>0139548</t>
  </si>
  <si>
    <t>15819-001</t>
  </si>
  <si>
    <t>15819-001.001</t>
  </si>
  <si>
    <t>OAK CREEK RV LLC</t>
  </si>
  <si>
    <t>0139661</t>
  </si>
  <si>
    <t>15831-001</t>
  </si>
  <si>
    <t>15831-001.001</t>
  </si>
  <si>
    <t>0006271</t>
  </si>
  <si>
    <t>00592-000</t>
  </si>
  <si>
    <t>00592-000.004</t>
  </si>
  <si>
    <t>PT SIX LP</t>
  </si>
  <si>
    <t>0139742</t>
  </si>
  <si>
    <t>15840-001</t>
  </si>
  <si>
    <t>15840-001.001</t>
  </si>
  <si>
    <t>0139556</t>
  </si>
  <si>
    <t>15821-001</t>
  </si>
  <si>
    <t>15821-001.001</t>
  </si>
  <si>
    <t>JIMMY EDWIN COLE JR</t>
  </si>
  <si>
    <t>0139726</t>
  </si>
  <si>
    <t>15838-001</t>
  </si>
  <si>
    <t>15838-001.001</t>
  </si>
  <si>
    <t>LDY</t>
  </si>
  <si>
    <t>COWTOWN PIPELINE PARTNERS LP</t>
  </si>
  <si>
    <t>0139491</t>
  </si>
  <si>
    <t>05279-000</t>
  </si>
  <si>
    <t>05279-000.001</t>
  </si>
  <si>
    <t>NGO INDUSTRIAL HOLDINGS LLC</t>
  </si>
  <si>
    <t>0139114</t>
  </si>
  <si>
    <t>05269-000</t>
  </si>
  <si>
    <t>05269-000.001</t>
  </si>
  <si>
    <t>PLUM CREEK UTILITY CO LLC</t>
  </si>
  <si>
    <t>0139122</t>
  </si>
  <si>
    <t>15635-002</t>
  </si>
  <si>
    <t>15635-002.001</t>
  </si>
  <si>
    <t>0139327</t>
  </si>
  <si>
    <t>15800-001</t>
  </si>
  <si>
    <t>15800-001.001</t>
  </si>
  <si>
    <t>CITY OF CLEVELAND</t>
  </si>
  <si>
    <t>0138380</t>
  </si>
  <si>
    <t>10766-004</t>
  </si>
  <si>
    <t>10766-004.001</t>
  </si>
  <si>
    <t>CITY OF RICHMOND</t>
  </si>
  <si>
    <t>0129925</t>
  </si>
  <si>
    <t>10258-004</t>
  </si>
  <si>
    <t>10258-004.001</t>
  </si>
  <si>
    <t>THE FORT WORTH BOAT CLUB</t>
  </si>
  <si>
    <t>0067504</t>
  </si>
  <si>
    <t>14840-001</t>
  </si>
  <si>
    <t>14840-001.001</t>
  </si>
  <si>
    <t>PORT OF CORPUS CHRISTI AUTHORITY OF NUECES COUNTY</t>
  </si>
  <si>
    <t>0138355</t>
  </si>
  <si>
    <t>05254-000</t>
  </si>
  <si>
    <t>05254-000.001</t>
  </si>
  <si>
    <t>15649-001</t>
  </si>
  <si>
    <t>15649-001.001</t>
  </si>
  <si>
    <t>CHARLESTON CMI LTD</t>
  </si>
  <si>
    <t>0138134</t>
  </si>
  <si>
    <t>15637-001</t>
  </si>
  <si>
    <t>15637-001.001</t>
  </si>
  <si>
    <t>01202-000.001</t>
  </si>
  <si>
    <t>CORNELIUS ERIKS AND SUSAN CHARLOTTE ERIKS</t>
  </si>
  <si>
    <t>0138240</t>
  </si>
  <si>
    <t>15651-001</t>
  </si>
  <si>
    <t>15651-001.001</t>
  </si>
  <si>
    <t>TEXAS MILITARY DEPARTMENT</t>
  </si>
  <si>
    <t>0138177</t>
  </si>
  <si>
    <t>05247-000</t>
  </si>
  <si>
    <t>05247-000.001</t>
  </si>
  <si>
    <t>0138282</t>
  </si>
  <si>
    <t>15557-002</t>
  </si>
  <si>
    <t>15557-002.001</t>
  </si>
  <si>
    <t>PLUM CREEK UTILITY COMPANY LLC</t>
  </si>
  <si>
    <t>0138118</t>
  </si>
  <si>
    <t>15635-001</t>
  </si>
  <si>
    <t>15635-001.001</t>
  </si>
  <si>
    <t>EASTMAN CHEMICAL CO</t>
  </si>
  <si>
    <t>0000949</t>
  </si>
  <si>
    <t>00471-000</t>
  </si>
  <si>
    <t>00471-000.004</t>
  </si>
  <si>
    <t>POOL BROTHERS LLC</t>
  </si>
  <si>
    <t>0137987</t>
  </si>
  <si>
    <t>15611-001</t>
  </si>
  <si>
    <t>15611-001.001</t>
  </si>
  <si>
    <t>TOTAL PETROCHEMICALS &amp; REFINING USA INC</t>
  </si>
  <si>
    <t>0004201</t>
  </si>
  <si>
    <t>00491-000</t>
  </si>
  <si>
    <t>00491-000.008</t>
  </si>
  <si>
    <t>00491-000.007</t>
  </si>
  <si>
    <t>00491-000.006</t>
  </si>
  <si>
    <t>CITY OF DILLEY</t>
  </si>
  <si>
    <t>0137936</t>
  </si>
  <si>
    <t>10404-007</t>
  </si>
  <si>
    <t>10404-007.001</t>
  </si>
  <si>
    <t>0137855</t>
  </si>
  <si>
    <t>05236-000</t>
  </si>
  <si>
    <t>05236-000.002</t>
  </si>
  <si>
    <t>02436-000.014</t>
  </si>
  <si>
    <t>CITY OF SCHERTZ AND CIBOLO CREEK MUNICIPAL AUTHORITY</t>
  </si>
  <si>
    <t>0136361</t>
  </si>
  <si>
    <t>15371-001</t>
  </si>
  <si>
    <t>15371-001.001</t>
  </si>
  <si>
    <t>0139572</t>
  </si>
  <si>
    <t>15824-001</t>
  </si>
  <si>
    <t>15824-001.001</t>
  </si>
  <si>
    <t>CYPRESS GRAND PARKWAY (HOUSTON) ASLI IX LLC</t>
  </si>
  <si>
    <t>0139297</t>
  </si>
  <si>
    <t>15795-001</t>
  </si>
  <si>
    <t>15795-001.001</t>
  </si>
  <si>
    <t>PROENERGY SERVICES LLC</t>
  </si>
  <si>
    <t>0139190</t>
  </si>
  <si>
    <t>05270-000</t>
  </si>
  <si>
    <t>05270-000.005</t>
  </si>
  <si>
    <t>05270-000.004</t>
  </si>
  <si>
    <t>05270-000.003</t>
  </si>
  <si>
    <t>05270-000.002</t>
  </si>
  <si>
    <t>05270-000.001</t>
  </si>
  <si>
    <t>02120-000.005</t>
  </si>
  <si>
    <t>14377-001.003</t>
  </si>
  <si>
    <t>14377-001.002</t>
  </si>
  <si>
    <t>0829</t>
  </si>
  <si>
    <t>CITY OF FORT WORTH</t>
  </si>
  <si>
    <t>0138444</t>
  </si>
  <si>
    <t>15668-001</t>
  </si>
  <si>
    <t>15668-001.001</t>
  </si>
  <si>
    <t>1207</t>
  </si>
  <si>
    <t>SPORTSMANS WORLD MUD</t>
  </si>
  <si>
    <t>0139408</t>
  </si>
  <si>
    <t>05274-000</t>
  </si>
  <si>
    <t>05274-000.001</t>
  </si>
  <si>
    <t>GOODALTA POWER CENTER LLC</t>
  </si>
  <si>
    <t>0139394</t>
  </si>
  <si>
    <t>05273-000</t>
  </si>
  <si>
    <t>05273-000.001</t>
  </si>
  <si>
    <t>CITY OF BULVERDE</t>
  </si>
  <si>
    <t>0133914</t>
  </si>
  <si>
    <t>15038-001</t>
  </si>
  <si>
    <t>15038-001.001</t>
  </si>
  <si>
    <t>0139602</t>
  </si>
  <si>
    <t>15287-001</t>
  </si>
  <si>
    <t>15827-001.001</t>
  </si>
  <si>
    <t>05236-000.001</t>
  </si>
  <si>
    <t>THE LUBRIZOL CORPORATION</t>
  </si>
  <si>
    <t>0007048</t>
  </si>
  <si>
    <t>00639-000</t>
  </si>
  <si>
    <t>00639-000.008</t>
  </si>
  <si>
    <t>HANOVER ESTATES LTD</t>
  </si>
  <si>
    <t>0138126</t>
  </si>
  <si>
    <t>15636-001</t>
  </si>
  <si>
    <t>15636-001.001</t>
  </si>
  <si>
    <t>RICHMOND RV RESORT</t>
  </si>
  <si>
    <t>0137979</t>
  </si>
  <si>
    <t>15609-001</t>
  </si>
  <si>
    <t>15609-001.001</t>
  </si>
  <si>
    <t>2421</t>
  </si>
  <si>
    <t>CITY OF SEABROOK</t>
  </si>
  <si>
    <t>0137952</t>
  </si>
  <si>
    <t>10671-002</t>
  </si>
  <si>
    <t>10671-002.001</t>
  </si>
  <si>
    <t>02052-000.002</t>
  </si>
  <si>
    <t>SBE CHEMICAL PARTNERS I LLC</t>
  </si>
  <si>
    <t>0137910</t>
  </si>
  <si>
    <t>05240-000</t>
  </si>
  <si>
    <t>05240-000.001</t>
  </si>
  <si>
    <t>0068349</t>
  </si>
  <si>
    <t>01984-000</t>
  </si>
  <si>
    <t>01984-000.002</t>
  </si>
  <si>
    <t>MONTGOMERY COUNTY MUD NO 111</t>
  </si>
  <si>
    <t>0138011</t>
  </si>
  <si>
    <t>15616-001</t>
  </si>
  <si>
    <t>15616-001.001</t>
  </si>
  <si>
    <t>CITY OF CORPUS CHRISTI</t>
  </si>
  <si>
    <t>0047066</t>
  </si>
  <si>
    <t>10401-005</t>
  </si>
  <si>
    <t>10401-005.002</t>
  </si>
  <si>
    <t>HARRIS COUNTY MUD NO 495</t>
  </si>
  <si>
    <t>0138002</t>
  </si>
  <si>
    <t>15222-002</t>
  </si>
  <si>
    <t>15222-002.001</t>
  </si>
  <si>
    <t>CITY OF STAR HARBOR</t>
  </si>
  <si>
    <t>0138029</t>
  </si>
  <si>
    <t>14268-002</t>
  </si>
  <si>
    <t>14268-002.001</t>
  </si>
  <si>
    <t>GULF COAST AMMONIA LLC</t>
  </si>
  <si>
    <t>0137839</t>
  </si>
  <si>
    <t>05235-000</t>
  </si>
  <si>
    <t>05235-000.001</t>
  </si>
  <si>
    <t>0137898</t>
  </si>
  <si>
    <t>15596-001</t>
  </si>
  <si>
    <t>15596-001.001</t>
  </si>
  <si>
    <t>0007412</t>
  </si>
  <si>
    <t>00305-000</t>
  </si>
  <si>
    <t>00305-000.006</t>
  </si>
  <si>
    <t>0137880</t>
  </si>
  <si>
    <t>05239-000</t>
  </si>
  <si>
    <t>05239-000.004</t>
  </si>
  <si>
    <t>05239-000.003</t>
  </si>
  <si>
    <t>05239-000.002</t>
  </si>
  <si>
    <t>CITY OF CANTON</t>
  </si>
  <si>
    <t>0099112</t>
  </si>
  <si>
    <t>10399-002</t>
  </si>
  <si>
    <t>10399-002.003</t>
  </si>
  <si>
    <t>TPC GROUP LLC AND JOHN EDWARD FRANTZ</t>
  </si>
  <si>
    <t>0004961</t>
  </si>
  <si>
    <t>007A</t>
  </si>
  <si>
    <t>00587-000</t>
  </si>
  <si>
    <t>00587-000.007</t>
  </si>
  <si>
    <t>008B</t>
  </si>
  <si>
    <t>00587-000.008</t>
  </si>
  <si>
    <t>008A</t>
  </si>
  <si>
    <t>GREAT ESCAPES OPPORTUNITY ZONE FUND LLC</t>
  </si>
  <si>
    <t>0139203</t>
  </si>
  <si>
    <t>15781-001</t>
  </si>
  <si>
    <t>15781-001.001</t>
  </si>
  <si>
    <t>DENTON COUNTY MUD 10</t>
  </si>
  <si>
    <t>0139351</t>
  </si>
  <si>
    <t>15803-001</t>
  </si>
  <si>
    <t>15803-001.001</t>
  </si>
  <si>
    <t>CROSSROADS 10445 LP</t>
  </si>
  <si>
    <t>0139432</t>
  </si>
  <si>
    <t>15810-001</t>
  </si>
  <si>
    <t>15810-001.001</t>
  </si>
  <si>
    <t>HARRIS COUNTY MUD 43</t>
  </si>
  <si>
    <t>0139220</t>
  </si>
  <si>
    <t>15783-001</t>
  </si>
  <si>
    <t>15783-001.001</t>
  </si>
  <si>
    <t>OAKVILLE RANCH RV RESORT LLC</t>
  </si>
  <si>
    <t>0138967</t>
  </si>
  <si>
    <t>15754-001</t>
  </si>
  <si>
    <t>15754-001.001</t>
  </si>
  <si>
    <t>KENDALL WEST UTILITY LLC</t>
  </si>
  <si>
    <t>0139246</t>
  </si>
  <si>
    <t>15787-001</t>
  </si>
  <si>
    <t>15787-001.002</t>
  </si>
  <si>
    <t>15787-001.001</t>
  </si>
  <si>
    <t>HANNOVER ESTATES LTD</t>
  </si>
  <si>
    <t>0139513</t>
  </si>
  <si>
    <t>15816-001</t>
  </si>
  <si>
    <t>15816-001.001</t>
  </si>
  <si>
    <t>0139343</t>
  </si>
  <si>
    <t>15802-001</t>
  </si>
  <si>
    <t>15802-001.001</t>
  </si>
  <si>
    <t>WALLER COUNTY MUD 19</t>
  </si>
  <si>
    <t>0139149</t>
  </si>
  <si>
    <t>15776-001</t>
  </si>
  <si>
    <t>15776-001.001</t>
  </si>
  <si>
    <t>0139092</t>
  </si>
  <si>
    <t>15300-001</t>
  </si>
  <si>
    <t>15300-002.001</t>
  </si>
  <si>
    <t>RIVERS EDGE INTERESTS LTD</t>
  </si>
  <si>
    <t>0139301</t>
  </si>
  <si>
    <t>15794-001</t>
  </si>
  <si>
    <t>15794-001.001</t>
  </si>
  <si>
    <t>INTEPLAST GROUP CORP</t>
  </si>
  <si>
    <t>0108405</t>
  </si>
  <si>
    <t>03477-000</t>
  </si>
  <si>
    <t>03477-000.002</t>
  </si>
  <si>
    <t>1601</t>
  </si>
  <si>
    <t>03477-000.001</t>
  </si>
  <si>
    <t>CITY OF ROBINSON</t>
  </si>
  <si>
    <t>0117935</t>
  </si>
  <si>
    <t>03466-000</t>
  </si>
  <si>
    <t>03466-000.001</t>
  </si>
  <si>
    <t>0841</t>
  </si>
  <si>
    <t>FORTERRA PRESSURE PIPE INC</t>
  </si>
  <si>
    <t>0108065</t>
  </si>
  <si>
    <t>03446-000</t>
  </si>
  <si>
    <t>03446-000.001</t>
  </si>
  <si>
    <t>0118737</t>
  </si>
  <si>
    <t>03426-000</t>
  </si>
  <si>
    <t>03426-000.001</t>
  </si>
  <si>
    <t>WASTE MANAGEMENT OF TEXAS INC</t>
  </si>
  <si>
    <t>0119458</t>
  </si>
  <si>
    <t>03416-000</t>
  </si>
  <si>
    <t>03416-000.001</t>
  </si>
  <si>
    <t>GSE ENVIRONMENTAL LLC</t>
  </si>
  <si>
    <t>0103616</t>
  </si>
  <si>
    <t>03402-000</t>
  </si>
  <si>
    <t>03402-000.001</t>
  </si>
  <si>
    <t>0106542</t>
  </si>
  <si>
    <t>03244-000</t>
  </si>
  <si>
    <t>03244-000.002</t>
  </si>
  <si>
    <t>DALLAS 2100 ROSS LP</t>
  </si>
  <si>
    <t>0127779</t>
  </si>
  <si>
    <t>04927-000</t>
  </si>
  <si>
    <t>04927-000.001</t>
  </si>
  <si>
    <t>BYK ADDITIVES INC</t>
  </si>
  <si>
    <t>0123358</t>
  </si>
  <si>
    <t>03306-000</t>
  </si>
  <si>
    <t>03306-000.001</t>
  </si>
  <si>
    <t>03244-000.001</t>
  </si>
  <si>
    <t>FARCO MINING INC</t>
  </si>
  <si>
    <t>0096814</t>
  </si>
  <si>
    <t>03229-000</t>
  </si>
  <si>
    <t>03229-000.001</t>
  </si>
  <si>
    <t>0129453</t>
  </si>
  <si>
    <t>14724-002</t>
  </si>
  <si>
    <t>14724-002.001</t>
  </si>
  <si>
    <t>TOSHIBA INTERNATIONAL CORP</t>
  </si>
  <si>
    <t>0074292</t>
  </si>
  <si>
    <t>03153-000</t>
  </si>
  <si>
    <t>03153-000.002</t>
  </si>
  <si>
    <t>03153-000.001</t>
  </si>
  <si>
    <t>SOUTH COAST TERMINALS LP</t>
  </si>
  <si>
    <t>0106054</t>
  </si>
  <si>
    <t>03150-000</t>
  </si>
  <si>
    <t>03150-000.002</t>
  </si>
  <si>
    <t>03150-000.001</t>
  </si>
  <si>
    <t>MARKWEST JAVELINA CO LLC</t>
  </si>
  <si>
    <t>0105481</t>
  </si>
  <si>
    <t>03137-000</t>
  </si>
  <si>
    <t>03137-000.001</t>
  </si>
  <si>
    <t>0007552</t>
  </si>
  <si>
    <t>00815-000</t>
  </si>
  <si>
    <t>00815-000.004</t>
  </si>
  <si>
    <t>00815-000.003</t>
  </si>
  <si>
    <t>ML DEV LP AND MR LOUIS TSAKIRIS</t>
  </si>
  <si>
    <t>0139289</t>
  </si>
  <si>
    <t>15664-002</t>
  </si>
  <si>
    <t>15664-002.001</t>
  </si>
  <si>
    <t>HARRIS COUNTY WCID 133</t>
  </si>
  <si>
    <t>0020788</t>
  </si>
  <si>
    <t>14538-001</t>
  </si>
  <si>
    <t>14538-001.001</t>
  </si>
  <si>
    <t>FAYETTE WSC</t>
  </si>
  <si>
    <t>0126861</t>
  </si>
  <si>
    <t>14537-001</t>
  </si>
  <si>
    <t>14537-001.001</t>
  </si>
  <si>
    <t>CITY OF CORRIGAN</t>
  </si>
  <si>
    <t>0133787</t>
  </si>
  <si>
    <t>15057-001</t>
  </si>
  <si>
    <t>15057-001.001</t>
  </si>
  <si>
    <t>1232</t>
  </si>
  <si>
    <t>TAYLOR</t>
  </si>
  <si>
    <t>CITY OF MERKEL</t>
  </si>
  <si>
    <t>0111341</t>
  </si>
  <si>
    <t>10786-002</t>
  </si>
  <si>
    <t>10786-002.001</t>
  </si>
  <si>
    <t>INVERNESS FOREST IMPROVEMENT DIST</t>
  </si>
  <si>
    <t>0023612</t>
  </si>
  <si>
    <t>10783-001</t>
  </si>
  <si>
    <t>10783-001.001</t>
  </si>
  <si>
    <t>CITY OF HUNTSVILLE</t>
  </si>
  <si>
    <t>0116572</t>
  </si>
  <si>
    <t>10781-004</t>
  </si>
  <si>
    <t>10781-004.001</t>
  </si>
  <si>
    <t>0072974</t>
  </si>
  <si>
    <t>10781-003</t>
  </si>
  <si>
    <t>10781-003.001</t>
  </si>
  <si>
    <t>0022373</t>
  </si>
  <si>
    <t>10781-002</t>
  </si>
  <si>
    <t>10781-002.001</t>
  </si>
  <si>
    <t>2436</t>
  </si>
  <si>
    <t>CITY OF MORGANS POINT</t>
  </si>
  <si>
    <t>0027260</t>
  </si>
  <si>
    <t>10779-001</t>
  </si>
  <si>
    <t>10779-001.001</t>
  </si>
  <si>
    <t>TOWN OF RANSOM CANYON</t>
  </si>
  <si>
    <t>0075809</t>
  </si>
  <si>
    <t>10778-001</t>
  </si>
  <si>
    <t>10778-001.001</t>
  </si>
  <si>
    <t>BAYVIEW MUD</t>
  </si>
  <si>
    <t>0021822</t>
  </si>
  <si>
    <t>10770-001</t>
  </si>
  <si>
    <t>10770-001.001</t>
  </si>
  <si>
    <t>0053481</t>
  </si>
  <si>
    <t>10766-002</t>
  </si>
  <si>
    <t>10766-002.001</t>
  </si>
  <si>
    <t>0053473</t>
  </si>
  <si>
    <t>10766-001</t>
  </si>
  <si>
    <t>10766-001.001</t>
  </si>
  <si>
    <t>CITY OF WALLIS</t>
  </si>
  <si>
    <t>0025968</t>
  </si>
  <si>
    <t>10765-001</t>
  </si>
  <si>
    <t>10765-001.001</t>
  </si>
  <si>
    <t>CITY OF HUMBLE</t>
  </si>
  <si>
    <t>0034401</t>
  </si>
  <si>
    <t>10763-002</t>
  </si>
  <si>
    <t>10763-002.001</t>
  </si>
  <si>
    <t>0106208</t>
  </si>
  <si>
    <t>03133-000</t>
  </si>
  <si>
    <t>03133-000.001</t>
  </si>
  <si>
    <t>STOLTHAVEN HOUSTON INC</t>
  </si>
  <si>
    <t>0091855</t>
  </si>
  <si>
    <t>03129-000</t>
  </si>
  <si>
    <t>03129-000.006</t>
  </si>
  <si>
    <t>03129-000.005</t>
  </si>
  <si>
    <t>03129-000.004</t>
  </si>
  <si>
    <t>03129-000.003</t>
  </si>
  <si>
    <t>03129-000.001</t>
  </si>
  <si>
    <t>BEST SEA-PACK OF TEXAS INC</t>
  </si>
  <si>
    <t>0105261</t>
  </si>
  <si>
    <t>03116-000</t>
  </si>
  <si>
    <t>03116-000.001</t>
  </si>
  <si>
    <t>02496-000.007</t>
  </si>
  <si>
    <t>CITY OF COOLIDGE</t>
  </si>
  <si>
    <t>0057045</t>
  </si>
  <si>
    <t>14751-001</t>
  </si>
  <si>
    <t>14751-001.001</t>
  </si>
  <si>
    <t>RANKIN PARK MAINTENANCE &amp; UTILITIES CO INC</t>
  </si>
  <si>
    <t>0127957</t>
  </si>
  <si>
    <t>14621-001</t>
  </si>
  <si>
    <t>14621-001.001</t>
  </si>
  <si>
    <t>EAST MONTGOMERY COUNTY MUD 4</t>
  </si>
  <si>
    <t>0126853</t>
  </si>
  <si>
    <t>14536-001</t>
  </si>
  <si>
    <t>14536-001.001</t>
  </si>
  <si>
    <t>FORT BEND COUNTY MUD NO 152</t>
  </si>
  <si>
    <t>0126829</t>
  </si>
  <si>
    <t>14532-001</t>
  </si>
  <si>
    <t>14532-001.001</t>
  </si>
  <si>
    <t>TEXAS A&amp;M UNIVERSITY AT GALVESTON DEVELOPMENT</t>
  </si>
  <si>
    <t>0063231</t>
  </si>
  <si>
    <t>11085-001</t>
  </si>
  <si>
    <t>11085-001.001</t>
  </si>
  <si>
    <t>LAKE FOREST PLANT ADVISORY COUNCIL</t>
  </si>
  <si>
    <t>0046833</t>
  </si>
  <si>
    <t>11084-001</t>
  </si>
  <si>
    <t>11084-001.001</t>
  </si>
  <si>
    <t>PONDEROSA JOINT POWERS AGENCY</t>
  </si>
  <si>
    <t>0046761</t>
  </si>
  <si>
    <t>11081-001</t>
  </si>
  <si>
    <t>11081-001.001</t>
  </si>
  <si>
    <t>VALLEY MUNICIPAL UTILITY DISTRICT NO 2</t>
  </si>
  <si>
    <t>0127833</t>
  </si>
  <si>
    <t>11348-001</t>
  </si>
  <si>
    <t>11348-001.001</t>
  </si>
  <si>
    <t>CITY OF HIDALGO</t>
  </si>
  <si>
    <t>0058386</t>
  </si>
  <si>
    <t>11080-001</t>
  </si>
  <si>
    <t>11080-001.001</t>
  </si>
  <si>
    <t>CITY OF LONE OAK</t>
  </si>
  <si>
    <t>0100021</t>
  </si>
  <si>
    <t>10760-001</t>
  </si>
  <si>
    <t>10760-001.001</t>
  </si>
  <si>
    <t>0023639</t>
  </si>
  <si>
    <t>10757-001</t>
  </si>
  <si>
    <t>10757-001.001</t>
  </si>
  <si>
    <t>CITY OF GRUVER</t>
  </si>
  <si>
    <t>0023604</t>
  </si>
  <si>
    <t>10751-001</t>
  </si>
  <si>
    <t>10751-001.001</t>
  </si>
  <si>
    <t>SAN ANTONIO RIVER AUTHORITY</t>
  </si>
  <si>
    <t>0126969</t>
  </si>
  <si>
    <t>10749-006</t>
  </si>
  <si>
    <t>10749-006.001</t>
  </si>
  <si>
    <t>0095583</t>
  </si>
  <si>
    <t>10749-004</t>
  </si>
  <si>
    <t>10749-004.001</t>
  </si>
  <si>
    <t>0024082</t>
  </si>
  <si>
    <t>10749-003</t>
  </si>
  <si>
    <t>10749-003.001</t>
  </si>
  <si>
    <t>0053074</t>
  </si>
  <si>
    <t>10749-001</t>
  </si>
  <si>
    <t>10749-001.001</t>
  </si>
  <si>
    <t>0077232</t>
  </si>
  <si>
    <t>11269-001</t>
  </si>
  <si>
    <t>11269-001.001</t>
  </si>
  <si>
    <t>TIMBERLAKE IMPROVEMENT DISTRICT</t>
  </si>
  <si>
    <t>0046868</t>
  </si>
  <si>
    <t>11267-001</t>
  </si>
  <si>
    <t>11267-001.001</t>
  </si>
  <si>
    <t>CITY OF LA VERNIA</t>
  </si>
  <si>
    <t>0052850</t>
  </si>
  <si>
    <t>11258-001</t>
  </si>
  <si>
    <t>11258-001.001</t>
  </si>
  <si>
    <t>0032034</t>
  </si>
  <si>
    <t>11255-001</t>
  </si>
  <si>
    <t>11255-001.001</t>
  </si>
  <si>
    <t>0207</t>
  </si>
  <si>
    <t>HALL</t>
  </si>
  <si>
    <t>RED RIVER AUTHORITY OF TEXAS</t>
  </si>
  <si>
    <t>0075591</t>
  </si>
  <si>
    <t>11252-001</t>
  </si>
  <si>
    <t>11252-001.001</t>
  </si>
  <si>
    <t>0067474</t>
  </si>
  <si>
    <t>11249-001</t>
  </si>
  <si>
    <t>11249-001.001</t>
  </si>
  <si>
    <t>CNP UTILITY DISTRICT</t>
  </si>
  <si>
    <t>0055166</t>
  </si>
  <si>
    <t>11239-001</t>
  </si>
  <si>
    <t>11239-001.001</t>
  </si>
  <si>
    <t>HARRIS COUNTY MUD 5</t>
  </si>
  <si>
    <t>0026344</t>
  </si>
  <si>
    <t>11238-002</t>
  </si>
  <si>
    <t>11238-002.001</t>
  </si>
  <si>
    <t>0204</t>
  </si>
  <si>
    <t>CITY OF BELLEVUE</t>
  </si>
  <si>
    <t>0027171</t>
  </si>
  <si>
    <t>11235-004</t>
  </si>
  <si>
    <t>11235-004.001</t>
  </si>
  <si>
    <t>0032581</t>
  </si>
  <si>
    <t>11234-001</t>
  </si>
  <si>
    <t>11234-001.001</t>
  </si>
  <si>
    <t>0021245</t>
  </si>
  <si>
    <t>11231-001</t>
  </si>
  <si>
    <t>11231-001.001</t>
  </si>
  <si>
    <t>CITY OF VICTORIA</t>
  </si>
  <si>
    <t>0025186</t>
  </si>
  <si>
    <t>11078-001</t>
  </si>
  <si>
    <t>11078-001.001</t>
  </si>
  <si>
    <t>CITY OF BASTROP</t>
  </si>
  <si>
    <t>0126705</t>
  </si>
  <si>
    <t>11076-002</t>
  </si>
  <si>
    <t>11076-002.001</t>
  </si>
  <si>
    <t>0032671</t>
  </si>
  <si>
    <t>11076-001</t>
  </si>
  <si>
    <t>11076-001.001</t>
  </si>
  <si>
    <t>HARRIS COUNTY MUD NO 165</t>
  </si>
  <si>
    <t>0127388</t>
  </si>
  <si>
    <t>14583-001</t>
  </si>
  <si>
    <t>14583-001.001</t>
  </si>
  <si>
    <t>BRAZOS REGIONAL PUBLIC UTILITY AGENCY</t>
  </si>
  <si>
    <t>0102598</t>
  </si>
  <si>
    <t>02889-000</t>
  </si>
  <si>
    <t>02889-000.001</t>
  </si>
  <si>
    <t>US ECOLOGY TEXAS INC</t>
  </si>
  <si>
    <t>0104400</t>
  </si>
  <si>
    <t>02888-000</t>
  </si>
  <si>
    <t>02888-000.004</t>
  </si>
  <si>
    <t>02888-000.003</t>
  </si>
  <si>
    <t>02888-000.002</t>
  </si>
  <si>
    <t>02888-000.001</t>
  </si>
  <si>
    <t>JOHN DAVID HAGERMAN AND MARTHA VOSS BYRD</t>
  </si>
  <si>
    <t>0129585</t>
  </si>
  <si>
    <t>14800-001</t>
  </si>
  <si>
    <t>14800-001.001</t>
  </si>
  <si>
    <t>0129534</t>
  </si>
  <si>
    <t>14794-001</t>
  </si>
  <si>
    <t>14794-001.001</t>
  </si>
  <si>
    <t>0820</t>
  </si>
  <si>
    <t>CITY OF LAVON</t>
  </si>
  <si>
    <t>0127345</t>
  </si>
  <si>
    <t>14577-001</t>
  </si>
  <si>
    <t>14577-001.001</t>
  </si>
  <si>
    <t>MONTGOMERY COUNTY MUD NO 99</t>
  </si>
  <si>
    <t>0127752</t>
  </si>
  <si>
    <t>14604-001</t>
  </si>
  <si>
    <t>14604-001.001</t>
  </si>
  <si>
    <t>CITY OF BRAZORIA</t>
  </si>
  <si>
    <t>0025615</t>
  </si>
  <si>
    <t>14581-001</t>
  </si>
  <si>
    <t>14581-001.001</t>
  </si>
  <si>
    <t>02881-000.001</t>
  </si>
  <si>
    <t>MAJOR OAK POWER LLC</t>
  </si>
  <si>
    <t>0101168</t>
  </si>
  <si>
    <t>02877-000</t>
  </si>
  <si>
    <t>02877-000.003</t>
  </si>
  <si>
    <t>02877-000.002</t>
  </si>
  <si>
    <t>02877-000.001</t>
  </si>
  <si>
    <t>0300</t>
  </si>
  <si>
    <t>CITY OF QUEEN CITY</t>
  </si>
  <si>
    <t>0034797</t>
  </si>
  <si>
    <t>11225-001</t>
  </si>
  <si>
    <t>11225-001.001</t>
  </si>
  <si>
    <t>PALO PINTO COUNTY WCID 1</t>
  </si>
  <si>
    <t>0121797</t>
  </si>
  <si>
    <t>14173-001</t>
  </si>
  <si>
    <t>14173-001.001</t>
  </si>
  <si>
    <t>0121126</t>
  </si>
  <si>
    <t>14172-001</t>
  </si>
  <si>
    <t>14172-001.001</t>
  </si>
  <si>
    <t>LAKE FORK PARADISE RV RESORTS LLC</t>
  </si>
  <si>
    <t>0121061</t>
  </si>
  <si>
    <t>14171-001</t>
  </si>
  <si>
    <t>14171-001.001</t>
  </si>
  <si>
    <t>CITY OF CRANFILLS GAP</t>
  </si>
  <si>
    <t>0122360</t>
  </si>
  <si>
    <t>14169-001</t>
  </si>
  <si>
    <t>14169-001.001</t>
  </si>
  <si>
    <t>WOODLAND OAKS UTILITY LP</t>
  </si>
  <si>
    <t>0122327</t>
  </si>
  <si>
    <t>14166-001</t>
  </si>
  <si>
    <t>14166-001.001</t>
  </si>
  <si>
    <t>MILITARY HWY  WSC</t>
  </si>
  <si>
    <t>0128724</t>
  </si>
  <si>
    <t>04792-000</t>
  </si>
  <si>
    <t>04792-000.001</t>
  </si>
  <si>
    <t>RANCH UTILITIES LP</t>
  </si>
  <si>
    <t>0122271</t>
  </si>
  <si>
    <t>14163-001</t>
  </si>
  <si>
    <t>14163-001.001</t>
  </si>
  <si>
    <t>WEATHERFORD US LP</t>
  </si>
  <si>
    <t>0089940</t>
  </si>
  <si>
    <t>04760-000</t>
  </si>
  <si>
    <t>04760-000.005</t>
  </si>
  <si>
    <t>0122181</t>
  </si>
  <si>
    <t>14154-001</t>
  </si>
  <si>
    <t>14154-001.001</t>
  </si>
  <si>
    <t>REUNION 20 TRAVEL VILLAGE LTD</t>
  </si>
  <si>
    <t>0122157</t>
  </si>
  <si>
    <t>14152-001</t>
  </si>
  <si>
    <t>14152-001.001</t>
  </si>
  <si>
    <t>CITY OF SMILEY</t>
  </si>
  <si>
    <t>0069809</t>
  </si>
  <si>
    <t>10574-002</t>
  </si>
  <si>
    <t>10574-002.001</t>
  </si>
  <si>
    <t>LIPSCOMB</t>
  </si>
  <si>
    <t>CITY OF HIGGINS</t>
  </si>
  <si>
    <t>0070009</t>
  </si>
  <si>
    <t>10572-001</t>
  </si>
  <si>
    <t>10572-001.001</t>
  </si>
  <si>
    <t>HARRIS COUNTY WCID - FONDREN ROAD</t>
  </si>
  <si>
    <t>0020052</t>
  </si>
  <si>
    <t>10570-001</t>
  </si>
  <si>
    <t>10570-001.001</t>
  </si>
  <si>
    <t>CITY OF GUNTER</t>
  </si>
  <si>
    <t>0027227</t>
  </si>
  <si>
    <t>10569-001</t>
  </si>
  <si>
    <t>10569-001.001</t>
  </si>
  <si>
    <t>0085618</t>
  </si>
  <si>
    <t>10568-005</t>
  </si>
  <si>
    <t>10568-005.001</t>
  </si>
  <si>
    <t>CITY OF ALVARADO</t>
  </si>
  <si>
    <t>0126179</t>
  </si>
  <si>
    <t>10567-002</t>
  </si>
  <si>
    <t>10567-002.001</t>
  </si>
  <si>
    <t>02973-000.005</t>
  </si>
  <si>
    <t>NXP USA INC</t>
  </si>
  <si>
    <t>0101702</t>
  </si>
  <si>
    <t>02876-000</t>
  </si>
  <si>
    <t>02876-000.001</t>
  </si>
  <si>
    <t>PRINTPACK  INC</t>
  </si>
  <si>
    <t>0101192</t>
  </si>
  <si>
    <t>02858-000</t>
  </si>
  <si>
    <t>02858-000.001</t>
  </si>
  <si>
    <t>02845-000.002</t>
  </si>
  <si>
    <t>HMS 850 HOLDINGS LLC</t>
  </si>
  <si>
    <t>0106488</t>
  </si>
  <si>
    <t>02842-000</t>
  </si>
  <si>
    <t>02842-000.001</t>
  </si>
  <si>
    <t>0133817</t>
  </si>
  <si>
    <t>15061-001</t>
  </si>
  <si>
    <t>15061-001.001</t>
  </si>
  <si>
    <t>CITY OF DALLAS</t>
  </si>
  <si>
    <t>0133531</t>
  </si>
  <si>
    <t>04984-000</t>
  </si>
  <si>
    <t>04984-000.003</t>
  </si>
  <si>
    <t>0129861</t>
  </si>
  <si>
    <t>10749-007</t>
  </si>
  <si>
    <t>10749-007.001</t>
  </si>
  <si>
    <t>CITY OF BEDIAS</t>
  </si>
  <si>
    <t>0129895</t>
  </si>
  <si>
    <t>14838-001</t>
  </si>
  <si>
    <t>14838-001.001</t>
  </si>
  <si>
    <t>TPC GROUP LLC</t>
  </si>
  <si>
    <t>0129887</t>
  </si>
  <si>
    <t>201</t>
  </si>
  <si>
    <t>04840-000</t>
  </si>
  <si>
    <t>04840-000.201</t>
  </si>
  <si>
    <t>04840-000.011</t>
  </si>
  <si>
    <t>04840-000.005</t>
  </si>
  <si>
    <t>REGEANT CHEMICAL AND RESEARCH INC</t>
  </si>
  <si>
    <t>0125369</t>
  </si>
  <si>
    <t>04552-000</t>
  </si>
  <si>
    <t>04552-000.003</t>
  </si>
  <si>
    <t>SAN JACINTO RIVER AUTHORITY</t>
  </si>
  <si>
    <t>0054186</t>
  </si>
  <si>
    <t>11401-001</t>
  </si>
  <si>
    <t>11401-001.001</t>
  </si>
  <si>
    <t>CITY OF TEAGUE</t>
  </si>
  <si>
    <t>0034495</t>
  </si>
  <si>
    <t>10300-003</t>
  </si>
  <si>
    <t>10300-003.001</t>
  </si>
  <si>
    <t>0129666</t>
  </si>
  <si>
    <t>14812-001</t>
  </si>
  <si>
    <t>14812-001.001</t>
  </si>
  <si>
    <t>HARRIS COUNTY MUD NO 250</t>
  </si>
  <si>
    <t>0093581</t>
  </si>
  <si>
    <t>14811-001</t>
  </si>
  <si>
    <t>14811-001.001</t>
  </si>
  <si>
    <t>IVY VALLEY UTILITIES</t>
  </si>
  <si>
    <t>0129909</t>
  </si>
  <si>
    <t>14841-001</t>
  </si>
  <si>
    <t>14841-001.001</t>
  </si>
  <si>
    <t>SCHERTZ/SEGUIN LOCAL GOVERNMENT CORP</t>
  </si>
  <si>
    <t>0126021</t>
  </si>
  <si>
    <t>14836-001</t>
  </si>
  <si>
    <t>14836-001.001</t>
  </si>
  <si>
    <t>1431</t>
  </si>
  <si>
    <t>CITY OF BROWNWOOD</t>
  </si>
  <si>
    <t>0047040</t>
  </si>
  <si>
    <t>10565-001</t>
  </si>
  <si>
    <t>10565-001.001</t>
  </si>
  <si>
    <t>CITY OF DAYTON</t>
  </si>
  <si>
    <t>0100170</t>
  </si>
  <si>
    <t>10564-004</t>
  </si>
  <si>
    <t>10564-004.001</t>
  </si>
  <si>
    <t>HARRIS COUNTY WCID 84</t>
  </si>
  <si>
    <t>0034428</t>
  </si>
  <si>
    <t>10558-001</t>
  </si>
  <si>
    <t>10558-001.001</t>
  </si>
  <si>
    <t>CITY OF GROVETON</t>
  </si>
  <si>
    <t>0076104</t>
  </si>
  <si>
    <t>10556-001</t>
  </si>
  <si>
    <t>10556-001.001</t>
  </si>
  <si>
    <t>0306</t>
  </si>
  <si>
    <t>CITY OF COMMERCE</t>
  </si>
  <si>
    <t>0020591</t>
  </si>
  <si>
    <t>10555-001</t>
  </si>
  <si>
    <t>10555-001.001</t>
  </si>
  <si>
    <t>CITY OF ECTOR</t>
  </si>
  <si>
    <t>0025151</t>
  </si>
  <si>
    <t>10552-001</t>
  </si>
  <si>
    <t>10552-001.001</t>
  </si>
  <si>
    <t>CITY OF BELLAIRE</t>
  </si>
  <si>
    <t>0020613</t>
  </si>
  <si>
    <t>10550-001</t>
  </si>
  <si>
    <t>10550-001.001</t>
  </si>
  <si>
    <t>10549-002.001</t>
  </si>
  <si>
    <t>CITY OF ANGLETON</t>
  </si>
  <si>
    <t>0056316</t>
  </si>
  <si>
    <t>10548-004</t>
  </si>
  <si>
    <t>10548-004.001</t>
  </si>
  <si>
    <t>CITY OF ALTO</t>
  </si>
  <si>
    <t>0025020</t>
  </si>
  <si>
    <t>10546-001</t>
  </si>
  <si>
    <t>10546-001.001</t>
  </si>
  <si>
    <t>CITY OF SONORA</t>
  </si>
  <si>
    <t>0023191</t>
  </si>
  <si>
    <t>10545-001</t>
  </si>
  <si>
    <t>10545-001.001</t>
  </si>
  <si>
    <t>CITY OF WEST</t>
  </si>
  <si>
    <t>0020451</t>
  </si>
  <si>
    <t>10544-001</t>
  </si>
  <si>
    <t>10544-001.001</t>
  </si>
  <si>
    <t>0124800</t>
  </si>
  <si>
    <t>10543-013</t>
  </si>
  <si>
    <t>10543-013.001</t>
  </si>
  <si>
    <t>0071889</t>
  </si>
  <si>
    <t>10543-012</t>
  </si>
  <si>
    <t>10543-012.001</t>
  </si>
  <si>
    <t>0046981</t>
  </si>
  <si>
    <t>10543-011</t>
  </si>
  <si>
    <t>10543-011.001</t>
  </si>
  <si>
    <t>CITY OF GODLEY</t>
  </si>
  <si>
    <t>0104558</t>
  </si>
  <si>
    <t>14887-001</t>
  </si>
  <si>
    <t>14887-001.001</t>
  </si>
  <si>
    <t>SHELDON ROAD MUD</t>
  </si>
  <si>
    <t>0070165</t>
  </si>
  <si>
    <t>10541-002</t>
  </si>
  <si>
    <t>10541-002.001</t>
  </si>
  <si>
    <t>US DEPT OF THE AIR FORCE</t>
  </si>
  <si>
    <t>0116114</t>
  </si>
  <si>
    <t>03955-000</t>
  </si>
  <si>
    <t>03955-000.001</t>
  </si>
  <si>
    <t>TALLEY LAND DEVELOPMENT</t>
  </si>
  <si>
    <t>0129704</t>
  </si>
  <si>
    <t>14817-001</t>
  </si>
  <si>
    <t>14817-001.001</t>
  </si>
  <si>
    <t>LUND ROGER ALLEN</t>
  </si>
  <si>
    <t>0124877</t>
  </si>
  <si>
    <t>14801-001</t>
  </si>
  <si>
    <t>14801-001.001</t>
  </si>
  <si>
    <t>0129879</t>
  </si>
  <si>
    <t>14835-001</t>
  </si>
  <si>
    <t>14835-001.001</t>
  </si>
  <si>
    <t>IPSCO KOPPEL TUBULARS LLC</t>
  </si>
  <si>
    <t>0129747</t>
  </si>
  <si>
    <t>04833-000</t>
  </si>
  <si>
    <t>04833-000.002</t>
  </si>
  <si>
    <t>CITY OF HOUSTON</t>
  </si>
  <si>
    <t>0063029</t>
  </si>
  <si>
    <t>10495-023</t>
  </si>
  <si>
    <t>10495-023.001</t>
  </si>
  <si>
    <t>CITY OF LA VILLA</t>
  </si>
  <si>
    <t>0133302</t>
  </si>
  <si>
    <t>14781-002</t>
  </si>
  <si>
    <t>14781-002.001</t>
  </si>
  <si>
    <t>0129241</t>
  </si>
  <si>
    <t>14783-001</t>
  </si>
  <si>
    <t>14783-001.001</t>
  </si>
  <si>
    <t>PCI NITROGEN LLC</t>
  </si>
  <si>
    <t>0007285</t>
  </si>
  <si>
    <t>00649-000</t>
  </si>
  <si>
    <t>00649-000.003</t>
  </si>
  <si>
    <t>PINE COVE INC</t>
  </si>
  <si>
    <t>0129429</t>
  </si>
  <si>
    <t>14779-001</t>
  </si>
  <si>
    <t>14779-001.001</t>
  </si>
  <si>
    <t>02449-000.003</t>
  </si>
  <si>
    <t>TEXAS DEPARTMENT OF TRANSPORTATION</t>
  </si>
  <si>
    <t>0129321</t>
  </si>
  <si>
    <t>14768-001</t>
  </si>
  <si>
    <t>14768-001.001</t>
  </si>
  <si>
    <t>BRIARWOOD LUTHERAN MINISTRIES</t>
  </si>
  <si>
    <t>0091448</t>
  </si>
  <si>
    <t>12605-002</t>
  </si>
  <si>
    <t>12605-002.001</t>
  </si>
  <si>
    <t>CITY OF FARMERSVILLE</t>
  </si>
  <si>
    <t>0129402</t>
  </si>
  <si>
    <t>14778-001</t>
  </si>
  <si>
    <t>14778-001.001</t>
  </si>
  <si>
    <t>04818-000.002</t>
  </si>
  <si>
    <t>04818-000.003</t>
  </si>
  <si>
    <t>04818-000.008</t>
  </si>
  <si>
    <t>04818-000.007</t>
  </si>
  <si>
    <t>04818-000.005</t>
  </si>
  <si>
    <t>0137651</t>
  </si>
  <si>
    <t>05225-000</t>
  </si>
  <si>
    <t>05225-000.001</t>
  </si>
  <si>
    <t>FRESH AQUATICS LLC</t>
  </si>
  <si>
    <t>0087441</t>
  </si>
  <si>
    <t>03946-000</t>
  </si>
  <si>
    <t>03946-000.001</t>
  </si>
  <si>
    <t>BRENNTAG SOUTHWEST INC</t>
  </si>
  <si>
    <t>0116076</t>
  </si>
  <si>
    <t>04884-000</t>
  </si>
  <si>
    <t>04884-000.003</t>
  </si>
  <si>
    <t>04884-000.001</t>
  </si>
  <si>
    <t>0086398</t>
  </si>
  <si>
    <t>03943-000</t>
  </si>
  <si>
    <t>03943-000.001</t>
  </si>
  <si>
    <t>VALLEY MUD NO 2</t>
  </si>
  <si>
    <t>0117731</t>
  </si>
  <si>
    <t>03936-000</t>
  </si>
  <si>
    <t>03936-000.001</t>
  </si>
  <si>
    <t>03927-000.007</t>
  </si>
  <si>
    <t>03927-000.005</t>
  </si>
  <si>
    <t>03927-000.004</t>
  </si>
  <si>
    <t>03927-000.003</t>
  </si>
  <si>
    <t>03927-000.002</t>
  </si>
  <si>
    <t>03927-000.001</t>
  </si>
  <si>
    <t>0117650</t>
  </si>
  <si>
    <t>03913-000</t>
  </si>
  <si>
    <t>03913-000.001</t>
  </si>
  <si>
    <t>NOLAN</t>
  </si>
  <si>
    <t>LONE STAR INDUSTRIES INC</t>
  </si>
  <si>
    <t>0116874</t>
  </si>
  <si>
    <t>03905-000</t>
  </si>
  <si>
    <t>03905-000.002</t>
  </si>
  <si>
    <t>03905-000.001</t>
  </si>
  <si>
    <t>ALLIED PETROCHEMICAL LLC</t>
  </si>
  <si>
    <t>0114995</t>
  </si>
  <si>
    <t>03903-000</t>
  </si>
  <si>
    <t>03903-000.001</t>
  </si>
  <si>
    <t>WHARTON COUNTY GENERATION LLC</t>
  </si>
  <si>
    <t>0115134</t>
  </si>
  <si>
    <t>03891-000</t>
  </si>
  <si>
    <t>03891-000.001</t>
  </si>
  <si>
    <t>04818-000.004</t>
  </si>
  <si>
    <t>04818-000.001</t>
  </si>
  <si>
    <t>05239-000.001</t>
  </si>
  <si>
    <t>CORPUS CHRISTI ALUMINA LLC</t>
  </si>
  <si>
    <t>0125989</t>
  </si>
  <si>
    <t>04646-000</t>
  </si>
  <si>
    <t>04646-000.003</t>
  </si>
  <si>
    <t>NIRANJAN SHANTILAL PATEL</t>
  </si>
  <si>
    <t>0137804</t>
  </si>
  <si>
    <t>15582-001</t>
  </si>
  <si>
    <t>15582-001.001</t>
  </si>
  <si>
    <t>SMILING MALLARD DEVELOPMENT LTD</t>
  </si>
  <si>
    <t>0137570</t>
  </si>
  <si>
    <t>15556-001</t>
  </si>
  <si>
    <t>15556-001.001</t>
  </si>
  <si>
    <t>04646-000.002</t>
  </si>
  <si>
    <t>0514</t>
  </si>
  <si>
    <t>HOLLY LAKE CONDOMINIUM ASSOCIATION INC</t>
  </si>
  <si>
    <t>0137766</t>
  </si>
  <si>
    <t>15577-001</t>
  </si>
  <si>
    <t>15577-001.001</t>
  </si>
  <si>
    <t>UNITED FRONT SHEPHERD LLC</t>
  </si>
  <si>
    <t>0137791</t>
  </si>
  <si>
    <t>15581-001</t>
  </si>
  <si>
    <t>15581-001.001</t>
  </si>
  <si>
    <t>SANDERSON FARMS INC (PROCESSING DIVISION)</t>
  </si>
  <si>
    <t>0137740</t>
  </si>
  <si>
    <t>05230-000</t>
  </si>
  <si>
    <t>05230-000.001</t>
  </si>
  <si>
    <t>GCGV ASSET HOLDING LLC</t>
  </si>
  <si>
    <t>0137715</t>
  </si>
  <si>
    <t>05228-000</t>
  </si>
  <si>
    <t>05228-000.005</t>
  </si>
  <si>
    <t>05228-000.004</t>
  </si>
  <si>
    <t>05228-000.003</t>
  </si>
  <si>
    <t>05228-000.002</t>
  </si>
  <si>
    <t>05228-000.001</t>
  </si>
  <si>
    <t>JOMOVSM LLC</t>
  </si>
  <si>
    <t>0137685</t>
  </si>
  <si>
    <t>14046-002</t>
  </si>
  <si>
    <t>14046-002.001</t>
  </si>
  <si>
    <t>SIMONTON MANAGEMENT DISTRICT NO 1</t>
  </si>
  <si>
    <t>0137669</t>
  </si>
  <si>
    <t>15568-001</t>
  </si>
  <si>
    <t>15568-001.001</t>
  </si>
  <si>
    <t>TEXAS LIME CO</t>
  </si>
  <si>
    <t>0115142</t>
  </si>
  <si>
    <t>03874-000</t>
  </si>
  <si>
    <t>03874-000.001</t>
  </si>
  <si>
    <t>CALHOUN PORT AUTHORITY</t>
  </si>
  <si>
    <t>0105937</t>
  </si>
  <si>
    <t>03868-000</t>
  </si>
  <si>
    <t>03868-000.002</t>
  </si>
  <si>
    <t>03868-000.001</t>
  </si>
  <si>
    <t>2105</t>
  </si>
  <si>
    <t>DIMMIT</t>
  </si>
  <si>
    <t>0133698</t>
  </si>
  <si>
    <t>15049-001</t>
  </si>
  <si>
    <t>15049-001.001</t>
  </si>
  <si>
    <t>D BAR B WATER WASTEWATER SUPPLY CORP</t>
  </si>
  <si>
    <t>0032212</t>
  </si>
  <si>
    <t>14628-001</t>
  </si>
  <si>
    <t>14628-001.001</t>
  </si>
  <si>
    <t>0046892</t>
  </si>
  <si>
    <t>01820-000</t>
  </si>
  <si>
    <t>01820-000.006</t>
  </si>
  <si>
    <t>02940-000.004</t>
  </si>
  <si>
    <t>WASTE CONTROL SPECIALISTS LLC AND ANDREWS CO</t>
  </si>
  <si>
    <t>0117005</t>
  </si>
  <si>
    <t>04038-000</t>
  </si>
  <si>
    <t>04038-000.003</t>
  </si>
  <si>
    <t>HARRIS COUNTY MUD NO 434</t>
  </si>
  <si>
    <t>0127311</t>
  </si>
  <si>
    <t>14576-001</t>
  </si>
  <si>
    <t>14576-001.001</t>
  </si>
  <si>
    <t>ACME BRICK COMPANY</t>
  </si>
  <si>
    <t>0118532</t>
  </si>
  <si>
    <t>03840-000</t>
  </si>
  <si>
    <t>03840-000.001</t>
  </si>
  <si>
    <t>0118567</t>
  </si>
  <si>
    <t>03838-000</t>
  </si>
  <si>
    <t>03838-000.002</t>
  </si>
  <si>
    <t>03838-000.001</t>
  </si>
  <si>
    <t>PHILIPS ELECTRONICS NORTH AMERICA CORP</t>
  </si>
  <si>
    <t>0113484</t>
  </si>
  <si>
    <t>03835-000</t>
  </si>
  <si>
    <t>03835-000.001</t>
  </si>
  <si>
    <t>ST MARTIN AQUACULTURE INC</t>
  </si>
  <si>
    <t>0113379</t>
  </si>
  <si>
    <t>03819-000</t>
  </si>
  <si>
    <t>03819-000.001</t>
  </si>
  <si>
    <t>JLM 717 KAUFMAN LP AND KAUFMAN COUNTY FWSD 4A</t>
  </si>
  <si>
    <t>0138100</t>
  </si>
  <si>
    <t>15633-001</t>
  </si>
  <si>
    <t>15633-001.001</t>
  </si>
  <si>
    <t>05014-000.006</t>
  </si>
  <si>
    <t>05014-000.005</t>
  </si>
  <si>
    <t>01662-000.001</t>
  </si>
  <si>
    <t>0137545</t>
  </si>
  <si>
    <t>10549-003</t>
  </si>
  <si>
    <t>10549-003.001</t>
  </si>
  <si>
    <t>0137600</t>
  </si>
  <si>
    <t>10258-005</t>
  </si>
  <si>
    <t>10258-005.001</t>
  </si>
  <si>
    <t>UNITED FRONT LLC</t>
  </si>
  <si>
    <t>0137634</t>
  </si>
  <si>
    <t>15563-001</t>
  </si>
  <si>
    <t>15563-001.001</t>
  </si>
  <si>
    <t>DEAF SMITH</t>
  </si>
  <si>
    <t>WE HEREFORD LLC</t>
  </si>
  <si>
    <t>0137626</t>
  </si>
  <si>
    <t>05223-000</t>
  </si>
  <si>
    <t>05223-000.001</t>
  </si>
  <si>
    <t>TOPSAIL ENERGY BAYTOWN LLC</t>
  </si>
  <si>
    <t>0137618</t>
  </si>
  <si>
    <t>05221-000</t>
  </si>
  <si>
    <t>05221-000.001</t>
  </si>
  <si>
    <t>WELLBORN SUD</t>
  </si>
  <si>
    <t>0137561</t>
  </si>
  <si>
    <t>15554-001</t>
  </si>
  <si>
    <t>15554-001.001</t>
  </si>
  <si>
    <t>COLEMAN</t>
  </si>
  <si>
    <t>CITY OF COLEMAN</t>
  </si>
  <si>
    <t>0119776</t>
  </si>
  <si>
    <t>10150-003</t>
  </si>
  <si>
    <t>10150-003.002</t>
  </si>
  <si>
    <t>1410</t>
  </si>
  <si>
    <t>10150-003.003</t>
  </si>
  <si>
    <t>01515-000.009</t>
  </si>
  <si>
    <t>01515-000.016</t>
  </si>
  <si>
    <t>01515-000.018</t>
  </si>
  <si>
    <t>OSR 786 LLC</t>
  </si>
  <si>
    <t>0137391</t>
  </si>
  <si>
    <t>15519-001</t>
  </si>
  <si>
    <t>15519-001.001</t>
  </si>
  <si>
    <t>GENERAL POLYMER SERVICES LLC</t>
  </si>
  <si>
    <t>0137359</t>
  </si>
  <si>
    <t>05211-000</t>
  </si>
  <si>
    <t>05211-000.002</t>
  </si>
  <si>
    <t>05211-000.001</t>
  </si>
  <si>
    <t>CHENIERE LAND HOLDINGS LLC</t>
  </si>
  <si>
    <t>0125857</t>
  </si>
  <si>
    <t>04606-000</t>
  </si>
  <si>
    <t>04606-000.007</t>
  </si>
  <si>
    <t>PLUM CREEK FWSD NO 1</t>
  </si>
  <si>
    <t>0136867</t>
  </si>
  <si>
    <t>15440-001</t>
  </si>
  <si>
    <t>15440-001.001</t>
  </si>
  <si>
    <t>02877-000.004</t>
  </si>
  <si>
    <t>THE CAMP RECOVERY CENTERS LLC</t>
  </si>
  <si>
    <t>0138452</t>
  </si>
  <si>
    <t>13449-001</t>
  </si>
  <si>
    <t>13449-001.001</t>
  </si>
  <si>
    <t>MIDLAND</t>
  </si>
  <si>
    <t>CITY OF MIDLAND</t>
  </si>
  <si>
    <t>0138517</t>
  </si>
  <si>
    <t>10223-001</t>
  </si>
  <si>
    <t>10223-001.001</t>
  </si>
  <si>
    <t>TOMBALL ISD</t>
  </si>
  <si>
    <t>0138576</t>
  </si>
  <si>
    <t>15691-001</t>
  </si>
  <si>
    <t>15691-001.001</t>
  </si>
  <si>
    <t>FRIENDSWOOD DEVELOPMENT CO LLC</t>
  </si>
  <si>
    <t>0138525</t>
  </si>
  <si>
    <t>15683-001</t>
  </si>
  <si>
    <t>15683-001.001</t>
  </si>
  <si>
    <t>0138606</t>
  </si>
  <si>
    <t>05260-000</t>
  </si>
  <si>
    <t>05260-000.001</t>
  </si>
  <si>
    <t>0007013</t>
  </si>
  <si>
    <t>01215-000</t>
  </si>
  <si>
    <t>01215-000.007</t>
  </si>
  <si>
    <t>0022802</t>
  </si>
  <si>
    <t>10303-001</t>
  </si>
  <si>
    <t>10303-001.003</t>
  </si>
  <si>
    <t>DR HORTON TEXAS LTD</t>
  </si>
  <si>
    <t>0138541</t>
  </si>
  <si>
    <t>15686-001</t>
  </si>
  <si>
    <t>15686-001.001</t>
  </si>
  <si>
    <t>WORLD ENERGY BIOX BIOFUELS LLC</t>
  </si>
  <si>
    <t>0138371</t>
  </si>
  <si>
    <t>05255-000</t>
  </si>
  <si>
    <t>05255-000.001</t>
  </si>
  <si>
    <t>ECO SERVICES OPERATIONS CORP</t>
  </si>
  <si>
    <t>0007072</t>
  </si>
  <si>
    <t>00542-000</t>
  </si>
  <si>
    <t>00542-000.002</t>
  </si>
  <si>
    <t>NORTHWEST AIRPORT MANAGEMENT LP</t>
  </si>
  <si>
    <t>0138479</t>
  </si>
  <si>
    <t>05256-000</t>
  </si>
  <si>
    <t>05256-000.001</t>
  </si>
  <si>
    <t>CROCKETT MARTIN CORP</t>
  </si>
  <si>
    <t>0138568</t>
  </si>
  <si>
    <t>15689-001</t>
  </si>
  <si>
    <t>15689-001.001</t>
  </si>
  <si>
    <t>GRANGERLAND DEVELOPMENT LLC</t>
  </si>
  <si>
    <t>0138533</t>
  </si>
  <si>
    <t>15685-001</t>
  </si>
  <si>
    <t>15685-001.001</t>
  </si>
  <si>
    <t>WPS I LLC</t>
  </si>
  <si>
    <t>0138509</t>
  </si>
  <si>
    <t>15679-001</t>
  </si>
  <si>
    <t>15679-001.001</t>
  </si>
  <si>
    <t>CITY OF CONROE</t>
  </si>
  <si>
    <t>0138274</t>
  </si>
  <si>
    <t>10008-003</t>
  </si>
  <si>
    <t>10008-003.001</t>
  </si>
  <si>
    <t>LAND ADVISORS LTD</t>
  </si>
  <si>
    <t>0138339</t>
  </si>
  <si>
    <t>14719-002</t>
  </si>
  <si>
    <t>14719-002.001</t>
  </si>
  <si>
    <t>TOWN OF QUINTANA</t>
  </si>
  <si>
    <t>0138266</t>
  </si>
  <si>
    <t>05250-000</t>
  </si>
  <si>
    <t>05250-000.001</t>
  </si>
  <si>
    <t>ST IVES RV RESORT LLC</t>
  </si>
  <si>
    <t>0138321</t>
  </si>
  <si>
    <t>15657-001</t>
  </si>
  <si>
    <t>15657-001.001</t>
  </si>
  <si>
    <t>0126799</t>
  </si>
  <si>
    <t>14531-001</t>
  </si>
  <si>
    <t>14531-001.001</t>
  </si>
  <si>
    <t>EL PASO COUNTY TORNILLO WID</t>
  </si>
  <si>
    <t>0126772</t>
  </si>
  <si>
    <t>14529-001</t>
  </si>
  <si>
    <t>14529-001.001</t>
  </si>
  <si>
    <t>LOWER NECHES VALLEY AUTHORITY</t>
  </si>
  <si>
    <t>0126748</t>
  </si>
  <si>
    <t>14525-001</t>
  </si>
  <si>
    <t>14525-001.001</t>
  </si>
  <si>
    <t>SOUTHWEST MILAM WATER SUPPLY CORP</t>
  </si>
  <si>
    <t>0126730</t>
  </si>
  <si>
    <t>14524-001</t>
  </si>
  <si>
    <t>14524-001.001</t>
  </si>
  <si>
    <t>MONTGOMERY CO MUD NO 88</t>
  </si>
  <si>
    <t>0126713</t>
  </si>
  <si>
    <t>14523-001</t>
  </si>
  <si>
    <t>14523-001.001</t>
  </si>
  <si>
    <t>LOST RIVER RV LLC</t>
  </si>
  <si>
    <t>0128783</t>
  </si>
  <si>
    <t>14714-001</t>
  </si>
  <si>
    <t>14714-001.001</t>
  </si>
  <si>
    <t>CITY OF HAWK COVE</t>
  </si>
  <si>
    <t>0126691</t>
  </si>
  <si>
    <t>14522-001</t>
  </si>
  <si>
    <t>14522-001.001</t>
  </si>
  <si>
    <t>FORT BEND COUNTY MUD NO 58</t>
  </si>
  <si>
    <t>0126675</t>
  </si>
  <si>
    <t>14520-001</t>
  </si>
  <si>
    <t>14520-001.001</t>
  </si>
  <si>
    <t>FORT BEND COUNTY MUD NO 57</t>
  </si>
  <si>
    <t>0126527</t>
  </si>
  <si>
    <t>14519-001</t>
  </si>
  <si>
    <t>14519-001.001</t>
  </si>
  <si>
    <t>1222</t>
  </si>
  <si>
    <t>CITY OF RISING STAR</t>
  </si>
  <si>
    <t>0075604</t>
  </si>
  <si>
    <t>14515-001</t>
  </si>
  <si>
    <t>14515-001.001</t>
  </si>
  <si>
    <t>CHRISTIAN TABERNACLE OF HOUSTON INC</t>
  </si>
  <si>
    <t>0126594</t>
  </si>
  <si>
    <t>14513-001</t>
  </si>
  <si>
    <t>14513-001.001</t>
  </si>
  <si>
    <t>0126497</t>
  </si>
  <si>
    <t>14508-001</t>
  </si>
  <si>
    <t>14508-001.001</t>
  </si>
  <si>
    <t>MONARCH UTILITIES I  LP</t>
  </si>
  <si>
    <t>0102091</t>
  </si>
  <si>
    <t>12478-001</t>
  </si>
  <si>
    <t>12478-001.001</t>
  </si>
  <si>
    <t>0006459</t>
  </si>
  <si>
    <t>01241-000</t>
  </si>
  <si>
    <t>01241-000.006</t>
  </si>
  <si>
    <t>QUAIL VALLEY UD</t>
  </si>
  <si>
    <t>0035220</t>
  </si>
  <si>
    <t>11046-001</t>
  </si>
  <si>
    <t>11046-001.001</t>
  </si>
  <si>
    <t>MEMORIAL HILLS UD</t>
  </si>
  <si>
    <t>0046671</t>
  </si>
  <si>
    <t>11044-001</t>
  </si>
  <si>
    <t>11044-001.001</t>
  </si>
  <si>
    <t>CITY OF KYLE</t>
  </si>
  <si>
    <t>0119466</t>
  </si>
  <si>
    <t>11041-002</t>
  </si>
  <si>
    <t>11041-002.001</t>
  </si>
  <si>
    <t>CITY OF MEADOWS PLACE</t>
  </si>
  <si>
    <t>0053872</t>
  </si>
  <si>
    <t>11039-001</t>
  </si>
  <si>
    <t>11039-001.001</t>
  </si>
  <si>
    <t>CITY OF RAYMONDVILLE</t>
  </si>
  <si>
    <t>0138291</t>
  </si>
  <si>
    <t>05251-000</t>
  </si>
  <si>
    <t>05251-000.001</t>
  </si>
  <si>
    <t>CITY OF MART</t>
  </si>
  <si>
    <t>0138495</t>
  </si>
  <si>
    <t>10645-002</t>
  </si>
  <si>
    <t>10645-002.001</t>
  </si>
  <si>
    <t>JOSHUA LAND FARM LLC</t>
  </si>
  <si>
    <t>0138398</t>
  </si>
  <si>
    <t>15663-001</t>
  </si>
  <si>
    <t>15663-001.001</t>
  </si>
  <si>
    <t>NORHILL ENERGY LLC</t>
  </si>
  <si>
    <t>0138428</t>
  </si>
  <si>
    <t>15666-001</t>
  </si>
  <si>
    <t>15666-001.001</t>
  </si>
  <si>
    <t>BRADBURY DEVELOPMENT LIMITED</t>
  </si>
  <si>
    <t>0138151</t>
  </si>
  <si>
    <t>15145-002</t>
  </si>
  <si>
    <t>15145-002.001</t>
  </si>
  <si>
    <t>SOUTHWEST SHIPYARD LP</t>
  </si>
  <si>
    <t>0092282</t>
  </si>
  <si>
    <t>02605-000</t>
  </si>
  <si>
    <t>02605-000.005</t>
  </si>
  <si>
    <t>02605-000.003</t>
  </si>
  <si>
    <t>02605-000.004</t>
  </si>
  <si>
    <t>0138410</t>
  </si>
  <si>
    <t>15665-001</t>
  </si>
  <si>
    <t>15665-001.001</t>
  </si>
  <si>
    <t>STEPHENS</t>
  </si>
  <si>
    <t>0137383</t>
  </si>
  <si>
    <t>05213-000</t>
  </si>
  <si>
    <t>05213-000.001</t>
  </si>
  <si>
    <t>MEYER RANCH MUD OF COMAL COUNTY</t>
  </si>
  <si>
    <t>0135976</t>
  </si>
  <si>
    <t>15314-001</t>
  </si>
  <si>
    <t>15314-001.001</t>
  </si>
  <si>
    <t>1304</t>
  </si>
  <si>
    <t>CHEVRON PHILLIPS CHEMICAL COMPANY LP</t>
  </si>
  <si>
    <t>0135917</t>
  </si>
  <si>
    <t>05147-000</t>
  </si>
  <si>
    <t>05147-000.003</t>
  </si>
  <si>
    <t>05147-000.002</t>
  </si>
  <si>
    <t>05147-000.001</t>
  </si>
  <si>
    <t>02484-000.004</t>
  </si>
  <si>
    <t>0087173</t>
  </si>
  <si>
    <t>02481-000</t>
  </si>
  <si>
    <t>02481-000.002</t>
  </si>
  <si>
    <t>02481-000.001</t>
  </si>
  <si>
    <t>CITY OF JARRELL</t>
  </si>
  <si>
    <t>0127698</t>
  </si>
  <si>
    <t>14594-001</t>
  </si>
  <si>
    <t>14594-001.001</t>
  </si>
  <si>
    <t>TXBR RAMBLEWOOD MHP LLC</t>
  </si>
  <si>
    <t>0033197</t>
  </si>
  <si>
    <t>11038-001</t>
  </si>
  <si>
    <t>11038-001.001</t>
  </si>
  <si>
    <t>CITY OF SADLER</t>
  </si>
  <si>
    <t>0055361</t>
  </si>
  <si>
    <t>11037-001</t>
  </si>
  <si>
    <t>11037-001.001</t>
  </si>
  <si>
    <t>CITY OF JAMAICA BEACH</t>
  </si>
  <si>
    <t>0020061</t>
  </si>
  <si>
    <t>11033-001</t>
  </si>
  <si>
    <t>11033-001.001</t>
  </si>
  <si>
    <t>RICE WATER SUPPLY &amp; SEWER SERVICE CORP</t>
  </si>
  <si>
    <t>0117056</t>
  </si>
  <si>
    <t>11028-001</t>
  </si>
  <si>
    <t>11028-001.001</t>
  </si>
  <si>
    <t>ROBERTS</t>
  </si>
  <si>
    <t>CITY OF MIAMI</t>
  </si>
  <si>
    <t>0070963</t>
  </si>
  <si>
    <t>11027-001</t>
  </si>
  <si>
    <t>11027-001.001</t>
  </si>
  <si>
    <t>HARRIS COUNTY WCID NO 109</t>
  </si>
  <si>
    <t>0033243</t>
  </si>
  <si>
    <t>11026-002</t>
  </si>
  <si>
    <t>11026-002.001</t>
  </si>
  <si>
    <t>HARRIS COUNTY WCID 119</t>
  </si>
  <si>
    <t>0021211</t>
  </si>
  <si>
    <t>11024-001</t>
  </si>
  <si>
    <t>11024-001.001</t>
  </si>
  <si>
    <t>CITY OF NEW WAVERLY</t>
  </si>
  <si>
    <t>0087831</t>
  </si>
  <si>
    <t>11020-002</t>
  </si>
  <si>
    <t>11020-002.001</t>
  </si>
  <si>
    <t>0056685</t>
  </si>
  <si>
    <t>11020-001</t>
  </si>
  <si>
    <t>11020-001.001</t>
  </si>
  <si>
    <t>CITY OF WHITEHOUSE</t>
  </si>
  <si>
    <t>0072770</t>
  </si>
  <si>
    <t>11222-001</t>
  </si>
  <si>
    <t>11222-001.001</t>
  </si>
  <si>
    <t>POINT AQUARIUS MUD</t>
  </si>
  <si>
    <t>0022071</t>
  </si>
  <si>
    <t>11219-001</t>
  </si>
  <si>
    <t>11219-001.001</t>
  </si>
  <si>
    <t>MEADOWHILL REGIONAL MUD</t>
  </si>
  <si>
    <t>0046663</t>
  </si>
  <si>
    <t>11215-001</t>
  </si>
  <si>
    <t>11215-001.001</t>
  </si>
  <si>
    <t>2002</t>
  </si>
  <si>
    <t>PETTUS MUD</t>
  </si>
  <si>
    <t>0054780</t>
  </si>
  <si>
    <t>10748-001</t>
  </si>
  <si>
    <t>10748-001.001</t>
  </si>
  <si>
    <t>CITY OF TERRELL</t>
  </si>
  <si>
    <t>0022527</t>
  </si>
  <si>
    <t>10747-001</t>
  </si>
  <si>
    <t>10747-001.001</t>
  </si>
  <si>
    <t>04984-000.002</t>
  </si>
  <si>
    <t>04984-000.004</t>
  </si>
  <si>
    <t>0126446</t>
  </si>
  <si>
    <t>14947-001</t>
  </si>
  <si>
    <t>14947-001.001</t>
  </si>
  <si>
    <t>SRALLA MHP LP</t>
  </si>
  <si>
    <t>0126381</t>
  </si>
  <si>
    <t>14500-001</t>
  </si>
  <si>
    <t>14500-001.001</t>
  </si>
  <si>
    <t>UPPER LEON RIVER MUNCIPAL WATER DIST</t>
  </si>
  <si>
    <t>0122203</t>
  </si>
  <si>
    <t>14206-001</t>
  </si>
  <si>
    <t>14206-001.001</t>
  </si>
  <si>
    <t>14198-001.001</t>
  </si>
  <si>
    <t>FORT BEND COUNTY MUD NO 131</t>
  </si>
  <si>
    <t>0123137</t>
  </si>
  <si>
    <t>14197-001</t>
  </si>
  <si>
    <t>14197-001.001</t>
  </si>
  <si>
    <t>CITY OF ITALY</t>
  </si>
  <si>
    <t>0123056</t>
  </si>
  <si>
    <t>14195-001</t>
  </si>
  <si>
    <t>14195-001.001</t>
  </si>
  <si>
    <t>0123013</t>
  </si>
  <si>
    <t>14194-001</t>
  </si>
  <si>
    <t>14194-001.001</t>
  </si>
  <si>
    <t>FOLEY KENNARD TOM</t>
  </si>
  <si>
    <t>0122963</t>
  </si>
  <si>
    <t>14193-001</t>
  </si>
  <si>
    <t>14193-001.001</t>
  </si>
  <si>
    <t>WILLBARGER CREEK MUD NO 2</t>
  </si>
  <si>
    <t>0122840</t>
  </si>
  <si>
    <t>14189-001</t>
  </si>
  <si>
    <t>14189-001.001</t>
  </si>
  <si>
    <t>MANVEL UTILITIES LP</t>
  </si>
  <si>
    <t>0122823</t>
  </si>
  <si>
    <t>14188-001</t>
  </si>
  <si>
    <t>14188-001.001</t>
  </si>
  <si>
    <t>0122661</t>
  </si>
  <si>
    <t>14186-001</t>
  </si>
  <si>
    <t>14186-001.001</t>
  </si>
  <si>
    <t>EVADALE WCID 1</t>
  </si>
  <si>
    <t>0122564</t>
  </si>
  <si>
    <t>14183-001</t>
  </si>
  <si>
    <t>14183-001.001</t>
  </si>
  <si>
    <t>FORT BEND COUNTY MUD 122</t>
  </si>
  <si>
    <t>0122556</t>
  </si>
  <si>
    <t>14182-001</t>
  </si>
  <si>
    <t>14182-001.001</t>
  </si>
  <si>
    <t>0122530</t>
  </si>
  <si>
    <t>14181-001</t>
  </si>
  <si>
    <t>14181-001.001</t>
  </si>
  <si>
    <t>0122513</t>
  </si>
  <si>
    <t>14179-001</t>
  </si>
  <si>
    <t>14179-001.001</t>
  </si>
  <si>
    <t>0122459</t>
  </si>
  <si>
    <t>14175-001</t>
  </si>
  <si>
    <t>14175-001.001</t>
  </si>
  <si>
    <t>PROTESTANT EPISCOPAL CHURCH COUNCIL OF THE DIOCES</t>
  </si>
  <si>
    <t>0118656</t>
  </si>
  <si>
    <t>11462-003</t>
  </si>
  <si>
    <t>11462-003.001</t>
  </si>
  <si>
    <t>BISSONNET MUD</t>
  </si>
  <si>
    <t>0056952</t>
  </si>
  <si>
    <t>11461-001</t>
  </si>
  <si>
    <t>11461-001.001</t>
  </si>
  <si>
    <t>SEIS LAGOS UD</t>
  </si>
  <si>
    <t>0024988</t>
  </si>
  <si>
    <t>11451-001</t>
  </si>
  <si>
    <t>11451-001.001</t>
  </si>
  <si>
    <t>CITY OF BEASLEY</t>
  </si>
  <si>
    <t>0053945</t>
  </si>
  <si>
    <t>11450-001</t>
  </si>
  <si>
    <t>11450-001.001</t>
  </si>
  <si>
    <t>WATERWOOD MUD 1</t>
  </si>
  <si>
    <t>0124150</t>
  </si>
  <si>
    <t>11447-001</t>
  </si>
  <si>
    <t>11447-001.001</t>
  </si>
  <si>
    <t>0101818</t>
  </si>
  <si>
    <t>11445-001</t>
  </si>
  <si>
    <t>11445-001.001</t>
  </si>
  <si>
    <t>HARRIS COUNTY WCID 99</t>
  </si>
  <si>
    <t>0046736</t>
  </si>
  <si>
    <t>11444-001</t>
  </si>
  <si>
    <t>11444-001.001</t>
  </si>
  <si>
    <t>GRIMES COUNTY MUD 1</t>
  </si>
  <si>
    <t>0092649</t>
  </si>
  <si>
    <t>11437-001</t>
  </si>
  <si>
    <t>11437-001.001</t>
  </si>
  <si>
    <t>HARBORLIGHT MARINA AND RESORT LLC</t>
  </si>
  <si>
    <t>0134929</t>
  </si>
  <si>
    <t>11432-002</t>
  </si>
  <si>
    <t>11432-002.001</t>
  </si>
  <si>
    <t>CITY OF SNOOK</t>
  </si>
  <si>
    <t>0056189</t>
  </si>
  <si>
    <t>11430-001</t>
  </si>
  <si>
    <t>11430-001.001</t>
  </si>
  <si>
    <t>CITY OF EAST TAWAKONI</t>
  </si>
  <si>
    <t>0101303</t>
  </si>
  <si>
    <t>11428-001</t>
  </si>
  <si>
    <t>11428-001.001</t>
  </si>
  <si>
    <t>BEECHWOOD WSC</t>
  </si>
  <si>
    <t>0031267</t>
  </si>
  <si>
    <t>11423-001</t>
  </si>
  <si>
    <t>11423-001.001</t>
  </si>
  <si>
    <t>0027391</t>
  </si>
  <si>
    <t>11419-001</t>
  </si>
  <si>
    <t>11419-001.001</t>
  </si>
  <si>
    <t>SASSON ELI GRAVRIEL</t>
  </si>
  <si>
    <t>0033189</t>
  </si>
  <si>
    <t>11414-002</t>
  </si>
  <si>
    <t>11414-002.001</t>
  </si>
  <si>
    <t>0104795</t>
  </si>
  <si>
    <t>14830-001</t>
  </si>
  <si>
    <t>14830-001.001</t>
  </si>
  <si>
    <t>CITIES OF WACO, WOODWAY, BELLMEAD, LORENA, HEWITT, ROBINSON, LACY LAKE</t>
  </si>
  <si>
    <t>0129437</t>
  </si>
  <si>
    <t>14889-001</t>
  </si>
  <si>
    <t>14889-001.001</t>
  </si>
  <si>
    <t>CHARTERWOOD MUD</t>
  </si>
  <si>
    <t>0046841</t>
  </si>
  <si>
    <t>11410-002</t>
  </si>
  <si>
    <t>11410-002.001</t>
  </si>
  <si>
    <t>KLEINWOOD JOINT POWERS BOARD</t>
  </si>
  <si>
    <t>0046817</t>
  </si>
  <si>
    <t>11409-001</t>
  </si>
  <si>
    <t>11409-001.001</t>
  </si>
  <si>
    <t>CITY OF WHITNEY</t>
  </si>
  <si>
    <t>0106551</t>
  </si>
  <si>
    <t>11408-002</t>
  </si>
  <si>
    <t>11408-002.001</t>
  </si>
  <si>
    <t>HARRIS COUNTY MUD NO 26</t>
  </si>
  <si>
    <t>0056537</t>
  </si>
  <si>
    <t>11406-001</t>
  </si>
  <si>
    <t>11406-001.001</t>
  </si>
  <si>
    <t>CITY OF KOSSE</t>
  </si>
  <si>
    <t>0105015</t>
  </si>
  <si>
    <t>11405-001</t>
  </si>
  <si>
    <t>11405-001.001</t>
  </si>
  <si>
    <t>0056693</t>
  </si>
  <si>
    <t>11521-001</t>
  </si>
  <si>
    <t>11521-001.001</t>
  </si>
  <si>
    <t>HUFFMAN ISD</t>
  </si>
  <si>
    <t>0075761</t>
  </si>
  <si>
    <t>11518-001</t>
  </si>
  <si>
    <t>11518-001.001</t>
  </si>
  <si>
    <t>TOWN OF MUSTANG</t>
  </si>
  <si>
    <t>0125199</t>
  </si>
  <si>
    <t>11516-001</t>
  </si>
  <si>
    <t>11516-001.001</t>
  </si>
  <si>
    <t>11512-001.001</t>
  </si>
  <si>
    <t>CITY OF ELSA</t>
  </si>
  <si>
    <t>0104990</t>
  </si>
  <si>
    <t>11510-002</t>
  </si>
  <si>
    <t>11510-002.001</t>
  </si>
  <si>
    <t>THOMPSON WATER CO INC</t>
  </si>
  <si>
    <t>0120006</t>
  </si>
  <si>
    <t>11508-001</t>
  </si>
  <si>
    <t>11508-001.001</t>
  </si>
  <si>
    <t>0078255</t>
  </si>
  <si>
    <t>11506-001</t>
  </si>
  <si>
    <t>11506-001.001</t>
  </si>
  <si>
    <t>1805</t>
  </si>
  <si>
    <t>0025224</t>
  </si>
  <si>
    <t>11496-001</t>
  </si>
  <si>
    <t>11496-001.001</t>
  </si>
  <si>
    <t>HARRIS COUNTY MUD 70</t>
  </si>
  <si>
    <t>0062031</t>
  </si>
  <si>
    <t>11486-001</t>
  </si>
  <si>
    <t>11486-001.001</t>
  </si>
  <si>
    <t>HARRIS COUNTY MUD 23</t>
  </si>
  <si>
    <t>0062235</t>
  </si>
  <si>
    <t>11485-001</t>
  </si>
  <si>
    <t>11485-001.001</t>
  </si>
  <si>
    <t>0089036</t>
  </si>
  <si>
    <t>11475-003</t>
  </si>
  <si>
    <t>11475-003.001</t>
  </si>
  <si>
    <t>0031674</t>
  </si>
  <si>
    <t>11475-001</t>
  </si>
  <si>
    <t>11475-001.001</t>
  </si>
  <si>
    <t>CITY OF KENNARD</t>
  </si>
  <si>
    <t>0056596</t>
  </si>
  <si>
    <t>11474-001</t>
  </si>
  <si>
    <t>11474-001.001</t>
  </si>
  <si>
    <t>BLUE BELL MANOR UTILITY CO INC</t>
  </si>
  <si>
    <t>0066478</t>
  </si>
  <si>
    <t>11473-001</t>
  </si>
  <si>
    <t>11473-001.001</t>
  </si>
  <si>
    <t>SPENCER ROAD PUD</t>
  </si>
  <si>
    <t>0026263</t>
  </si>
  <si>
    <t>11472-001</t>
  </si>
  <si>
    <t>11472-001.001</t>
  </si>
  <si>
    <t>PURE UTILITIES LC</t>
  </si>
  <si>
    <t>0067415</t>
  </si>
  <si>
    <t>11465-001</t>
  </si>
  <si>
    <t>11465-001.001</t>
  </si>
  <si>
    <t>KB HOME LONE STAR INC</t>
  </si>
  <si>
    <t>0138894</t>
  </si>
  <si>
    <t>15747-001</t>
  </si>
  <si>
    <t>15747-001.001</t>
  </si>
  <si>
    <t>COTTON LOGISTICS INC</t>
  </si>
  <si>
    <t>0139025</t>
  </si>
  <si>
    <t>15764-001</t>
  </si>
  <si>
    <t>15764-001.001</t>
  </si>
  <si>
    <t>SUMMER BREEZE USA KATY LLC</t>
  </si>
  <si>
    <t>0139757</t>
  </si>
  <si>
    <t>15777-001</t>
  </si>
  <si>
    <t>15777-001.001</t>
  </si>
  <si>
    <t>0139076</t>
  </si>
  <si>
    <t>05267-000</t>
  </si>
  <si>
    <t>05267-000.008</t>
  </si>
  <si>
    <t>05267-000.007</t>
  </si>
  <si>
    <t>LANDMARK INDUSTRIES</t>
  </si>
  <si>
    <t>0138908</t>
  </si>
  <si>
    <t>15749-001</t>
  </si>
  <si>
    <t>15749-001.001</t>
  </si>
  <si>
    <t>10380-002.003</t>
  </si>
  <si>
    <t>ENTERGY TEXAS INC</t>
  </si>
  <si>
    <t>0067890</t>
  </si>
  <si>
    <t>01966-000</t>
  </si>
  <si>
    <t>01966-000.004</t>
  </si>
  <si>
    <t>01966-000.003</t>
  </si>
  <si>
    <t>OAKMONT RESERVE LTD</t>
  </si>
  <si>
    <t>0138860</t>
  </si>
  <si>
    <t>15742-001</t>
  </si>
  <si>
    <t>15742-001.001</t>
  </si>
  <si>
    <t>NOLTEX LLC</t>
  </si>
  <si>
    <t>0138941</t>
  </si>
  <si>
    <t>05265-000</t>
  </si>
  <si>
    <t>05265-000.001</t>
  </si>
  <si>
    <t>0138711</t>
  </si>
  <si>
    <t>05261-000</t>
  </si>
  <si>
    <t>05261-000.001</t>
  </si>
  <si>
    <t>HUMBLE JOINT VENTURE 1 LLC</t>
  </si>
  <si>
    <t>0138886</t>
  </si>
  <si>
    <t>15746-001</t>
  </si>
  <si>
    <t>15746-001.001</t>
  </si>
  <si>
    <t>1430</t>
  </si>
  <si>
    <t>SAWYER-CLEVELAND PARTNERSHIP LTD</t>
  </si>
  <si>
    <t>0137863</t>
  </si>
  <si>
    <t>15594-001</t>
  </si>
  <si>
    <t>15594-001.001</t>
  </si>
  <si>
    <t>AMDT LLC</t>
  </si>
  <si>
    <t>0139068</t>
  </si>
  <si>
    <t>15274-002</t>
  </si>
  <si>
    <t>15274-002.001</t>
  </si>
  <si>
    <t>CHERRYVILLE GP INC AND CHERRYVILLE NO 5 LTD</t>
  </si>
  <si>
    <t>0138835</t>
  </si>
  <si>
    <t>15738-001</t>
  </si>
  <si>
    <t>15738-001.001</t>
  </si>
  <si>
    <t>SOUTH 9 LLC</t>
  </si>
  <si>
    <t>0138916</t>
  </si>
  <si>
    <t>15750-001</t>
  </si>
  <si>
    <t>15750-001.001</t>
  </si>
  <si>
    <t>GOLDEN SHAMROCK REALTY INC</t>
  </si>
  <si>
    <t>0138878</t>
  </si>
  <si>
    <t>15745-001</t>
  </si>
  <si>
    <t>15745-001.001</t>
  </si>
  <si>
    <t>THE PREMCOR REFINING GROUP INC</t>
  </si>
  <si>
    <t>0005991</t>
  </si>
  <si>
    <t>00309-000</t>
  </si>
  <si>
    <t>00309-000.014</t>
  </si>
  <si>
    <t>00309-000.013</t>
  </si>
  <si>
    <t>00309-000.012</t>
  </si>
  <si>
    <t>00309-000.011</t>
  </si>
  <si>
    <t>00309-000.010</t>
  </si>
  <si>
    <t>202</t>
  </si>
  <si>
    <t>02644-000.202</t>
  </si>
  <si>
    <t>03511-000.001</t>
  </si>
  <si>
    <t>WALLACE ALLEN RAYNOR</t>
  </si>
  <si>
    <t>0117242</t>
  </si>
  <si>
    <t>14438-001</t>
  </si>
  <si>
    <t>14438-001.001</t>
  </si>
  <si>
    <t>MPM SILICONES LLC</t>
  </si>
  <si>
    <t>0108367</t>
  </si>
  <si>
    <t>03479-000</t>
  </si>
  <si>
    <t>03479-000.001</t>
  </si>
  <si>
    <t>03477-000.003</t>
  </si>
  <si>
    <t>THE SALVATION ARMY</t>
  </si>
  <si>
    <t>0126616</t>
  </si>
  <si>
    <t>13904-001</t>
  </si>
  <si>
    <t>13904-001.001</t>
  </si>
  <si>
    <t>CITY OF HUXLEY</t>
  </si>
  <si>
    <t>0107425</t>
  </si>
  <si>
    <t>13932-001</t>
  </si>
  <si>
    <t>13932-001.001</t>
  </si>
  <si>
    <t>0129224</t>
  </si>
  <si>
    <t>10569-002</t>
  </si>
  <si>
    <t>10569-002.001</t>
  </si>
  <si>
    <t>11283-001.002</t>
  </si>
  <si>
    <t>0025011</t>
  </si>
  <si>
    <t>10348-001</t>
  </si>
  <si>
    <t>10348-001.002</t>
  </si>
  <si>
    <t>DRIL-QUIP INC</t>
  </si>
  <si>
    <t>0128287</t>
  </si>
  <si>
    <t>14655-001</t>
  </si>
  <si>
    <t>14655-001.001</t>
  </si>
  <si>
    <t>1417</t>
  </si>
  <si>
    <t>CITY OF BLANKET</t>
  </si>
  <si>
    <t>0127922</t>
  </si>
  <si>
    <t>14618-001</t>
  </si>
  <si>
    <t>14618-001.001</t>
  </si>
  <si>
    <t>WILLOW CREEK FARMS MUD</t>
  </si>
  <si>
    <t>0128236</t>
  </si>
  <si>
    <t>14646-001</t>
  </si>
  <si>
    <t>14646-001.001</t>
  </si>
  <si>
    <t>DYNAMIC PRODUCTS INC</t>
  </si>
  <si>
    <t>0072524</t>
  </si>
  <si>
    <t>11841-001</t>
  </si>
  <si>
    <t>11841-001.001</t>
  </si>
  <si>
    <t>0128511</t>
  </si>
  <si>
    <t>04784-000</t>
  </si>
  <si>
    <t>04784-000.001</t>
  </si>
  <si>
    <t>GEORGIA-PACIFIC PANEL PRODUCTS &amp; GEORGIA-PACIFIC WOOD PRODUCTS SOUTH</t>
  </si>
  <si>
    <t>0001201</t>
  </si>
  <si>
    <t>01153-000</t>
  </si>
  <si>
    <t>01153-000.001</t>
  </si>
  <si>
    <t>TA OPERATING LLC</t>
  </si>
  <si>
    <t>0129348</t>
  </si>
  <si>
    <t>14769-001</t>
  </si>
  <si>
    <t>14769-001.001</t>
  </si>
  <si>
    <t>MONTGOMERY COUNTY MUD NO 119</t>
  </si>
  <si>
    <t>0128295</t>
  </si>
  <si>
    <t>14656-001</t>
  </si>
  <si>
    <t>14656-001.001</t>
  </si>
  <si>
    <t>NOTTINGHAM COUNTRY MUD</t>
  </si>
  <si>
    <t>0089346</t>
  </si>
  <si>
    <t>12479-001</t>
  </si>
  <si>
    <t>12479-001.001</t>
  </si>
  <si>
    <t>NORTHEAST HARRIS COUNTY MUD 1</t>
  </si>
  <si>
    <t>0128261</t>
  </si>
  <si>
    <t>14653-001</t>
  </si>
  <si>
    <t>14653-001.001</t>
  </si>
  <si>
    <t>CITY OF EDGEWOOD</t>
  </si>
  <si>
    <t>0023710</t>
  </si>
  <si>
    <t>14648-001</t>
  </si>
  <si>
    <t>14648-001.001</t>
  </si>
  <si>
    <t>FORT BEND CO MUD NO 162</t>
  </si>
  <si>
    <t>0127183</t>
  </si>
  <si>
    <t>14564-001</t>
  </si>
  <si>
    <t>14564-001.001</t>
  </si>
  <si>
    <t>EAST RIO HONDO WSC</t>
  </si>
  <si>
    <t>0127086</t>
  </si>
  <si>
    <t>14558-001</t>
  </si>
  <si>
    <t>14558-001.001</t>
  </si>
  <si>
    <t>0003531</t>
  </si>
  <si>
    <t>00391-000</t>
  </si>
  <si>
    <t>00391-000.006</t>
  </si>
  <si>
    <t>2303</t>
  </si>
  <si>
    <t>ZAPATA</t>
  </si>
  <si>
    <t>ZAPATA COUNTY</t>
  </si>
  <si>
    <t>0132942</t>
  </si>
  <si>
    <t>10462-002</t>
  </si>
  <si>
    <t>10462.002.001</t>
  </si>
  <si>
    <t>CITY OF ARCHER CITY</t>
  </si>
  <si>
    <t>0127019</t>
  </si>
  <si>
    <t>14549-001</t>
  </si>
  <si>
    <t>14549-001.001</t>
  </si>
  <si>
    <t>0128112</t>
  </si>
  <si>
    <t>10697-002</t>
  </si>
  <si>
    <t>10697-002.002</t>
  </si>
  <si>
    <t>BRAZORIA COUNTY MUD 31</t>
  </si>
  <si>
    <t>0126951</t>
  </si>
  <si>
    <t>14546-001</t>
  </si>
  <si>
    <t>14546-001.001</t>
  </si>
  <si>
    <t>FRUITVALE HOUSING AUTHORITY</t>
  </si>
  <si>
    <t>0083011</t>
  </si>
  <si>
    <t>14545-001</t>
  </si>
  <si>
    <t>14545-001.001</t>
  </si>
  <si>
    <t>UPPER LEON RIVER MWD</t>
  </si>
  <si>
    <t>0128813</t>
  </si>
  <si>
    <t>14544-001</t>
  </si>
  <si>
    <t>14544-001.001</t>
  </si>
  <si>
    <t>NALCO COMPANY LLC</t>
  </si>
  <si>
    <t>0102822</t>
  </si>
  <si>
    <t>02955-000</t>
  </si>
  <si>
    <t>02955-000.001</t>
  </si>
  <si>
    <t>0103896</t>
  </si>
  <si>
    <t>02952-000</t>
  </si>
  <si>
    <t>02952-000.001</t>
  </si>
  <si>
    <t>02940-000.003</t>
  </si>
  <si>
    <t>02940-000.002</t>
  </si>
  <si>
    <t>02940-000.001</t>
  </si>
  <si>
    <t>0069493</t>
  </si>
  <si>
    <t>02927-000</t>
  </si>
  <si>
    <t>02927-000.006</t>
  </si>
  <si>
    <t>02927-000.005</t>
  </si>
  <si>
    <t>02927-000.004</t>
  </si>
  <si>
    <t>02927-000.003</t>
  </si>
  <si>
    <t>02927-000.002</t>
  </si>
  <si>
    <t>02927-000.001</t>
  </si>
  <si>
    <t>0123561</t>
  </si>
  <si>
    <t>14216-001</t>
  </si>
  <si>
    <t>14216-001.001</t>
  </si>
  <si>
    <t>MALLARD POINT WWTP LLC</t>
  </si>
  <si>
    <t>0123528</t>
  </si>
  <si>
    <t>14215-001</t>
  </si>
  <si>
    <t>14215-001.001</t>
  </si>
  <si>
    <t>ACTON MUD</t>
  </si>
  <si>
    <t>0105155</t>
  </si>
  <si>
    <t>14212-001</t>
  </si>
  <si>
    <t>14212-001.001</t>
  </si>
  <si>
    <t>0105163</t>
  </si>
  <si>
    <t>14211-001</t>
  </si>
  <si>
    <t>14211-001.001</t>
  </si>
  <si>
    <t>NORTH PARK BUSINESS CENTER LTD</t>
  </si>
  <si>
    <t>0095630</t>
  </si>
  <si>
    <t>14091-001</t>
  </si>
  <si>
    <t>14091-001.001</t>
  </si>
  <si>
    <t>ASCEND PERFORMANCE MATERIALS TEXAS INC</t>
  </si>
  <si>
    <t>0003875</t>
  </si>
  <si>
    <t>00001-000</t>
  </si>
  <si>
    <t>00001-000.004</t>
  </si>
  <si>
    <t>0020991</t>
  </si>
  <si>
    <t>10541-001</t>
  </si>
  <si>
    <t>10541-001.001</t>
  </si>
  <si>
    <t>KAMPGROUNDS OF AMERICA INC</t>
  </si>
  <si>
    <t>0123374</t>
  </si>
  <si>
    <t>14210-001</t>
  </si>
  <si>
    <t>14210-001.001</t>
  </si>
  <si>
    <t>MIRANDO CITY WSC</t>
  </si>
  <si>
    <t>0123307</t>
  </si>
  <si>
    <t>14207-001</t>
  </si>
  <si>
    <t>14207-001.001</t>
  </si>
  <si>
    <t>0026255</t>
  </si>
  <si>
    <t>11404-001</t>
  </si>
  <si>
    <t>11404-001.001</t>
  </si>
  <si>
    <t>11401-001.002</t>
  </si>
  <si>
    <t>MONTGOMERY COUNTY MUD 15</t>
  </si>
  <si>
    <t>0022055</t>
  </si>
  <si>
    <t>11395-001</t>
  </si>
  <si>
    <t>11395-001.001</t>
  </si>
  <si>
    <t>KENEDY</t>
  </si>
  <si>
    <t>0128678</t>
  </si>
  <si>
    <t>14698-001</t>
  </si>
  <si>
    <t>14698-001.001</t>
  </si>
  <si>
    <t>SUEZ WTS SERVICES USA INC</t>
  </si>
  <si>
    <t>0118222</t>
  </si>
  <si>
    <t>03964-000</t>
  </si>
  <si>
    <t>03964-000.001</t>
  </si>
  <si>
    <t>004A</t>
  </si>
  <si>
    <t>00587-000.004</t>
  </si>
  <si>
    <t>ERVIN DON CRUTCHER</t>
  </si>
  <si>
    <t>0129542</t>
  </si>
  <si>
    <t>04828-000</t>
  </si>
  <si>
    <t>04828-000.001</t>
  </si>
  <si>
    <t>SAN ANTONIO WATER SYSTEM</t>
  </si>
  <si>
    <t>0052639</t>
  </si>
  <si>
    <t>10137-003</t>
  </si>
  <si>
    <t>10137-003.001</t>
  </si>
  <si>
    <t>CHAPARRAL INDUSTRIAL SERVICES LLC</t>
  </si>
  <si>
    <t>0138991</t>
  </si>
  <si>
    <t>15028-002</t>
  </si>
  <si>
    <t>15028-002.001</t>
  </si>
  <si>
    <t>HAPPY HILL FARM CHILDRENS HOME</t>
  </si>
  <si>
    <t>0138827</t>
  </si>
  <si>
    <t>14976-001</t>
  </si>
  <si>
    <t>14976-001.001</t>
  </si>
  <si>
    <t>VICTOR DEE TURLEY AND ALEXIS HILL TURLEY</t>
  </si>
  <si>
    <t>0138789</t>
  </si>
  <si>
    <t>15728-001</t>
  </si>
  <si>
    <t>15728-001.001</t>
  </si>
  <si>
    <t>CONRAD ORABGE SHIPYARD INC</t>
  </si>
  <si>
    <t>05010-000.011</t>
  </si>
  <si>
    <t>05010-000.002</t>
  </si>
  <si>
    <t>03137-000.002</t>
  </si>
  <si>
    <t>BASSICHIS DEVELOPMENT LLC</t>
  </si>
  <si>
    <t>0138746</t>
  </si>
  <si>
    <t>15721-001</t>
  </si>
  <si>
    <t>15721-001.001</t>
  </si>
  <si>
    <t>03426-000.003</t>
  </si>
  <si>
    <t>VICTORIA PORT POWER II LLC</t>
  </si>
  <si>
    <t>0138801</t>
  </si>
  <si>
    <t>05263-000</t>
  </si>
  <si>
    <t>05263-000.001</t>
  </si>
  <si>
    <t>GULF COPPER &amp; MANUFACTURING CORP</t>
  </si>
  <si>
    <t>0005754</t>
  </si>
  <si>
    <t>00779-000</t>
  </si>
  <si>
    <t>00779-000.005</t>
  </si>
  <si>
    <t>00779-000.004</t>
  </si>
  <si>
    <t>00779-000.001</t>
  </si>
  <si>
    <t>GB BIOSCIENCES LLC</t>
  </si>
  <si>
    <t>0007439</t>
  </si>
  <si>
    <t>00749-000</t>
  </si>
  <si>
    <t>00749-000.001</t>
  </si>
  <si>
    <t>BNSF RAILWAY CO &amp; TIMBER ROCK RAILROAD LLC</t>
  </si>
  <si>
    <t>0002941</t>
  </si>
  <si>
    <t>00745-000</t>
  </si>
  <si>
    <t>00745-000.001</t>
  </si>
  <si>
    <t>NILOK CHEMICALS INC</t>
  </si>
  <si>
    <t>0003832</t>
  </si>
  <si>
    <t>00737-000</t>
  </si>
  <si>
    <t>00737-000.001</t>
  </si>
  <si>
    <t>00721-000.011</t>
  </si>
  <si>
    <t>00721-000.010</t>
  </si>
  <si>
    <t>00721-000.009</t>
  </si>
  <si>
    <t>00721-000.006</t>
  </si>
  <si>
    <t>00721-000.005</t>
  </si>
  <si>
    <t>00721-000.003</t>
  </si>
  <si>
    <t>00721-000.002</t>
  </si>
  <si>
    <t>TARGA DOWNSTREAM LLC</t>
  </si>
  <si>
    <t>0133574</t>
  </si>
  <si>
    <t>04988-000</t>
  </si>
  <si>
    <t>04988-000.010</t>
  </si>
  <si>
    <t>MAGELLAN TERMINALS HOLDINGS LP</t>
  </si>
  <si>
    <t>0007145</t>
  </si>
  <si>
    <t>00671-000</t>
  </si>
  <si>
    <t>00671-000.003</t>
  </si>
  <si>
    <t>00671-000.002</t>
  </si>
  <si>
    <t>00671-000.001</t>
  </si>
  <si>
    <t>HONEYWELL INTERNATIONAL INC</t>
  </si>
  <si>
    <t>0007897</t>
  </si>
  <si>
    <t>00670-000</t>
  </si>
  <si>
    <t>00670-000.002</t>
  </si>
  <si>
    <t>00670-000.001</t>
  </si>
  <si>
    <t>0002933</t>
  </si>
  <si>
    <t>00663-000</t>
  </si>
  <si>
    <t>00663-000.003</t>
  </si>
  <si>
    <t>00663-000.002</t>
  </si>
  <si>
    <t>00663-000.001</t>
  </si>
  <si>
    <t>REICHHOLD LLC 2</t>
  </si>
  <si>
    <t>0005576</t>
  </si>
  <si>
    <t>00662-000</t>
  </si>
  <si>
    <t>00662-000.001</t>
  </si>
  <si>
    <t>00649-000.002</t>
  </si>
  <si>
    <t>00649-000.001</t>
  </si>
  <si>
    <t>CHEMTRADE REFINERY SERVICES INC</t>
  </si>
  <si>
    <t>0006726</t>
  </si>
  <si>
    <t>00647-000</t>
  </si>
  <si>
    <t>00647-000.001</t>
  </si>
  <si>
    <t>00639-000.007</t>
  </si>
  <si>
    <t>00639-000.006</t>
  </si>
  <si>
    <t>CITY OF LEANDER</t>
  </si>
  <si>
    <t>0092151</t>
  </si>
  <si>
    <t>12644-001</t>
  </si>
  <si>
    <t>12644-001.001</t>
  </si>
  <si>
    <t>PINEWOOD COMMUNITY LIMITED PARTNERSHIP</t>
  </si>
  <si>
    <t>0091987</t>
  </si>
  <si>
    <t>12643-001</t>
  </si>
  <si>
    <t>12643-001.001</t>
  </si>
  <si>
    <t>SOUTHWEST HARRIS COUNTY MUD 1</t>
  </si>
  <si>
    <t>0091979</t>
  </si>
  <si>
    <t>12641-001</t>
  </si>
  <si>
    <t>12641-001.001</t>
  </si>
  <si>
    <t>SPRING CENTER INC</t>
  </si>
  <si>
    <t>0091791</t>
  </si>
  <si>
    <t>12637-001</t>
  </si>
  <si>
    <t>12637-001.001</t>
  </si>
  <si>
    <t>HARRIS COUNTY MUD 202</t>
  </si>
  <si>
    <t>0091901</t>
  </si>
  <si>
    <t>12631-001</t>
  </si>
  <si>
    <t>12631-001.001</t>
  </si>
  <si>
    <t>0091677</t>
  </si>
  <si>
    <t>12621-001</t>
  </si>
  <si>
    <t>12621-001.001</t>
  </si>
  <si>
    <t>WADSWORTH WSC</t>
  </si>
  <si>
    <t>0091561</t>
  </si>
  <si>
    <t>12618-001</t>
  </si>
  <si>
    <t>12618-001.001</t>
  </si>
  <si>
    <t>HOUSTON METRO RV PARK INC</t>
  </si>
  <si>
    <t>0091651</t>
  </si>
  <si>
    <t>12617-001</t>
  </si>
  <si>
    <t>12617-001.001</t>
  </si>
  <si>
    <t>CITY OF HOWE AND HOWE COMMERCIAL LTD</t>
  </si>
  <si>
    <t>0138614</t>
  </si>
  <si>
    <t>15696-001</t>
  </si>
  <si>
    <t>15696-001.001</t>
  </si>
  <si>
    <t>0138487</t>
  </si>
  <si>
    <t>15676-001</t>
  </si>
  <si>
    <t>15676-001.001</t>
  </si>
  <si>
    <t>EDWARDS</t>
  </si>
  <si>
    <t>CITY OF ROCKSPRINGS</t>
  </si>
  <si>
    <t>0138258</t>
  </si>
  <si>
    <t>13490-002</t>
  </si>
  <si>
    <t>13490-002.001</t>
  </si>
  <si>
    <t>WASHINGTON</t>
  </si>
  <si>
    <t>0138771</t>
  </si>
  <si>
    <t>15726-001</t>
  </si>
  <si>
    <t>15726-001.001</t>
  </si>
  <si>
    <t>ALCOA USA CORP</t>
  </si>
  <si>
    <t>0000876</t>
  </si>
  <si>
    <t>00395-000</t>
  </si>
  <si>
    <t>00395-000.001A</t>
  </si>
  <si>
    <t>PAMPA INVESTMENT GROUP LP</t>
  </si>
  <si>
    <t>0138649</t>
  </si>
  <si>
    <t>15709-001</t>
  </si>
  <si>
    <t>15709-001.001</t>
  </si>
  <si>
    <t>EAST TEXAS ELECTRIC COOPERATIVE INC</t>
  </si>
  <si>
    <t>0138738</t>
  </si>
  <si>
    <t>05262-000</t>
  </si>
  <si>
    <t>05262-000.001</t>
  </si>
  <si>
    <t>MARKUM LAND PROPERTIES LLC</t>
  </si>
  <si>
    <t>0138622</t>
  </si>
  <si>
    <t>15697-001</t>
  </si>
  <si>
    <t>15697-001.001</t>
  </si>
  <si>
    <t>WESTWOOD SHORES MUD</t>
  </si>
  <si>
    <t>0027677</t>
  </si>
  <si>
    <t>11300-001</t>
  </si>
  <si>
    <t>11300-001.002</t>
  </si>
  <si>
    <t>00721-000.013</t>
  </si>
  <si>
    <t>MCALISTER OPPORTUNITY FUND III LP</t>
  </si>
  <si>
    <t>0138665</t>
  </si>
  <si>
    <t>15714-001</t>
  </si>
  <si>
    <t>15714-001.001</t>
  </si>
  <si>
    <t>0023779</t>
  </si>
  <si>
    <t>10585-004</t>
  </si>
  <si>
    <t>10585-004.001</t>
  </si>
  <si>
    <t>LKW SALINE CREEK SENIOR VILLAGE LTD</t>
  </si>
  <si>
    <t>0138681</t>
  </si>
  <si>
    <t>15715-001</t>
  </si>
  <si>
    <t>15715-001.001</t>
  </si>
  <si>
    <t>DTB INVESTMENTS LP</t>
  </si>
  <si>
    <t>0138304</t>
  </si>
  <si>
    <t>15092-001</t>
  </si>
  <si>
    <t>15092-001.001</t>
  </si>
  <si>
    <t>SHELL OIL CO</t>
  </si>
  <si>
    <t>0004871</t>
  </si>
  <si>
    <t>00403-000</t>
  </si>
  <si>
    <t>00403-000.010</t>
  </si>
  <si>
    <t>0138347</t>
  </si>
  <si>
    <t>05253-000</t>
  </si>
  <si>
    <t>05253-000.001</t>
  </si>
  <si>
    <t>GREGORY POWER PARTNERS LLC</t>
  </si>
  <si>
    <t>0137502</t>
  </si>
  <si>
    <t>05219-000</t>
  </si>
  <si>
    <t>05219-000.001</t>
  </si>
  <si>
    <t>HP GIBBS LP</t>
  </si>
  <si>
    <t>0137553</t>
  </si>
  <si>
    <t>15551-001</t>
  </si>
  <si>
    <t>15551-001.001</t>
  </si>
  <si>
    <t>MONTEREY MUSHROOMS INC</t>
  </si>
  <si>
    <t>0063401</t>
  </si>
  <si>
    <t>01896-000</t>
  </si>
  <si>
    <t>01896-000.006</t>
  </si>
  <si>
    <t>01896-000.005</t>
  </si>
  <si>
    <t>0137341</t>
  </si>
  <si>
    <t>15513-001</t>
  </si>
  <si>
    <t>15513-001.001</t>
  </si>
  <si>
    <t>JACKSON COUNTY WCID  NO 2</t>
  </si>
  <si>
    <t>0027669</t>
  </si>
  <si>
    <t>10196-001</t>
  </si>
  <si>
    <t>10196-001.001</t>
  </si>
  <si>
    <t>CITY OF JACINTO CITY</t>
  </si>
  <si>
    <t>0053970</t>
  </si>
  <si>
    <t>10195-001</t>
  </si>
  <si>
    <t>10195-001.001</t>
  </si>
  <si>
    <t>KINNEY</t>
  </si>
  <si>
    <t>CITY OF BRACKETVILLE AND FORT CLARK MUD</t>
  </si>
  <si>
    <t>0112119</t>
  </si>
  <si>
    <t>10194-002</t>
  </si>
  <si>
    <t>10194-002.001</t>
  </si>
  <si>
    <t>CITY OF HUNTINGTON</t>
  </si>
  <si>
    <t>0053422</t>
  </si>
  <si>
    <t>10191-001</t>
  </si>
  <si>
    <t>10191-001.001</t>
  </si>
  <si>
    <t>CITY OF HONDO</t>
  </si>
  <si>
    <t>0087751</t>
  </si>
  <si>
    <t>10189-001</t>
  </si>
  <si>
    <t>10189-001.001</t>
  </si>
  <si>
    <t>HAMILTON</t>
  </si>
  <si>
    <t>CITY OF HICO</t>
  </si>
  <si>
    <t>0026590</t>
  </si>
  <si>
    <t>10188-001</t>
  </si>
  <si>
    <t>10188-001.001</t>
  </si>
  <si>
    <t>0510</t>
  </si>
  <si>
    <t>jmb</t>
  </si>
  <si>
    <t>CITY OF HENDERSON</t>
  </si>
  <si>
    <t>0091910</t>
  </si>
  <si>
    <t>10187-002</t>
  </si>
  <si>
    <t>10187-002.001</t>
  </si>
  <si>
    <t>0052779</t>
  </si>
  <si>
    <t>10187-001</t>
  </si>
  <si>
    <t>10187-001.001</t>
  </si>
  <si>
    <t>HARRIS COUNTY FWSD 6</t>
  </si>
  <si>
    <t>0027111</t>
  </si>
  <si>
    <t>10184-001</t>
  </si>
  <si>
    <t>10184-001.001</t>
  </si>
  <si>
    <t>SWISHER</t>
  </si>
  <si>
    <t>CITY OF HAPPY</t>
  </si>
  <si>
    <t>0118206</t>
  </si>
  <si>
    <t>10183-001</t>
  </si>
  <si>
    <t>10183-001.001</t>
  </si>
  <si>
    <t>0117587</t>
  </si>
  <si>
    <t>10182-002</t>
  </si>
  <si>
    <t>10182-002.001</t>
  </si>
  <si>
    <t>CITY OF GRANDVIEW</t>
  </si>
  <si>
    <t>0024503</t>
  </si>
  <si>
    <t>10180-001</t>
  </si>
  <si>
    <t>10180-001.001</t>
  </si>
  <si>
    <t>CITY OF GRAND SALINE</t>
  </si>
  <si>
    <t>0027545</t>
  </si>
  <si>
    <t>10179-001</t>
  </si>
  <si>
    <t>10179-001.001</t>
  </si>
  <si>
    <t>0105210</t>
  </si>
  <si>
    <t>10178-002</t>
  </si>
  <si>
    <t>10178-002.001</t>
  </si>
  <si>
    <t>10177-001.001</t>
  </si>
  <si>
    <t>CITY OF GATESVILLE</t>
  </si>
  <si>
    <t>0024953</t>
  </si>
  <si>
    <t>10176-004</t>
  </si>
  <si>
    <t>10176-004.001</t>
  </si>
  <si>
    <t>0137677</t>
  </si>
  <si>
    <t>10176-005</t>
  </si>
  <si>
    <t>10176-005.001</t>
  </si>
  <si>
    <t>0111791</t>
  </si>
  <si>
    <t>10176-002</t>
  </si>
  <si>
    <t>10176-002.001</t>
  </si>
  <si>
    <t>GALVESTON COUNTY WCID NO 8</t>
  </si>
  <si>
    <t>0023671</t>
  </si>
  <si>
    <t>10174-001</t>
  </si>
  <si>
    <t>10174-001.001</t>
  </si>
  <si>
    <t>04988-000.007</t>
  </si>
  <si>
    <t>04988-000.011</t>
  </si>
  <si>
    <t>0001058</t>
  </si>
  <si>
    <t>00954-000</t>
  </si>
  <si>
    <t>00954-000.003</t>
  </si>
  <si>
    <t>00954-000.002</t>
  </si>
  <si>
    <t>00954-000.001</t>
  </si>
  <si>
    <t>00948-000.001</t>
  </si>
  <si>
    <t>0001031</t>
  </si>
  <si>
    <t>00947-000</t>
  </si>
  <si>
    <t>00947-000.001</t>
  </si>
  <si>
    <t>0001066</t>
  </si>
  <si>
    <t>00946-000</t>
  </si>
  <si>
    <t>00946-000.001</t>
  </si>
  <si>
    <t>00815-000.002</t>
  </si>
  <si>
    <t>COLUMBIA BRAZORIA ISD</t>
  </si>
  <si>
    <t>0079235</t>
  </si>
  <si>
    <t>14893-001</t>
  </si>
  <si>
    <t>14893-001.001</t>
  </si>
  <si>
    <t>BCD SERVICES INC</t>
  </si>
  <si>
    <t>0086096</t>
  </si>
  <si>
    <t>12344-001</t>
  </si>
  <si>
    <t>12344-001.001</t>
  </si>
  <si>
    <t>CAMP</t>
  </si>
  <si>
    <t>CITY OF PITTSBURG</t>
  </si>
  <si>
    <t>0025437</t>
  </si>
  <si>
    <t>10250-001</t>
  </si>
  <si>
    <t>10250-001.001</t>
  </si>
  <si>
    <t>CITY OF PINELAND</t>
  </si>
  <si>
    <t>0027154</t>
  </si>
  <si>
    <t>10249-001</t>
  </si>
  <si>
    <t>10249-001.001</t>
  </si>
  <si>
    <t>CITY OF PALESTINE</t>
  </si>
  <si>
    <t>0025453</t>
  </si>
  <si>
    <t>10244-001</t>
  </si>
  <si>
    <t>10244-001.001</t>
  </si>
  <si>
    <t>HARRIS COUNTY WCID NO 50</t>
  </si>
  <si>
    <t>0027146</t>
  </si>
  <si>
    <t>10243-001</t>
  </si>
  <si>
    <t>10243-001.001</t>
  </si>
  <si>
    <t>CITY OF OVERTON</t>
  </si>
  <si>
    <t>0104272</t>
  </si>
  <si>
    <t>10242-001</t>
  </si>
  <si>
    <t>10242-001.001</t>
  </si>
  <si>
    <t>ORANGE COUNTY WCID NO 2</t>
  </si>
  <si>
    <t>0054810</t>
  </si>
  <si>
    <t>10240-001</t>
  </si>
  <si>
    <t>10240-001.001</t>
  </si>
  <si>
    <t>CITY OF OMAHA</t>
  </si>
  <si>
    <t>0071633</t>
  </si>
  <si>
    <t>10239-001</t>
  </si>
  <si>
    <t>10239-001.001</t>
  </si>
  <si>
    <t>CITY OF ODESSA</t>
  </si>
  <si>
    <t>0072800</t>
  </si>
  <si>
    <t>10238-002</t>
  </si>
  <si>
    <t>10238-002.001</t>
  </si>
  <si>
    <t>CITY OF ODEM</t>
  </si>
  <si>
    <t>0126641</t>
  </si>
  <si>
    <t>10237-002</t>
  </si>
  <si>
    <t>10237-002.001</t>
  </si>
  <si>
    <t>SUNBELT FRESH WATER SUPPLY DISTRICT</t>
  </si>
  <si>
    <t>0021253</t>
  </si>
  <si>
    <t>10236-001</t>
  </si>
  <si>
    <t>10236-001.001</t>
  </si>
  <si>
    <t>CITY OF NIXON</t>
  </si>
  <si>
    <t>0070785</t>
  </si>
  <si>
    <t>10234-001</t>
  </si>
  <si>
    <t>10234-001.001</t>
  </si>
  <si>
    <t>0088170</t>
  </si>
  <si>
    <t>10232-003</t>
  </si>
  <si>
    <t>10232-003.001</t>
  </si>
  <si>
    <t>0070939</t>
  </si>
  <si>
    <t>10232-002</t>
  </si>
  <si>
    <t>10232-002.001</t>
  </si>
  <si>
    <t>0067881</t>
  </si>
  <si>
    <t>10232-001</t>
  </si>
  <si>
    <t>10232-001.001</t>
  </si>
  <si>
    <t>CITY OF NAVASOTA</t>
  </si>
  <si>
    <t>0071790</t>
  </si>
  <si>
    <t>10231-001</t>
  </si>
  <si>
    <t>10231-001.001</t>
  </si>
  <si>
    <t>CITY OF NAPLES</t>
  </si>
  <si>
    <t>0024457</t>
  </si>
  <si>
    <t>10230-001</t>
  </si>
  <si>
    <t>10230-001.001</t>
  </si>
  <si>
    <t>1208</t>
  </si>
  <si>
    <t>KNOX</t>
  </si>
  <si>
    <t>CITY OF MUNDAY</t>
  </si>
  <si>
    <t>0119105</t>
  </si>
  <si>
    <t>10228-002</t>
  </si>
  <si>
    <t>10228-002.001</t>
  </si>
  <si>
    <t>1602</t>
  </si>
  <si>
    <t>LAVACA</t>
  </si>
  <si>
    <t>CITY OF MOULTON</t>
  </si>
  <si>
    <t>0053287</t>
  </si>
  <si>
    <t>10227-001</t>
  </si>
  <si>
    <t>10227-001.001</t>
  </si>
  <si>
    <t>CITY OF MOODY</t>
  </si>
  <si>
    <t>0024066</t>
  </si>
  <si>
    <t>10225-001</t>
  </si>
  <si>
    <t>10225-001.001</t>
  </si>
  <si>
    <t>CITY OF MEXIA</t>
  </si>
  <si>
    <t>0052990</t>
  </si>
  <si>
    <t>10222-001</t>
  </si>
  <si>
    <t>10222-001.001</t>
  </si>
  <si>
    <t>CITY OF MEMPHIS</t>
  </si>
  <si>
    <t>0027740</t>
  </si>
  <si>
    <t>10220-001</t>
  </si>
  <si>
    <t>10220-001.001</t>
  </si>
  <si>
    <t>1246</t>
  </si>
  <si>
    <t>CITY OF MCGREGOR</t>
  </si>
  <si>
    <t>0023914</t>
  </si>
  <si>
    <t>10219-002</t>
  </si>
  <si>
    <t>10219-002.001</t>
  </si>
  <si>
    <t>MATAGORDA COUNTY WCID 5</t>
  </si>
  <si>
    <t>0091260</t>
  </si>
  <si>
    <t>10217-001</t>
  </si>
  <si>
    <t>10217-001.001</t>
  </si>
  <si>
    <t>CITY OF MADISONVILLE</t>
  </si>
  <si>
    <t>0026662</t>
  </si>
  <si>
    <t>10215-001</t>
  </si>
  <si>
    <t>10215-001.001</t>
  </si>
  <si>
    <t>CITY OF LUFKIN</t>
  </si>
  <si>
    <t>0024309</t>
  </si>
  <si>
    <t>10214-001</t>
  </si>
  <si>
    <t>10214-001.001</t>
  </si>
  <si>
    <t>CITY OF LOCKHART &amp; GUADALUPE-BLANCO RIVER AUTHORITY</t>
  </si>
  <si>
    <t>0113565</t>
  </si>
  <si>
    <t>10210-002</t>
  </si>
  <si>
    <t>10210-002.001</t>
  </si>
  <si>
    <t>0023868</t>
  </si>
  <si>
    <t>10210-001</t>
  </si>
  <si>
    <t>10210-001.001</t>
  </si>
  <si>
    <t>CITY OF LIVINGSTON</t>
  </si>
  <si>
    <t>0024163</t>
  </si>
  <si>
    <t>10208-001</t>
  </si>
  <si>
    <t>10208-001.001</t>
  </si>
  <si>
    <t>CITY OF LA PORTE</t>
  </si>
  <si>
    <t>0022799</t>
  </si>
  <si>
    <t>10206-001</t>
  </si>
  <si>
    <t>10206-001.001</t>
  </si>
  <si>
    <t>1217</t>
  </si>
  <si>
    <t>LAMPASAS</t>
  </si>
  <si>
    <t>CITY OF LAMPASAS</t>
  </si>
  <si>
    <t>0022454</t>
  </si>
  <si>
    <t>10205-002</t>
  </si>
  <si>
    <t>10205-002.001</t>
  </si>
  <si>
    <t>CITY OF ROXTON</t>
  </si>
  <si>
    <t>0053538</t>
  </si>
  <si>
    <t>10204-001</t>
  </si>
  <si>
    <t>10204-001.001</t>
  </si>
  <si>
    <t>CITY OF KOUNTZE</t>
  </si>
  <si>
    <t>0095478</t>
  </si>
  <si>
    <t>10203-003</t>
  </si>
  <si>
    <t>10203-003.001</t>
  </si>
  <si>
    <t>CITY OF KILGORE</t>
  </si>
  <si>
    <t>0026557</t>
  </si>
  <si>
    <t>10201-001</t>
  </si>
  <si>
    <t>10201-001.002</t>
  </si>
  <si>
    <t>KIMBLE</t>
  </si>
  <si>
    <t>CITY OF JUNCTION</t>
  </si>
  <si>
    <t>0021075</t>
  </si>
  <si>
    <t>10199-001</t>
  </si>
  <si>
    <t>10199-001.001</t>
  </si>
  <si>
    <t>00815-000.001</t>
  </si>
  <si>
    <t>0007544</t>
  </si>
  <si>
    <t>00814-000</t>
  </si>
  <si>
    <t>00814-000.001</t>
  </si>
  <si>
    <t>TEXMARK CHEMICALS INC</t>
  </si>
  <si>
    <t>0005860</t>
  </si>
  <si>
    <t>00786-000</t>
  </si>
  <si>
    <t>00786-000.002</t>
  </si>
  <si>
    <t>00786-000.001</t>
  </si>
  <si>
    <t>00779-000.006</t>
  </si>
  <si>
    <t>0088331</t>
  </si>
  <si>
    <t>01353-000</t>
  </si>
  <si>
    <t>01353-000.002</t>
  </si>
  <si>
    <t>01353-000.001</t>
  </si>
  <si>
    <t>INTERNATIONAL PAPER CO</t>
  </si>
  <si>
    <t>0000167</t>
  </si>
  <si>
    <t>01339-000</t>
  </si>
  <si>
    <t>01339-000.001</t>
  </si>
  <si>
    <t>INEOS USA LLC</t>
  </si>
  <si>
    <t>0004821</t>
  </si>
  <si>
    <t>01333-000</t>
  </si>
  <si>
    <t>01333-000.005</t>
  </si>
  <si>
    <t>01333-000.004</t>
  </si>
  <si>
    <t>01333-000.003</t>
  </si>
  <si>
    <t>01333-000.002</t>
  </si>
  <si>
    <t>01333-000.001</t>
  </si>
  <si>
    <t>JSW STEEL USA INC</t>
  </si>
  <si>
    <t>0007706</t>
  </si>
  <si>
    <t>01332-000</t>
  </si>
  <si>
    <t>01332-000.001</t>
  </si>
  <si>
    <t>01331-000</t>
  </si>
  <si>
    <t>01331-000.002</t>
  </si>
  <si>
    <t>01331-000.001</t>
  </si>
  <si>
    <t>OHMSTEDE LTD</t>
  </si>
  <si>
    <t>0008184</t>
  </si>
  <si>
    <t>01318-000</t>
  </si>
  <si>
    <t>01318-000.001</t>
  </si>
  <si>
    <t>BIG BROWN POWER CO LLC AND LUMINANT GENERATION CO LLC</t>
  </si>
  <si>
    <t>0030180</t>
  </si>
  <si>
    <t>01309-000</t>
  </si>
  <si>
    <t>01309-000.002</t>
  </si>
  <si>
    <t>01309-000.001</t>
  </si>
  <si>
    <t>0000540</t>
  </si>
  <si>
    <t>01307-000</t>
  </si>
  <si>
    <t>01307-000.001</t>
  </si>
  <si>
    <t>0003573</t>
  </si>
  <si>
    <t>01303-000</t>
  </si>
  <si>
    <t>01303-000.001</t>
  </si>
  <si>
    <t>TEXAS MEDICAL CENTER CENTRAL HEATING &amp; COOLING SERVICES CORP</t>
  </si>
  <si>
    <t>0008851</t>
  </si>
  <si>
    <t>01286-000</t>
  </si>
  <si>
    <t>01286-000.001</t>
  </si>
  <si>
    <t>0004944</t>
  </si>
  <si>
    <t>01280-000</t>
  </si>
  <si>
    <t>01280-000.001</t>
  </si>
  <si>
    <t>0025950</t>
  </si>
  <si>
    <t>10384-001</t>
  </si>
  <si>
    <t>10384-001.001</t>
  </si>
  <si>
    <t>CITY OF WOLFE CITY</t>
  </si>
  <si>
    <t>0023558</t>
  </si>
  <si>
    <t>10383-001</t>
  </si>
  <si>
    <t>10383-001.001</t>
  </si>
  <si>
    <t>CITY OF WHARTON</t>
  </si>
  <si>
    <t>0101222</t>
  </si>
  <si>
    <t>10381-002</t>
  </si>
  <si>
    <t>10381-002.001</t>
  </si>
  <si>
    <t>0021288</t>
  </si>
  <si>
    <t>10381-001</t>
  </si>
  <si>
    <t>10381-001.001</t>
  </si>
  <si>
    <t>10380-002.001</t>
  </si>
  <si>
    <t>0815</t>
  </si>
  <si>
    <t>CITY OF WAXAHACHIE</t>
  </si>
  <si>
    <t>0027537</t>
  </si>
  <si>
    <t>10379-001</t>
  </si>
  <si>
    <t>10379-001.001</t>
  </si>
  <si>
    <t>0400</t>
  </si>
  <si>
    <t>CITY OF WASKOM</t>
  </si>
  <si>
    <t>0020036</t>
  </si>
  <si>
    <t>10378-001</t>
  </si>
  <si>
    <t>10378-001.001</t>
  </si>
  <si>
    <t>CITY OF VERNON</t>
  </si>
  <si>
    <t>0023001</t>
  </si>
  <si>
    <t>10377-001</t>
  </si>
  <si>
    <t>10377-001.001</t>
  </si>
  <si>
    <t>CITY OF VAN</t>
  </si>
  <si>
    <t>0054071</t>
  </si>
  <si>
    <t>10376-001</t>
  </si>
  <si>
    <t>10376-001.001</t>
  </si>
  <si>
    <t>2431</t>
  </si>
  <si>
    <t>CITY OF TEXAS CITY</t>
  </si>
  <si>
    <t>0023949</t>
  </si>
  <si>
    <t>10375-001</t>
  </si>
  <si>
    <t>10375-001.001</t>
  </si>
  <si>
    <t>CITY OF TEXARKANA</t>
  </si>
  <si>
    <t>0099287</t>
  </si>
  <si>
    <t>10374-007</t>
  </si>
  <si>
    <t>10374-007.001</t>
  </si>
  <si>
    <t>0101800</t>
  </si>
  <si>
    <t>10374-005</t>
  </si>
  <si>
    <t>10374-005.001</t>
  </si>
  <si>
    <t>CITY OF SWEETWATER</t>
  </si>
  <si>
    <t>0118346</t>
  </si>
  <si>
    <t>10373-002</t>
  </si>
  <si>
    <t>10373-002.001</t>
  </si>
  <si>
    <t>CITY OF SULPHUR SPRINGS</t>
  </si>
  <si>
    <t>0058955</t>
  </si>
  <si>
    <t>10372-001</t>
  </si>
  <si>
    <t>10372-001.001</t>
  </si>
  <si>
    <t>CITY OF SOMERVILLE</t>
  </si>
  <si>
    <t>0055492</t>
  </si>
  <si>
    <t>10371-001</t>
  </si>
  <si>
    <t>10371-001.001</t>
  </si>
  <si>
    <t>CITY OF ROYSE CITY</t>
  </si>
  <si>
    <t>0021687</t>
  </si>
  <si>
    <t>10366-001</t>
  </si>
  <si>
    <t>10366-001.001</t>
  </si>
  <si>
    <t>0024546</t>
  </si>
  <si>
    <t>10365-001</t>
  </si>
  <si>
    <t>10365-001.001</t>
  </si>
  <si>
    <t>CITY OF GOODLOW</t>
  </si>
  <si>
    <t>0092223</t>
  </si>
  <si>
    <t>12616-001</t>
  </si>
  <si>
    <t>12616-001.001</t>
  </si>
  <si>
    <t>HARRIS COUNTY UTILITY DIST NO 16</t>
  </si>
  <si>
    <t>0091481</t>
  </si>
  <si>
    <t>12614-001</t>
  </si>
  <si>
    <t>12614-001.001</t>
  </si>
  <si>
    <t>BRYER ROBERT F</t>
  </si>
  <si>
    <t>0091693</t>
  </si>
  <si>
    <t>12612-001</t>
  </si>
  <si>
    <t>12612-001.001</t>
  </si>
  <si>
    <t>FORT BEND COUNTY MUD NO 5</t>
  </si>
  <si>
    <t>0129194</t>
  </si>
  <si>
    <t>14757-001</t>
  </si>
  <si>
    <t>14757-001.001</t>
  </si>
  <si>
    <t>ELITE COMPUTER CONSULTANTS LP</t>
  </si>
  <si>
    <t>0091171</t>
  </si>
  <si>
    <t>12600-001</t>
  </si>
  <si>
    <t>12600-001.001</t>
  </si>
  <si>
    <t>0091715</t>
  </si>
  <si>
    <t>12597-001</t>
  </si>
  <si>
    <t>12597-001.001</t>
  </si>
  <si>
    <t>0090905</t>
  </si>
  <si>
    <t>12587-001</t>
  </si>
  <si>
    <t>12587-001.001</t>
  </si>
  <si>
    <t>CONROE BAY WATER SEWER SUPPLY CORP</t>
  </si>
  <si>
    <t>0027308</t>
  </si>
  <si>
    <t>12582-001</t>
  </si>
  <si>
    <t>12582-001.001</t>
  </si>
  <si>
    <t>SPRING WEST MUD</t>
  </si>
  <si>
    <t>0090824</t>
  </si>
  <si>
    <t>12579-001</t>
  </si>
  <si>
    <t>12579-001.001</t>
  </si>
  <si>
    <t>HARRIS COUNTY MUD 130</t>
  </si>
  <si>
    <t>0091316</t>
  </si>
  <si>
    <t>12574-001</t>
  </si>
  <si>
    <t>12574-001.001</t>
  </si>
  <si>
    <t>0090506</t>
  </si>
  <si>
    <t>12571-001</t>
  </si>
  <si>
    <t>12571-001.001</t>
  </si>
  <si>
    <t>0090697</t>
  </si>
  <si>
    <t>12563-001</t>
  </si>
  <si>
    <t>12563-001.001</t>
  </si>
  <si>
    <t>WESTFIELD MOBILE HOME COMMUNITY LTD</t>
  </si>
  <si>
    <t>0090492</t>
  </si>
  <si>
    <t>12555-001</t>
  </si>
  <si>
    <t>12555-001.001</t>
  </si>
  <si>
    <t>NCI GROUP INC</t>
  </si>
  <si>
    <t>0117064</t>
  </si>
  <si>
    <t>12552-002</t>
  </si>
  <si>
    <t>12552-002.001</t>
  </si>
  <si>
    <t>0090115</t>
  </si>
  <si>
    <t>12552-001</t>
  </si>
  <si>
    <t>12552-001.001</t>
  </si>
  <si>
    <t>VAITHI DEVELOPMENT INC</t>
  </si>
  <si>
    <t>0090069</t>
  </si>
  <si>
    <t>12527-001</t>
  </si>
  <si>
    <t>12527-001.001</t>
  </si>
  <si>
    <t>0089915</t>
  </si>
  <si>
    <t>12519-001</t>
  </si>
  <si>
    <t>12519-001.001</t>
  </si>
  <si>
    <t>WEST HARRIS COUNTY MUD 6</t>
  </si>
  <si>
    <t>0089621</t>
  </si>
  <si>
    <t>12499-001</t>
  </si>
  <si>
    <t>12499-001.001</t>
  </si>
  <si>
    <t>CONROE RESORT UTILITIES LLC</t>
  </si>
  <si>
    <t>0089630</t>
  </si>
  <si>
    <t>12493-001</t>
  </si>
  <si>
    <t>12493-001.001</t>
  </si>
  <si>
    <t>TIMKENSTEEL MATERIAL SERVICES LLC</t>
  </si>
  <si>
    <t>0089281</t>
  </si>
  <si>
    <t>12484-001</t>
  </si>
  <si>
    <t>12484-001.001</t>
  </si>
  <si>
    <t>0089362</t>
  </si>
  <si>
    <t>12482-001</t>
  </si>
  <si>
    <t>12482-001.001</t>
  </si>
  <si>
    <t>0133663</t>
  </si>
  <si>
    <t>15046-001</t>
  </si>
  <si>
    <t>15046-001.001</t>
  </si>
  <si>
    <t>FORT BEND COUNTY MUD 41</t>
  </si>
  <si>
    <t>0089249</t>
  </si>
  <si>
    <t>12475-001</t>
  </si>
  <si>
    <t>12475-001.001</t>
  </si>
  <si>
    <t>HARRIS COUNTY MUD 166</t>
  </si>
  <si>
    <t>0089494</t>
  </si>
  <si>
    <t>12474-001</t>
  </si>
  <si>
    <t>12474-001.001</t>
  </si>
  <si>
    <t>OCEANEERING INTERNATIONAL INC</t>
  </si>
  <si>
    <t>0089061</t>
  </si>
  <si>
    <t>12466-001</t>
  </si>
  <si>
    <t>12466-001.001</t>
  </si>
  <si>
    <t>TIFCO INDUSTRIES INC</t>
  </si>
  <si>
    <t>0088927</t>
  </si>
  <si>
    <t>12465-001</t>
  </si>
  <si>
    <t>12465-001.001</t>
  </si>
  <si>
    <t>0089028</t>
  </si>
  <si>
    <t>12458-002</t>
  </si>
  <si>
    <t>12458-002.001</t>
  </si>
  <si>
    <t>CRANE CO</t>
  </si>
  <si>
    <t>0138461</t>
  </si>
  <si>
    <t>12456-002</t>
  </si>
  <si>
    <t>12456-002.001</t>
  </si>
  <si>
    <t>0088862</t>
  </si>
  <si>
    <t>12454-001</t>
  </si>
  <si>
    <t>12454-001.001</t>
  </si>
  <si>
    <t>TRINITY RCT GP LLC</t>
  </si>
  <si>
    <t>0088650</t>
  </si>
  <si>
    <t>12450-001</t>
  </si>
  <si>
    <t>12450-001.001</t>
  </si>
  <si>
    <t>HARRIS COUNTY MUD NO 196</t>
  </si>
  <si>
    <t>0088838</t>
  </si>
  <si>
    <t>12447-001</t>
  </si>
  <si>
    <t>12447-001.001</t>
  </si>
  <si>
    <t>0088633</t>
  </si>
  <si>
    <t>12446-001</t>
  </si>
  <si>
    <t>12446-001.001</t>
  </si>
  <si>
    <t>0133175</t>
  </si>
  <si>
    <t>04966-000</t>
  </si>
  <si>
    <t>04966-000.001</t>
  </si>
  <si>
    <t>GALVESTON COUNTY WCID NO 1</t>
  </si>
  <si>
    <t>0023655</t>
  </si>
  <si>
    <t>10173-001</t>
  </si>
  <si>
    <t>10173-001.001</t>
  </si>
  <si>
    <t>1414</t>
  </si>
  <si>
    <t>GILLESPIE</t>
  </si>
  <si>
    <t>CITY OF FREDERICKSBURG</t>
  </si>
  <si>
    <t>0132560</t>
  </si>
  <si>
    <t>14969-001</t>
  </si>
  <si>
    <t>14969-001.001</t>
  </si>
  <si>
    <t>CITY OF FAIRFIELD</t>
  </si>
  <si>
    <t>0075850</t>
  </si>
  <si>
    <t>10168-002</t>
  </si>
  <si>
    <t>10168-002.001</t>
  </si>
  <si>
    <t>03426-000.002</t>
  </si>
  <si>
    <t>EL PASO COUNTY WCID NO 4</t>
  </si>
  <si>
    <t>0065013</t>
  </si>
  <si>
    <t>10166-001</t>
  </si>
  <si>
    <t>10166-001.001</t>
  </si>
  <si>
    <t>SCHLEICHER</t>
  </si>
  <si>
    <t>CITY OF ELDORADO</t>
  </si>
  <si>
    <t>0092274</t>
  </si>
  <si>
    <t>10165-001</t>
  </si>
  <si>
    <t>10165-001.001</t>
  </si>
  <si>
    <t>1603</t>
  </si>
  <si>
    <t>CITY OF EDNA</t>
  </si>
  <si>
    <t>0024252</t>
  </si>
  <si>
    <t>10164-001</t>
  </si>
  <si>
    <t>10164-001.001</t>
  </si>
  <si>
    <t>CITY OF DEVINE</t>
  </si>
  <si>
    <t>0102032</t>
  </si>
  <si>
    <t>10160-001</t>
  </si>
  <si>
    <t>10160-001.001</t>
  </si>
  <si>
    <t>CITY OF DEL RIO</t>
  </si>
  <si>
    <t>0053830</t>
  </si>
  <si>
    <t>10159-003</t>
  </si>
  <si>
    <t>10159-003.001</t>
  </si>
  <si>
    <t>0047198</t>
  </si>
  <si>
    <t>10159-001</t>
  </si>
  <si>
    <t>10159-001.001</t>
  </si>
  <si>
    <t>CITY OF DANBURY</t>
  </si>
  <si>
    <t>0056707</t>
  </si>
  <si>
    <t>10158-001</t>
  </si>
  <si>
    <t>10158-001.001</t>
  </si>
  <si>
    <t>2001</t>
  </si>
  <si>
    <t>TOWN OF WOODSBORO</t>
  </si>
  <si>
    <t>0032638</t>
  </si>
  <si>
    <t>10156-001</t>
  </si>
  <si>
    <t>10156-001.001</t>
  </si>
  <si>
    <t>CITY OF HARKER HEIGHTS</t>
  </si>
  <si>
    <t>0024473</t>
  </si>
  <si>
    <t>10155-001</t>
  </si>
  <si>
    <t>10155-001.001</t>
  </si>
  <si>
    <t>CITY OF CROCKETT</t>
  </si>
  <si>
    <t>0025895</t>
  </si>
  <si>
    <t>10154-002</t>
  </si>
  <si>
    <t>10154-002.001</t>
  </si>
  <si>
    <t>0070831</t>
  </si>
  <si>
    <t>10154-001</t>
  </si>
  <si>
    <t>10154-001.001</t>
  </si>
  <si>
    <t>CITY OF COTULLA</t>
  </si>
  <si>
    <t>0027499</t>
  </si>
  <si>
    <t>10153-001</t>
  </si>
  <si>
    <t>10153-001.001</t>
  </si>
  <si>
    <t>COLORADO COUNTY WCID NO 2</t>
  </si>
  <si>
    <t>0023329</t>
  </si>
  <si>
    <t>10152-001</t>
  </si>
  <si>
    <t>10152-001.001</t>
  </si>
  <si>
    <t>CITY OF COLLINSVILLE</t>
  </si>
  <si>
    <t>0034410</t>
  </si>
  <si>
    <t>10151-001</t>
  </si>
  <si>
    <t>10151-001.001</t>
  </si>
  <si>
    <t>10150-003.001</t>
  </si>
  <si>
    <t>0021555</t>
  </si>
  <si>
    <t>10150-001</t>
  </si>
  <si>
    <t>10150-001.001</t>
  </si>
  <si>
    <t>1420</t>
  </si>
  <si>
    <t>CALLAHAN</t>
  </si>
  <si>
    <t>CITY OF CLYDE</t>
  </si>
  <si>
    <t>0105201</t>
  </si>
  <si>
    <t>10149-001</t>
  </si>
  <si>
    <t>10149-001.001</t>
  </si>
  <si>
    <t>CITY OF CLARKSVILLE</t>
  </si>
  <si>
    <t>0058106</t>
  </si>
  <si>
    <t>10148-001</t>
  </si>
  <si>
    <t>10148-001.001</t>
  </si>
  <si>
    <t>CITY OF CENTERVILLE</t>
  </si>
  <si>
    <t>0077810</t>
  </si>
  <si>
    <t>10147-001</t>
  </si>
  <si>
    <t>10147-001.001</t>
  </si>
  <si>
    <t>CITY OF CELESTE</t>
  </si>
  <si>
    <t>0024180</t>
  </si>
  <si>
    <t>10146-001</t>
  </si>
  <si>
    <t>10146-001.001</t>
  </si>
  <si>
    <t>CITY OF CARRIZO SPRINGS</t>
  </si>
  <si>
    <t>0025976</t>
  </si>
  <si>
    <t>10145-001</t>
  </si>
  <si>
    <t>10145-001.001</t>
  </si>
  <si>
    <t>CITY OF ATHENS</t>
  </si>
  <si>
    <t>0025364</t>
  </si>
  <si>
    <t>10143-003</t>
  </si>
  <si>
    <t>10143-003.001</t>
  </si>
  <si>
    <t>0025372</t>
  </si>
  <si>
    <t>10143-001</t>
  </si>
  <si>
    <t>10143-001.001</t>
  </si>
  <si>
    <t>CITY OF CHARLOTTE</t>
  </si>
  <si>
    <t>0033375</t>
  </si>
  <si>
    <t>10142-001</t>
  </si>
  <si>
    <t>10142-001.001</t>
  </si>
  <si>
    <t>CITY OF AGUA DULCE</t>
  </si>
  <si>
    <t>0033367</t>
  </si>
  <si>
    <t>10140-001</t>
  </si>
  <si>
    <t>10140-001.001</t>
  </si>
  <si>
    <t>1912</t>
  </si>
  <si>
    <t>0055689</t>
  </si>
  <si>
    <t>10137-040</t>
  </si>
  <si>
    <t>10137-040.001</t>
  </si>
  <si>
    <t>0077801</t>
  </si>
  <si>
    <t>10137-033</t>
  </si>
  <si>
    <t>10137-033.001</t>
  </si>
  <si>
    <t>YES COMPANIES LLC</t>
  </si>
  <si>
    <t>0094463</t>
  </si>
  <si>
    <t>12849-001</t>
  </si>
  <si>
    <t>12849-001.001</t>
  </si>
  <si>
    <t>ROLLING CREEK UTILITY DISTRICT</t>
  </si>
  <si>
    <t>0097373</t>
  </si>
  <si>
    <t>12841-001</t>
  </si>
  <si>
    <t>12841-001.001</t>
  </si>
  <si>
    <t>0063355</t>
  </si>
  <si>
    <t>01909-000</t>
  </si>
  <si>
    <t>01909-000.006</t>
  </si>
  <si>
    <t>01909-000.005</t>
  </si>
  <si>
    <t>01909-000.004</t>
  </si>
  <si>
    <t>01909-000.003</t>
  </si>
  <si>
    <t>01909-000.002</t>
  </si>
  <si>
    <t>01909-000.001</t>
  </si>
  <si>
    <t>01908-000.001</t>
  </si>
  <si>
    <t>UNIVERSAL FOREST PRODUCTS TEXAS LLC</t>
  </si>
  <si>
    <t>0028169</t>
  </si>
  <si>
    <t>14996-001</t>
  </si>
  <si>
    <t>14996-001.001</t>
  </si>
  <si>
    <t>0057843</t>
  </si>
  <si>
    <t>01485-000</t>
  </si>
  <si>
    <t>01485-000.001</t>
  </si>
  <si>
    <t>0046400</t>
  </si>
  <si>
    <t>01481-000</t>
  </si>
  <si>
    <t>01481-000.001</t>
  </si>
  <si>
    <t>0061999</t>
  </si>
  <si>
    <t>01464-000</t>
  </si>
  <si>
    <t>01464-000.001</t>
  </si>
  <si>
    <t>0822</t>
  </si>
  <si>
    <t>DALLAS/FORT WORTH INTERNATIONAL AIRPORT BOARD</t>
  </si>
  <si>
    <t>0025101</t>
  </si>
  <si>
    <t>059</t>
  </si>
  <si>
    <t>01441-000</t>
  </si>
  <si>
    <t>01441-000.059</t>
  </si>
  <si>
    <t>0105058</t>
  </si>
  <si>
    <t>10495-002</t>
  </si>
  <si>
    <t>10495-002.003</t>
  </si>
  <si>
    <t>10495-002.002</t>
  </si>
  <si>
    <t>CITY OF SMITHVILLE</t>
  </si>
  <si>
    <t>0022951</t>
  </si>
  <si>
    <t>10286-001</t>
  </si>
  <si>
    <t>10286-001.001</t>
  </si>
  <si>
    <t>EAST TEXAS MUD OF SMITH COUNTY</t>
  </si>
  <si>
    <t>0032484</t>
  </si>
  <si>
    <t>10285-001</t>
  </si>
  <si>
    <t>10285-001.001</t>
  </si>
  <si>
    <t>CITY OF SKELLYTOWN</t>
  </si>
  <si>
    <t>0136794</t>
  </si>
  <si>
    <t>10283-002</t>
  </si>
  <si>
    <t>10283-002.001</t>
  </si>
  <si>
    <t>CITY OF SILSBEE</t>
  </si>
  <si>
    <t>0023728</t>
  </si>
  <si>
    <t>10282-002</t>
  </si>
  <si>
    <t>10282-002.001</t>
  </si>
  <si>
    <t>CHAMBERS COUNTY IMPROVEMENT DISTRICT NO 1</t>
  </si>
  <si>
    <t>0128325</t>
  </si>
  <si>
    <t>14661-001</t>
  </si>
  <si>
    <t>14661-001.001</t>
  </si>
  <si>
    <t>0023736</t>
  </si>
  <si>
    <t>10282-001</t>
  </si>
  <si>
    <t>10282-001.001</t>
  </si>
  <si>
    <t>BAYLOR</t>
  </si>
  <si>
    <t>CITY OF SEYMOUR</t>
  </si>
  <si>
    <t>0026522</t>
  </si>
  <si>
    <t>10281-001</t>
  </si>
  <si>
    <t>10281-001.001</t>
  </si>
  <si>
    <t>GRAYDEN CEDARWORKS INC</t>
  </si>
  <si>
    <t>0001856</t>
  </si>
  <si>
    <t>01391-000</t>
  </si>
  <si>
    <t>01391-000.001</t>
  </si>
  <si>
    <t>0057576</t>
  </si>
  <si>
    <t>01369-000</t>
  </si>
  <si>
    <t>01369-000.001</t>
  </si>
  <si>
    <t>CITY OF PORT ARTHUR</t>
  </si>
  <si>
    <t>0024201</t>
  </si>
  <si>
    <t>10364-010</t>
  </si>
  <si>
    <t>10364-010.001</t>
  </si>
  <si>
    <t>LAS LOMAS MUD NO 4 OF KAUFMAN COUNTY</t>
  </si>
  <si>
    <t>0129623</t>
  </si>
  <si>
    <t>14803-001</t>
  </si>
  <si>
    <t>14803-001.001</t>
  </si>
  <si>
    <t>0047511</t>
  </si>
  <si>
    <t>10364-002</t>
  </si>
  <si>
    <t>10364-002.001</t>
  </si>
  <si>
    <t>0047589</t>
  </si>
  <si>
    <t>10364-001</t>
  </si>
  <si>
    <t>10364-001.001</t>
  </si>
  <si>
    <t>0047911</t>
  </si>
  <si>
    <t>10363-001</t>
  </si>
  <si>
    <t>10363-001.001</t>
  </si>
  <si>
    <t>CITY OF PILOT POINT</t>
  </si>
  <si>
    <t>0022659</t>
  </si>
  <si>
    <t>10361-001</t>
  </si>
  <si>
    <t>10361-001.001</t>
  </si>
  <si>
    <t>CITY OF PEARSALL</t>
  </si>
  <si>
    <t>0032719</t>
  </si>
  <si>
    <t>10360-001</t>
  </si>
  <si>
    <t>10360-001.001</t>
  </si>
  <si>
    <t>GRAY</t>
  </si>
  <si>
    <t>CITY OF PAMPA</t>
  </si>
  <si>
    <t>0027618</t>
  </si>
  <si>
    <t>10358-002</t>
  </si>
  <si>
    <t>10358-002.001</t>
  </si>
  <si>
    <t>CITY OF NOCONA</t>
  </si>
  <si>
    <t>0042668</t>
  </si>
  <si>
    <t>10355-003</t>
  </si>
  <si>
    <t>10355-003.001</t>
  </si>
  <si>
    <t>0042650</t>
  </si>
  <si>
    <t>10355-002</t>
  </si>
  <si>
    <t>10355-002.001</t>
  </si>
  <si>
    <t>0106071</t>
  </si>
  <si>
    <t>10353-002</t>
  </si>
  <si>
    <t>10353-002.001</t>
  </si>
  <si>
    <t>BELL COUNTY WCID 1</t>
  </si>
  <si>
    <t>0102938</t>
  </si>
  <si>
    <t>10351-003</t>
  </si>
  <si>
    <t>10351-003.001</t>
  </si>
  <si>
    <t>0024597</t>
  </si>
  <si>
    <t>10351-001</t>
  </si>
  <si>
    <t>10351-001.001</t>
  </si>
  <si>
    <t>0002470</t>
  </si>
  <si>
    <t>10351-002</t>
  </si>
  <si>
    <t>10351-002.001</t>
  </si>
  <si>
    <t>0023647</t>
  </si>
  <si>
    <t>10350-001</t>
  </si>
  <si>
    <t>10350-001.001</t>
  </si>
  <si>
    <t>CITY OF MINEOLA</t>
  </si>
  <si>
    <t>0021393</t>
  </si>
  <si>
    <t>10349-001</t>
  </si>
  <si>
    <t>10349-001.001</t>
  </si>
  <si>
    <t>10348-001.001</t>
  </si>
  <si>
    <t>CITY OF MERCEDES</t>
  </si>
  <si>
    <t>0021547</t>
  </si>
  <si>
    <t>10347-001</t>
  </si>
  <si>
    <t>10347-001.001</t>
  </si>
  <si>
    <t>CITY OF ROUND ROCK CITY OF CEDAR PARK AND CITY OF AUSTIN</t>
  </si>
  <si>
    <t>0101940</t>
  </si>
  <si>
    <t>10264-002</t>
  </si>
  <si>
    <t>10264-002.001</t>
  </si>
  <si>
    <t>0075167</t>
  </si>
  <si>
    <t>10264-001</t>
  </si>
  <si>
    <t>10264-001.001</t>
  </si>
  <si>
    <t>0022241</t>
  </si>
  <si>
    <t>10262-001</t>
  </si>
  <si>
    <t>10262-001.001</t>
  </si>
  <si>
    <t>CITY OF ROBSTOWN</t>
  </si>
  <si>
    <t>0020389</t>
  </si>
  <si>
    <t>10261-001</t>
  </si>
  <si>
    <t>10261-001.001</t>
  </si>
  <si>
    <t>0115177</t>
  </si>
  <si>
    <t>10258-003</t>
  </si>
  <si>
    <t>10258-003.001</t>
  </si>
  <si>
    <t>0827</t>
  </si>
  <si>
    <t>0023931</t>
  </si>
  <si>
    <t>10257-001</t>
  </si>
  <si>
    <t>10257-001.001</t>
  </si>
  <si>
    <t>REFUGIO COUNTY WCID 1</t>
  </si>
  <si>
    <t>0054101</t>
  </si>
  <si>
    <t>10256-001</t>
  </si>
  <si>
    <t>10256-001.001</t>
  </si>
  <si>
    <t>CITY OF REFUGIO (TOWN OF REFUGIO)</t>
  </si>
  <si>
    <t>0032492</t>
  </si>
  <si>
    <t>10255-001</t>
  </si>
  <si>
    <t>10255-001.001</t>
  </si>
  <si>
    <t>CITY OF PORT LAVACA</t>
  </si>
  <si>
    <t>0047562</t>
  </si>
  <si>
    <t>10251-001</t>
  </si>
  <si>
    <t>10251-001.001</t>
  </si>
  <si>
    <t>0025445</t>
  </si>
  <si>
    <t>10250-002</t>
  </si>
  <si>
    <t>10250-002.001</t>
  </si>
  <si>
    <t>US SILICA CO</t>
  </si>
  <si>
    <t>0001368</t>
  </si>
  <si>
    <t>01176-000</t>
  </si>
  <si>
    <t>01176-000.004</t>
  </si>
  <si>
    <t>01176-000.002</t>
  </si>
  <si>
    <t>0133892</t>
  </si>
  <si>
    <t>15064-001</t>
  </si>
  <si>
    <t>15064-001.001</t>
  </si>
  <si>
    <t>CHAPPELL HILL SERVICE CO LLC</t>
  </si>
  <si>
    <t>0133451</t>
  </si>
  <si>
    <t>15031-001</t>
  </si>
  <si>
    <t>15031-001.001</t>
  </si>
  <si>
    <t>1419</t>
  </si>
  <si>
    <t>CITY OF LAWN</t>
  </si>
  <si>
    <t>0133396</t>
  </si>
  <si>
    <t>15027-001</t>
  </si>
  <si>
    <t>15027-001.001</t>
  </si>
  <si>
    <t>TOWN OF ROUND TOP</t>
  </si>
  <si>
    <t>0133337</t>
  </si>
  <si>
    <t>15025-001</t>
  </si>
  <si>
    <t>15025-001.001</t>
  </si>
  <si>
    <t>ORANGEFIELD WSC</t>
  </si>
  <si>
    <t>0129313</t>
  </si>
  <si>
    <t>14772-001</t>
  </si>
  <si>
    <t>14772-001.001</t>
  </si>
  <si>
    <t>SHERIDAN WSC</t>
  </si>
  <si>
    <t>0103781</t>
  </si>
  <si>
    <t>13452-001</t>
  </si>
  <si>
    <t>13452-001.001</t>
  </si>
  <si>
    <t>PARADISE ISD</t>
  </si>
  <si>
    <t>0103446</t>
  </si>
  <si>
    <t>13439-001</t>
  </si>
  <si>
    <t>13439-001.001</t>
  </si>
  <si>
    <t>CITY OF HACKBERRY</t>
  </si>
  <si>
    <t>0103276</t>
  </si>
  <si>
    <t>13434-001</t>
  </si>
  <si>
    <t>13434-001.001</t>
  </si>
  <si>
    <t>0103705</t>
  </si>
  <si>
    <t>13433-001</t>
  </si>
  <si>
    <t>13433-001.001</t>
  </si>
  <si>
    <t>CAMP SUMMIT INC</t>
  </si>
  <si>
    <t>0122386</t>
  </si>
  <si>
    <t>13427-001</t>
  </si>
  <si>
    <t>13427-001.001</t>
  </si>
  <si>
    <t>LIBERTY UTILITIES (SILVERLEAF WATER) LLC</t>
  </si>
  <si>
    <t>0103004</t>
  </si>
  <si>
    <t>13417-001</t>
  </si>
  <si>
    <t>13417-001.001</t>
  </si>
  <si>
    <t>UNION GROVE ISD</t>
  </si>
  <si>
    <t>0102997</t>
  </si>
  <si>
    <t>13416-001</t>
  </si>
  <si>
    <t>13416-001.001</t>
  </si>
  <si>
    <t>0104345</t>
  </si>
  <si>
    <t>13415-001</t>
  </si>
  <si>
    <t>13415-001.001</t>
  </si>
  <si>
    <t>0102920</t>
  </si>
  <si>
    <t>13412-001</t>
  </si>
  <si>
    <t>13412-001.001</t>
  </si>
  <si>
    <t>THIRTY-TWO REAL ESTATE INVESTMENT LTD</t>
  </si>
  <si>
    <t>0102563</t>
  </si>
  <si>
    <t>13395-001</t>
  </si>
  <si>
    <t>13395-001.001</t>
  </si>
  <si>
    <t>CALLISBURG ISD</t>
  </si>
  <si>
    <t>0102555</t>
  </si>
  <si>
    <t>13393-001</t>
  </si>
  <si>
    <t>13393-001.001</t>
  </si>
  <si>
    <t>0129844</t>
  </si>
  <si>
    <t>14833-001</t>
  </si>
  <si>
    <t>14833-001.001</t>
  </si>
  <si>
    <t>CITY OF SPLENDORA</t>
  </si>
  <si>
    <t>0102512</t>
  </si>
  <si>
    <t>13389-001</t>
  </si>
  <si>
    <t>13389-001.001</t>
  </si>
  <si>
    <t>POLK HEALTH HOLDINGS LLC &amp; LIVINGSTON CARE ASSOCIATES INC</t>
  </si>
  <si>
    <t>0104213</t>
  </si>
  <si>
    <t>13388-001</t>
  </si>
  <si>
    <t>13388-001.001</t>
  </si>
  <si>
    <t>CITY OF MIDWAY</t>
  </si>
  <si>
    <t>0102849</t>
  </si>
  <si>
    <t>13378-001</t>
  </si>
  <si>
    <t>13378-001.001</t>
  </si>
  <si>
    <t>S&amp;K OAKRIDGE SQUARE PROPERTIES LLC</t>
  </si>
  <si>
    <t>0102806</t>
  </si>
  <si>
    <t>13376-001</t>
  </si>
  <si>
    <t>13376-001.001</t>
  </si>
  <si>
    <t>KLEBERG COUNTY</t>
  </si>
  <si>
    <t>0113981</t>
  </si>
  <si>
    <t>13374-003</t>
  </si>
  <si>
    <t>13374-003.001</t>
  </si>
  <si>
    <t>RIVIERA WCID</t>
  </si>
  <si>
    <t>0112763</t>
  </si>
  <si>
    <t>13374-002</t>
  </si>
  <si>
    <t>13374-002.001</t>
  </si>
  <si>
    <t>BEACH ROAD MUD</t>
  </si>
  <si>
    <t>0105988</t>
  </si>
  <si>
    <t>13563-001</t>
  </si>
  <si>
    <t>13563-001.001</t>
  </si>
  <si>
    <t>HINOJOSA RENE</t>
  </si>
  <si>
    <t>0095761</t>
  </si>
  <si>
    <t>13559-001</t>
  </si>
  <si>
    <t>13559-001.001</t>
  </si>
  <si>
    <t>CINCO MUD NO 1</t>
  </si>
  <si>
    <t>0098957</t>
  </si>
  <si>
    <t>13558-001</t>
  </si>
  <si>
    <t>13558-001.001</t>
  </si>
  <si>
    <t>0125334</t>
  </si>
  <si>
    <t>13548-001</t>
  </si>
  <si>
    <t>13548-001.002</t>
  </si>
  <si>
    <t>0106704</t>
  </si>
  <si>
    <t>13547-001</t>
  </si>
  <si>
    <t>13547-001.001</t>
  </si>
  <si>
    <t>HULL FWSD</t>
  </si>
  <si>
    <t>0106836</t>
  </si>
  <si>
    <t>13544-002</t>
  </si>
  <si>
    <t>13544-002.001</t>
  </si>
  <si>
    <t>MCMULLEN COUNTY</t>
  </si>
  <si>
    <t>0132675</t>
  </si>
  <si>
    <t>14945-001</t>
  </si>
  <si>
    <t>14945-001.001</t>
  </si>
  <si>
    <t>LA POYNOR ISD</t>
  </si>
  <si>
    <t>0105902</t>
  </si>
  <si>
    <t>13538-001</t>
  </si>
  <si>
    <t>13538-001.001</t>
  </si>
  <si>
    <t>SPECIAL CAMPS FOR SPECIAL KIDS</t>
  </si>
  <si>
    <t>0106224</t>
  </si>
  <si>
    <t>13536-001</t>
  </si>
  <si>
    <t>13536-001.001</t>
  </si>
  <si>
    <t>BOSQUE UTILITIES CORP</t>
  </si>
  <si>
    <t>0106101</t>
  </si>
  <si>
    <t>13528-001</t>
  </si>
  <si>
    <t>13528-001.001</t>
  </si>
  <si>
    <t>RICHARDS ISD</t>
  </si>
  <si>
    <t>0106119</t>
  </si>
  <si>
    <t>13527-001</t>
  </si>
  <si>
    <t>13527-001.001</t>
  </si>
  <si>
    <t>KINGS MANOR MUD</t>
  </si>
  <si>
    <t>0105996</t>
  </si>
  <si>
    <t>13526-001</t>
  </si>
  <si>
    <t>13526-001.001</t>
  </si>
  <si>
    <t>LA JOYA ISD</t>
  </si>
  <si>
    <t>0136997</t>
  </si>
  <si>
    <t>13523-006</t>
  </si>
  <si>
    <t>15459-001.001</t>
  </si>
  <si>
    <t>BIG OAK LTD</t>
  </si>
  <si>
    <t>0119113</t>
  </si>
  <si>
    <t>13522-001</t>
  </si>
  <si>
    <t>13522-001.001</t>
  </si>
  <si>
    <t>EMCAD WATER AND WASTEWATER LLC</t>
  </si>
  <si>
    <t>0105872</t>
  </si>
  <si>
    <t>13518-001</t>
  </si>
  <si>
    <t>13518-001.001</t>
  </si>
  <si>
    <t>TOWN OF OAK RIDGE</t>
  </si>
  <si>
    <t>0105899</t>
  </si>
  <si>
    <t>13514-001</t>
  </si>
  <si>
    <t>13514-001.001</t>
  </si>
  <si>
    <t>TRINITY @ WINDFERN LLC</t>
  </si>
  <si>
    <t>0133582</t>
  </si>
  <si>
    <t>15040-001</t>
  </si>
  <si>
    <t>15040-001.001</t>
  </si>
  <si>
    <t>RPM WSC</t>
  </si>
  <si>
    <t>0133086</t>
  </si>
  <si>
    <t>15007-001</t>
  </si>
  <si>
    <t>15007-001.001</t>
  </si>
  <si>
    <t>MAXEY ROAD WSC</t>
  </si>
  <si>
    <t>0105406</t>
  </si>
  <si>
    <t>13503-001</t>
  </si>
  <si>
    <t>13503-001.001</t>
  </si>
  <si>
    <t>TIMBERCREST PARTNERS LLC</t>
  </si>
  <si>
    <t>0119628</t>
  </si>
  <si>
    <t>14912-001</t>
  </si>
  <si>
    <t>14912-001.001</t>
  </si>
  <si>
    <t>HARRIS COUNTY MUD NO 344</t>
  </si>
  <si>
    <t>0104965</t>
  </si>
  <si>
    <t>13483-001</t>
  </si>
  <si>
    <t>13483-001.001</t>
  </si>
  <si>
    <t>CITY OF LA WARD</t>
  </si>
  <si>
    <t>0105104</t>
  </si>
  <si>
    <t>13479-001</t>
  </si>
  <si>
    <t>13479-001.001</t>
  </si>
  <si>
    <t>0401</t>
  </si>
  <si>
    <t>WOODRIDGE LIMITED PARTNERSHIP</t>
  </si>
  <si>
    <t>0104761</t>
  </si>
  <si>
    <t>13474-001</t>
  </si>
  <si>
    <t>13474-001.001</t>
  </si>
  <si>
    <t>MILLENIUM RAIL INC</t>
  </si>
  <si>
    <t>0090841</t>
  </si>
  <si>
    <t>13472-001</t>
  </si>
  <si>
    <t>13472-001.001</t>
  </si>
  <si>
    <t>THE CENTER SERVING PERSONS W MENTAL RETARDATION</t>
  </si>
  <si>
    <t>0104299</t>
  </si>
  <si>
    <t>13466-001</t>
  </si>
  <si>
    <t>13466-001.001</t>
  </si>
  <si>
    <t>0123498</t>
  </si>
  <si>
    <t>13462-008</t>
  </si>
  <si>
    <t>13462-008.001</t>
  </si>
  <si>
    <t>0116637</t>
  </si>
  <si>
    <t>13462-006</t>
  </si>
  <si>
    <t>13462-006.001</t>
  </si>
  <si>
    <t>0104612</t>
  </si>
  <si>
    <t>13462-001</t>
  </si>
  <si>
    <t>13462-001.001</t>
  </si>
  <si>
    <t>13457-001.001</t>
  </si>
  <si>
    <t>03540-000.005</t>
  </si>
  <si>
    <t>03540-000.004</t>
  </si>
  <si>
    <t>03540-000.003</t>
  </si>
  <si>
    <t>00990-000.001</t>
  </si>
  <si>
    <t>WEST WISE SPECIAL UTILITY DISTRICT</t>
  </si>
  <si>
    <t>0133019</t>
  </si>
  <si>
    <t>15002-001</t>
  </si>
  <si>
    <t>15002-001.001</t>
  </si>
  <si>
    <t>MENARD</t>
  </si>
  <si>
    <t>CITY OF MENARD</t>
  </si>
  <si>
    <t>0125458</t>
  </si>
  <si>
    <t>10345-002</t>
  </si>
  <si>
    <t>10345-002.001</t>
  </si>
  <si>
    <t>0025712</t>
  </si>
  <si>
    <t>10345-001</t>
  </si>
  <si>
    <t>10345-001.001</t>
  </si>
  <si>
    <t>MCLENNAN COUNTY WCID 2</t>
  </si>
  <si>
    <t>0053465</t>
  </si>
  <si>
    <t>10344-001</t>
  </si>
  <si>
    <t>10344-001.001</t>
  </si>
  <si>
    <t>CITY OF NEEDVILLE</t>
  </si>
  <si>
    <t>0027634</t>
  </si>
  <si>
    <t>10343-001</t>
  </si>
  <si>
    <t>10343-001.001</t>
  </si>
  <si>
    <t>CITY OF NACOGDOCHES</t>
  </si>
  <si>
    <t>0055123</t>
  </si>
  <si>
    <t>10342-004</t>
  </si>
  <si>
    <t>10342-004.001</t>
  </si>
  <si>
    <t>CITY OF MUENSTER</t>
  </si>
  <si>
    <t>0021792</t>
  </si>
  <si>
    <t>10341-001</t>
  </si>
  <si>
    <t>10341-001.001</t>
  </si>
  <si>
    <t>0406</t>
  </si>
  <si>
    <t>CITY OF ATLANTA</t>
  </si>
  <si>
    <t>0032344</t>
  </si>
  <si>
    <t>10338-001</t>
  </si>
  <si>
    <t>10338-001.001</t>
  </si>
  <si>
    <t>10334-004.002</t>
  </si>
  <si>
    <t>10334-004.001</t>
  </si>
  <si>
    <t>0006564</t>
  </si>
  <si>
    <t>10332-001</t>
  </si>
  <si>
    <t>10332-001.001</t>
  </si>
  <si>
    <t>CITY OF SANTA ROSA</t>
  </si>
  <si>
    <t>0075451</t>
  </si>
  <si>
    <t>10330-001</t>
  </si>
  <si>
    <t>10330-001.001</t>
  </si>
  <si>
    <t>CITY OF SHERMAN</t>
  </si>
  <si>
    <t>0024325</t>
  </si>
  <si>
    <t>10329-001</t>
  </si>
  <si>
    <t>10329-001.001</t>
  </si>
  <si>
    <t>DEWITT</t>
  </si>
  <si>
    <t>CITY OF YORKTOWN</t>
  </si>
  <si>
    <t>0054631</t>
  </si>
  <si>
    <t>10323-001</t>
  </si>
  <si>
    <t>10323-001.001</t>
  </si>
  <si>
    <t>CITY OF WOODVILLE</t>
  </si>
  <si>
    <t>0025828</t>
  </si>
  <si>
    <t>10322-001</t>
  </si>
  <si>
    <t>10322-001.001</t>
  </si>
  <si>
    <t>CITY OF WINNSBORO</t>
  </si>
  <si>
    <t>0054658</t>
  </si>
  <si>
    <t>10319-002</t>
  </si>
  <si>
    <t>10319-002.001</t>
  </si>
  <si>
    <t>CITY OF WILLIS</t>
  </si>
  <si>
    <t>0068845</t>
  </si>
  <si>
    <t>10315-001</t>
  </si>
  <si>
    <t>10315-001.001</t>
  </si>
  <si>
    <t>CITY OF WEST COLUMBIA</t>
  </si>
  <si>
    <t>0026182</t>
  </si>
  <si>
    <t>10312-001</t>
  </si>
  <si>
    <t>10312-001.001</t>
  </si>
  <si>
    <t>CITY OF WEIMAR</t>
  </si>
  <si>
    <t>0025917</t>
  </si>
  <si>
    <t>10311-001</t>
  </si>
  <si>
    <t>10311-001.001</t>
  </si>
  <si>
    <t>CITY OF WALLER</t>
  </si>
  <si>
    <t>0032476</t>
  </si>
  <si>
    <t>10310-001</t>
  </si>
  <si>
    <t>10310-001.001</t>
  </si>
  <si>
    <t>CITY OF VALLEY MILLS</t>
  </si>
  <si>
    <t>0075647</t>
  </si>
  <si>
    <t>10307-001</t>
  </si>
  <si>
    <t>10307-001.001</t>
  </si>
  <si>
    <t>10306-001.002</t>
  </si>
  <si>
    <t>10306-001.001</t>
  </si>
  <si>
    <t>CITY OF TROUP</t>
  </si>
  <si>
    <t>0033529</t>
  </si>
  <si>
    <t>10304-001</t>
  </si>
  <si>
    <t>10304-001.001</t>
  </si>
  <si>
    <t>10303-001.001</t>
  </si>
  <si>
    <t>CITY OF THORNDALE</t>
  </si>
  <si>
    <t>0032379</t>
  </si>
  <si>
    <t>10302-001</t>
  </si>
  <si>
    <t>10302-001.001</t>
  </si>
  <si>
    <t>0034509</t>
  </si>
  <si>
    <t>10300-001</t>
  </si>
  <si>
    <t>10300-001.001</t>
  </si>
  <si>
    <t>CITY OF TAYLOR</t>
  </si>
  <si>
    <t>0020443</t>
  </si>
  <si>
    <t>10299-001</t>
  </si>
  <si>
    <t>10299-001.001</t>
  </si>
  <si>
    <t>CITY OF SWEENY</t>
  </si>
  <si>
    <t>0024511</t>
  </si>
  <si>
    <t>10297-001</t>
  </si>
  <si>
    <t>10297-001.001</t>
  </si>
  <si>
    <t>CITY OF STOCKDALE</t>
  </si>
  <si>
    <t>0054232</t>
  </si>
  <si>
    <t>10292-001</t>
  </si>
  <si>
    <t>10292-001.001</t>
  </si>
  <si>
    <t>CITY OF STEPHENVILLE</t>
  </si>
  <si>
    <t>0024228</t>
  </si>
  <si>
    <t>10290-001</t>
  </si>
  <si>
    <t>10290-001.002</t>
  </si>
  <si>
    <t>10290-001.001</t>
  </si>
  <si>
    <t>CITY OF DIBOLL</t>
  </si>
  <si>
    <t>0024872</t>
  </si>
  <si>
    <t>10288-001</t>
  </si>
  <si>
    <t>10288-001.001</t>
  </si>
  <si>
    <t>CITY OF SOUTH HOUSTON</t>
  </si>
  <si>
    <t>0057304</t>
  </si>
  <si>
    <t>10287-001</t>
  </si>
  <si>
    <t>10287-001.001</t>
  </si>
  <si>
    <t>0113786</t>
  </si>
  <si>
    <t>10286-003</t>
  </si>
  <si>
    <t>10286-003.001</t>
  </si>
  <si>
    <t>ROVING MEADOWS UTILITIES INC</t>
  </si>
  <si>
    <t>0097527</t>
  </si>
  <si>
    <t>13084-001</t>
  </si>
  <si>
    <t>13084-001.001</t>
  </si>
  <si>
    <t>0097691</t>
  </si>
  <si>
    <t>13075-001</t>
  </si>
  <si>
    <t>13075-001.001</t>
  </si>
  <si>
    <t>KWIK-KOPY CORP</t>
  </si>
  <si>
    <t>0098434</t>
  </si>
  <si>
    <t>13059-001</t>
  </si>
  <si>
    <t>13059-001.001</t>
  </si>
  <si>
    <t>FORT BEND COUNTY MUD 81</t>
  </si>
  <si>
    <t>0106046</t>
  </si>
  <si>
    <t>13051-002</t>
  </si>
  <si>
    <t>13051-002.001</t>
  </si>
  <si>
    <t>HARMONY ISD</t>
  </si>
  <si>
    <t>0097233</t>
  </si>
  <si>
    <t>13050-001</t>
  </si>
  <si>
    <t>13050-001.001</t>
  </si>
  <si>
    <t>5732 WOODARD PARTNERS LTD</t>
  </si>
  <si>
    <t>0133612</t>
  </si>
  <si>
    <t>15041-001</t>
  </si>
  <si>
    <t>15041-001.001</t>
  </si>
  <si>
    <t>LAKE OAKS LANDING INC</t>
  </si>
  <si>
    <t>0097063</t>
  </si>
  <si>
    <t>13039-001</t>
  </si>
  <si>
    <t>13039-001.001</t>
  </si>
  <si>
    <t>HARRIS CO MUD 278</t>
  </si>
  <si>
    <t>0127124</t>
  </si>
  <si>
    <t>13037-002</t>
  </si>
  <si>
    <t>13037-002.001</t>
  </si>
  <si>
    <t>0097071</t>
  </si>
  <si>
    <t>13037-001</t>
  </si>
  <si>
    <t>13037-001.001</t>
  </si>
  <si>
    <t>VIA BAYOU INC</t>
  </si>
  <si>
    <t>0136760</t>
  </si>
  <si>
    <t>13033-002</t>
  </si>
  <si>
    <t>13033-002.001</t>
  </si>
  <si>
    <t>RICHARD CLARK ENTERPRISES LLC</t>
  </si>
  <si>
    <t>0094552</t>
  </si>
  <si>
    <t>12851-001</t>
  </si>
  <si>
    <t>12851-001.001</t>
  </si>
  <si>
    <t>CITGO REFINING AND CHEMICALS CO</t>
  </si>
  <si>
    <t>0133361</t>
  </si>
  <si>
    <t>04977-000</t>
  </si>
  <si>
    <t>04977-000.001</t>
  </si>
  <si>
    <t>CITY OF SHINER</t>
  </si>
  <si>
    <t>0026042</t>
  </si>
  <si>
    <t>10280-001</t>
  </si>
  <si>
    <t>10280-001.001</t>
  </si>
  <si>
    <t>CITY OF SEMINOLE</t>
  </si>
  <si>
    <t>0123315</t>
  </si>
  <si>
    <t>10278-001</t>
  </si>
  <si>
    <t>10278-001.001</t>
  </si>
  <si>
    <t>CITY OF SEGUIN</t>
  </si>
  <si>
    <t>0103535</t>
  </si>
  <si>
    <t>10277-003</t>
  </si>
  <si>
    <t>10277-003.001</t>
  </si>
  <si>
    <t>0022365</t>
  </si>
  <si>
    <t>10277-001</t>
  </si>
  <si>
    <t>10277-001.001</t>
  </si>
  <si>
    <t>CITY OF SEALY</t>
  </si>
  <si>
    <t>0025054</t>
  </si>
  <si>
    <t>10276-001</t>
  </si>
  <si>
    <t>10276-001.001</t>
  </si>
  <si>
    <t>1814</t>
  </si>
  <si>
    <t>CITY OF SAN MARCOS</t>
  </si>
  <si>
    <t>0047945</t>
  </si>
  <si>
    <t>10273-002</t>
  </si>
  <si>
    <t>10273-002.001</t>
  </si>
  <si>
    <t>SAN DIEGO MUD 1</t>
  </si>
  <si>
    <t>0023361</t>
  </si>
  <si>
    <t>10270-001</t>
  </si>
  <si>
    <t>10270-001.001</t>
  </si>
  <si>
    <t>CITY OF SAN AUGUSTINE</t>
  </si>
  <si>
    <t>0122351</t>
  </si>
  <si>
    <t>10268-002</t>
  </si>
  <si>
    <t>10268-002.001</t>
  </si>
  <si>
    <t>0022349</t>
  </si>
  <si>
    <t>10268-001</t>
  </si>
  <si>
    <t>10268-001.001</t>
  </si>
  <si>
    <t>TEXAS CONFERENCE ASSOCIATION OF SENVENTH-DAY ADVENTISTS</t>
  </si>
  <si>
    <t>0129691</t>
  </si>
  <si>
    <t>14816-001</t>
  </si>
  <si>
    <t>14816-001.001</t>
  </si>
  <si>
    <t>STEPHEN F AUSTIN STATE UNIVERSITY</t>
  </si>
  <si>
    <t>0098744</t>
  </si>
  <si>
    <t>13161-001</t>
  </si>
  <si>
    <t>13161-001.001</t>
  </si>
  <si>
    <t>CITY OF COLLEGE STATION</t>
  </si>
  <si>
    <t>0098663</t>
  </si>
  <si>
    <t>13153-001</t>
  </si>
  <si>
    <t>13153-001.001</t>
  </si>
  <si>
    <t>NORTHWEST HARRIS COUNTY MUD 32</t>
  </si>
  <si>
    <t>0098647</t>
  </si>
  <si>
    <t>13152-001</t>
  </si>
  <si>
    <t>13152-001.001</t>
  </si>
  <si>
    <t>FOUNTAIN LAKE OWNERS WSC</t>
  </si>
  <si>
    <t>0103250</t>
  </si>
  <si>
    <t>13151-001</t>
  </si>
  <si>
    <t>13151-001.001</t>
  </si>
  <si>
    <t>DAVID LEE SHEFFIELD</t>
  </si>
  <si>
    <t>0098809</t>
  </si>
  <si>
    <t>13147-001</t>
  </si>
  <si>
    <t>13147-001.001</t>
  </si>
  <si>
    <t>HOLIDAY HARBOR WATER/WASTE WATER SUPPLY CORP</t>
  </si>
  <si>
    <t>0098752</t>
  </si>
  <si>
    <t>13145-001</t>
  </si>
  <si>
    <t>13145-001.001</t>
  </si>
  <si>
    <t>SWWC UTILITIES INC</t>
  </si>
  <si>
    <t>0098612</t>
  </si>
  <si>
    <t>13138-001</t>
  </si>
  <si>
    <t>13138-001.001</t>
  </si>
  <si>
    <t>CLOVERCREEK MUD</t>
  </si>
  <si>
    <t>0097969</t>
  </si>
  <si>
    <t>14907-001</t>
  </si>
  <si>
    <t>14907-001.001</t>
  </si>
  <si>
    <t>BROOKELAND ISD</t>
  </si>
  <si>
    <t>0099082</t>
  </si>
  <si>
    <t>13092-001</t>
  </si>
  <si>
    <t>13092-001.001</t>
  </si>
  <si>
    <t>MIDFIELD WATER SUPPLY CORPORATION</t>
  </si>
  <si>
    <t>0098205</t>
  </si>
  <si>
    <t>13091-001</t>
  </si>
  <si>
    <t>13091-001.001</t>
  </si>
  <si>
    <t>0097705</t>
  </si>
  <si>
    <t>13089-001</t>
  </si>
  <si>
    <t>13089-001.001</t>
  </si>
  <si>
    <t>11378-001.002</t>
  </si>
  <si>
    <t>NORTH HAYS COUNTY MUD 1</t>
  </si>
  <si>
    <t>0128201</t>
  </si>
  <si>
    <t>14431-001</t>
  </si>
  <si>
    <t>14431-001.001</t>
  </si>
  <si>
    <t>00639-000.005</t>
  </si>
  <si>
    <t>00639-000.004</t>
  </si>
  <si>
    <t>00639-000.003</t>
  </si>
  <si>
    <t>00639-000.002</t>
  </si>
  <si>
    <t>00639-000.001</t>
  </si>
  <si>
    <t>00592-000.003</t>
  </si>
  <si>
    <t>00592-000.002</t>
  </si>
  <si>
    <t>00592-000.001</t>
  </si>
  <si>
    <t>00587-000.003</t>
  </si>
  <si>
    <t>00587-000.002</t>
  </si>
  <si>
    <t>00587-000.001</t>
  </si>
  <si>
    <t>HUNTSMAN PETROCHEMICAL LLC</t>
  </si>
  <si>
    <t>0005592</t>
  </si>
  <si>
    <t>00584-000</t>
  </si>
  <si>
    <t>00584-000.002</t>
  </si>
  <si>
    <t>00584-000.001</t>
  </si>
  <si>
    <t>00579-000.001</t>
  </si>
  <si>
    <t>EASTMAN CHEMICAL TEXAS CITY INC</t>
  </si>
  <si>
    <t>0005762</t>
  </si>
  <si>
    <t>00575-000</t>
  </si>
  <si>
    <t>00575-000.003</t>
  </si>
  <si>
    <t>00575-000.002</t>
  </si>
  <si>
    <t>PASADENA REFINING SYSTEM INC</t>
  </si>
  <si>
    <t>0004626</t>
  </si>
  <si>
    <t>00574-000</t>
  </si>
  <si>
    <t>00574-000.003</t>
  </si>
  <si>
    <t>00574-000.002</t>
  </si>
  <si>
    <t>00574-000.001</t>
  </si>
  <si>
    <t>MITCHELL</t>
  </si>
  <si>
    <t>0001171</t>
  </si>
  <si>
    <t>00554-000</t>
  </si>
  <si>
    <t>00554-000.002</t>
  </si>
  <si>
    <t>HANDLEY POWER LLC</t>
  </si>
  <si>
    <t>0001198</t>
  </si>
  <si>
    <t>00552-000</t>
  </si>
  <si>
    <t>00552-000.001</t>
  </si>
  <si>
    <t>0102857</t>
  </si>
  <si>
    <t>13374-001</t>
  </si>
  <si>
    <t>13374-001.001</t>
  </si>
  <si>
    <t>SHELBYVILLE ISD</t>
  </si>
  <si>
    <t>0102261</t>
  </si>
  <si>
    <t>13370-001</t>
  </si>
  <si>
    <t>13370-001.001</t>
  </si>
  <si>
    <t>CITY OF ARCOLA</t>
  </si>
  <si>
    <t>0102385</t>
  </si>
  <si>
    <t>13367-001</t>
  </si>
  <si>
    <t>13367-001.001</t>
  </si>
  <si>
    <t>POPE AND COBB CORP</t>
  </si>
  <si>
    <t>0103365</t>
  </si>
  <si>
    <t>13366-001</t>
  </si>
  <si>
    <t>13366-001.001</t>
  </si>
  <si>
    <t>GE PACKAGED POWER INC</t>
  </si>
  <si>
    <t>0101656</t>
  </si>
  <si>
    <t>13365-001</t>
  </si>
  <si>
    <t>13365-001.001</t>
  </si>
  <si>
    <t>UNIVERSAL SERVICES FORT HOOD INC</t>
  </si>
  <si>
    <t>0101869</t>
  </si>
  <si>
    <t>13358-001</t>
  </si>
  <si>
    <t>13358-001.001</t>
  </si>
  <si>
    <t>0101915</t>
  </si>
  <si>
    <t>13355-001</t>
  </si>
  <si>
    <t>13355-001.001</t>
  </si>
  <si>
    <t>TEXAS BARGE AND BOAT INC</t>
  </si>
  <si>
    <t>0126322</t>
  </si>
  <si>
    <t>04696-000</t>
  </si>
  <si>
    <t>04696-000.005</t>
  </si>
  <si>
    <t>0001040</t>
  </si>
  <si>
    <t>01267-000</t>
  </si>
  <si>
    <t>01267-000.001</t>
  </si>
  <si>
    <t>ISP TECHNOLOGIES INC</t>
  </si>
  <si>
    <t>0007323</t>
  </si>
  <si>
    <t>01263-000</t>
  </si>
  <si>
    <t>01263-000.003</t>
  </si>
  <si>
    <t>01263-000.001</t>
  </si>
  <si>
    <t>2101</t>
  </si>
  <si>
    <t>LON C HILL LP</t>
  </si>
  <si>
    <t>0003565</t>
  </si>
  <si>
    <t>01255-000</t>
  </si>
  <si>
    <t>01255-000.002</t>
  </si>
  <si>
    <t>01255-000.001</t>
  </si>
  <si>
    <t>MOUNTAIN CREEK POWER LLC</t>
  </si>
  <si>
    <t>0001007</t>
  </si>
  <si>
    <t>01250-000</t>
  </si>
  <si>
    <t>01250-000.002</t>
  </si>
  <si>
    <t>01250-000.001</t>
  </si>
  <si>
    <t>0001023</t>
  </si>
  <si>
    <t>01245-000</t>
  </si>
  <si>
    <t>01245-000.001</t>
  </si>
  <si>
    <t>0131741</t>
  </si>
  <si>
    <t>14924-001</t>
  </si>
  <si>
    <t>14924-001.001</t>
  </si>
  <si>
    <t>NUECES BAY LLC</t>
  </si>
  <si>
    <t>0003581</t>
  </si>
  <si>
    <t>01244-000</t>
  </si>
  <si>
    <t>01244-000.001</t>
  </si>
  <si>
    <t>01241-000.005</t>
  </si>
  <si>
    <t>01241-000.004</t>
  </si>
  <si>
    <t>01241-000.003</t>
  </si>
  <si>
    <t>01241-000.002</t>
  </si>
  <si>
    <t>01241-000.001</t>
  </si>
  <si>
    <t>2429</t>
  </si>
  <si>
    <t>01215-000.003</t>
  </si>
  <si>
    <t>01214-000.001</t>
  </si>
  <si>
    <t>GULFCO FORGE CO LLC</t>
  </si>
  <si>
    <t>0008290</t>
  </si>
  <si>
    <t>01203-000</t>
  </si>
  <si>
    <t>01203-000.001</t>
  </si>
  <si>
    <t>01202-000.008</t>
  </si>
  <si>
    <t>01202-000.007</t>
  </si>
  <si>
    <t>01202-000.005</t>
  </si>
  <si>
    <t>01202-000.004</t>
  </si>
  <si>
    <t>01202-000.002</t>
  </si>
  <si>
    <t>LAREDO WLE LP</t>
  </si>
  <si>
    <t>0001627</t>
  </si>
  <si>
    <t>01200-000</t>
  </si>
  <si>
    <t>01200-000.001</t>
  </si>
  <si>
    <t>0003158</t>
  </si>
  <si>
    <t>01185-000</t>
  </si>
  <si>
    <t>01185-000.002</t>
  </si>
  <si>
    <t>01185-000.001</t>
  </si>
  <si>
    <t>OWENS CORNING INSULATING SYSTEMS LLC</t>
  </si>
  <si>
    <t>0065749</t>
  </si>
  <si>
    <t>01178-000</t>
  </si>
  <si>
    <t>01178-000.001</t>
  </si>
  <si>
    <t>NAVASOTA ISD</t>
  </si>
  <si>
    <t>0128333</t>
  </si>
  <si>
    <t>14662-001</t>
  </si>
  <si>
    <t>14662-001.001</t>
  </si>
  <si>
    <t>02614-000.003</t>
  </si>
  <si>
    <t>CITY OF LIPAN</t>
  </si>
  <si>
    <t>0111333</t>
  </si>
  <si>
    <t>13590-001</t>
  </si>
  <si>
    <t>13590-001.001</t>
  </si>
  <si>
    <t>PEASTER ISD PUBLIC FACILITY CORP</t>
  </si>
  <si>
    <t>0107981</t>
  </si>
  <si>
    <t>13589-001</t>
  </si>
  <si>
    <t>13589-001.001</t>
  </si>
  <si>
    <t>CITY OF NEW SUMMERFIELD</t>
  </si>
  <si>
    <t>0107875</t>
  </si>
  <si>
    <t>13585-001</t>
  </si>
  <si>
    <t>13585-001.001</t>
  </si>
  <si>
    <t>CITY OF BAILEY</t>
  </si>
  <si>
    <t>0107719</t>
  </si>
  <si>
    <t>13584-001</t>
  </si>
  <si>
    <t>13584-001.001</t>
  </si>
  <si>
    <t>0118931</t>
  </si>
  <si>
    <t>13581-001</t>
  </si>
  <si>
    <t>13581-001.001</t>
  </si>
  <si>
    <t>CITY OF TEAGUE &amp; CITY OF FAIRFIELD</t>
  </si>
  <si>
    <t>0110035</t>
  </si>
  <si>
    <t>13579-001</t>
  </si>
  <si>
    <t>13579-001.001</t>
  </si>
  <si>
    <t>FAIRVIEW GARDENS DEVELOPMENTS LLC</t>
  </si>
  <si>
    <t>0118583</t>
  </si>
  <si>
    <t>13578-001</t>
  </si>
  <si>
    <t>13578-001.001</t>
  </si>
  <si>
    <t>WEBB COUNTY</t>
  </si>
  <si>
    <t>0118443</t>
  </si>
  <si>
    <t>13577-003</t>
  </si>
  <si>
    <t>13577-003.001</t>
  </si>
  <si>
    <t>C&amp;R WATER SUPPLY INC</t>
  </si>
  <si>
    <t>0109339</t>
  </si>
  <si>
    <t>13575-001</t>
  </si>
  <si>
    <t>13575-001.001</t>
  </si>
  <si>
    <t>CAYUGA ISD</t>
  </si>
  <si>
    <t>0111520</t>
  </si>
  <si>
    <t>13574-001</t>
  </si>
  <si>
    <t>13574-001.001</t>
  </si>
  <si>
    <t>NORTHWEST HARRIS COUNTY MUD NO 36</t>
  </si>
  <si>
    <t>0108120</t>
  </si>
  <si>
    <t>13573-001</t>
  </si>
  <si>
    <t>13573-001.001</t>
  </si>
  <si>
    <t>GOLDEN STATE HOLDINGS INC</t>
  </si>
  <si>
    <t>0078930</t>
  </si>
  <si>
    <t>13569-001</t>
  </si>
  <si>
    <t>13569-001.001</t>
  </si>
  <si>
    <t>BELLE OAKS WATER AND SEWER CO INC</t>
  </si>
  <si>
    <t>0108138</t>
  </si>
  <si>
    <t>13565-001</t>
  </si>
  <si>
    <t>13565-001.001</t>
  </si>
  <si>
    <t>HARRIS COUNTY MUD 304</t>
  </si>
  <si>
    <t>0097225</t>
  </si>
  <si>
    <t>13564-001</t>
  </si>
  <si>
    <t>13564-001.001</t>
  </si>
  <si>
    <t>OPTIMUS STEEL LLC</t>
  </si>
  <si>
    <t>0067695</t>
  </si>
  <si>
    <t>01971-000</t>
  </si>
  <si>
    <t>01971-000.004</t>
  </si>
  <si>
    <t>01971-000.002</t>
  </si>
  <si>
    <t>01971-000.001</t>
  </si>
  <si>
    <t>01966-000.002</t>
  </si>
  <si>
    <t>01966-000.001</t>
  </si>
  <si>
    <t>0067946</t>
  </si>
  <si>
    <t>01961-000</t>
  </si>
  <si>
    <t>01961-000.001</t>
  </si>
  <si>
    <t>0065021</t>
  </si>
  <si>
    <t>01954-000</t>
  </si>
  <si>
    <t>01954-000.001</t>
  </si>
  <si>
    <t>01990-000.013</t>
  </si>
  <si>
    <t>01990-000.012</t>
  </si>
  <si>
    <t>01990-000.011</t>
  </si>
  <si>
    <t>0057274</t>
  </si>
  <si>
    <t>01925-000</t>
  </si>
  <si>
    <t>01925-000.001</t>
  </si>
  <si>
    <t>CITY OF GARLAND</t>
  </si>
  <si>
    <t>0001848</t>
  </si>
  <si>
    <t>01923-000</t>
  </si>
  <si>
    <t>01923-000.001</t>
  </si>
  <si>
    <t>RESCAR COMPANIES</t>
  </si>
  <si>
    <t>0065986</t>
  </si>
  <si>
    <t>01922-000</t>
  </si>
  <si>
    <t>01922-000.001</t>
  </si>
  <si>
    <t>MONUMENT CHEMICAL BAYTOWN LLC</t>
  </si>
  <si>
    <t>0059285</t>
  </si>
  <si>
    <t>01914-000</t>
  </si>
  <si>
    <t>01914-000.002</t>
  </si>
  <si>
    <t>01914-000.001</t>
  </si>
  <si>
    <t>01909-000.011</t>
  </si>
  <si>
    <t>01909-000.008</t>
  </si>
  <si>
    <t>01909-000.007</t>
  </si>
  <si>
    <t>WHITE ROCK ESTATES PROPERTY OWNERS CIVIC ASSN</t>
  </si>
  <si>
    <t>0101885</t>
  </si>
  <si>
    <t>13354-001</t>
  </si>
  <si>
    <t>13354-001.001</t>
  </si>
  <si>
    <t>0122572</t>
  </si>
  <si>
    <t>13344-002</t>
  </si>
  <si>
    <t>13344-002.001</t>
  </si>
  <si>
    <t>0131792</t>
  </si>
  <si>
    <t>04868-000</t>
  </si>
  <si>
    <t>04868-000.001</t>
  </si>
  <si>
    <t>REMINGTON MUD NO 1</t>
  </si>
  <si>
    <t>0101371</t>
  </si>
  <si>
    <t>13328-001</t>
  </si>
  <si>
    <t>13328-001.001</t>
  </si>
  <si>
    <t>S I ENTERPRISES LLC</t>
  </si>
  <si>
    <t>0134872</t>
  </si>
  <si>
    <t>13316-002</t>
  </si>
  <si>
    <t>13316-002.001</t>
  </si>
  <si>
    <t>CITY OF FULSHEAR</t>
  </si>
  <si>
    <t>0101052</t>
  </si>
  <si>
    <t>13314-001</t>
  </si>
  <si>
    <t>13314-001.001</t>
  </si>
  <si>
    <t>SRC WATER SUPPLY INC &amp; LASS WATER CO INC</t>
  </si>
  <si>
    <t>0102164</t>
  </si>
  <si>
    <t>13309-001</t>
  </si>
  <si>
    <t>13309-001.001</t>
  </si>
  <si>
    <t>HARRIS COUNTY MUD 358</t>
  </si>
  <si>
    <t>0105376</t>
  </si>
  <si>
    <t>13296-002</t>
  </si>
  <si>
    <t>13296-002.001</t>
  </si>
  <si>
    <t>0100684</t>
  </si>
  <si>
    <t>13293-001</t>
  </si>
  <si>
    <t>13293-001.001</t>
  </si>
  <si>
    <t>CITY OF COLDSPRING</t>
  </si>
  <si>
    <t>0117765</t>
  </si>
  <si>
    <t>13291-001</t>
  </si>
  <si>
    <t>13291-001.001</t>
  </si>
  <si>
    <t>MONTGOMERY COUNTY MUD NO 18</t>
  </si>
  <si>
    <t>0100331</t>
  </si>
  <si>
    <t>13273-001</t>
  </si>
  <si>
    <t>13273-001.001</t>
  </si>
  <si>
    <t>TEXAS MILITARY FORCES</t>
  </si>
  <si>
    <t>0101214</t>
  </si>
  <si>
    <t>13249-001</t>
  </si>
  <si>
    <t>13249-001.001</t>
  </si>
  <si>
    <t>GRAND LAKES MUD 4</t>
  </si>
  <si>
    <t>0099856</t>
  </si>
  <si>
    <t>13245-001</t>
  </si>
  <si>
    <t>13245-001.001</t>
  </si>
  <si>
    <t>HUNGERFORD MUD NO 1</t>
  </si>
  <si>
    <t>0099813</t>
  </si>
  <si>
    <t>13240-001</t>
  </si>
  <si>
    <t>13240-001.001</t>
  </si>
  <si>
    <t>0100137</t>
  </si>
  <si>
    <t>13228-001</t>
  </si>
  <si>
    <t>13228-001.001</t>
  </si>
  <si>
    <t>02538-000.001</t>
  </si>
  <si>
    <t>0105031</t>
  </si>
  <si>
    <t>13209-001</t>
  </si>
  <si>
    <t>13209-001.001</t>
  </si>
  <si>
    <t>CITY OF TIOGA</t>
  </si>
  <si>
    <t>0055221</t>
  </si>
  <si>
    <t>13199-001</t>
  </si>
  <si>
    <t>13199-001.001</t>
  </si>
  <si>
    <t>ACME BRICK CO</t>
  </si>
  <si>
    <t>0099899</t>
  </si>
  <si>
    <t>13192-001</t>
  </si>
  <si>
    <t>13192-001.001</t>
  </si>
  <si>
    <t>0098965</t>
  </si>
  <si>
    <t>13172-002</t>
  </si>
  <si>
    <t>13172-002.001</t>
  </si>
  <si>
    <t>LIBERTY UTILITIES WOODMARK SEWER CORP</t>
  </si>
  <si>
    <t>0098795</t>
  </si>
  <si>
    <t>13168-001</t>
  </si>
  <si>
    <t>13168-001.001</t>
  </si>
  <si>
    <t>01740-000.002</t>
  </si>
  <si>
    <t>HARRIS COUNTY MUD NO 480</t>
  </si>
  <si>
    <t>0127795</t>
  </si>
  <si>
    <t>14606-001</t>
  </si>
  <si>
    <t>14606-001.001</t>
  </si>
  <si>
    <t>YOUNG</t>
  </si>
  <si>
    <t>0001163</t>
  </si>
  <si>
    <t>00551-000</t>
  </si>
  <si>
    <t>00551-000.002</t>
  </si>
  <si>
    <t>1231</t>
  </si>
  <si>
    <t>00551-000.001</t>
  </si>
  <si>
    <t>CARDET WHOLESALE INC</t>
  </si>
  <si>
    <t>0133680</t>
  </si>
  <si>
    <t>04997-000</t>
  </si>
  <si>
    <t>04997-000.001</t>
  </si>
  <si>
    <t>JIVANJI NOMAN BURHANI</t>
  </si>
  <si>
    <t>0133736</t>
  </si>
  <si>
    <t>15052-001</t>
  </si>
  <si>
    <t>15052-001.001</t>
  </si>
  <si>
    <t>04984-000.001</t>
  </si>
  <si>
    <t>0133353</t>
  </si>
  <si>
    <t>04976-000</t>
  </si>
  <si>
    <t>04976-000.001</t>
  </si>
  <si>
    <t>0133281</t>
  </si>
  <si>
    <t>15018-001</t>
  </si>
  <si>
    <t>15018-001.003</t>
  </si>
  <si>
    <t>15018-001.002</t>
  </si>
  <si>
    <t>0133159</t>
  </si>
  <si>
    <t>13873-003</t>
  </si>
  <si>
    <t>13873-003.001</t>
  </si>
  <si>
    <t>CITY OF JOHNSON CITY</t>
  </si>
  <si>
    <t>0052973</t>
  </si>
  <si>
    <t>10198-001</t>
  </si>
  <si>
    <t>10198-001.001</t>
  </si>
  <si>
    <t>0603</t>
  </si>
  <si>
    <t>CITY OF JASPER</t>
  </si>
  <si>
    <t>0024368</t>
  </si>
  <si>
    <t>10197-001</t>
  </si>
  <si>
    <t>10197-001.001</t>
  </si>
  <si>
    <t>CITY OF BRENHAM</t>
  </si>
  <si>
    <t>0025470</t>
  </si>
  <si>
    <t>10388-001</t>
  </si>
  <si>
    <t>10388-001.001</t>
  </si>
  <si>
    <t>CITY OF BELLVILLE</t>
  </si>
  <si>
    <t>0020621</t>
  </si>
  <si>
    <t>10385-002</t>
  </si>
  <si>
    <t>10385-002.001</t>
  </si>
  <si>
    <t>04963-000.001</t>
  </si>
  <si>
    <t>01499-000.004</t>
  </si>
  <si>
    <t>01499-000.003</t>
  </si>
  <si>
    <t>CITY OF JOURDANTON</t>
  </si>
  <si>
    <t>0082589</t>
  </si>
  <si>
    <t>10418-001</t>
  </si>
  <si>
    <t>10418-001.001</t>
  </si>
  <si>
    <t>CITY OF KNOX CITY</t>
  </si>
  <si>
    <t>0035505</t>
  </si>
  <si>
    <t>10416-001</t>
  </si>
  <si>
    <t>10416-001.001</t>
  </si>
  <si>
    <t>CITY OF HUGHES SPRINGS</t>
  </si>
  <si>
    <t>0052876</t>
  </si>
  <si>
    <t>10415-001</t>
  </si>
  <si>
    <t>10415-001.001</t>
  </si>
  <si>
    <t>KENDALL COUNTY WCID 1</t>
  </si>
  <si>
    <t>0116742</t>
  </si>
  <si>
    <t>10414-001</t>
  </si>
  <si>
    <t>10414-001.001</t>
  </si>
  <si>
    <t>CITY OF LINDALE</t>
  </si>
  <si>
    <t>0105066</t>
  </si>
  <si>
    <t>10412-002</t>
  </si>
  <si>
    <t>10412-002.001</t>
  </si>
  <si>
    <t>0052931</t>
  </si>
  <si>
    <t>10412-001</t>
  </si>
  <si>
    <t>10412-001.001</t>
  </si>
  <si>
    <t>CITY OF LA MARQUE</t>
  </si>
  <si>
    <t>0114821</t>
  </si>
  <si>
    <t>10410-003</t>
  </si>
  <si>
    <t>10410-003.001</t>
  </si>
  <si>
    <t>0101605</t>
  </si>
  <si>
    <t>10408-010</t>
  </si>
  <si>
    <t>10408-010.002</t>
  </si>
  <si>
    <t>10408-010.001</t>
  </si>
  <si>
    <t>0087149</t>
  </si>
  <si>
    <t>10408-009</t>
  </si>
  <si>
    <t>10408-009.001</t>
  </si>
  <si>
    <t>0026751</t>
  </si>
  <si>
    <t>10408-004</t>
  </si>
  <si>
    <t>10408-004.002</t>
  </si>
  <si>
    <t>2308</t>
  </si>
  <si>
    <t>10408-004.001</t>
  </si>
  <si>
    <t>0107492</t>
  </si>
  <si>
    <t>10406-002</t>
  </si>
  <si>
    <t>10406-002.001</t>
  </si>
  <si>
    <t>CITY OF DUBLIN</t>
  </si>
  <si>
    <t>0054348</t>
  </si>
  <si>
    <t>10405-001</t>
  </si>
  <si>
    <t>10405-001.001</t>
  </si>
  <si>
    <t>0117218</t>
  </si>
  <si>
    <t>10404-002</t>
  </si>
  <si>
    <t>10404-002.001</t>
  </si>
  <si>
    <t>CITY OF CUERO</t>
  </si>
  <si>
    <t>0024244</t>
  </si>
  <si>
    <t>10403-002</t>
  </si>
  <si>
    <t>10403-002.001</t>
  </si>
  <si>
    <t>CITY OF CORSICANA</t>
  </si>
  <si>
    <t>0056731</t>
  </si>
  <si>
    <t>10402-003</t>
  </si>
  <si>
    <t>10402-003.002</t>
  </si>
  <si>
    <t>10402-003.001</t>
  </si>
  <si>
    <t>0047121</t>
  </si>
  <si>
    <t>10401-009</t>
  </si>
  <si>
    <t>10401-009.001</t>
  </si>
  <si>
    <t>0047104</t>
  </si>
  <si>
    <t>10401-008</t>
  </si>
  <si>
    <t>10401-008.001</t>
  </si>
  <si>
    <t>0047082</t>
  </si>
  <si>
    <t>10401-006</t>
  </si>
  <si>
    <t>10401-006.002</t>
  </si>
  <si>
    <t>10401-006.001</t>
  </si>
  <si>
    <t>10401-005.001</t>
  </si>
  <si>
    <t>023</t>
  </si>
  <si>
    <t>01441-000.023</t>
  </si>
  <si>
    <t>01441-000.020</t>
  </si>
  <si>
    <t>01441-000.019</t>
  </si>
  <si>
    <t>01441-000.001</t>
  </si>
  <si>
    <t>CLEAN HARBORS DEER PARK LP</t>
  </si>
  <si>
    <t>0005941</t>
  </si>
  <si>
    <t>01429-000</t>
  </si>
  <si>
    <t>01429-000.002</t>
  </si>
  <si>
    <t>SOUTH HAMPTON RESOURCES INC</t>
  </si>
  <si>
    <t>0003204</t>
  </si>
  <si>
    <t>01403-000</t>
  </si>
  <si>
    <t>01403-000.004</t>
  </si>
  <si>
    <t>01403-000.003</t>
  </si>
  <si>
    <t>01403-000.002</t>
  </si>
  <si>
    <t>01403-000.001</t>
  </si>
  <si>
    <t>WYMAN-GORDON FORGINGS INC</t>
  </si>
  <si>
    <t>0042129</t>
  </si>
  <si>
    <t>01402-000</t>
  </si>
  <si>
    <t>01402-000.002</t>
  </si>
  <si>
    <t>01402-000.001</t>
  </si>
  <si>
    <t>01499-000.002</t>
  </si>
  <si>
    <t>BARNEY DAVIS LLC</t>
  </si>
  <si>
    <t>0008826</t>
  </si>
  <si>
    <t>01490-000</t>
  </si>
  <si>
    <t>01490-000.001</t>
  </si>
  <si>
    <t>OAK GROVE MANAGEMENT CO LLC</t>
  </si>
  <si>
    <t>0068021</t>
  </si>
  <si>
    <t>01986-000</t>
  </si>
  <si>
    <t>01986-000.002</t>
  </si>
  <si>
    <t>01986-000.001</t>
  </si>
  <si>
    <t>01984-000.010</t>
  </si>
  <si>
    <t>01984-000.008</t>
  </si>
  <si>
    <t>01984-000.006</t>
  </si>
  <si>
    <t>01984-000.005</t>
  </si>
  <si>
    <t>01984-000.004</t>
  </si>
  <si>
    <t>01984-000.003</t>
  </si>
  <si>
    <t>E</t>
  </si>
  <si>
    <t>01984-000.001</t>
  </si>
  <si>
    <t>ASARCO LLC</t>
  </si>
  <si>
    <t>0118460</t>
  </si>
  <si>
    <t>01978-000</t>
  </si>
  <si>
    <t>01978-000.001</t>
  </si>
  <si>
    <t>01971-000.007</t>
  </si>
  <si>
    <t>0133094</t>
  </si>
  <si>
    <t>10749-008</t>
  </si>
  <si>
    <t>10749-008.001</t>
  </si>
  <si>
    <t>PL PROPYLENE LLC</t>
  </si>
  <si>
    <t>0006068</t>
  </si>
  <si>
    <t>102</t>
  </si>
  <si>
    <t>00393-000</t>
  </si>
  <si>
    <t>00393-000.102</t>
  </si>
  <si>
    <t>WEST HARRIS COUNTY MUD 11</t>
  </si>
  <si>
    <t>0111937</t>
  </si>
  <si>
    <t>13689-001</t>
  </si>
  <si>
    <t>13689-001.001</t>
  </si>
  <si>
    <t>CITY OF BARDWELL</t>
  </si>
  <si>
    <t>0026581</t>
  </si>
  <si>
    <t>13675-001</t>
  </si>
  <si>
    <t>13675-001.001</t>
  </si>
  <si>
    <t>03540-000.006</t>
  </si>
  <si>
    <t>SHELL CHEMICAL LP</t>
  </si>
  <si>
    <t>0004863</t>
  </si>
  <si>
    <t>00402-000</t>
  </si>
  <si>
    <t>00402-000.005</t>
  </si>
  <si>
    <t>0076953</t>
  </si>
  <si>
    <t>10063-003</t>
  </si>
  <si>
    <t>10063-003.002</t>
  </si>
  <si>
    <t>0133167</t>
  </si>
  <si>
    <t>15012-001</t>
  </si>
  <si>
    <t>15012-001.001</t>
  </si>
  <si>
    <t>CITY OF TRINIDAD</t>
  </si>
  <si>
    <t>0054585</t>
  </si>
  <si>
    <t>10467-002</t>
  </si>
  <si>
    <t>10467-002.001</t>
  </si>
  <si>
    <t>CITY OF WHITESBORO</t>
  </si>
  <si>
    <t>0023566</t>
  </si>
  <si>
    <t>10464-001</t>
  </si>
  <si>
    <t>10464-001.001</t>
  </si>
  <si>
    <t>CITY OF YOAKUM</t>
  </si>
  <si>
    <t>0026034</t>
  </si>
  <si>
    <t>10463-001</t>
  </si>
  <si>
    <t>10463-001.001</t>
  </si>
  <si>
    <t>0070211</t>
  </si>
  <si>
    <t>10462-001</t>
  </si>
  <si>
    <t>10462-001.001</t>
  </si>
  <si>
    <t>MILLS</t>
  </si>
  <si>
    <t>CITY OF GOLDTHWAITE</t>
  </si>
  <si>
    <t>0126667</t>
  </si>
  <si>
    <t>10459-003</t>
  </si>
  <si>
    <t>10459-003.001</t>
  </si>
  <si>
    <t>0052841</t>
  </si>
  <si>
    <t>10459-001</t>
  </si>
  <si>
    <t>10459-001.001</t>
  </si>
  <si>
    <t>CITY OF GOLIAD</t>
  </si>
  <si>
    <t>0022411</t>
  </si>
  <si>
    <t>10458-001</t>
  </si>
  <si>
    <t>10458-001.001</t>
  </si>
  <si>
    <t>CITY OF GILMER</t>
  </si>
  <si>
    <t>0025569</t>
  </si>
  <si>
    <t>10457-001</t>
  </si>
  <si>
    <t>10457-001.001</t>
  </si>
  <si>
    <t>CITY OF GIDDINGS</t>
  </si>
  <si>
    <t>0020524</t>
  </si>
  <si>
    <t>10456-002</t>
  </si>
  <si>
    <t>10456-002.001</t>
  </si>
  <si>
    <t>0020516</t>
  </si>
  <si>
    <t>10456-001</t>
  </si>
  <si>
    <t>10456-001.001</t>
  </si>
  <si>
    <t>0022314</t>
  </si>
  <si>
    <t>10454-002</t>
  </si>
  <si>
    <t>10454-002.001</t>
  </si>
  <si>
    <t>10454-001.001</t>
  </si>
  <si>
    <t>CITY OF COOPER</t>
  </si>
  <si>
    <t>0027936</t>
  </si>
  <si>
    <t>10449-001</t>
  </si>
  <si>
    <t>10449-001.001</t>
  </si>
  <si>
    <t>CITY OF RUSK</t>
  </si>
  <si>
    <t>0054399</t>
  </si>
  <si>
    <t>10447-001</t>
  </si>
  <si>
    <t>10447-001.001</t>
  </si>
  <si>
    <t>CITY OF FROST</t>
  </si>
  <si>
    <t>0022420</t>
  </si>
  <si>
    <t>10444-001</t>
  </si>
  <si>
    <t>10444-001.001</t>
  </si>
  <si>
    <t>CITY OF ENNIS</t>
  </si>
  <si>
    <t>0125563</t>
  </si>
  <si>
    <t>10443-004</t>
  </si>
  <si>
    <t>10443-004.001</t>
  </si>
  <si>
    <t>0047261</t>
  </si>
  <si>
    <t>10443-002</t>
  </si>
  <si>
    <t>10443-002.001</t>
  </si>
  <si>
    <t>0103497</t>
  </si>
  <si>
    <t>10442-002</t>
  </si>
  <si>
    <t>10442-002.001</t>
  </si>
  <si>
    <t>0076091</t>
  </si>
  <si>
    <t>10442-001</t>
  </si>
  <si>
    <t>10442-001.001</t>
  </si>
  <si>
    <t>CITY OF FRANKSTON</t>
  </si>
  <si>
    <t>0033456</t>
  </si>
  <si>
    <t>10441-001</t>
  </si>
  <si>
    <t>10441-001.001</t>
  </si>
  <si>
    <t>CITY OF FRANKLIN</t>
  </si>
  <si>
    <t>0021318</t>
  </si>
  <si>
    <t>10440-001</t>
  </si>
  <si>
    <t>10440-001.001</t>
  </si>
  <si>
    <t>CITY OF HAWKINS</t>
  </si>
  <si>
    <t>0023035</t>
  </si>
  <si>
    <t>10439-001</t>
  </si>
  <si>
    <t>10439-001.001</t>
  </si>
  <si>
    <t>CITY OF CUSHING</t>
  </si>
  <si>
    <t>0053937</t>
  </si>
  <si>
    <t>10437-001</t>
  </si>
  <si>
    <t>10437-001.001</t>
  </si>
  <si>
    <t>0032093</t>
  </si>
  <si>
    <t>10436-001</t>
  </si>
  <si>
    <t>10436-001.001</t>
  </si>
  <si>
    <t>GALVESTON COUNTY MUD 12</t>
  </si>
  <si>
    <t>0020311</t>
  </si>
  <si>
    <t>10435-002</t>
  </si>
  <si>
    <t>10435-002.001</t>
  </si>
  <si>
    <t>CITY OF GLADEWATER</t>
  </si>
  <si>
    <t>0022438</t>
  </si>
  <si>
    <t>10433-002</t>
  </si>
  <si>
    <t>10433-002.001</t>
  </si>
  <si>
    <t>HARRIS-FORT BEND COUNTIES MUD 5</t>
  </si>
  <si>
    <t>0115894</t>
  </si>
  <si>
    <t>13775-001</t>
  </si>
  <si>
    <t>13775-001.001</t>
  </si>
  <si>
    <t>SOUTH CENTRAL CALHOUN COUNTY WCID 1</t>
  </si>
  <si>
    <t>0104205</t>
  </si>
  <si>
    <t>13774-001</t>
  </si>
  <si>
    <t>13774-001.001</t>
  </si>
  <si>
    <t>0023621</t>
  </si>
  <si>
    <t>13772-001</t>
  </si>
  <si>
    <t>13772-001.001</t>
  </si>
  <si>
    <t>SMITH, WILLIAM DONALD</t>
  </si>
  <si>
    <t>0124257</t>
  </si>
  <si>
    <t>13770-001</t>
  </si>
  <si>
    <t>13770-001.001</t>
  </si>
  <si>
    <t>0113573</t>
  </si>
  <si>
    <t>13769-001</t>
  </si>
  <si>
    <t>13769-001.001</t>
  </si>
  <si>
    <t>0219</t>
  </si>
  <si>
    <t>CITY OF HOLLIDAY</t>
  </si>
  <si>
    <t>0025755</t>
  </si>
  <si>
    <t>14674-001</t>
  </si>
  <si>
    <t>14674-001.001</t>
  </si>
  <si>
    <t>FATIMA FAMILY VILLAGE INC</t>
  </si>
  <si>
    <t>0095656</t>
  </si>
  <si>
    <t>13767-001</t>
  </si>
  <si>
    <t>13767-001.001</t>
  </si>
  <si>
    <t>HARRIS COUNTY MUD 249</t>
  </si>
  <si>
    <t>0116068</t>
  </si>
  <si>
    <t>13765-001</t>
  </si>
  <si>
    <t>13765-001.001</t>
  </si>
  <si>
    <t>ALLIANCE HC III LP</t>
  </si>
  <si>
    <t>0092932</t>
  </si>
  <si>
    <t>13764-001</t>
  </si>
  <si>
    <t>13764-001.001</t>
  </si>
  <si>
    <t>MONTGOMERY COUNTY MUD 56</t>
  </si>
  <si>
    <t>0089672</t>
  </si>
  <si>
    <t>13760-001</t>
  </si>
  <si>
    <t>13760-001.001</t>
  </si>
  <si>
    <t>CITY OF MULLIN</t>
  </si>
  <si>
    <t>0119008</t>
  </si>
  <si>
    <t>13758-001</t>
  </si>
  <si>
    <t>13758-001.001</t>
  </si>
  <si>
    <t>HARRIS COUNTY MUD 360</t>
  </si>
  <si>
    <t>0113107</t>
  </si>
  <si>
    <t>13753-001</t>
  </si>
  <si>
    <t>13753-001.001</t>
  </si>
  <si>
    <t>SULYUKMANOV, NADIJA BALABAN &amp; SULYUKMANOV, ALBERT FARHATOVICH</t>
  </si>
  <si>
    <t>0122521</t>
  </si>
  <si>
    <t>13749-001</t>
  </si>
  <si>
    <t>13749-001.001</t>
  </si>
  <si>
    <t>0119024</t>
  </si>
  <si>
    <t>13747-004</t>
  </si>
  <si>
    <t>13747-004.001</t>
  </si>
  <si>
    <t>0114031</t>
  </si>
  <si>
    <t>13747-001</t>
  </si>
  <si>
    <t>13747-001.001</t>
  </si>
  <si>
    <t>CITY OF ASHERTON</t>
  </si>
  <si>
    <t>0071056</t>
  </si>
  <si>
    <t>13746-001</t>
  </si>
  <si>
    <t>13746-001.001</t>
  </si>
  <si>
    <t>0089010</t>
  </si>
  <si>
    <t>13743-001</t>
  </si>
  <si>
    <t>13743-001.001</t>
  </si>
  <si>
    <t>SEBASTIAN MUD</t>
  </si>
  <si>
    <t>0113000</t>
  </si>
  <si>
    <t>13742-001</t>
  </si>
  <si>
    <t>13742-001.001</t>
  </si>
  <si>
    <t>0115819</t>
  </si>
  <si>
    <t>13740-001</t>
  </si>
  <si>
    <t>13740-001.001</t>
  </si>
  <si>
    <t>RANCHO LA FUENTE PARTNERS LLC</t>
  </si>
  <si>
    <t>0118001</t>
  </si>
  <si>
    <t>13735-001</t>
  </si>
  <si>
    <t>13735-001.001</t>
  </si>
  <si>
    <t>ROCKY POINT ESTATES LAND TRUST &amp; CASE, STEVEN LEE</t>
  </si>
  <si>
    <t>0123552</t>
  </si>
  <si>
    <t>13732-001</t>
  </si>
  <si>
    <t>13732-001.001</t>
  </si>
  <si>
    <t>CITY OF CUNEY</t>
  </si>
  <si>
    <t>0112593</t>
  </si>
  <si>
    <t>13728-002</t>
  </si>
  <si>
    <t>13728-002.001</t>
  </si>
  <si>
    <t>2006 MUSTANG CREEK DEVELOPMENT INC</t>
  </si>
  <si>
    <t>0128163</t>
  </si>
  <si>
    <t>14641-001</t>
  </si>
  <si>
    <t>14641-001.001</t>
  </si>
  <si>
    <t>MEBB ENTERPRISES LLC</t>
  </si>
  <si>
    <t>0113697</t>
  </si>
  <si>
    <t>13727-001</t>
  </si>
  <si>
    <t>13727-001.001</t>
  </si>
  <si>
    <t>1223</t>
  </si>
  <si>
    <t>EASTLAND COUNTY WSD</t>
  </si>
  <si>
    <t>0113883</t>
  </si>
  <si>
    <t>13726-001</t>
  </si>
  <si>
    <t>13726-001.001</t>
  </si>
  <si>
    <t>CITY OF QUINLAN</t>
  </si>
  <si>
    <t>0022331</t>
  </si>
  <si>
    <t>13725-001</t>
  </si>
  <si>
    <t>13725-001.001</t>
  </si>
  <si>
    <t>0089044</t>
  </si>
  <si>
    <t>13717-001</t>
  </si>
  <si>
    <t>13717-001.001</t>
  </si>
  <si>
    <t>LA CASITA HOLDINGS INC</t>
  </si>
  <si>
    <t>0103071</t>
  </si>
  <si>
    <t>13709-001</t>
  </si>
  <si>
    <t>13709-001.001</t>
  </si>
  <si>
    <t>EAST CENTRAL ISD</t>
  </si>
  <si>
    <t>0074799</t>
  </si>
  <si>
    <t>13701-001</t>
  </si>
  <si>
    <t>13701-001.001</t>
  </si>
  <si>
    <t>CHATEAU WOODS MUD</t>
  </si>
  <si>
    <t>0090123</t>
  </si>
  <si>
    <t>13700-001</t>
  </si>
  <si>
    <t>13700-001.001</t>
  </si>
  <si>
    <t>PORT OCONNOR IMPROVEMENT DISTRICT</t>
  </si>
  <si>
    <t>0112151</t>
  </si>
  <si>
    <t>13693-001</t>
  </si>
  <si>
    <t>13693-001.001</t>
  </si>
  <si>
    <t>0002089</t>
  </si>
  <si>
    <t>10433-001</t>
  </si>
  <si>
    <t>10433-001.001</t>
  </si>
  <si>
    <t>CITY OF MAYPEARL</t>
  </si>
  <si>
    <t>0053571</t>
  </si>
  <si>
    <t>10431-001</t>
  </si>
  <si>
    <t>10431-001.001</t>
  </si>
  <si>
    <t>0105091</t>
  </si>
  <si>
    <t>10429-003</t>
  </si>
  <si>
    <t>10429-003.001</t>
  </si>
  <si>
    <t>CITY OF BISHOP</t>
  </si>
  <si>
    <t>0023019</t>
  </si>
  <si>
    <t>10427-001</t>
  </si>
  <si>
    <t>10427-001.001</t>
  </si>
  <si>
    <t>0025071</t>
  </si>
  <si>
    <t>10426-002</t>
  </si>
  <si>
    <t>10426-002.001</t>
  </si>
  <si>
    <t>0022616</t>
  </si>
  <si>
    <t>10426-001</t>
  </si>
  <si>
    <t>10426-001.001</t>
  </si>
  <si>
    <t>0119814</t>
  </si>
  <si>
    <t>10424-002</t>
  </si>
  <si>
    <t>10424-002.001</t>
  </si>
  <si>
    <t>CITY OF INGLESIDE</t>
  </si>
  <si>
    <t>0020401</t>
  </si>
  <si>
    <t>10422-001</t>
  </si>
  <si>
    <t>10422-001.001</t>
  </si>
  <si>
    <t>CITY OF HILLCREST VILLAGE</t>
  </si>
  <si>
    <t>0056057</t>
  </si>
  <si>
    <t>10420-001</t>
  </si>
  <si>
    <t>10420-001.001</t>
  </si>
  <si>
    <t>NITSCH &amp; SON UTILITY CO INC</t>
  </si>
  <si>
    <t>0070611</t>
  </si>
  <si>
    <t>10419-001</t>
  </si>
  <si>
    <t>10419-001.001</t>
  </si>
  <si>
    <t>0098191</t>
  </si>
  <si>
    <t>10495-119</t>
  </si>
  <si>
    <t>10495-119.001</t>
  </si>
  <si>
    <t>0088153</t>
  </si>
  <si>
    <t>10495-116</t>
  </si>
  <si>
    <t>10495-116.001</t>
  </si>
  <si>
    <t>0103667</t>
  </si>
  <si>
    <t>10495-112</t>
  </si>
  <si>
    <t>10495-112.001</t>
  </si>
  <si>
    <t>0065307</t>
  </si>
  <si>
    <t>10495-111</t>
  </si>
  <si>
    <t>10495-111.001</t>
  </si>
  <si>
    <t>0026433</t>
  </si>
  <si>
    <t>10495-110</t>
  </si>
  <si>
    <t>10495-110.001</t>
  </si>
  <si>
    <t>0035017</t>
  </si>
  <si>
    <t>10495-109</t>
  </si>
  <si>
    <t>10495-109.001</t>
  </si>
  <si>
    <t>0020478</t>
  </si>
  <si>
    <t>10495-101</t>
  </si>
  <si>
    <t>10495-101.001</t>
  </si>
  <si>
    <t>0055310</t>
  </si>
  <si>
    <t>10495-100</t>
  </si>
  <si>
    <t>10495-100.001</t>
  </si>
  <si>
    <t>0057347</t>
  </si>
  <si>
    <t>10495-099</t>
  </si>
  <si>
    <t>10495-099.001</t>
  </si>
  <si>
    <t>0027201</t>
  </si>
  <si>
    <t>10495-095</t>
  </si>
  <si>
    <t>10495-095.001</t>
  </si>
  <si>
    <t>0096172</t>
  </si>
  <si>
    <t>10495-090</t>
  </si>
  <si>
    <t>10495-090.002</t>
  </si>
  <si>
    <t>10495-090.001</t>
  </si>
  <si>
    <t>0035009</t>
  </si>
  <si>
    <t>10495-079</t>
  </si>
  <si>
    <t>10495-079.001</t>
  </si>
  <si>
    <t>0034916</t>
  </si>
  <si>
    <t>10495-078</t>
  </si>
  <si>
    <t>10495-078.001</t>
  </si>
  <si>
    <t>0063037</t>
  </si>
  <si>
    <t>10495-077</t>
  </si>
  <si>
    <t>10495-077.001</t>
  </si>
  <si>
    <t>0063011</t>
  </si>
  <si>
    <t>10495-076</t>
  </si>
  <si>
    <t>10495-076.001</t>
  </si>
  <si>
    <t>0063070</t>
  </si>
  <si>
    <t>10495-075</t>
  </si>
  <si>
    <t>10495-075.001</t>
  </si>
  <si>
    <t>0034886</t>
  </si>
  <si>
    <t>10495-065</t>
  </si>
  <si>
    <t>10495-065.001</t>
  </si>
  <si>
    <t>0063045</t>
  </si>
  <si>
    <t>10495-050</t>
  </si>
  <si>
    <t>10495-050.001</t>
  </si>
  <si>
    <t>0062995</t>
  </si>
  <si>
    <t>10495-037</t>
  </si>
  <si>
    <t>10495-037.001</t>
  </si>
  <si>
    <t>0063002</t>
  </si>
  <si>
    <t>10495-030</t>
  </si>
  <si>
    <t>10495-030.001</t>
  </si>
  <si>
    <t>CITY OF MAUD</t>
  </si>
  <si>
    <t>0117498</t>
  </si>
  <si>
    <t>14025-001</t>
  </si>
  <si>
    <t>14025-001.001</t>
  </si>
  <si>
    <t>WHARTON COUNTY WCID NO 2</t>
  </si>
  <si>
    <t>0025852</t>
  </si>
  <si>
    <t>14019-001</t>
  </si>
  <si>
    <t>14019-001.001</t>
  </si>
  <si>
    <t>0117137</t>
  </si>
  <si>
    <t>14018-001</t>
  </si>
  <si>
    <t>14018-001.001</t>
  </si>
  <si>
    <t>0063509</t>
  </si>
  <si>
    <t>14014-001</t>
  </si>
  <si>
    <t>14014-001.001</t>
  </si>
  <si>
    <t>0118028</t>
  </si>
  <si>
    <t>14013-001</t>
  </si>
  <si>
    <t>14013-001.001</t>
  </si>
  <si>
    <t>BISTONE MUNICIPAL WATER SUPPLY DIST</t>
  </si>
  <si>
    <t>0091758</t>
  </si>
  <si>
    <t>14012-001</t>
  </si>
  <si>
    <t>14012-001.001</t>
  </si>
  <si>
    <t>FORT BEND COUNTY MUD NO 130</t>
  </si>
  <si>
    <t>0118109</t>
  </si>
  <si>
    <t>14011-001</t>
  </si>
  <si>
    <t>14011-001.001</t>
  </si>
  <si>
    <t>0103501</t>
  </si>
  <si>
    <t>14008-001</t>
  </si>
  <si>
    <t>14008-001.001</t>
  </si>
  <si>
    <t>0117846</t>
  </si>
  <si>
    <t>14007-001</t>
  </si>
  <si>
    <t>14007-001.001</t>
  </si>
  <si>
    <t>ZAVALA COUNTY</t>
  </si>
  <si>
    <t>0117986</t>
  </si>
  <si>
    <t>14006-001</t>
  </si>
  <si>
    <t>14006-001.001</t>
  </si>
  <si>
    <t>COLE CREEK BUSINESS PARK ASSN INC</t>
  </si>
  <si>
    <t>0117684</t>
  </si>
  <si>
    <t>13996-001</t>
  </si>
  <si>
    <t>13996-001.001</t>
  </si>
  <si>
    <t>0117374</t>
  </si>
  <si>
    <t>13988-001</t>
  </si>
  <si>
    <t>13988-001.001</t>
  </si>
  <si>
    <t>SG LAND HOLDINGS LLC</t>
  </si>
  <si>
    <t>0117668</t>
  </si>
  <si>
    <t>13987-001</t>
  </si>
  <si>
    <t>13987-001.001</t>
  </si>
  <si>
    <t>MONTGOMERY COUNTY MUD 89</t>
  </si>
  <si>
    <t>0117706</t>
  </si>
  <si>
    <t>13985-001</t>
  </si>
  <si>
    <t>13985-001.001</t>
  </si>
  <si>
    <t>HAMMOND MOUND UTILITIES INC</t>
  </si>
  <si>
    <t>0117366</t>
  </si>
  <si>
    <t>13984-001</t>
  </si>
  <si>
    <t>13984-001.001</t>
  </si>
  <si>
    <t>01401-000.003</t>
  </si>
  <si>
    <t>10598-001.003</t>
  </si>
  <si>
    <t>10598-001.002</t>
  </si>
  <si>
    <t>01401-000.002</t>
  </si>
  <si>
    <t>01401-000.001</t>
  </si>
  <si>
    <t>AGUA SPECIAL UTILITY DISTRICT</t>
  </si>
  <si>
    <t>0133841</t>
  </si>
  <si>
    <t>14415-003</t>
  </si>
  <si>
    <t>14415-003.001</t>
  </si>
  <si>
    <t>FORT BEND COUNTY MUD 206</t>
  </si>
  <si>
    <t>0133779</t>
  </si>
  <si>
    <t>15056-001</t>
  </si>
  <si>
    <t>15056-001.001</t>
  </si>
  <si>
    <t>PERRIN-WHITT CISD</t>
  </si>
  <si>
    <t>0133809</t>
  </si>
  <si>
    <t>15059-001</t>
  </si>
  <si>
    <t>15059-001.001</t>
  </si>
  <si>
    <t>CHILDRESS</t>
  </si>
  <si>
    <t>CITY OF CHILDRESS</t>
  </si>
  <si>
    <t>0136905</t>
  </si>
  <si>
    <t>10076-005</t>
  </si>
  <si>
    <t>10076-005.001</t>
  </si>
  <si>
    <t>0133035</t>
  </si>
  <si>
    <t>14834-002</t>
  </si>
  <si>
    <t>14834-002.001</t>
  </si>
  <si>
    <t>ARANSAS BAY UTILITIES CO LLC</t>
  </si>
  <si>
    <t>0133051</t>
  </si>
  <si>
    <t>04956-000</t>
  </si>
  <si>
    <t>04956-000.001</t>
  </si>
  <si>
    <t>MONUMENT INN INC</t>
  </si>
  <si>
    <t>0113760</t>
  </si>
  <si>
    <t>13666-001</t>
  </si>
  <si>
    <t>13666-001.001</t>
  </si>
  <si>
    <t>STEAMBOAT SHORES OWNERS ASSN</t>
  </si>
  <si>
    <t>0110647</t>
  </si>
  <si>
    <t>13659-001</t>
  </si>
  <si>
    <t>13659-001.001</t>
  </si>
  <si>
    <t>NEW ULM WSC</t>
  </si>
  <si>
    <t>0114880</t>
  </si>
  <si>
    <t>13655-001</t>
  </si>
  <si>
    <t>13655-001.001</t>
  </si>
  <si>
    <t>0110663</t>
  </si>
  <si>
    <t>13653-001</t>
  </si>
  <si>
    <t>13653-001.001</t>
  </si>
  <si>
    <t>ENCANTO REAL UD</t>
  </si>
  <si>
    <t>0042099</t>
  </si>
  <si>
    <t>13648-001</t>
  </si>
  <si>
    <t>13648-001.001</t>
  </si>
  <si>
    <t>CITY OF AUBREY</t>
  </si>
  <si>
    <t>0056588</t>
  </si>
  <si>
    <t>13647-001</t>
  </si>
  <si>
    <t>13647-001.001</t>
  </si>
  <si>
    <t>THE UNIVERSITY OF TEXAS AT AUSTIN</t>
  </si>
  <si>
    <t>0076422</t>
  </si>
  <si>
    <t>13646-001</t>
  </si>
  <si>
    <t>13646-001.001</t>
  </si>
  <si>
    <t>SAN PATRICIO COUNTY MUD 1</t>
  </si>
  <si>
    <t>0110337</t>
  </si>
  <si>
    <t>13644-001</t>
  </si>
  <si>
    <t>13644-001.001</t>
  </si>
  <si>
    <t>0042081</t>
  </si>
  <si>
    <t>13643-001</t>
  </si>
  <si>
    <t>13643-001.001</t>
  </si>
  <si>
    <t>CITY OF SINTON</t>
  </si>
  <si>
    <t>0110361</t>
  </si>
  <si>
    <t>13641-001</t>
  </si>
  <si>
    <t>13641-001.001</t>
  </si>
  <si>
    <t>ROMAN FOREST CONSOLIDATED MUD</t>
  </si>
  <si>
    <t>0093220</t>
  </si>
  <si>
    <t>13638-001</t>
  </si>
  <si>
    <t>13638-001.001</t>
  </si>
  <si>
    <t>SHANNON LYNN GOINS</t>
  </si>
  <si>
    <t>0075949</t>
  </si>
  <si>
    <t>13637-001</t>
  </si>
  <si>
    <t>13637-001.001</t>
  </si>
  <si>
    <t>WOOD TRACE MUD 1</t>
  </si>
  <si>
    <t>0109622</t>
  </si>
  <si>
    <t>13636-001</t>
  </si>
  <si>
    <t>13636-001.001</t>
  </si>
  <si>
    <t>0201</t>
  </si>
  <si>
    <t>HOOKS ISD</t>
  </si>
  <si>
    <t>0118079</t>
  </si>
  <si>
    <t>13634-001</t>
  </si>
  <si>
    <t>13634-001.001</t>
  </si>
  <si>
    <t>CITY OF ALAMO</t>
  </si>
  <si>
    <t>0057622</t>
  </si>
  <si>
    <t>13633-001</t>
  </si>
  <si>
    <t>13633-001.001</t>
  </si>
  <si>
    <t>MEADOWLAND UTILITY CORP</t>
  </si>
  <si>
    <t>0109886</t>
  </si>
  <si>
    <t>13632-001</t>
  </si>
  <si>
    <t>13632-001.001</t>
  </si>
  <si>
    <t>ADM</t>
  </si>
  <si>
    <t>CITY OF POTEET</t>
  </si>
  <si>
    <t>0032387</t>
  </si>
  <si>
    <t>13630-001</t>
  </si>
  <si>
    <t>13630-001.001</t>
  </si>
  <si>
    <t>0111872</t>
  </si>
  <si>
    <t>13628-001</t>
  </si>
  <si>
    <t>13628-001.001</t>
  </si>
  <si>
    <t>0128244</t>
  </si>
  <si>
    <t>14650-001</t>
  </si>
  <si>
    <t>14650-001.001</t>
  </si>
  <si>
    <t>THE LIBERTY LAKES PROPERTY OWNERS ASSN INC &amp; DAVIS BAYOU SERVICE CO</t>
  </si>
  <si>
    <t>0102024</t>
  </si>
  <si>
    <t>13627-001</t>
  </si>
  <si>
    <t>13627-001.001</t>
  </si>
  <si>
    <t>NORTHWEST HARRIS COUNTY MUD NO 20</t>
  </si>
  <si>
    <t>0081337</t>
  </si>
  <si>
    <t>13625-001</t>
  </si>
  <si>
    <t>13625-001.001</t>
  </si>
  <si>
    <t>WEST HARRIS COUNTY MUD 21</t>
  </si>
  <si>
    <t>0109126</t>
  </si>
  <si>
    <t>13623-001</t>
  </si>
  <si>
    <t>13623-001.001</t>
  </si>
  <si>
    <t>CITY OF PENELOPE</t>
  </si>
  <si>
    <t>0112283</t>
  </si>
  <si>
    <t>13621-001</t>
  </si>
  <si>
    <t>13621-001.001</t>
  </si>
  <si>
    <t>0083976</t>
  </si>
  <si>
    <t>13619-001</t>
  </si>
  <si>
    <t>13619-001.001</t>
  </si>
  <si>
    <t>CITY OF OBRIEN</t>
  </si>
  <si>
    <t>0075906</t>
  </si>
  <si>
    <t>13616-001</t>
  </si>
  <si>
    <t>13616-001.001</t>
  </si>
  <si>
    <t>0108499</t>
  </si>
  <si>
    <t>13613-001</t>
  </si>
  <si>
    <t>13613-001.001</t>
  </si>
  <si>
    <t>ALDINE ISD</t>
  </si>
  <si>
    <t>0115797</t>
  </si>
  <si>
    <t>13609-001</t>
  </si>
  <si>
    <t>13609-001.001</t>
  </si>
  <si>
    <t>MEEKER, MARC ROGER</t>
  </si>
  <si>
    <t>0118281</t>
  </si>
  <si>
    <t>13601-001</t>
  </si>
  <si>
    <t>13601-001.001</t>
  </si>
  <si>
    <t>0094790</t>
  </si>
  <si>
    <t>13600-001</t>
  </si>
  <si>
    <t>13600-001.001</t>
  </si>
  <si>
    <t>HARRIS COUNTY WCID 74</t>
  </si>
  <si>
    <t>0023825</t>
  </si>
  <si>
    <t>10679-001</t>
  </si>
  <si>
    <t>10679-001.001</t>
  </si>
  <si>
    <t>HARDIN COUNTY WCID 1</t>
  </si>
  <si>
    <t>0027693</t>
  </si>
  <si>
    <t>10678-001</t>
  </si>
  <si>
    <t>10678-001.001</t>
  </si>
  <si>
    <t>0022250</t>
  </si>
  <si>
    <t>10671-001</t>
  </si>
  <si>
    <t>10671-001.001</t>
  </si>
  <si>
    <t>CITY OF TYLER</t>
  </si>
  <si>
    <t>0047996</t>
  </si>
  <si>
    <t>10653-001</t>
  </si>
  <si>
    <t>10653-001.001</t>
  </si>
  <si>
    <t>TEXAS HEALTH AND HUMAN SERVICES COMMISSION</t>
  </si>
  <si>
    <t>0030732</t>
  </si>
  <si>
    <t>10651-001</t>
  </si>
  <si>
    <t>10651-001.001</t>
  </si>
  <si>
    <t>CITY OF SPRINGTOWN</t>
  </si>
  <si>
    <t>0032646</t>
  </si>
  <si>
    <t>10649-001</t>
  </si>
  <si>
    <t>10649-001.001</t>
  </si>
  <si>
    <t>0026051</t>
  </si>
  <si>
    <t>10645-001</t>
  </si>
  <si>
    <t>10645-001.001</t>
  </si>
  <si>
    <t>CITY OF WHITEWRIGHT</t>
  </si>
  <si>
    <t>0033294</t>
  </si>
  <si>
    <t>10644-001</t>
  </si>
  <si>
    <t>10644-001.001</t>
  </si>
  <si>
    <t>CITY OF CHILLICOTHE</t>
  </si>
  <si>
    <t>0053066</t>
  </si>
  <si>
    <t>10639-001</t>
  </si>
  <si>
    <t>10639-001.001</t>
  </si>
  <si>
    <t>FOARD</t>
  </si>
  <si>
    <t>CITY OF CROWELL</t>
  </si>
  <si>
    <t>0023370</t>
  </si>
  <si>
    <t>14888-001</t>
  </si>
  <si>
    <t>14888-001.001</t>
  </si>
  <si>
    <t>1224</t>
  </si>
  <si>
    <t>CITY OF EASTLAND</t>
  </si>
  <si>
    <t>0024007</t>
  </si>
  <si>
    <t>10637-001</t>
  </si>
  <si>
    <t>10637-001.001</t>
  </si>
  <si>
    <t>CITY OF MCALLEN</t>
  </si>
  <si>
    <t>0093106</t>
  </si>
  <si>
    <t>10633-004</t>
  </si>
  <si>
    <t>10633-004.001</t>
  </si>
  <si>
    <t>0047449</t>
  </si>
  <si>
    <t>10633-003</t>
  </si>
  <si>
    <t>10633-003.001</t>
  </si>
  <si>
    <t>1254</t>
  </si>
  <si>
    <t>CITY OF HILLSBORO</t>
  </si>
  <si>
    <t>0023108</t>
  </si>
  <si>
    <t>10630-001</t>
  </si>
  <si>
    <t>10630-001.001</t>
  </si>
  <si>
    <t>BACLIFF MUD</t>
  </si>
  <si>
    <t>0021369</t>
  </si>
  <si>
    <t>10627-001</t>
  </si>
  <si>
    <t>10627-001.001</t>
  </si>
  <si>
    <t>CITY OF ORANGE</t>
  </si>
  <si>
    <t>0073423</t>
  </si>
  <si>
    <t>10626-001</t>
  </si>
  <si>
    <t>10626-001.002</t>
  </si>
  <si>
    <t>10626-001.001</t>
  </si>
  <si>
    <t>CROSBY</t>
  </si>
  <si>
    <t>WHITE RIVER MUNICIPAL WATER DISTRICT</t>
  </si>
  <si>
    <t>0118087</t>
  </si>
  <si>
    <t>10621-001</t>
  </si>
  <si>
    <t>10621-001.001</t>
  </si>
  <si>
    <t>CITY OF WESLACO</t>
  </si>
  <si>
    <t>0116394</t>
  </si>
  <si>
    <t>10619-005</t>
  </si>
  <si>
    <t>10619-005.001</t>
  </si>
  <si>
    <t>0052787</t>
  </si>
  <si>
    <t>10619-003</t>
  </si>
  <si>
    <t>10619-003.001</t>
  </si>
  <si>
    <t>0022471</t>
  </si>
  <si>
    <t>10619-001</t>
  </si>
  <si>
    <t>10619-001.001</t>
  </si>
  <si>
    <t>CITY OF TRINITY</t>
  </si>
  <si>
    <t>0088811</t>
  </si>
  <si>
    <t>10617-001</t>
  </si>
  <si>
    <t>10617-001.001</t>
  </si>
  <si>
    <t>CITY OF TOMBALL</t>
  </si>
  <si>
    <t>0117595</t>
  </si>
  <si>
    <t>10616-002</t>
  </si>
  <si>
    <t>10616-002.001</t>
  </si>
  <si>
    <t>0022381</t>
  </si>
  <si>
    <t>10616-001</t>
  </si>
  <si>
    <t>10616-001.001</t>
  </si>
  <si>
    <t>CITY OF TIMPSON</t>
  </si>
  <si>
    <t>0112739</t>
  </si>
  <si>
    <t>10614-002</t>
  </si>
  <si>
    <t>10614-002.001</t>
  </si>
  <si>
    <t>SAINT FRANCIS VILLAGE INC</t>
  </si>
  <si>
    <t>0066745</t>
  </si>
  <si>
    <t>10612-001</t>
  </si>
  <si>
    <t>10612-001.001</t>
  </si>
  <si>
    <t>CITY OF KEENE</t>
  </si>
  <si>
    <t>0106291</t>
  </si>
  <si>
    <t>10611-002</t>
  </si>
  <si>
    <t>10611-002.001</t>
  </si>
  <si>
    <t>SOUTHERN WATER CORP</t>
  </si>
  <si>
    <t>0030988</t>
  </si>
  <si>
    <t>10610-001</t>
  </si>
  <si>
    <t>10610-001.001</t>
  </si>
  <si>
    <t>02067-000.002</t>
  </si>
  <si>
    <t>02067-000.001</t>
  </si>
  <si>
    <t>02712-000.002</t>
  </si>
  <si>
    <t>02712-000.001</t>
  </si>
  <si>
    <t>0000752</t>
  </si>
  <si>
    <t>02700-000</t>
  </si>
  <si>
    <t>02700-000.001</t>
  </si>
  <si>
    <t>CITY OF EDINBURG</t>
  </si>
  <si>
    <t>0024112</t>
  </si>
  <si>
    <t>10503-002</t>
  </si>
  <si>
    <t>10503-002.001</t>
  </si>
  <si>
    <t>CITY OF VAN ALSTYNE</t>
  </si>
  <si>
    <t>0026883</t>
  </si>
  <si>
    <t>10502-001</t>
  </si>
  <si>
    <t>10502-001.001</t>
  </si>
  <si>
    <t>CITY OF BEAUMONT</t>
  </si>
  <si>
    <t>0046990</t>
  </si>
  <si>
    <t>10501-020</t>
  </si>
  <si>
    <t>10501-020.001</t>
  </si>
  <si>
    <t>CITY OF DAINGERFIELD</t>
  </si>
  <si>
    <t>0027031</t>
  </si>
  <si>
    <t>10499-001</t>
  </si>
  <si>
    <t>10499-001.001</t>
  </si>
  <si>
    <t>0075663</t>
  </si>
  <si>
    <t>10495-151</t>
  </si>
  <si>
    <t>10495-151.001</t>
  </si>
  <si>
    <t>0025291</t>
  </si>
  <si>
    <t>10495-150</t>
  </si>
  <si>
    <t>10495-150.001</t>
  </si>
  <si>
    <t>0115924</t>
  </si>
  <si>
    <t>10495-149</t>
  </si>
  <si>
    <t>10495-149.001</t>
  </si>
  <si>
    <t>0127931</t>
  </si>
  <si>
    <t>10726-002</t>
  </si>
  <si>
    <t>10726-002.001</t>
  </si>
  <si>
    <t>0101460</t>
  </si>
  <si>
    <t>10495-148</t>
  </si>
  <si>
    <t>10495-148.001</t>
  </si>
  <si>
    <t>0066583</t>
  </si>
  <si>
    <t>10495-146</t>
  </si>
  <si>
    <t>10495-146.001</t>
  </si>
  <si>
    <t>0088501</t>
  </si>
  <si>
    <t>10495-142</t>
  </si>
  <si>
    <t>10495-142.001</t>
  </si>
  <si>
    <t>0026875</t>
  </si>
  <si>
    <t>10495-139</t>
  </si>
  <si>
    <t>10495-139.001</t>
  </si>
  <si>
    <t>0069736</t>
  </si>
  <si>
    <t>10495-152</t>
  </si>
  <si>
    <t>10495-152.001</t>
  </si>
  <si>
    <t>0026395</t>
  </si>
  <si>
    <t>10495-135</t>
  </si>
  <si>
    <t>10495-135.001</t>
  </si>
  <si>
    <t>0084875</t>
  </si>
  <si>
    <t>10495-133</t>
  </si>
  <si>
    <t>10495-133.001</t>
  </si>
  <si>
    <t>0113131</t>
  </si>
  <si>
    <t>10495-126</t>
  </si>
  <si>
    <t>10495-126.001</t>
  </si>
  <si>
    <t>0103721</t>
  </si>
  <si>
    <t>10495-122</t>
  </si>
  <si>
    <t>10495-122.001</t>
  </si>
  <si>
    <t>KOPPERL ISD</t>
  </si>
  <si>
    <t>0116661</t>
  </si>
  <si>
    <t>13982-001</t>
  </si>
  <si>
    <t>13982-001.001</t>
  </si>
  <si>
    <t>AVALON WATER SUPPLY &amp; SEWER CORP</t>
  </si>
  <si>
    <t>0020567</t>
  </si>
  <si>
    <t>13981-001</t>
  </si>
  <si>
    <t>13981-001.001</t>
  </si>
  <si>
    <t>CITY OF MARQUEZ</t>
  </si>
  <si>
    <t>0117579</t>
  </si>
  <si>
    <t>13980-001</t>
  </si>
  <si>
    <t>13980-001.001</t>
  </si>
  <si>
    <t>0117609</t>
  </si>
  <si>
    <t>13977-001</t>
  </si>
  <si>
    <t>13977-001.001</t>
  </si>
  <si>
    <t>BOTTOM LINE HOLDING COMPANY</t>
  </si>
  <si>
    <t>0117889</t>
  </si>
  <si>
    <t>13975-001</t>
  </si>
  <si>
    <t>13975-001.001</t>
  </si>
  <si>
    <t>BEN WHEELER WSC</t>
  </si>
  <si>
    <t>0065650</t>
  </si>
  <si>
    <t>13974-001</t>
  </si>
  <si>
    <t>13974-001.001</t>
  </si>
  <si>
    <t>CITY OF MURCHISON</t>
  </si>
  <si>
    <t>0072087</t>
  </si>
  <si>
    <t>13972-001</t>
  </si>
  <si>
    <t>13972-001.001</t>
  </si>
  <si>
    <t>CHAPMAN MOBILE HOME PARK LLC</t>
  </si>
  <si>
    <t>0099597</t>
  </si>
  <si>
    <t>13964-001</t>
  </si>
  <si>
    <t>13964-001.001</t>
  </si>
  <si>
    <t>THE ESTATES PARTNERS LLC</t>
  </si>
  <si>
    <t>0135020</t>
  </si>
  <si>
    <t>15198-001</t>
  </si>
  <si>
    <t>15198-001.001</t>
  </si>
  <si>
    <t>US LAND CORP</t>
  </si>
  <si>
    <t>0118851</t>
  </si>
  <si>
    <t>13960-001</t>
  </si>
  <si>
    <t>13960-001.001</t>
  </si>
  <si>
    <t>0094935</t>
  </si>
  <si>
    <t>13955-001</t>
  </si>
  <si>
    <t>13955-001.001</t>
  </si>
  <si>
    <t>0118923</t>
  </si>
  <si>
    <t>13954-001</t>
  </si>
  <si>
    <t>13954-001.001</t>
  </si>
  <si>
    <t>FORT BEND COUNTY MUD 118</t>
  </si>
  <si>
    <t>0116386</t>
  </si>
  <si>
    <t>13951-001</t>
  </si>
  <si>
    <t>13951-001.001</t>
  </si>
  <si>
    <t>CANEY CREEK MUD</t>
  </si>
  <si>
    <t>0122483</t>
  </si>
  <si>
    <t>14177-001</t>
  </si>
  <si>
    <t>14177-001.001</t>
  </si>
  <si>
    <t>GREIF PACKAGING LLC</t>
  </si>
  <si>
    <t>0008001</t>
  </si>
  <si>
    <t>13949-001</t>
  </si>
  <si>
    <t>13949-001.001</t>
  </si>
  <si>
    <t>INLINE UTILITIES LLC</t>
  </si>
  <si>
    <t>0117633</t>
  </si>
  <si>
    <t>13942-001</t>
  </si>
  <si>
    <t>13942-001.001</t>
  </si>
  <si>
    <t>ROYAL VALLEY UTILITIES INC</t>
  </si>
  <si>
    <t>0116408</t>
  </si>
  <si>
    <t>13940-001</t>
  </si>
  <si>
    <t>13940-001.001</t>
  </si>
  <si>
    <t>01515-000.001</t>
  </si>
  <si>
    <t>0089338</t>
  </si>
  <si>
    <t>13786-001</t>
  </si>
  <si>
    <t>13786-001.001</t>
  </si>
  <si>
    <t>MARINE QUEST-HIDDEN COVE LP</t>
  </si>
  <si>
    <t>0093696</t>
  </si>
  <si>
    <t>13785-001</t>
  </si>
  <si>
    <t>13785-001.001</t>
  </si>
  <si>
    <t>CITY OF BIG WELLS</t>
  </si>
  <si>
    <t>0104884</t>
  </si>
  <si>
    <t>13782-001</t>
  </si>
  <si>
    <t>13782-001.001</t>
  </si>
  <si>
    <t>LATEXO ISD</t>
  </si>
  <si>
    <t>0114812</t>
  </si>
  <si>
    <t>13780-001</t>
  </si>
  <si>
    <t>13780-001.001</t>
  </si>
  <si>
    <t>CIRCLE T RESORT LLC</t>
  </si>
  <si>
    <t>0128473</t>
  </si>
  <si>
    <t>14678-001</t>
  </si>
  <si>
    <t>14678-001.001</t>
  </si>
  <si>
    <t>FRIEDMAN STEPHEN</t>
  </si>
  <si>
    <t>0097985</t>
  </si>
  <si>
    <t>13778-001</t>
  </si>
  <si>
    <t>13778-001.001</t>
  </si>
  <si>
    <t>01903-000.001</t>
  </si>
  <si>
    <t>GEORGIA-PACIFIC WOOD PRODUCTS WOUTH LLC</t>
  </si>
  <si>
    <t>0064491</t>
  </si>
  <si>
    <t>01902-000</t>
  </si>
  <si>
    <t>01902-000.002</t>
  </si>
  <si>
    <t>GEORGIA-PACIFIC WOOD PRODUCTS SOUTH LLC</t>
  </si>
  <si>
    <t>01902-000.001</t>
  </si>
  <si>
    <t>PILOT INDUSTRIES OF TEXAS INC</t>
  </si>
  <si>
    <t>0060933</t>
  </si>
  <si>
    <t>01899-000</t>
  </si>
  <si>
    <t>01899-000.001</t>
  </si>
  <si>
    <t>01896-000.004</t>
  </si>
  <si>
    <t>01896-000.003</t>
  </si>
  <si>
    <t>01896-000.002</t>
  </si>
  <si>
    <t>01896-000.001</t>
  </si>
  <si>
    <t>0058441</t>
  </si>
  <si>
    <t>01887-000</t>
  </si>
  <si>
    <t>01887-000.001</t>
  </si>
  <si>
    <t>VENATOR CHEMICALS LLC</t>
  </si>
  <si>
    <t>0046906</t>
  </si>
  <si>
    <t>01878-000</t>
  </si>
  <si>
    <t>01878-000.002</t>
  </si>
  <si>
    <t>01878-000.001</t>
  </si>
  <si>
    <t>0052825</t>
  </si>
  <si>
    <t>01872-000</t>
  </si>
  <si>
    <t>01872-000.001</t>
  </si>
  <si>
    <t>GULF CHEMICAL &amp; METALLURGICAL CORP</t>
  </si>
  <si>
    <t>0034738</t>
  </si>
  <si>
    <t>01861-000</t>
  </si>
  <si>
    <t>01861-000.002</t>
  </si>
  <si>
    <t>01861-000.001</t>
  </si>
  <si>
    <t>COMANCHE PEAK POWER CO LLC</t>
  </si>
  <si>
    <t>0065854</t>
  </si>
  <si>
    <t>01854-000</t>
  </si>
  <si>
    <t>01854-000.004</t>
  </si>
  <si>
    <t>01854-000.003</t>
  </si>
  <si>
    <t>04005-000.002</t>
  </si>
  <si>
    <t>01854-000.002</t>
  </si>
  <si>
    <t>01854-000.001</t>
  </si>
  <si>
    <t>0007528</t>
  </si>
  <si>
    <t>01852-000</t>
  </si>
  <si>
    <t>01852-000.009</t>
  </si>
  <si>
    <t>01852-000.005</t>
  </si>
  <si>
    <t>01852-000.004</t>
  </si>
  <si>
    <t>01852-000.001</t>
  </si>
  <si>
    <t>0127663</t>
  </si>
  <si>
    <t>14592-001</t>
  </si>
  <si>
    <t>14592-001.001</t>
  </si>
  <si>
    <t>UNITED DEVELOPMENT FUNDING LP</t>
  </si>
  <si>
    <t>0127248</t>
  </si>
  <si>
    <t>14570-001</t>
  </si>
  <si>
    <t>14570-001.001</t>
  </si>
  <si>
    <t>VENCOREX US INC</t>
  </si>
  <si>
    <t>0008737</t>
  </si>
  <si>
    <t>01822-000</t>
  </si>
  <si>
    <t>01822-000.002</t>
  </si>
  <si>
    <t>01822-000.001</t>
  </si>
  <si>
    <t>0063053</t>
  </si>
  <si>
    <t>10495-016</t>
  </si>
  <si>
    <t>10495-016.002</t>
  </si>
  <si>
    <t>10495-016.001</t>
  </si>
  <si>
    <t>0035106</t>
  </si>
  <si>
    <t>10495-010</t>
  </si>
  <si>
    <t>10495-010.001</t>
  </si>
  <si>
    <t>COLORADO BEND SERVICES LLC</t>
  </si>
  <si>
    <t>0128341</t>
  </si>
  <si>
    <t>04781-000</t>
  </si>
  <si>
    <t>04781-000.001</t>
  </si>
  <si>
    <t>01515-000.003</t>
  </si>
  <si>
    <t>01514-000.014</t>
  </si>
  <si>
    <t>1251</t>
  </si>
  <si>
    <t>0132969</t>
  </si>
  <si>
    <t>15000-001</t>
  </si>
  <si>
    <t>15000-001.001</t>
  </si>
  <si>
    <t>CITY OF PFLUGERVILLE</t>
  </si>
  <si>
    <t>0128171</t>
  </si>
  <si>
    <t>14642-001</t>
  </si>
  <si>
    <t>14642-001.001</t>
  </si>
  <si>
    <t>10697-002.001</t>
  </si>
  <si>
    <t>01514-000.007</t>
  </si>
  <si>
    <t>01514-000.006</t>
  </si>
  <si>
    <t>01514-000.002</t>
  </si>
  <si>
    <t>01514-000.001</t>
  </si>
  <si>
    <t>1910</t>
  </si>
  <si>
    <t>CAPITOL AGGREGATES INC</t>
  </si>
  <si>
    <t>0030040</t>
  </si>
  <si>
    <t>01510-000</t>
  </si>
  <si>
    <t>01510-000.002</t>
  </si>
  <si>
    <t>01510-000.001</t>
  </si>
  <si>
    <t>01499-000.007</t>
  </si>
  <si>
    <t>04005-000.001</t>
  </si>
  <si>
    <t>01499-000.006</t>
  </si>
  <si>
    <t>0134368</t>
  </si>
  <si>
    <t>15080-001</t>
  </si>
  <si>
    <t>15080-001.001</t>
  </si>
  <si>
    <t>CiTY OF DILLEY</t>
  </si>
  <si>
    <t>0137928</t>
  </si>
  <si>
    <t>10404-006</t>
  </si>
  <si>
    <t>10404-006.001</t>
  </si>
  <si>
    <t>SEVENTY SEVEN LAND CO LLC</t>
  </si>
  <si>
    <t>0133621</t>
  </si>
  <si>
    <t>15043-001</t>
  </si>
  <si>
    <t>15043-001.001</t>
  </si>
  <si>
    <t>MONARCH UTILITIES  I LP</t>
  </si>
  <si>
    <t>0117331</t>
  </si>
  <si>
    <t>14056-001</t>
  </si>
  <si>
    <t>14056-001.001</t>
  </si>
  <si>
    <t>0117455</t>
  </si>
  <si>
    <t>14055-001</t>
  </si>
  <si>
    <t>14055-001.001</t>
  </si>
  <si>
    <t>BOGGS SUGAR PINES LLC</t>
  </si>
  <si>
    <t>0117277</t>
  </si>
  <si>
    <t>14049-001</t>
  </si>
  <si>
    <t>14049-001.001</t>
  </si>
  <si>
    <t>SANDERSON FARMS INC PRODUCTION DIVISION</t>
  </si>
  <si>
    <t>0135615</t>
  </si>
  <si>
    <t>05138-000</t>
  </si>
  <si>
    <t>05138-000.001</t>
  </si>
  <si>
    <t>HARRIS CO MUD NO 500</t>
  </si>
  <si>
    <t>0129071</t>
  </si>
  <si>
    <t>14740-001</t>
  </si>
  <si>
    <t>14740-001.001</t>
  </si>
  <si>
    <t>0117536</t>
  </si>
  <si>
    <t>14042-001</t>
  </si>
  <si>
    <t>14042-001.001</t>
  </si>
  <si>
    <t>0117234</t>
  </si>
  <si>
    <t>14039-001</t>
  </si>
  <si>
    <t>14039-001.001</t>
  </si>
  <si>
    <t>0117188</t>
  </si>
  <si>
    <t>14033-002</t>
  </si>
  <si>
    <t>14033-002.001</t>
  </si>
  <si>
    <t>0117170</t>
  </si>
  <si>
    <t>14033-001</t>
  </si>
  <si>
    <t>14033-001.001</t>
  </si>
  <si>
    <t>NORTHWEST HARRIS COUNTY MUD 9</t>
  </si>
  <si>
    <t>0075221</t>
  </si>
  <si>
    <t>14030-001</t>
  </si>
  <si>
    <t>14030-001.001</t>
  </si>
  <si>
    <t>0117145</t>
  </si>
  <si>
    <t>14029-001</t>
  </si>
  <si>
    <t>14029-001.001</t>
  </si>
  <si>
    <t>HARRIS COUNTY MUD 371</t>
  </si>
  <si>
    <t>0117129</t>
  </si>
  <si>
    <t>14028-001</t>
  </si>
  <si>
    <t>14028-001.001</t>
  </si>
  <si>
    <t>MARTINSVILLE ISD</t>
  </si>
  <si>
    <t>0118354</t>
  </si>
  <si>
    <t>14027-001</t>
  </si>
  <si>
    <t>14027-001.001</t>
  </si>
  <si>
    <t>RIEDEL, ANTHONY JOHN</t>
  </si>
  <si>
    <t>0082988</t>
  </si>
  <si>
    <t>13939-001</t>
  </si>
  <si>
    <t>13939-001.001</t>
  </si>
  <si>
    <t>CITY OF MILFORD</t>
  </si>
  <si>
    <t>0020290</t>
  </si>
  <si>
    <t>13937-001</t>
  </si>
  <si>
    <t>13937-001.002</t>
  </si>
  <si>
    <t>13937-001.001</t>
  </si>
  <si>
    <t>CITY OF ANDERSON</t>
  </si>
  <si>
    <t>0116378</t>
  </si>
  <si>
    <t>13931-001</t>
  </si>
  <si>
    <t>13931-001.001</t>
  </si>
  <si>
    <t>CITY OF BLOOMBURG</t>
  </si>
  <si>
    <t>0057363</t>
  </si>
  <si>
    <t>13930-001</t>
  </si>
  <si>
    <t>13930-001.001</t>
  </si>
  <si>
    <t>2200</t>
  </si>
  <si>
    <t>BRUNI RURAL WSC</t>
  </si>
  <si>
    <t>0116262</t>
  </si>
  <si>
    <t>13924-001</t>
  </si>
  <si>
    <t>13924-001.001</t>
  </si>
  <si>
    <t>0117421</t>
  </si>
  <si>
    <t>13921-001</t>
  </si>
  <si>
    <t>13921-001.001</t>
  </si>
  <si>
    <t>AVIATION UTILITIES SERVICES INC</t>
  </si>
  <si>
    <t>0119202</t>
  </si>
  <si>
    <t>13920-001</t>
  </si>
  <si>
    <t>13920-001.001</t>
  </si>
  <si>
    <t>CHIRENO ISD</t>
  </si>
  <si>
    <t>0137537</t>
  </si>
  <si>
    <t>13917-002</t>
  </si>
  <si>
    <t>13917-002.001</t>
  </si>
  <si>
    <t>KAUFMAN COUNTY FWSD NO 1A</t>
  </si>
  <si>
    <t>0116211</t>
  </si>
  <si>
    <t>13910-001</t>
  </si>
  <si>
    <t>13910-001.001</t>
  </si>
  <si>
    <t>0118591</t>
  </si>
  <si>
    <t>13905-001</t>
  </si>
  <si>
    <t>13905-001.001</t>
  </si>
  <si>
    <t>1426</t>
  </si>
  <si>
    <t>COKE</t>
  </si>
  <si>
    <t>CITY OF ROBERT LEE</t>
  </si>
  <si>
    <t>0022942</t>
  </si>
  <si>
    <t>13901-001</t>
  </si>
  <si>
    <t>13901-001.001</t>
  </si>
  <si>
    <t>CITY OF INDUSTRY</t>
  </si>
  <si>
    <t>0116271</t>
  </si>
  <si>
    <t>13897-001</t>
  </si>
  <si>
    <t>13897-001.001</t>
  </si>
  <si>
    <t>DIA-DEN LTD</t>
  </si>
  <si>
    <t>0122211</t>
  </si>
  <si>
    <t>13893-001</t>
  </si>
  <si>
    <t>13893-001.001</t>
  </si>
  <si>
    <t>TOWN OF BAYSIDE</t>
  </si>
  <si>
    <t>0116157</t>
  </si>
  <si>
    <t>13892-001</t>
  </si>
  <si>
    <t>13892-001.001</t>
  </si>
  <si>
    <t>HIGH ISLAND ISD</t>
  </si>
  <si>
    <t>0134945</t>
  </si>
  <si>
    <t>15179-001</t>
  </si>
  <si>
    <t>15179-001.001</t>
  </si>
  <si>
    <t>UNION HILL ISD</t>
  </si>
  <si>
    <t>0118451</t>
  </si>
  <si>
    <t>13885-001</t>
  </si>
  <si>
    <t>13885-001.001</t>
  </si>
  <si>
    <t>UIC 13 LLC</t>
  </si>
  <si>
    <t>0070769</t>
  </si>
  <si>
    <t>13882-001</t>
  </si>
  <si>
    <t>13882-001.001</t>
  </si>
  <si>
    <t>HARRIS COUNTY MUD NO 365</t>
  </si>
  <si>
    <t>0116009</t>
  </si>
  <si>
    <t>13881-001</t>
  </si>
  <si>
    <t>13881-001.001</t>
  </si>
  <si>
    <t>0083127</t>
  </si>
  <si>
    <t>13879-001</t>
  </si>
  <si>
    <t>13879-001.001</t>
  </si>
  <si>
    <t>HARRIS COUNTY MUD 383</t>
  </si>
  <si>
    <t>0115983</t>
  </si>
  <si>
    <t>13875-002</t>
  </si>
  <si>
    <t>13875-002.001</t>
  </si>
  <si>
    <t>0133957</t>
  </si>
  <si>
    <t>15069-001</t>
  </si>
  <si>
    <t>15069-001.001</t>
  </si>
  <si>
    <t>AQUA WATER SUPPLY CORP</t>
  </si>
  <si>
    <t>0133655</t>
  </si>
  <si>
    <t>15045-001</t>
  </si>
  <si>
    <t>15045-001.001</t>
  </si>
  <si>
    <t>NALCO COMPANY</t>
  </si>
  <si>
    <t>0112461</t>
  </si>
  <si>
    <t>04306-000</t>
  </si>
  <si>
    <t>04306-000.002</t>
  </si>
  <si>
    <t>CITY OF LEWISVILLE</t>
  </si>
  <si>
    <t>0052892</t>
  </si>
  <si>
    <t>10662-001</t>
  </si>
  <si>
    <t>10662-001.001</t>
  </si>
  <si>
    <t>CITY OF ROCKDALE</t>
  </si>
  <si>
    <t>0027197</t>
  </si>
  <si>
    <t>10658-001</t>
  </si>
  <si>
    <t>10658-001.001</t>
  </si>
  <si>
    <t>CITY OF CRAWFORD</t>
  </si>
  <si>
    <t>0054666</t>
  </si>
  <si>
    <t>10656-001</t>
  </si>
  <si>
    <t>10656-001.001</t>
  </si>
  <si>
    <t>0047988</t>
  </si>
  <si>
    <t>10653-002</t>
  </si>
  <si>
    <t>10653-002.001</t>
  </si>
  <si>
    <t>10509-001.001</t>
  </si>
  <si>
    <t>CITY OF HOOKS</t>
  </si>
  <si>
    <t>0022969</t>
  </si>
  <si>
    <t>10507-001</t>
  </si>
  <si>
    <t>10507-001.001</t>
  </si>
  <si>
    <t>CITY OF EAGLE LAKE</t>
  </si>
  <si>
    <t>0072885</t>
  </si>
  <si>
    <t>10505-001</t>
  </si>
  <si>
    <t>10505-001.001</t>
  </si>
  <si>
    <t>CITY OF DONNA</t>
  </si>
  <si>
    <t>0132802</t>
  </si>
  <si>
    <t>10504-001</t>
  </si>
  <si>
    <t>10504-001.001</t>
  </si>
  <si>
    <t>NK VII PARTNERS LTD</t>
  </si>
  <si>
    <t>0132900</t>
  </si>
  <si>
    <t>14993-001</t>
  </si>
  <si>
    <t>14993-001.001</t>
  </si>
  <si>
    <t>0114855</t>
  </si>
  <si>
    <t>13873-001</t>
  </si>
  <si>
    <t>13873-001.001</t>
  </si>
  <si>
    <t>CITY OF MANVEL</t>
  </si>
  <si>
    <t>0118397</t>
  </si>
  <si>
    <t>13872-001</t>
  </si>
  <si>
    <t>13872-001.001</t>
  </si>
  <si>
    <t>CITY OF WALNUT SPRINGS</t>
  </si>
  <si>
    <t>0128945</t>
  </si>
  <si>
    <t>13436-001</t>
  </si>
  <si>
    <t>13436-001.001</t>
  </si>
  <si>
    <t>CITY OF ZAVALLA</t>
  </si>
  <si>
    <t>0118991</t>
  </si>
  <si>
    <t>13871-001</t>
  </si>
  <si>
    <t>13871-001.001</t>
  </si>
  <si>
    <t>0119067</t>
  </si>
  <si>
    <t>13870-001</t>
  </si>
  <si>
    <t>13870-001.001</t>
  </si>
  <si>
    <t>SHALIMAR FORT WORTH LP</t>
  </si>
  <si>
    <t>0118770</t>
  </si>
  <si>
    <t>13868-001</t>
  </si>
  <si>
    <t>13868-001.001</t>
  </si>
  <si>
    <t>0118265</t>
  </si>
  <si>
    <t>13866-001</t>
  </si>
  <si>
    <t>13866-001.001</t>
  </si>
  <si>
    <t>0115827</t>
  </si>
  <si>
    <t>15003-001</t>
  </si>
  <si>
    <t>15003-001.001</t>
  </si>
  <si>
    <t>HUDSPETH COUNTY WCID 1</t>
  </si>
  <si>
    <t>0115657</t>
  </si>
  <si>
    <t>13858-001</t>
  </si>
  <si>
    <t>13858-001.001</t>
  </si>
  <si>
    <t>0118672</t>
  </si>
  <si>
    <t>13850-001</t>
  </si>
  <si>
    <t>13850-001.001</t>
  </si>
  <si>
    <t>NORTH TEXAS DIST COUNCIL ASSEMBLIES OF GOD</t>
  </si>
  <si>
    <t>0118877</t>
  </si>
  <si>
    <t>13847-001</t>
  </si>
  <si>
    <t>13847-001.001</t>
  </si>
  <si>
    <t>0115991</t>
  </si>
  <si>
    <t>13846-001</t>
  </si>
  <si>
    <t>13846-001.001</t>
  </si>
  <si>
    <t>MAURICEVILLE MUD</t>
  </si>
  <si>
    <t>0114839</t>
  </si>
  <si>
    <t>13839-001</t>
  </si>
  <si>
    <t>13839-001.001</t>
  </si>
  <si>
    <t>CAMP FOR ALL FOUNDATION</t>
  </si>
  <si>
    <t>0114413</t>
  </si>
  <si>
    <t>13838-001</t>
  </si>
  <si>
    <t>13838-001.001</t>
  </si>
  <si>
    <t>CITY OF WILLOW PARK</t>
  </si>
  <si>
    <t>0099732</t>
  </si>
  <si>
    <t>13834-001</t>
  </si>
  <si>
    <t>13834-001.001</t>
  </si>
  <si>
    <t>NATIONAL OIL COMPANY AND TERSCO PROPERTY MANAGEMENT LIMITED</t>
  </si>
  <si>
    <t>0117820</t>
  </si>
  <si>
    <t>13830-001</t>
  </si>
  <si>
    <t>13830-001.001</t>
  </si>
  <si>
    <t>0113930</t>
  </si>
  <si>
    <t>13819-001</t>
  </si>
  <si>
    <t>13819-001.001</t>
  </si>
  <si>
    <t>OLMITO WSC</t>
  </si>
  <si>
    <t>0113875</t>
  </si>
  <si>
    <t>13817-001</t>
  </si>
  <si>
    <t>13817-001.001</t>
  </si>
  <si>
    <t>0115169</t>
  </si>
  <si>
    <t>13804-001</t>
  </si>
  <si>
    <t>13804-001.001</t>
  </si>
  <si>
    <t>SOUTH FORT WORTH RV RANCH LLC</t>
  </si>
  <si>
    <t>0128490</t>
  </si>
  <si>
    <t>14680-001</t>
  </si>
  <si>
    <t>14680-001.001</t>
  </si>
  <si>
    <t>8 MILE PARK LP</t>
  </si>
  <si>
    <t>0091421</t>
  </si>
  <si>
    <t>13796-001</t>
  </si>
  <si>
    <t>13796-001.001</t>
  </si>
  <si>
    <t>CITY OF CUMBY</t>
  </si>
  <si>
    <t>0052981</t>
  </si>
  <si>
    <t>13792-001</t>
  </si>
  <si>
    <t>13792-001.001</t>
  </si>
  <si>
    <t>CITY OF CAMPBELL</t>
  </si>
  <si>
    <t>0072508</t>
  </si>
  <si>
    <t>13791-001</t>
  </si>
  <si>
    <t>13791-001.001</t>
  </si>
  <si>
    <t>EVANGELICAL CHRISTIAN CREDIT UNION</t>
  </si>
  <si>
    <t>0134937</t>
  </si>
  <si>
    <t>15168-001</t>
  </si>
  <si>
    <t>15168-001.001</t>
  </si>
  <si>
    <t>CROSS ROADS ISD</t>
  </si>
  <si>
    <t>0102113</t>
  </si>
  <si>
    <t>13789-001</t>
  </si>
  <si>
    <t>13789-001.001</t>
  </si>
  <si>
    <t>0113913</t>
  </si>
  <si>
    <t>13786-002</t>
  </si>
  <si>
    <t>13786-002.001</t>
  </si>
  <si>
    <t>BATTLEGROUND OIL SPECIALTY TERMINAL COMPANY LLC</t>
  </si>
  <si>
    <t>0133540</t>
  </si>
  <si>
    <t>04985-000</t>
  </si>
  <si>
    <t>04985-000.001</t>
  </si>
  <si>
    <t>0047058</t>
  </si>
  <si>
    <t>10401-004</t>
  </si>
  <si>
    <t>10401-004.001</t>
  </si>
  <si>
    <t>0047074</t>
  </si>
  <si>
    <t>10401-003</t>
  </si>
  <si>
    <t>10401-003.001</t>
  </si>
  <si>
    <t>CITY OF FALLS CITY</t>
  </si>
  <si>
    <t>0054771</t>
  </si>
  <si>
    <t>10398-001</t>
  </si>
  <si>
    <t>10398-001.001</t>
  </si>
  <si>
    <t>0071340</t>
  </si>
  <si>
    <t>10397-005</t>
  </si>
  <si>
    <t>10397-005.001</t>
  </si>
  <si>
    <t>2301</t>
  </si>
  <si>
    <t>0055484</t>
  </si>
  <si>
    <t>10397-003</t>
  </si>
  <si>
    <t>10397-003.001</t>
  </si>
  <si>
    <t>CITY OF ANAHUAC &amp; TRINITY BAY CONSERV DIST</t>
  </si>
  <si>
    <t>0033944</t>
  </si>
  <si>
    <t>10396-001</t>
  </si>
  <si>
    <t>10396-001.001</t>
  </si>
  <si>
    <t>CITY OF BAYTOWN</t>
  </si>
  <si>
    <t>0126543</t>
  </si>
  <si>
    <t>10395-010</t>
  </si>
  <si>
    <t>10395-010.001</t>
  </si>
  <si>
    <t>0072834</t>
  </si>
  <si>
    <t>10395-008</t>
  </si>
  <si>
    <t>10395-008.001</t>
  </si>
  <si>
    <t>0020117</t>
  </si>
  <si>
    <t>10395-007</t>
  </si>
  <si>
    <t>10395-007.001</t>
  </si>
  <si>
    <t>0020109</t>
  </si>
  <si>
    <t>10395-002</t>
  </si>
  <si>
    <t>10395-002.001</t>
  </si>
  <si>
    <t>0054518</t>
  </si>
  <si>
    <t>10393-002</t>
  </si>
  <si>
    <t>10393-002.001</t>
  </si>
  <si>
    <t>RANDALL</t>
  </si>
  <si>
    <t>CITY OF AMARILLO</t>
  </si>
  <si>
    <t>0123293</t>
  </si>
  <si>
    <t>10392-006</t>
  </si>
  <si>
    <t>10392-006.001</t>
  </si>
  <si>
    <t>0025810</t>
  </si>
  <si>
    <t>10392-003</t>
  </si>
  <si>
    <t>10392-003.002</t>
  </si>
  <si>
    <t>10392-003.001</t>
  </si>
  <si>
    <t>0025801</t>
  </si>
  <si>
    <t>10392-001</t>
  </si>
  <si>
    <t>10392-001.001</t>
  </si>
  <si>
    <t>00473-000.011</t>
  </si>
  <si>
    <t>00473-000.008</t>
  </si>
  <si>
    <t>00473-000.006</t>
  </si>
  <si>
    <t>00473-000.005</t>
  </si>
  <si>
    <t>00473-000.004</t>
  </si>
  <si>
    <t>00473-000.002</t>
  </si>
  <si>
    <t>00473-000.001</t>
  </si>
  <si>
    <t>00471-000.002</t>
  </si>
  <si>
    <t>00471-000.001</t>
  </si>
  <si>
    <t>00467-000.007</t>
  </si>
  <si>
    <t>00467-000.005</t>
  </si>
  <si>
    <t>00467-000.004</t>
  </si>
  <si>
    <t>00467-000.003</t>
  </si>
  <si>
    <t>0132837</t>
  </si>
  <si>
    <t>14988-001</t>
  </si>
  <si>
    <t>14988-001.001</t>
  </si>
  <si>
    <t>11300-001.001</t>
  </si>
  <si>
    <t>0132918</t>
  </si>
  <si>
    <t>04949-000</t>
  </si>
  <si>
    <t>04949-000.001</t>
  </si>
  <si>
    <t>0002976</t>
  </si>
  <si>
    <t>00535-000</t>
  </si>
  <si>
    <t>00535-000.002</t>
  </si>
  <si>
    <t>00535-000.001</t>
  </si>
  <si>
    <t>00531-000.011</t>
  </si>
  <si>
    <t>0063061</t>
  </si>
  <si>
    <t>10495-009</t>
  </si>
  <si>
    <t>10495-009.001</t>
  </si>
  <si>
    <t>0034924</t>
  </si>
  <si>
    <t>10495-003</t>
  </si>
  <si>
    <t>10495-003.001</t>
  </si>
  <si>
    <t>00443-000.005</t>
  </si>
  <si>
    <t>10495-002.001</t>
  </si>
  <si>
    <t>0047295</t>
  </si>
  <si>
    <t>10494-013</t>
  </si>
  <si>
    <t>10494-013.001</t>
  </si>
  <si>
    <t>CITY OF HEMPHILL</t>
  </si>
  <si>
    <t>0060801</t>
  </si>
  <si>
    <t>10493-002</t>
  </si>
  <si>
    <t>10493-002.001</t>
  </si>
  <si>
    <t>CITY OF HAMILTON</t>
  </si>
  <si>
    <t>0026867</t>
  </si>
  <si>
    <t>10492-002</t>
  </si>
  <si>
    <t>10492-002.001</t>
  </si>
  <si>
    <t>00414-000.001</t>
  </si>
  <si>
    <t>EAST MONTGOMERY MUD 4</t>
  </si>
  <si>
    <t>0124583</t>
  </si>
  <si>
    <t>14311-001</t>
  </si>
  <si>
    <t>14311-001.001</t>
  </si>
  <si>
    <t>SLIDELL ISD</t>
  </si>
  <si>
    <t>0124494</t>
  </si>
  <si>
    <t>14306-001</t>
  </si>
  <si>
    <t>14306-001.001</t>
  </si>
  <si>
    <t>SR SUPERIOR LLC</t>
  </si>
  <si>
    <t>0124486</t>
  </si>
  <si>
    <t>14305-001</t>
  </si>
  <si>
    <t>14305-001.001</t>
  </si>
  <si>
    <t>0124478</t>
  </si>
  <si>
    <t>14303-001</t>
  </si>
  <si>
    <t>14303-001.001</t>
  </si>
  <si>
    <t>HARRIS-FORT BEND COUNTIES MUD 3</t>
  </si>
  <si>
    <t>0124451</t>
  </si>
  <si>
    <t>14301-001</t>
  </si>
  <si>
    <t>14301-001.001</t>
  </si>
  <si>
    <t>1409</t>
  </si>
  <si>
    <t>0124389</t>
  </si>
  <si>
    <t>14296-001</t>
  </si>
  <si>
    <t>14296-001.001</t>
  </si>
  <si>
    <t>CARLISLE ISD</t>
  </si>
  <si>
    <t>0124371</t>
  </si>
  <si>
    <t>14292-001</t>
  </si>
  <si>
    <t>14292-001.001</t>
  </si>
  <si>
    <t>C &amp; R WATER SUPPLY INC</t>
  </si>
  <si>
    <t>0124281</t>
  </si>
  <si>
    <t>14285-001</t>
  </si>
  <si>
    <t>14285-001.001</t>
  </si>
  <si>
    <t>CITY OF MOUNT ENTERPRISE</t>
  </si>
  <si>
    <t>0122173</t>
  </si>
  <si>
    <t>14283-001</t>
  </si>
  <si>
    <t>14283-001.001</t>
  </si>
  <si>
    <t>LAJITAS MUNICIPAL SERVICES CO LLC</t>
  </si>
  <si>
    <t>0082210</t>
  </si>
  <si>
    <t>14282-001</t>
  </si>
  <si>
    <t>14282-001.001</t>
  </si>
  <si>
    <t>DEVEREUX FOUNDATION</t>
  </si>
  <si>
    <t>0132128</t>
  </si>
  <si>
    <t>14951-001</t>
  </si>
  <si>
    <t>14951-001.001</t>
  </si>
  <si>
    <t>0119547</t>
  </si>
  <si>
    <t>14279-001</t>
  </si>
  <si>
    <t>14279-001.001</t>
  </si>
  <si>
    <t>ALI MOHAMMAD SOLHJOU</t>
  </si>
  <si>
    <t>0124265</t>
  </si>
  <si>
    <t>14277-001</t>
  </si>
  <si>
    <t>14277-001.001</t>
  </si>
  <si>
    <t>CITY OF SAVOY</t>
  </si>
  <si>
    <t>0023299</t>
  </si>
  <si>
    <t>14273-001</t>
  </si>
  <si>
    <t>14273-001.001</t>
  </si>
  <si>
    <t>UPPER JASPER COUNTY WATER AUTHORITY</t>
  </si>
  <si>
    <t>0124168</t>
  </si>
  <si>
    <t>14269-001</t>
  </si>
  <si>
    <t>14269-001.001</t>
  </si>
  <si>
    <t>0124141</t>
  </si>
  <si>
    <t>14268-001</t>
  </si>
  <si>
    <t>14268-001.001</t>
  </si>
  <si>
    <t>0124125</t>
  </si>
  <si>
    <t>14267-001</t>
  </si>
  <si>
    <t>14267-001.001</t>
  </si>
  <si>
    <t>BENTON CITY WSC</t>
  </si>
  <si>
    <t>0136557</t>
  </si>
  <si>
    <t>15400-001</t>
  </si>
  <si>
    <t>15400-001.001</t>
  </si>
  <si>
    <t>0124079</t>
  </si>
  <si>
    <t>14263-001</t>
  </si>
  <si>
    <t>14263-001.001</t>
  </si>
  <si>
    <t>CAMP OLYMPIA INC</t>
  </si>
  <si>
    <t>0119415</t>
  </si>
  <si>
    <t>14261-001</t>
  </si>
  <si>
    <t>14261-001.001</t>
  </si>
  <si>
    <t>HEMPHILL</t>
  </si>
  <si>
    <t>CITY OF CANADIAN</t>
  </si>
  <si>
    <t>0053961</t>
  </si>
  <si>
    <t>14259-001</t>
  </si>
  <si>
    <t>14259-001.001</t>
  </si>
  <si>
    <t>BRAZORIA CO MUD NO 29</t>
  </si>
  <si>
    <t>0124001</t>
  </si>
  <si>
    <t>14253-001</t>
  </si>
  <si>
    <t>14253-001.001</t>
  </si>
  <si>
    <t>CITY OF WAELDER</t>
  </si>
  <si>
    <t>0034452</t>
  </si>
  <si>
    <t>14252-001</t>
  </si>
  <si>
    <t>14252-001.001</t>
  </si>
  <si>
    <t>THE CARDON GROUP LLC</t>
  </si>
  <si>
    <t>0132861</t>
  </si>
  <si>
    <t>14991-001</t>
  </si>
  <si>
    <t>14991-001.001</t>
  </si>
  <si>
    <t>0132934</t>
  </si>
  <si>
    <t>10543-015</t>
  </si>
  <si>
    <t>10543-015.001</t>
  </si>
  <si>
    <t>0132829</t>
  </si>
  <si>
    <t>10466-002</t>
  </si>
  <si>
    <t>10466-002.001</t>
  </si>
  <si>
    <t>0132195</t>
  </si>
  <si>
    <t>04898-000</t>
  </si>
  <si>
    <t>04898-000.002</t>
  </si>
  <si>
    <t>0057801</t>
  </si>
  <si>
    <t>10681-004</t>
  </si>
  <si>
    <t>10681-004.001</t>
  </si>
  <si>
    <t>0085316</t>
  </si>
  <si>
    <t>10681-003</t>
  </si>
  <si>
    <t>10681-003.001</t>
  </si>
  <si>
    <t>0025461</t>
  </si>
  <si>
    <t>10681-002</t>
  </si>
  <si>
    <t>10681-002.001</t>
  </si>
  <si>
    <t>0002542</t>
  </si>
  <si>
    <t>10681-001</t>
  </si>
  <si>
    <t>10681-001.001</t>
  </si>
  <si>
    <t>CITY OF HAMLIN</t>
  </si>
  <si>
    <t>0023159</t>
  </si>
  <si>
    <t>10491-002</t>
  </si>
  <si>
    <t>10491-002.001</t>
  </si>
  <si>
    <t>CITY OF HARLINGEN WATERWORKS SYSTEM</t>
  </si>
  <si>
    <t>0047929</t>
  </si>
  <si>
    <t>10490-003</t>
  </si>
  <si>
    <t>10490-003.001</t>
  </si>
  <si>
    <t>CITY OF GEORGETOWN</t>
  </si>
  <si>
    <t>0119172</t>
  </si>
  <si>
    <t>10489-006</t>
  </si>
  <si>
    <t>10489-006.001</t>
  </si>
  <si>
    <t>0114006</t>
  </si>
  <si>
    <t>10489-005</t>
  </si>
  <si>
    <t>10489-005.001</t>
  </si>
  <si>
    <t>0101281</t>
  </si>
  <si>
    <t>10489-003</t>
  </si>
  <si>
    <t>10489-003.001</t>
  </si>
  <si>
    <t>0022667</t>
  </si>
  <si>
    <t>10489-002</t>
  </si>
  <si>
    <t>10489-002.001</t>
  </si>
  <si>
    <t>00443-000.010</t>
  </si>
  <si>
    <t>CITY OF GONZALES</t>
  </si>
  <si>
    <t>0027243</t>
  </si>
  <si>
    <t>10488-001</t>
  </si>
  <si>
    <t>10488-001.001</t>
  </si>
  <si>
    <t>CITY OF GRAHAM</t>
  </si>
  <si>
    <t>0024635</t>
  </si>
  <si>
    <t>10487-001</t>
  </si>
  <si>
    <t>10487-001.001</t>
  </si>
  <si>
    <t>CITY OF GRAPEVINE</t>
  </si>
  <si>
    <t>0032018</t>
  </si>
  <si>
    <t>10486-002</t>
  </si>
  <si>
    <t>10486-002.001</t>
  </si>
  <si>
    <t>CITY OF GREENVILLE</t>
  </si>
  <si>
    <t>0055611</t>
  </si>
  <si>
    <t>10485-002</t>
  </si>
  <si>
    <t>10485-002.001</t>
  </si>
  <si>
    <t>CITY OF MISSION</t>
  </si>
  <si>
    <t>0070017</t>
  </si>
  <si>
    <t>10484-001</t>
  </si>
  <si>
    <t>10484-001.001</t>
  </si>
  <si>
    <t>CITY OF NEDERLAND</t>
  </si>
  <si>
    <t>0026476</t>
  </si>
  <si>
    <t>10483-002</t>
  </si>
  <si>
    <t>10483-002.001</t>
  </si>
  <si>
    <t>0026018</t>
  </si>
  <si>
    <t>10482-001</t>
  </si>
  <si>
    <t>10482-001.001</t>
  </si>
  <si>
    <t>NORTH TEXAS MUNICIPAL WATER DIST</t>
  </si>
  <si>
    <t>0002143</t>
  </si>
  <si>
    <t>10481-001</t>
  </si>
  <si>
    <t>10481-001.001</t>
  </si>
  <si>
    <t>CITY OF PARIS</t>
  </si>
  <si>
    <t>0027910</t>
  </si>
  <si>
    <t>10479-002</t>
  </si>
  <si>
    <t>10479-002.001</t>
  </si>
  <si>
    <t>0075931</t>
  </si>
  <si>
    <t>10479-001</t>
  </si>
  <si>
    <t>10479-001.001</t>
  </si>
  <si>
    <t>CITY OF PORTLAND</t>
  </si>
  <si>
    <t>0055433</t>
  </si>
  <si>
    <t>10478-001</t>
  </si>
  <si>
    <t>10478-001.001</t>
  </si>
  <si>
    <t>CITY OF RIO HONDO</t>
  </si>
  <si>
    <t>0027782</t>
  </si>
  <si>
    <t>10475-002</t>
  </si>
  <si>
    <t>10475-002.001</t>
  </si>
  <si>
    <t>CITY OF STAMFORD</t>
  </si>
  <si>
    <t>0025411</t>
  </si>
  <si>
    <t>10472-002</t>
  </si>
  <si>
    <t>10472-002.001</t>
  </si>
  <si>
    <t>CITY OF STREETMAN</t>
  </si>
  <si>
    <t>0072338</t>
  </si>
  <si>
    <t>10471-001</t>
  </si>
  <si>
    <t>10471-001.001</t>
  </si>
  <si>
    <t>CITY OF TEMPLE</t>
  </si>
  <si>
    <t>0047651</t>
  </si>
  <si>
    <t>10470-002</t>
  </si>
  <si>
    <t>10470-002.001</t>
  </si>
  <si>
    <t>THROCKMORTON</t>
  </si>
  <si>
    <t>CITY OF THROCKMORTON</t>
  </si>
  <si>
    <t>0024856</t>
  </si>
  <si>
    <t>10469-002</t>
  </si>
  <si>
    <t>10469-002.001</t>
  </si>
  <si>
    <t>01820-000.003</t>
  </si>
  <si>
    <t>01820-000.002</t>
  </si>
  <si>
    <t>01820-000.001</t>
  </si>
  <si>
    <t>0063215</t>
  </si>
  <si>
    <t>01811-000</t>
  </si>
  <si>
    <t>01811-000.003</t>
  </si>
  <si>
    <t>01811-000.001</t>
  </si>
  <si>
    <t>01806-000.004</t>
  </si>
  <si>
    <t>01806-000.003</t>
  </si>
  <si>
    <t>01806-000.002</t>
  </si>
  <si>
    <t>01806-000.001</t>
  </si>
  <si>
    <t>MCWANE INC</t>
  </si>
  <si>
    <t>0001465</t>
  </si>
  <si>
    <t>01793-000</t>
  </si>
  <si>
    <t>01793-000.004</t>
  </si>
  <si>
    <t>01793-000.003</t>
  </si>
  <si>
    <t>01793-000.002</t>
  </si>
  <si>
    <t>01793-000.001</t>
  </si>
  <si>
    <t>0054500</t>
  </si>
  <si>
    <t>01784-000</t>
  </si>
  <si>
    <t>01784-000.001</t>
  </si>
  <si>
    <t>01768-000.003</t>
  </si>
  <si>
    <t>01768-000.002</t>
  </si>
  <si>
    <t>02614-000.001</t>
  </si>
  <si>
    <t>HOUSTON FMC-IREIC LLC AND FMC TECHNOLOGIES INC</t>
  </si>
  <si>
    <t>0029564</t>
  </si>
  <si>
    <t>02611-000</t>
  </si>
  <si>
    <t>02611-000.004</t>
  </si>
  <si>
    <t>02605-000.006</t>
  </si>
  <si>
    <t>02605-000.001</t>
  </si>
  <si>
    <t>THE LUBRIZOL CORP</t>
  </si>
  <si>
    <t>0091227</t>
  </si>
  <si>
    <t>02594-000</t>
  </si>
  <si>
    <t>02594-000.001</t>
  </si>
  <si>
    <t>SEADRIFT COKE LP</t>
  </si>
  <si>
    <t>0090948</t>
  </si>
  <si>
    <t>02586-000</t>
  </si>
  <si>
    <t>02586-000.003</t>
  </si>
  <si>
    <t>02586-000.002</t>
  </si>
  <si>
    <t>02586-000.001</t>
  </si>
  <si>
    <t>0090883</t>
  </si>
  <si>
    <t>02585-000</t>
  </si>
  <si>
    <t>02585-000.001</t>
  </si>
  <si>
    <t>HOLCIM (TEXAS) LP</t>
  </si>
  <si>
    <t>0090425</t>
  </si>
  <si>
    <t>02580-000</t>
  </si>
  <si>
    <t>02580-000.001</t>
  </si>
  <si>
    <t>PUBLIC SERVICE CO OF OKLAHOMA</t>
  </si>
  <si>
    <t>0087815</t>
  </si>
  <si>
    <t>02574-000</t>
  </si>
  <si>
    <t>02574-000.001</t>
  </si>
  <si>
    <t>0133671</t>
  </si>
  <si>
    <t>04996-000</t>
  </si>
  <si>
    <t>04996-000.001</t>
  </si>
  <si>
    <t>00531-000.010</t>
  </si>
  <si>
    <t>00531-000.009</t>
  </si>
  <si>
    <t>00531-000.008</t>
  </si>
  <si>
    <t>00531-000.007</t>
  </si>
  <si>
    <t>00531-000.006</t>
  </si>
  <si>
    <t>00531-000.005</t>
  </si>
  <si>
    <t>00531-000.004</t>
  </si>
  <si>
    <t>00531-000.003</t>
  </si>
  <si>
    <t>CITY OF LA JOYA</t>
  </si>
  <si>
    <t>0127337</t>
  </si>
  <si>
    <t>12675-001</t>
  </si>
  <si>
    <t>12675-001.001</t>
  </si>
  <si>
    <t>00531-000.002</t>
  </si>
  <si>
    <t>00531-000.001</t>
  </si>
  <si>
    <t>THE GOODYEAR TIRE &amp; RUBBER CO</t>
  </si>
  <si>
    <t>0003689</t>
  </si>
  <si>
    <t>00520-000</t>
  </si>
  <si>
    <t>00520-000.002</t>
  </si>
  <si>
    <t>00520-000.001</t>
  </si>
  <si>
    <t>0005061</t>
  </si>
  <si>
    <t>00519-000</t>
  </si>
  <si>
    <t>00519-000.001</t>
  </si>
  <si>
    <t>00511-000.002</t>
  </si>
  <si>
    <t>00511-000.001</t>
  </si>
  <si>
    <t>MCCARTY ROAD LANDFILL TX LP</t>
  </si>
  <si>
    <t>0119326</t>
  </si>
  <si>
    <t>04134-000</t>
  </si>
  <si>
    <t>04134-000.001</t>
  </si>
  <si>
    <t>04127-000.001</t>
  </si>
  <si>
    <t>SET ENVIRONMENTAL INC</t>
  </si>
  <si>
    <t>0119211</t>
  </si>
  <si>
    <t>04123-000</t>
  </si>
  <si>
    <t>04123-000-001</t>
  </si>
  <si>
    <t>AKZO NOBEL CHEMICALS LLC &amp; AKZO NOBEL FUNCTIONAL CHEMICALS LLC</t>
  </si>
  <si>
    <t>0006688</t>
  </si>
  <si>
    <t>04119-000</t>
  </si>
  <si>
    <t>04119-000.001</t>
  </si>
  <si>
    <t>CRESTCHEM LLC</t>
  </si>
  <si>
    <t>0098604</t>
  </si>
  <si>
    <t>04116-000</t>
  </si>
  <si>
    <t>04116-000.001</t>
  </si>
  <si>
    <t>MATHESON TRI-GAS INC</t>
  </si>
  <si>
    <t>0118745</t>
  </si>
  <si>
    <t>04112-000</t>
  </si>
  <si>
    <t>04112-000.001</t>
  </si>
  <si>
    <t>TENASKA GATEWAY PARTNERS LTD</t>
  </si>
  <si>
    <t>0118559</t>
  </si>
  <si>
    <t>04111-000</t>
  </si>
  <si>
    <t>04111-000.001</t>
  </si>
  <si>
    <t>0118389</t>
  </si>
  <si>
    <t>04092-000</t>
  </si>
  <si>
    <t>04092-000.002</t>
  </si>
  <si>
    <t>04092-000.001</t>
  </si>
  <si>
    <t>CLEAN HARBORS SAN LEON INC</t>
  </si>
  <si>
    <t>0117757</t>
  </si>
  <si>
    <t>04086-000</t>
  </si>
  <si>
    <t>04086-000.001</t>
  </si>
  <si>
    <t>CSA LIMITED INC</t>
  </si>
  <si>
    <t>0063878</t>
  </si>
  <si>
    <t>04084-000</t>
  </si>
  <si>
    <t>04084-000.002</t>
  </si>
  <si>
    <t>04084-000.001</t>
  </si>
  <si>
    <t>0116921</t>
  </si>
  <si>
    <t>04074-000</t>
  </si>
  <si>
    <t>04074-000.001</t>
  </si>
  <si>
    <t>ELLWOOD TEXAS FORGE NAVASOTA LLC</t>
  </si>
  <si>
    <t>0133728</t>
  </si>
  <si>
    <t>04999-000</t>
  </si>
  <si>
    <t>04999-000.001</t>
  </si>
  <si>
    <t>FRONTERA GENERATION LP</t>
  </si>
  <si>
    <t>0116785</t>
  </si>
  <si>
    <t>04051-000</t>
  </si>
  <si>
    <t>04051-000.001</t>
  </si>
  <si>
    <t>CITY OF PORT NECHES</t>
  </si>
  <si>
    <t>0022926</t>
  </si>
  <si>
    <t>10477-004</t>
  </si>
  <si>
    <t>10477-004.001</t>
  </si>
  <si>
    <t>LAKE MUD</t>
  </si>
  <si>
    <t>0127728</t>
  </si>
  <si>
    <t>14598-001</t>
  </si>
  <si>
    <t>14598-001.001</t>
  </si>
  <si>
    <t>CITY OF CALVERT</t>
  </si>
  <si>
    <t>0054020</t>
  </si>
  <si>
    <t>10095-001</t>
  </si>
  <si>
    <t>10095-001.001</t>
  </si>
  <si>
    <t>CITY OF GROVES</t>
  </si>
  <si>
    <t>0117960</t>
  </si>
  <si>
    <t>10094-004</t>
  </si>
  <si>
    <t>10094-004.001</t>
  </si>
  <si>
    <t>CITY OF GREGORY</t>
  </si>
  <si>
    <t>0083062</t>
  </si>
  <si>
    <t>10092-001</t>
  </si>
  <si>
    <t>10092-001.001</t>
  </si>
  <si>
    <t>EXPLORER PIPELINE COMPANY</t>
  </si>
  <si>
    <t>0133141</t>
  </si>
  <si>
    <t>04965-000</t>
  </si>
  <si>
    <t>04965-000.001</t>
  </si>
  <si>
    <t>COLLIN PARK MARINA INC</t>
  </si>
  <si>
    <t>0057959</t>
  </si>
  <si>
    <t>12051-001</t>
  </si>
  <si>
    <t>12051-001.001</t>
  </si>
  <si>
    <t>0078565</t>
  </si>
  <si>
    <t>12047-001</t>
  </si>
  <si>
    <t>12047-001.001</t>
  </si>
  <si>
    <t>HARRIS COUNTY MUD 368</t>
  </si>
  <si>
    <t>0078433</t>
  </si>
  <si>
    <t>12044-001</t>
  </si>
  <si>
    <t>12044-001.001</t>
  </si>
  <si>
    <t>GALVESTON COUNTY WCID NO 12</t>
  </si>
  <si>
    <t>0078441</t>
  </si>
  <si>
    <t>12039-001</t>
  </si>
  <si>
    <t>12039-001.001</t>
  </si>
  <si>
    <t>RAYFORD ROAD MUD</t>
  </si>
  <si>
    <t>0078263</t>
  </si>
  <si>
    <t>12030-001</t>
  </si>
  <si>
    <t>12030-001.001</t>
  </si>
  <si>
    <t>BILMA PUD</t>
  </si>
  <si>
    <t>0077941</t>
  </si>
  <si>
    <t>12025-002</t>
  </si>
  <si>
    <t>12025-002.001</t>
  </si>
  <si>
    <t>0077291</t>
  </si>
  <si>
    <t>12024-001</t>
  </si>
  <si>
    <t>12024-001.001</t>
  </si>
  <si>
    <t>CANEY CREEK UTILITIES INC</t>
  </si>
  <si>
    <t>0077763</t>
  </si>
  <si>
    <t>12023-001</t>
  </si>
  <si>
    <t>12023-001.001</t>
  </si>
  <si>
    <t>MANITOU LTD INC</t>
  </si>
  <si>
    <t>0077526</t>
  </si>
  <si>
    <t>12015-001</t>
  </si>
  <si>
    <t>12015-001.001</t>
  </si>
  <si>
    <t>NEEDVILLE ISD</t>
  </si>
  <si>
    <t>0077470</t>
  </si>
  <si>
    <t>12010-001</t>
  </si>
  <si>
    <t>12010-001.001</t>
  </si>
  <si>
    <t>0077399</t>
  </si>
  <si>
    <t>12009-001</t>
  </si>
  <si>
    <t>12009-001.001</t>
  </si>
  <si>
    <t>LEE COUNTY FWSD NO 1</t>
  </si>
  <si>
    <t>0077429</t>
  </si>
  <si>
    <t>12007-001</t>
  </si>
  <si>
    <t>12007-001.001</t>
  </si>
  <si>
    <t>FORT BEND COUNTY MUD 25</t>
  </si>
  <si>
    <t>0077178</t>
  </si>
  <si>
    <t>12003-001</t>
  </si>
  <si>
    <t>12003-001.001</t>
  </si>
  <si>
    <t>0077062</t>
  </si>
  <si>
    <t>12000-001</t>
  </si>
  <si>
    <t>12000-001.001</t>
  </si>
  <si>
    <t>01021-000.002</t>
  </si>
  <si>
    <t>00509-000.009</t>
  </si>
  <si>
    <t>00509-000.003</t>
  </si>
  <si>
    <t>WESTROCK TEXAS LP</t>
  </si>
  <si>
    <t>0003891</t>
  </si>
  <si>
    <t>00493-000</t>
  </si>
  <si>
    <t>00493-000.002</t>
  </si>
  <si>
    <t>00493-000.001</t>
  </si>
  <si>
    <t>ALBEMARLE CORP</t>
  </si>
  <si>
    <t>0004731</t>
  </si>
  <si>
    <t>00492-000</t>
  </si>
  <si>
    <t>00492-000.004</t>
  </si>
  <si>
    <t>00492-000.003</t>
  </si>
  <si>
    <t>00492-000.001</t>
  </si>
  <si>
    <t>00491-000.005</t>
  </si>
  <si>
    <t>00491-000.004</t>
  </si>
  <si>
    <t>00491-000.003</t>
  </si>
  <si>
    <t>00491-000.002</t>
  </si>
  <si>
    <t>00491-000.001</t>
  </si>
  <si>
    <t>KIRBY INLAND MARINE LP</t>
  </si>
  <si>
    <t>0133604</t>
  </si>
  <si>
    <t>04992-000</t>
  </si>
  <si>
    <t>04992-000.013</t>
  </si>
  <si>
    <t>SASOL CHEMICALS USA LLC</t>
  </si>
  <si>
    <t>0005584</t>
  </si>
  <si>
    <t>00485-000</t>
  </si>
  <si>
    <t>00485-000.005</t>
  </si>
  <si>
    <t>0132926</t>
  </si>
  <si>
    <t>11324-002</t>
  </si>
  <si>
    <t>11324-002.001</t>
  </si>
  <si>
    <t>RIO GRANDE MINING CO</t>
  </si>
  <si>
    <t>0132624</t>
  </si>
  <si>
    <t>04297-000</t>
  </si>
  <si>
    <t>04297-000.001</t>
  </si>
  <si>
    <t>SKYMARK DEVELOPMENT CO INC</t>
  </si>
  <si>
    <t>0132896</t>
  </si>
  <si>
    <t>14992-001</t>
  </si>
  <si>
    <t>14992-001.001</t>
  </si>
  <si>
    <t>0132845</t>
  </si>
  <si>
    <t>14989-001</t>
  </si>
  <si>
    <t>14989-001.001</t>
  </si>
  <si>
    <t>THE SABINE MINING COMPANY</t>
  </si>
  <si>
    <t>0132683</t>
  </si>
  <si>
    <t>04933-000</t>
  </si>
  <si>
    <t>04933-000.001</t>
  </si>
  <si>
    <t>0068276</t>
  </si>
  <si>
    <t>11718-001</t>
  </si>
  <si>
    <t>11718-001.001</t>
  </si>
  <si>
    <t>CITY OF HALLSVILLE</t>
  </si>
  <si>
    <t>0026921</t>
  </si>
  <si>
    <t>10460-001</t>
  </si>
  <si>
    <t>10460-001.001</t>
  </si>
  <si>
    <t>0071579</t>
  </si>
  <si>
    <t>10964-001</t>
  </si>
  <si>
    <t>10964-001.001</t>
  </si>
  <si>
    <t>CITY OF LEFORS</t>
  </si>
  <si>
    <t>0022586</t>
  </si>
  <si>
    <t>10411-001</t>
  </si>
  <si>
    <t>10411-001.001</t>
  </si>
  <si>
    <t>CITY OF QUITMAN</t>
  </si>
  <si>
    <t>0022748</t>
  </si>
  <si>
    <t>10254-001</t>
  </si>
  <si>
    <t>10254-001.001</t>
  </si>
  <si>
    <t>10303-001.002</t>
  </si>
  <si>
    <t>NORTHWEST HARRIS COUNTY MUD 16</t>
  </si>
  <si>
    <t>0075981</t>
  </si>
  <si>
    <t>11935-001</t>
  </si>
  <si>
    <t>11935-001.001</t>
  </si>
  <si>
    <t>WEST HARRIS COUNTY MUD 7</t>
  </si>
  <si>
    <t>0079618</t>
  </si>
  <si>
    <t>12140-001</t>
  </si>
  <si>
    <t>12140-001.001</t>
  </si>
  <si>
    <t>HARRIS COUNTY MUD 149</t>
  </si>
  <si>
    <t>0091626</t>
  </si>
  <si>
    <t>11836-001</t>
  </si>
  <si>
    <t>11836-001.001</t>
  </si>
  <si>
    <t>LUMINANT MINING COMPANY LLC</t>
  </si>
  <si>
    <t>0071081</t>
  </si>
  <si>
    <t>04122-000</t>
  </si>
  <si>
    <t>04122-000.001</t>
  </si>
  <si>
    <t>JP ENERGY CADDO LLC</t>
  </si>
  <si>
    <t>0118125</t>
  </si>
  <si>
    <t>02837-000</t>
  </si>
  <si>
    <t>02837-000.003</t>
  </si>
  <si>
    <t>02837-000.002</t>
  </si>
  <si>
    <t>02837-000.001</t>
  </si>
  <si>
    <t>CITY OF BIG SANDY</t>
  </si>
  <si>
    <t>0033308</t>
  </si>
  <si>
    <t>14071-001</t>
  </si>
  <si>
    <t>14071-001.001</t>
  </si>
  <si>
    <t>GULFLANDER PARTNERS GROUP LP</t>
  </si>
  <si>
    <t>0106437</t>
  </si>
  <si>
    <t>13488-001</t>
  </si>
  <si>
    <t>13488-001.001</t>
  </si>
  <si>
    <t>US DEPARTMENT OF THE AIR FORCE</t>
  </si>
  <si>
    <t>0035211</t>
  </si>
  <si>
    <t>12512-001</t>
  </si>
  <si>
    <t>12512-001.001</t>
  </si>
  <si>
    <t>MONTGOMERY COUNTY MUD 19</t>
  </si>
  <si>
    <t>0076538</t>
  </si>
  <si>
    <t>11970-001</t>
  </si>
  <si>
    <t>11970-001.001</t>
  </si>
  <si>
    <t>PCS DEVELOPMENT CO</t>
  </si>
  <si>
    <t>0074250</t>
  </si>
  <si>
    <t>11916-001</t>
  </si>
  <si>
    <t>11916-001.001</t>
  </si>
  <si>
    <t>0069311</t>
  </si>
  <si>
    <t>10589-003</t>
  </si>
  <si>
    <t>10589-003.001</t>
  </si>
  <si>
    <t>2103</t>
  </si>
  <si>
    <t>CITY OF GEORGE WEST</t>
  </si>
  <si>
    <t>0132799</t>
  </si>
  <si>
    <t>10455-002</t>
  </si>
  <si>
    <t>10455-002.001</t>
  </si>
  <si>
    <t>10399-002.002</t>
  </si>
  <si>
    <t>CITY OF FLORESVILLE</t>
  </si>
  <si>
    <t>0056227</t>
  </si>
  <si>
    <t>10085-001</t>
  </si>
  <si>
    <t>10085-001.001</t>
  </si>
  <si>
    <t>JMH HOMES-HOUSTON LLC</t>
  </si>
  <si>
    <t>0132365</t>
  </si>
  <si>
    <t>14987-001</t>
  </si>
  <si>
    <t>14987-001.001</t>
  </si>
  <si>
    <t>COUNTRY TERRACE WATER CO INC</t>
  </si>
  <si>
    <t>0076082</t>
  </si>
  <si>
    <t>11955-001</t>
  </si>
  <si>
    <t>11955-001.001</t>
  </si>
  <si>
    <t>HARRIS COUNTY MUD 208</t>
  </si>
  <si>
    <t>0075884</t>
  </si>
  <si>
    <t>11947-001</t>
  </si>
  <si>
    <t>11947-001.001</t>
  </si>
  <si>
    <t>HARRIS COUNTY MUD 58</t>
  </si>
  <si>
    <t>0074322</t>
  </si>
  <si>
    <t>11941-001</t>
  </si>
  <si>
    <t>11941-001.001</t>
  </si>
  <si>
    <t>NORTHWEST HARRIS COUNTY MUD NO 15</t>
  </si>
  <si>
    <t>0075795</t>
  </si>
  <si>
    <t>11939-001</t>
  </si>
  <si>
    <t>11939-001.001</t>
  </si>
  <si>
    <t>WOODCREEK MUD</t>
  </si>
  <si>
    <t>0075671</t>
  </si>
  <si>
    <t>11933-001</t>
  </si>
  <si>
    <t>11933-001.001</t>
  </si>
  <si>
    <t>0074853</t>
  </si>
  <si>
    <t>11931-001</t>
  </si>
  <si>
    <t>11931-001.001</t>
  </si>
  <si>
    <t>HARRIS COUNTY MUD NO 104</t>
  </si>
  <si>
    <t>0074632</t>
  </si>
  <si>
    <t>11925-001</t>
  </si>
  <si>
    <t>11925-001.001</t>
  </si>
  <si>
    <t>0102296</t>
  </si>
  <si>
    <t>04330-000</t>
  </si>
  <si>
    <t>04330-000.002</t>
  </si>
  <si>
    <t>04330-000.001</t>
  </si>
  <si>
    <t>0124249</t>
  </si>
  <si>
    <t>04327-000</t>
  </si>
  <si>
    <t>04327-000.002</t>
  </si>
  <si>
    <t>04327-000.001</t>
  </si>
  <si>
    <t>POSSUM KINGDOM WSC</t>
  </si>
  <si>
    <t>0122297</t>
  </si>
  <si>
    <t>04325-000</t>
  </si>
  <si>
    <t>04325-000.001</t>
  </si>
  <si>
    <t>TEXAS PARKS AND WILDLIFE DEPT</t>
  </si>
  <si>
    <t>0124087</t>
  </si>
  <si>
    <t>14972-001</t>
  </si>
  <si>
    <t>14972-001.001</t>
  </si>
  <si>
    <t>04306-000.001</t>
  </si>
  <si>
    <t>0123978</t>
  </si>
  <si>
    <t>04301-000</t>
  </si>
  <si>
    <t>04301-000.001</t>
  </si>
  <si>
    <t>CITY OF LADONIA</t>
  </si>
  <si>
    <t>0057011</t>
  </si>
  <si>
    <t>14673-001</t>
  </si>
  <si>
    <t>14673-001.001</t>
  </si>
  <si>
    <t>FREESTONE POWER GENERATION LLC; CALPINE OPERATING SERVICES CO INC</t>
  </si>
  <si>
    <t>0123935</t>
  </si>
  <si>
    <t>04298-000</t>
  </si>
  <si>
    <t>04298-000.001</t>
  </si>
  <si>
    <t>HOLIDAY BEACH WSC</t>
  </si>
  <si>
    <t>0123871</t>
  </si>
  <si>
    <t>04290-000</t>
  </si>
  <si>
    <t>04290-000.001</t>
  </si>
  <si>
    <t>WOLF HOLLOW SERVICES LLC</t>
  </si>
  <si>
    <t>0123820</t>
  </si>
  <si>
    <t>04288-000</t>
  </si>
  <si>
    <t>04288-000.001</t>
  </si>
  <si>
    <t>0128864</t>
  </si>
  <si>
    <t>11282-001</t>
  </si>
  <si>
    <t>11282-001.001</t>
  </si>
  <si>
    <t>WARREN ISD</t>
  </si>
  <si>
    <t>0076015</t>
  </si>
  <si>
    <t>11307-001</t>
  </si>
  <si>
    <t>11307-001.001</t>
  </si>
  <si>
    <t>0076465</t>
  </si>
  <si>
    <t>02699-000</t>
  </si>
  <si>
    <t>02699-000.001</t>
  </si>
  <si>
    <t>JACK A FUSCO ENERGY CENTER LLC; CALPINE OPERATING SERVICES CO INC</t>
  </si>
  <si>
    <t>0123510</t>
  </si>
  <si>
    <t>04258-000</t>
  </si>
  <si>
    <t>04258-000.001</t>
  </si>
  <si>
    <t>STEELY LUMBER CO INC</t>
  </si>
  <si>
    <t>0123421</t>
  </si>
  <si>
    <t>04249-000</t>
  </si>
  <si>
    <t>04249-000.001</t>
  </si>
  <si>
    <t>SOUTHERN FOREST PRODUCTS LLC</t>
  </si>
  <si>
    <t>0123200</t>
  </si>
  <si>
    <t>04241-000</t>
  </si>
  <si>
    <t>04241-000.001</t>
  </si>
  <si>
    <t>COTTONWOOD ENERGY CO LP</t>
  </si>
  <si>
    <t>0122980</t>
  </si>
  <si>
    <t>04230-000</t>
  </si>
  <si>
    <t>04230-000.001</t>
  </si>
  <si>
    <t>BASTROP ENERGY PARTNERS LP</t>
  </si>
  <si>
    <t>0121762</t>
  </si>
  <si>
    <t>04211-000</t>
  </si>
  <si>
    <t>04211-000.001</t>
  </si>
  <si>
    <t>FOREMARK PERFORMANCE CHEMICALS INC</t>
  </si>
  <si>
    <t>0122335</t>
  </si>
  <si>
    <t>04201-000</t>
  </si>
  <si>
    <t>04201-000.001</t>
  </si>
  <si>
    <t>CAL-TEX LUMBER CO INC</t>
  </si>
  <si>
    <t>0121053</t>
  </si>
  <si>
    <t>04198-000</t>
  </si>
  <si>
    <t>04198-000.001</t>
  </si>
  <si>
    <t>FORT BEND COUNTY MUD 190</t>
  </si>
  <si>
    <t>0129518</t>
  </si>
  <si>
    <t>14793-001</t>
  </si>
  <si>
    <t>14793-001.001</t>
  </si>
  <si>
    <t>0129488</t>
  </si>
  <si>
    <t>04823-000</t>
  </si>
  <si>
    <t>04823-000.001</t>
  </si>
  <si>
    <t>10521-002.002</t>
  </si>
  <si>
    <t>1257</t>
  </si>
  <si>
    <t>CALPINE BOSQUE ENERGY CENTER LLC AND CALPINE OPERATING SERVICES CO INC</t>
  </si>
  <si>
    <t>0119890</t>
  </si>
  <si>
    <t>04167-000</t>
  </si>
  <si>
    <t>04167-000.001</t>
  </si>
  <si>
    <t>FPG CT OWNER LP</t>
  </si>
  <si>
    <t>0119784</t>
  </si>
  <si>
    <t>04161-000</t>
  </si>
  <si>
    <t>04161-000.001</t>
  </si>
  <si>
    <t>CORPUS CHRISTI COGENERATION LLC &amp; CALPINE OPERATING SERVICES CO INC</t>
  </si>
  <si>
    <t>0119725</t>
  </si>
  <si>
    <t>04158-000</t>
  </si>
  <si>
    <t>04158-000.001</t>
  </si>
  <si>
    <t>MAVERICK COUNTY WCID 1</t>
  </si>
  <si>
    <t>0119580</t>
  </si>
  <si>
    <t>04149-000</t>
  </si>
  <si>
    <t>04149-000.001</t>
  </si>
  <si>
    <t>CALPINE HIDALGO ENERGY CEN; CALPINE OP SERV CO; BROWNSVILLE PUB</t>
  </si>
  <si>
    <t>0119423</t>
  </si>
  <si>
    <t>04138-000</t>
  </si>
  <si>
    <t>04138-000.001</t>
  </si>
  <si>
    <t>BASF TOTAL PETROCHEMICALS LLC</t>
  </si>
  <si>
    <t>0119369</t>
  </si>
  <si>
    <t>04135-000</t>
  </si>
  <si>
    <t>04135-000.002</t>
  </si>
  <si>
    <t>04135-000.001</t>
  </si>
  <si>
    <t>04134-000.002</t>
  </si>
  <si>
    <t>HARRIS COUNTY WCID NO 21</t>
  </si>
  <si>
    <t>0022756</t>
  </si>
  <si>
    <t>10105-001</t>
  </si>
  <si>
    <t>10105-001.001</t>
  </si>
  <si>
    <t>HARRIS COUNTY WCID NO 1</t>
  </si>
  <si>
    <t>0023311</t>
  </si>
  <si>
    <t>10104-001</t>
  </si>
  <si>
    <t>10104-001.001</t>
  </si>
  <si>
    <t>CITY OF GOREE</t>
  </si>
  <si>
    <t>0054976</t>
  </si>
  <si>
    <t>10102-001</t>
  </si>
  <si>
    <t>10102-001.001</t>
  </si>
  <si>
    <t>CITY OF FLATONIA</t>
  </si>
  <si>
    <t>0023183</t>
  </si>
  <si>
    <t>10101-001</t>
  </si>
  <si>
    <t>10101-001.001</t>
  </si>
  <si>
    <t>CITY OF ELGIN</t>
  </si>
  <si>
    <t>0073946</t>
  </si>
  <si>
    <t>10100-001</t>
  </si>
  <si>
    <t>10100-001.001</t>
  </si>
  <si>
    <t>0105</t>
  </si>
  <si>
    <t>HARTLEY</t>
  </si>
  <si>
    <t>CITY OF DALHART</t>
  </si>
  <si>
    <t>0057207</t>
  </si>
  <si>
    <t>10099-001</t>
  </si>
  <si>
    <t>10099-001.001</t>
  </si>
  <si>
    <t>CITY OF CRYSTAL CITY</t>
  </si>
  <si>
    <t>0053392</t>
  </si>
  <si>
    <t>10098-001</t>
  </si>
  <si>
    <t>10098-001.001</t>
  </si>
  <si>
    <t>CITY OF LYTLE</t>
  </si>
  <si>
    <t>0057509</t>
  </si>
  <si>
    <t>10096-001</t>
  </si>
  <si>
    <t>10096-001.001</t>
  </si>
  <si>
    <t>0047180</t>
  </si>
  <si>
    <t>10027-003</t>
  </si>
  <si>
    <t>10027-003.001</t>
  </si>
  <si>
    <t>0837</t>
  </si>
  <si>
    <t>CITY OF DAWSON</t>
  </si>
  <si>
    <t>0053449</t>
  </si>
  <si>
    <t>10026-001</t>
  </si>
  <si>
    <t>10026-001.001</t>
  </si>
  <si>
    <t>CITY OF COLUMBUS</t>
  </si>
  <si>
    <t>0116084</t>
  </si>
  <si>
    <t>10025-002</t>
  </si>
  <si>
    <t>10025-002.001</t>
  </si>
  <si>
    <t>SUNOCO PARTNERS MARKETING &amp; TERMINAL LP</t>
  </si>
  <si>
    <t>0005746</t>
  </si>
  <si>
    <t>01151-000</t>
  </si>
  <si>
    <t>01151-000.001</t>
  </si>
  <si>
    <t>WRB REFINING LLC AND CONOCO PHILLIPS CO</t>
  </si>
  <si>
    <t>0009148</t>
  </si>
  <si>
    <t>01064-000</t>
  </si>
  <si>
    <t>01064-000.016</t>
  </si>
  <si>
    <t>01064-000.015</t>
  </si>
  <si>
    <t>01064-000.014</t>
  </si>
  <si>
    <t>01064-000.013</t>
  </si>
  <si>
    <t>01064-000.012</t>
  </si>
  <si>
    <t>01064-000.011</t>
  </si>
  <si>
    <t>01064-000.010</t>
  </si>
  <si>
    <t>01064-000.009</t>
  </si>
  <si>
    <t>01064-000.008</t>
  </si>
  <si>
    <t>01064-000.007</t>
  </si>
  <si>
    <t>01064-000.006</t>
  </si>
  <si>
    <t>01064-000.005</t>
  </si>
  <si>
    <t>01064-000.004</t>
  </si>
  <si>
    <t>01064-000.003</t>
  </si>
  <si>
    <t>01064-000.002</t>
  </si>
  <si>
    <t>01064-000.001</t>
  </si>
  <si>
    <t>ZXP TECHNOLOGIES LLC</t>
  </si>
  <si>
    <t>0006173</t>
  </si>
  <si>
    <t>01062-000</t>
  </si>
  <si>
    <t>01062-000.001</t>
  </si>
  <si>
    <t>MARTIN PRODUCT SALES LLC</t>
  </si>
  <si>
    <t>0005479</t>
  </si>
  <si>
    <t>01058-000</t>
  </si>
  <si>
    <t>01058-000.001</t>
  </si>
  <si>
    <t>GULF COAST WASTE DISPOSAL AUTHORITY</t>
  </si>
  <si>
    <t>0005380</t>
  </si>
  <si>
    <t>01054-000</t>
  </si>
  <si>
    <t>01054-000.001</t>
  </si>
  <si>
    <t>0006408</t>
  </si>
  <si>
    <t>01039-000</t>
  </si>
  <si>
    <t>01039-000.001</t>
  </si>
  <si>
    <t>0006394</t>
  </si>
  <si>
    <t>01038-000</t>
  </si>
  <si>
    <t>01038-000.006</t>
  </si>
  <si>
    <t>01021-000.001</t>
  </si>
  <si>
    <t>CAMPBELL SOUP SUPPLY CO LLC</t>
  </si>
  <si>
    <t>0008982</t>
  </si>
  <si>
    <t>01012-000</t>
  </si>
  <si>
    <t>01012-000.001</t>
  </si>
  <si>
    <t>0125865</t>
  </si>
  <si>
    <t>14439-001</t>
  </si>
  <si>
    <t>14439-001.001</t>
  </si>
  <si>
    <t>THE COLONY MUD 1A</t>
  </si>
  <si>
    <t>0125741</t>
  </si>
  <si>
    <t>14427-001</t>
  </si>
  <si>
    <t>14427-001.001</t>
  </si>
  <si>
    <t>01006-000.003</t>
  </si>
  <si>
    <t>01006-000.002</t>
  </si>
  <si>
    <t>01006-000.001</t>
  </si>
  <si>
    <t>0007421</t>
  </si>
  <si>
    <t>01000-000</t>
  </si>
  <si>
    <t>01000-000.002</t>
  </si>
  <si>
    <t>01000-000.001</t>
  </si>
  <si>
    <t>00990-000.012</t>
  </si>
  <si>
    <t>WALLER COUNTY RID 1</t>
  </si>
  <si>
    <t>0127264</t>
  </si>
  <si>
    <t>14571-001</t>
  </si>
  <si>
    <t>14571-001.001</t>
  </si>
  <si>
    <t>CITY OF CLARKSVILLE CITY</t>
  </si>
  <si>
    <t>0127272</t>
  </si>
  <si>
    <t>14572-001</t>
  </si>
  <si>
    <t>14572-001.001</t>
  </si>
  <si>
    <t>00990-000.009</t>
  </si>
  <si>
    <t>00990-000.006</t>
  </si>
  <si>
    <t>00990-000.005</t>
  </si>
  <si>
    <t>00990-000.003</t>
  </si>
  <si>
    <t>0133710</t>
  </si>
  <si>
    <t>04998-000</t>
  </si>
  <si>
    <t>04998-000.001</t>
  </si>
  <si>
    <t>LAKE SOUTH WSC</t>
  </si>
  <si>
    <t>0088447</t>
  </si>
  <si>
    <t>12439-001</t>
  </si>
  <si>
    <t>12439-001.001</t>
  </si>
  <si>
    <t>AIVAZIAN GEORGE</t>
  </si>
  <si>
    <t>0088218</t>
  </si>
  <si>
    <t>12427-001</t>
  </si>
  <si>
    <t>12427-001.001</t>
  </si>
  <si>
    <t>ORBIT SYSTEMS INC</t>
  </si>
  <si>
    <t>0088366</t>
  </si>
  <si>
    <t>12420-001</t>
  </si>
  <si>
    <t>12420-001.001</t>
  </si>
  <si>
    <t>WALNUT COVE WSC</t>
  </si>
  <si>
    <t>0088137</t>
  </si>
  <si>
    <t>12416-001</t>
  </si>
  <si>
    <t>12416-001.001</t>
  </si>
  <si>
    <t>STONETOWN WOODGATE LLC</t>
  </si>
  <si>
    <t>0088102</t>
  </si>
  <si>
    <t>12414-001</t>
  </si>
  <si>
    <t>12414-001.001</t>
  </si>
  <si>
    <t>TERRA VERDE UTILITY CO LLC</t>
  </si>
  <si>
    <t>0086053</t>
  </si>
  <si>
    <t>14901-001</t>
  </si>
  <si>
    <t>14901-001.001</t>
  </si>
  <si>
    <t>RITA LAURA REDOW KARBALAI</t>
  </si>
  <si>
    <t>0087785</t>
  </si>
  <si>
    <t>12399-001</t>
  </si>
  <si>
    <t>12399-001.001</t>
  </si>
  <si>
    <t>GBW RAILCAR SERVICES LLC</t>
  </si>
  <si>
    <t>0087661</t>
  </si>
  <si>
    <t>12390-001</t>
  </si>
  <si>
    <t>12390-001.001</t>
  </si>
  <si>
    <t>0213</t>
  </si>
  <si>
    <t>CITY OF MEGARGEL</t>
  </si>
  <si>
    <t>0092541</t>
  </si>
  <si>
    <t>12389-001</t>
  </si>
  <si>
    <t>12389-001.001</t>
  </si>
  <si>
    <t>0087491</t>
  </si>
  <si>
    <t>12386-001</t>
  </si>
  <si>
    <t>12386-001.001</t>
  </si>
  <si>
    <t>J&amp;S WATER CO LLC</t>
  </si>
  <si>
    <t>0087475</t>
  </si>
  <si>
    <t>12382-001</t>
  </si>
  <si>
    <t>12382-001.001</t>
  </si>
  <si>
    <t>NORTH MISSION GLEN MUD</t>
  </si>
  <si>
    <t>0087271</t>
  </si>
  <si>
    <t>12379-001</t>
  </si>
  <si>
    <t>12379-001.001</t>
  </si>
  <si>
    <t>0022900</t>
  </si>
  <si>
    <t>10025-001</t>
  </si>
  <si>
    <t>10025-001.001</t>
  </si>
  <si>
    <t>0047163</t>
  </si>
  <si>
    <t>10024-006</t>
  </si>
  <si>
    <t>10024-006.001</t>
  </si>
  <si>
    <t>0093262</t>
  </si>
  <si>
    <t>10024-003</t>
  </si>
  <si>
    <t>10024-003.001</t>
  </si>
  <si>
    <t>CITY OF CHICO</t>
  </si>
  <si>
    <t>0023787</t>
  </si>
  <si>
    <t>10023-001</t>
  </si>
  <si>
    <t>10023-001.001</t>
  </si>
  <si>
    <t>CITY OF BUFFALO</t>
  </si>
  <si>
    <t>0053627</t>
  </si>
  <si>
    <t>10022-001</t>
  </si>
  <si>
    <t>10022-001.001</t>
  </si>
  <si>
    <t>CITY OF ELECTRA</t>
  </si>
  <si>
    <t>0026964</t>
  </si>
  <si>
    <t>10020-001</t>
  </si>
  <si>
    <t>10020-001.001</t>
  </si>
  <si>
    <t>CITY OF LA GRANGE</t>
  </si>
  <si>
    <t>0020923</t>
  </si>
  <si>
    <t>10019-001</t>
  </si>
  <si>
    <t>10019-001.001</t>
  </si>
  <si>
    <t>CITY OF LOTT</t>
  </si>
  <si>
    <t>0053376</t>
  </si>
  <si>
    <t>10017-001</t>
  </si>
  <si>
    <t>10017-001.001</t>
  </si>
  <si>
    <t>CITY OF LEXINGTON</t>
  </si>
  <si>
    <t>0054429</t>
  </si>
  <si>
    <t>10016-001</t>
  </si>
  <si>
    <t>10016-001.001</t>
  </si>
  <si>
    <t>CITY OF MATHIS</t>
  </si>
  <si>
    <t>0020419</t>
  </si>
  <si>
    <t>10015-001</t>
  </si>
  <si>
    <t>10015-001.001</t>
  </si>
  <si>
    <t>CITY OF HALLETTSVILLE</t>
  </si>
  <si>
    <t>0025232</t>
  </si>
  <si>
    <t>10013-001</t>
  </si>
  <si>
    <t>10013-001.001</t>
  </si>
  <si>
    <t>CITY OF GANADO</t>
  </si>
  <si>
    <t>0026026</t>
  </si>
  <si>
    <t>10010-001</t>
  </si>
  <si>
    <t>10010-001.001</t>
  </si>
  <si>
    <t>0024911</t>
  </si>
  <si>
    <t>10009-001</t>
  </si>
  <si>
    <t>10009-001.001</t>
  </si>
  <si>
    <t>04988-000.009</t>
  </si>
  <si>
    <t>01176-000.001</t>
  </si>
  <si>
    <t>0003239</t>
  </si>
  <si>
    <t>01173-000</t>
  </si>
  <si>
    <t>01173-000.001</t>
  </si>
  <si>
    <t>BASF CORPORATION</t>
  </si>
  <si>
    <t>0003671</t>
  </si>
  <si>
    <t>01169-000</t>
  </si>
  <si>
    <t>01169-000.003</t>
  </si>
  <si>
    <t>01169-000.002</t>
  </si>
  <si>
    <t>04696-000.004</t>
  </si>
  <si>
    <t>0128121</t>
  </si>
  <si>
    <t>14638-001</t>
  </si>
  <si>
    <t>14638-001.001</t>
  </si>
  <si>
    <t>01169-000.001</t>
  </si>
  <si>
    <t>LANXESS CORP</t>
  </si>
  <si>
    <t>0003654</t>
  </si>
  <si>
    <t>01167-000</t>
  </si>
  <si>
    <t>01167-000.001</t>
  </si>
  <si>
    <t>VICTORIA WLE LP</t>
  </si>
  <si>
    <t>0003603</t>
  </si>
  <si>
    <t>01165-000</t>
  </si>
  <si>
    <t>01165-000.002</t>
  </si>
  <si>
    <t>01165-000.001</t>
  </si>
  <si>
    <t>W &amp; P DEVELOPMENT CORP</t>
  </si>
  <si>
    <t>0053023</t>
  </si>
  <si>
    <t>01160-000</t>
  </si>
  <si>
    <t>01160-000.004</t>
  </si>
  <si>
    <t>01160-000.003</t>
  </si>
  <si>
    <t>TRINITY RURAL WSC</t>
  </si>
  <si>
    <t>0133701</t>
  </si>
  <si>
    <t>15050-001</t>
  </si>
  <si>
    <t>15050-001.001</t>
  </si>
  <si>
    <t>01160-000.002</t>
  </si>
  <si>
    <t>01160-000.001</t>
  </si>
  <si>
    <t>01153-000.006</t>
  </si>
  <si>
    <t>01153-000.004</t>
  </si>
  <si>
    <t>01153-000.003</t>
  </si>
  <si>
    <t>0127876</t>
  </si>
  <si>
    <t>14612-001</t>
  </si>
  <si>
    <t>14612-001.001</t>
  </si>
  <si>
    <t>10137-033.004</t>
  </si>
  <si>
    <t>10137-033.003</t>
  </si>
  <si>
    <t>10137-033.002</t>
  </si>
  <si>
    <t>10137-033.006</t>
  </si>
  <si>
    <t>0065641</t>
  </si>
  <si>
    <t>10137-004</t>
  </si>
  <si>
    <t>10137-004.001</t>
  </si>
  <si>
    <t>10137-003.002</t>
  </si>
  <si>
    <t>CITY OF PEARLAND</t>
  </si>
  <si>
    <t>0032743</t>
  </si>
  <si>
    <t>10134-010</t>
  </si>
  <si>
    <t>10134-010.001</t>
  </si>
  <si>
    <t>VERDANT INDUSTRIES LLC</t>
  </si>
  <si>
    <t>0001643</t>
  </si>
  <si>
    <t>00368-000</t>
  </si>
  <si>
    <t>00368-000.005</t>
  </si>
  <si>
    <t>0117501</t>
  </si>
  <si>
    <t>10134-008</t>
  </si>
  <si>
    <t>10134-008.001</t>
  </si>
  <si>
    <t>0116581</t>
  </si>
  <si>
    <t>10134-007</t>
  </si>
  <si>
    <t>10134-007.001</t>
  </si>
  <si>
    <t>0032735</t>
  </si>
  <si>
    <t>10134-002</t>
  </si>
  <si>
    <t>10134-002.001</t>
  </si>
  <si>
    <t>MCCULLOCH</t>
  </si>
  <si>
    <t>CITY OF BRADY</t>
  </si>
  <si>
    <t>0034312</t>
  </si>
  <si>
    <t>10132-001</t>
  </si>
  <si>
    <t>10132-001.001</t>
  </si>
  <si>
    <t>CITY OF BOYD</t>
  </si>
  <si>
    <t>0022632</t>
  </si>
  <si>
    <t>10131-001</t>
  </si>
  <si>
    <t>10131-001.001</t>
  </si>
  <si>
    <t>CITY OF BELLS</t>
  </si>
  <si>
    <t>0053368</t>
  </si>
  <si>
    <t>10126-001</t>
  </si>
  <si>
    <t>10126-001.001</t>
  </si>
  <si>
    <t>CITY OF BEEVILLE</t>
  </si>
  <si>
    <t>0113859</t>
  </si>
  <si>
    <t>10124-004</t>
  </si>
  <si>
    <t>10124-004.001</t>
  </si>
  <si>
    <t>0047007</t>
  </si>
  <si>
    <t>10124-002</t>
  </si>
  <si>
    <t>10124-002.001</t>
  </si>
  <si>
    <t>CITY OF BAY CITY</t>
  </si>
  <si>
    <t>0034461</t>
  </si>
  <si>
    <t>10123-004</t>
  </si>
  <si>
    <t>10123-004.001</t>
  </si>
  <si>
    <t>CITY OF BANGS</t>
  </si>
  <si>
    <t>0053511</t>
  </si>
  <si>
    <t>10122-001</t>
  </si>
  <si>
    <t>10122-001.001</t>
  </si>
  <si>
    <t>1905</t>
  </si>
  <si>
    <t>CITY OF BANDERA</t>
  </si>
  <si>
    <t>0022390</t>
  </si>
  <si>
    <t>10121-001</t>
  </si>
  <si>
    <t>10121-001.001</t>
  </si>
  <si>
    <t>TOWN OF ANTHONY</t>
  </si>
  <si>
    <t>0136662</t>
  </si>
  <si>
    <t>15414-001</t>
  </si>
  <si>
    <t>15414-001.001</t>
  </si>
  <si>
    <t>1605</t>
  </si>
  <si>
    <t>CITY OF SCHULENBURG</t>
  </si>
  <si>
    <t>0024422</t>
  </si>
  <si>
    <t>10115-002</t>
  </si>
  <si>
    <t>10115-002.001</t>
  </si>
  <si>
    <t>0024414</t>
  </si>
  <si>
    <t>10115-001</t>
  </si>
  <si>
    <t>10115-001.001</t>
  </si>
  <si>
    <t>CITY OF MERIDIAN</t>
  </si>
  <si>
    <t>0053678</t>
  </si>
  <si>
    <t>10113-002</t>
  </si>
  <si>
    <t>10113-002.001</t>
  </si>
  <si>
    <t>CITY OF MARLIN</t>
  </si>
  <si>
    <t>0021725</t>
  </si>
  <si>
    <t>10110-002</t>
  </si>
  <si>
    <t>10110-002.001</t>
  </si>
  <si>
    <t>CITY OF LIBERTY</t>
  </si>
  <si>
    <t>0074284</t>
  </si>
  <si>
    <t>10108-001</t>
  </si>
  <si>
    <t>10108-001.001</t>
  </si>
  <si>
    <t>01038-000.005</t>
  </si>
  <si>
    <t>NORTHWEST HARRIS CO MUD NO 5</t>
  </si>
  <si>
    <t>0128210</t>
  </si>
  <si>
    <t>11824-002</t>
  </si>
  <si>
    <t>11824-002.001</t>
  </si>
  <si>
    <t>01038-000.004</t>
  </si>
  <si>
    <t>01038-000.003</t>
  </si>
  <si>
    <t>01038-000.002</t>
  </si>
  <si>
    <t>01038-000.001</t>
  </si>
  <si>
    <t>0006386</t>
  </si>
  <si>
    <t>01031-000</t>
  </si>
  <si>
    <t>01031-000.002</t>
  </si>
  <si>
    <t>0125156</t>
  </si>
  <si>
    <t>04480-000</t>
  </si>
  <si>
    <t>04480-000.001</t>
  </si>
  <si>
    <t>CITY OF ITASCA</t>
  </si>
  <si>
    <t>0023892</t>
  </si>
  <si>
    <t>10423-001</t>
  </si>
  <si>
    <t>10423-001.001</t>
  </si>
  <si>
    <t>0125083</t>
  </si>
  <si>
    <t>04437-000</t>
  </si>
  <si>
    <t>04437-000.001</t>
  </si>
  <si>
    <t>0124915</t>
  </si>
  <si>
    <t>04429-000</t>
  </si>
  <si>
    <t>04429-000.002</t>
  </si>
  <si>
    <t>04429-000.001</t>
  </si>
  <si>
    <t>0124893</t>
  </si>
  <si>
    <t>04419-000</t>
  </si>
  <si>
    <t>04419-000.001</t>
  </si>
  <si>
    <t>NACOGDOCHES POWER LLC</t>
  </si>
  <si>
    <t>0124842</t>
  </si>
  <si>
    <t>04414-000</t>
  </si>
  <si>
    <t>04414-000.001</t>
  </si>
  <si>
    <t>0124605</t>
  </si>
  <si>
    <t>04384-000</t>
  </si>
  <si>
    <t>04384-000.001</t>
  </si>
  <si>
    <t>0064777</t>
  </si>
  <si>
    <t>04379-000</t>
  </si>
  <si>
    <t>04379-000.001</t>
  </si>
  <si>
    <t>04370-000.001</t>
  </si>
  <si>
    <t>SHIN-ETSU SILICONES OF AMERICA INC</t>
  </si>
  <si>
    <t>0124427</t>
  </si>
  <si>
    <t>04362-000</t>
  </si>
  <si>
    <t>04362-000.001</t>
  </si>
  <si>
    <t>0129640</t>
  </si>
  <si>
    <t>14805-001</t>
  </si>
  <si>
    <t>14805-001.001</t>
  </si>
  <si>
    <t>BARKER UTILITIES GP LLC</t>
  </si>
  <si>
    <t>0129771</t>
  </si>
  <si>
    <t>14828-001</t>
  </si>
  <si>
    <t>14828-001.001</t>
  </si>
  <si>
    <t>INEOS CALABRIAN CORP</t>
  </si>
  <si>
    <t>0062448</t>
  </si>
  <si>
    <t>04731-000</t>
  </si>
  <si>
    <t>04731-000.001</t>
  </si>
  <si>
    <t>PORT ARTHUR STEAM ENERGY LP</t>
  </si>
  <si>
    <t>0126560</t>
  </si>
  <si>
    <t>04725-000</t>
  </si>
  <si>
    <t>04725-000.001</t>
  </si>
  <si>
    <t>PRASEKS HILLJE SMOKEHOUSE INC</t>
  </si>
  <si>
    <t>0126349</t>
  </si>
  <si>
    <t>04697-000</t>
  </si>
  <si>
    <t>04697-000.001</t>
  </si>
  <si>
    <t>US STEEL OILWELL SERVICES LLC</t>
  </si>
  <si>
    <t>0126292</t>
  </si>
  <si>
    <t>04690-000</t>
  </si>
  <si>
    <t>04690-000.003</t>
  </si>
  <si>
    <t>0129631</t>
  </si>
  <si>
    <t>14804-001</t>
  </si>
  <si>
    <t>14804-001.001</t>
  </si>
  <si>
    <t>HARRIS COUNTY MUD NO 432</t>
  </si>
  <si>
    <t>0127647</t>
  </si>
  <si>
    <t>14589-001</t>
  </si>
  <si>
    <t>14589-001.001</t>
  </si>
  <si>
    <t>04687-000.001</t>
  </si>
  <si>
    <t>AVNOOR MAHI LLC</t>
  </si>
  <si>
    <t>0134503</t>
  </si>
  <si>
    <t>15087-001</t>
  </si>
  <si>
    <t>15087-001.001</t>
  </si>
  <si>
    <t>12834-001.001</t>
  </si>
  <si>
    <t>0096881</t>
  </si>
  <si>
    <t>12833-002</t>
  </si>
  <si>
    <t>12833-002.001</t>
  </si>
  <si>
    <t>LEASE BUILDERS LLC</t>
  </si>
  <si>
    <t>0094056</t>
  </si>
  <si>
    <t>12830-001</t>
  </si>
  <si>
    <t>12830-001.001</t>
  </si>
  <si>
    <t>0094226</t>
  </si>
  <si>
    <t>12822-001</t>
  </si>
  <si>
    <t>12822-001.001</t>
  </si>
  <si>
    <t>HARRIS COUNTY MUD NO 238</t>
  </si>
  <si>
    <t>0093891</t>
  </si>
  <si>
    <t>12802-001</t>
  </si>
  <si>
    <t>12802-001.001</t>
  </si>
  <si>
    <t>NORTHWEST HARRIS COUNTY MUD 29</t>
  </si>
  <si>
    <t>0093726</t>
  </si>
  <si>
    <t>12795-001</t>
  </si>
  <si>
    <t>12795-001.001</t>
  </si>
  <si>
    <t>0093823</t>
  </si>
  <si>
    <t>12780-001</t>
  </si>
  <si>
    <t>12780-001.001</t>
  </si>
  <si>
    <t>UNITED STRUCTURES OF AMERICA INC</t>
  </si>
  <si>
    <t>0093556</t>
  </si>
  <si>
    <t>12765-001</t>
  </si>
  <si>
    <t>12765-001.001</t>
  </si>
  <si>
    <t>NESTLE WATERS NORTH AMERICA INC</t>
  </si>
  <si>
    <t>0129186</t>
  </si>
  <si>
    <t>04812-000</t>
  </si>
  <si>
    <t>04812-000.001</t>
  </si>
  <si>
    <t>KARBALIA, RITA LAURA REDOW</t>
  </si>
  <si>
    <t>0093505</t>
  </si>
  <si>
    <t>12761-001</t>
  </si>
  <si>
    <t>12761-001.001</t>
  </si>
  <si>
    <t>GREENS PARKWAY MUD</t>
  </si>
  <si>
    <t>0093475</t>
  </si>
  <si>
    <t>12754-001</t>
  </si>
  <si>
    <t>12754-001.001</t>
  </si>
  <si>
    <t>VICTORIA COUNTY WCID 2</t>
  </si>
  <si>
    <t>0093360</t>
  </si>
  <si>
    <t>12743-001</t>
  </si>
  <si>
    <t>12743-001.001</t>
  </si>
  <si>
    <t>0093157</t>
  </si>
  <si>
    <t>12731-001</t>
  </si>
  <si>
    <t>12731-001.001</t>
  </si>
  <si>
    <t>0090344</t>
  </si>
  <si>
    <t>12730-001</t>
  </si>
  <si>
    <t>12730-001.001</t>
  </si>
  <si>
    <t>HARRIS COUNTY MUD NO 155</t>
  </si>
  <si>
    <t>0100161</t>
  </si>
  <si>
    <t>12726-001</t>
  </si>
  <si>
    <t>12726-001.001</t>
  </si>
  <si>
    <t>CITY OF JOAQUIN</t>
  </si>
  <si>
    <t>0069213</t>
  </si>
  <si>
    <t>12718-001</t>
  </si>
  <si>
    <t>12718-001.001</t>
  </si>
  <si>
    <t>HARRIS COUNTY MUD NO 285</t>
  </si>
  <si>
    <t>0092991</t>
  </si>
  <si>
    <t>12716-001</t>
  </si>
  <si>
    <t>12716-001.001</t>
  </si>
  <si>
    <t>HARRIS COUNTY MUD 119</t>
  </si>
  <si>
    <t>0092908</t>
  </si>
  <si>
    <t>12714-001</t>
  </si>
  <si>
    <t>12714-001.001</t>
  </si>
  <si>
    <t>CITY OF GOODRICH</t>
  </si>
  <si>
    <t>0087963</t>
  </si>
  <si>
    <t>12711-001</t>
  </si>
  <si>
    <t>12711-001.001</t>
  </si>
  <si>
    <t>0092843</t>
  </si>
  <si>
    <t>12703-001</t>
  </si>
  <si>
    <t>12703-001.001</t>
  </si>
  <si>
    <t>0093068</t>
  </si>
  <si>
    <t>12701-001</t>
  </si>
  <si>
    <t>12701-001.001</t>
  </si>
  <si>
    <t>KARBALAI RITA LAURA REDOW</t>
  </si>
  <si>
    <t>0092711</t>
  </si>
  <si>
    <t>12692-001</t>
  </si>
  <si>
    <t>12692-001.001</t>
  </si>
  <si>
    <t>0112259</t>
  </si>
  <si>
    <t>12691-001</t>
  </si>
  <si>
    <t>12691-001.001</t>
  </si>
  <si>
    <t>DEL LAGO ESTATES WSC</t>
  </si>
  <si>
    <t>0104060</t>
  </si>
  <si>
    <t>12686-001</t>
  </si>
  <si>
    <t>12686-001.001</t>
  </si>
  <si>
    <t>HARRIS COUNTY MUD 216</t>
  </si>
  <si>
    <t>0092584</t>
  </si>
  <si>
    <t>12682-001</t>
  </si>
  <si>
    <t>12682-001.001</t>
  </si>
  <si>
    <t>CITY OF JERSEY VILLAGE</t>
  </si>
  <si>
    <t>0092606</t>
  </si>
  <si>
    <t>12681-001</t>
  </si>
  <si>
    <t>12681-001.001</t>
  </si>
  <si>
    <t>04359-000.001</t>
  </si>
  <si>
    <t>04348-000.002</t>
  </si>
  <si>
    <t>04348-000.001</t>
  </si>
  <si>
    <t>DEER PARK ENERGY CENTER LLC AND CALPINE OPERATING SERVICES CO INC</t>
  </si>
  <si>
    <t>0124303</t>
  </si>
  <si>
    <t>04344-000</t>
  </si>
  <si>
    <t>04344-000.001</t>
  </si>
  <si>
    <t>FAR HILLS UTILITY DISTRICT</t>
  </si>
  <si>
    <t>0129526</t>
  </si>
  <si>
    <t>14555-002</t>
  </si>
  <si>
    <t>14555-002.001</t>
  </si>
  <si>
    <t>CITY OF MONT BELVIEU</t>
  </si>
  <si>
    <t>0053317</t>
  </si>
  <si>
    <t>14807-001</t>
  </si>
  <si>
    <t>14807-001.001</t>
  </si>
  <si>
    <t>CITY OF NORMANGEE</t>
  </si>
  <si>
    <t>0027448</t>
  </si>
  <si>
    <t>14787-001</t>
  </si>
  <si>
    <t>14787-001.001</t>
  </si>
  <si>
    <t>04330-000.004</t>
  </si>
  <si>
    <t>04330-000.003</t>
  </si>
  <si>
    <t>0006033</t>
  </si>
  <si>
    <t>00544-000</t>
  </si>
  <si>
    <t>00544-000.005</t>
  </si>
  <si>
    <t>00544-000.004</t>
  </si>
  <si>
    <t>00544-000.002</t>
  </si>
  <si>
    <t>00544-000.001</t>
  </si>
  <si>
    <t>00542-000.001</t>
  </si>
  <si>
    <t>00535-000.008</t>
  </si>
  <si>
    <t>00535-000.007</t>
  </si>
  <si>
    <t>00535-000.006</t>
  </si>
  <si>
    <t>00535-000.005</t>
  </si>
  <si>
    <t>00535-000.003</t>
  </si>
  <si>
    <t>0084760</t>
  </si>
  <si>
    <t>12248-001</t>
  </si>
  <si>
    <t>12248-001.001</t>
  </si>
  <si>
    <t>WEST HARRIS COUNTY MUD 17</t>
  </si>
  <si>
    <t>0084468</t>
  </si>
  <si>
    <t>12247-001</t>
  </si>
  <si>
    <t>12247-001.001</t>
  </si>
  <si>
    <t>PORTER MUD</t>
  </si>
  <si>
    <t>0084042</t>
  </si>
  <si>
    <t>12242-001</t>
  </si>
  <si>
    <t>12242-001.001</t>
  </si>
  <si>
    <t>HARRIS COUNTY MUD 36</t>
  </si>
  <si>
    <t>0084085</t>
  </si>
  <si>
    <t>12239-001</t>
  </si>
  <si>
    <t>12239-001.001</t>
  </si>
  <si>
    <t>AMC FACILITIES LP</t>
  </si>
  <si>
    <t>0083836</t>
  </si>
  <si>
    <t>14882-001</t>
  </si>
  <si>
    <t>14882-001.001</t>
  </si>
  <si>
    <t>HARRIS COUNTY MUD NO 189</t>
  </si>
  <si>
    <t>0083712</t>
  </si>
  <si>
    <t>12237-001</t>
  </si>
  <si>
    <t>12237-001.001</t>
  </si>
  <si>
    <t>0084018</t>
  </si>
  <si>
    <t>12234-002</t>
  </si>
  <si>
    <t>12234-002.001</t>
  </si>
  <si>
    <t>0083933</t>
  </si>
  <si>
    <t>12233-001</t>
  </si>
  <si>
    <t>12233-001.001</t>
  </si>
  <si>
    <t>THE ADELPHI ORGANIZATION AND ADELPHI COMMUNITY COOP</t>
  </si>
  <si>
    <t>0083887</t>
  </si>
  <si>
    <t>12227-001</t>
  </si>
  <si>
    <t>12227-001.001</t>
  </si>
  <si>
    <t>QUAIL CREEK MUD</t>
  </si>
  <si>
    <t>0023477</t>
  </si>
  <si>
    <t>12226-001</t>
  </si>
  <si>
    <t>12226-001.001</t>
  </si>
  <si>
    <t>KLEIN ISD</t>
  </si>
  <si>
    <t>0083801</t>
  </si>
  <si>
    <t>12224-001</t>
  </si>
  <si>
    <t>12224-001.001</t>
  </si>
  <si>
    <t>WEST HARRIS COUNTY MUD 15</t>
  </si>
  <si>
    <t>0083496</t>
  </si>
  <si>
    <t>12223-001</t>
  </si>
  <si>
    <t>12223-001.001</t>
  </si>
  <si>
    <t>0083950</t>
  </si>
  <si>
    <t>12222-001</t>
  </si>
  <si>
    <t>12222-001.001</t>
  </si>
  <si>
    <t>0083429</t>
  </si>
  <si>
    <t>12218-001</t>
  </si>
  <si>
    <t>12218-001.001</t>
  </si>
  <si>
    <t>CITY OF MORGAN</t>
  </si>
  <si>
    <t>0056618</t>
  </si>
  <si>
    <t>12217-002</t>
  </si>
  <si>
    <t>12217-002.001</t>
  </si>
  <si>
    <t>CITY OF SHENANDOAH</t>
  </si>
  <si>
    <t>0093564</t>
  </si>
  <si>
    <t>12212-002</t>
  </si>
  <si>
    <t>12212-002.001</t>
  </si>
  <si>
    <t>HARRIS COUNTY MUD 127</t>
  </si>
  <si>
    <t>0083500</t>
  </si>
  <si>
    <t>12209-001</t>
  </si>
  <si>
    <t>12209-001.001</t>
  </si>
  <si>
    <t>NORTH GREEN MUD</t>
  </si>
  <si>
    <t>0083381</t>
  </si>
  <si>
    <t>12206-001</t>
  </si>
  <si>
    <t>12206-001.001</t>
  </si>
  <si>
    <t>0083208</t>
  </si>
  <si>
    <t>12205-001</t>
  </si>
  <si>
    <t>12205-001.001</t>
  </si>
  <si>
    <t>0083216</t>
  </si>
  <si>
    <t>12204-001</t>
  </si>
  <si>
    <t>12204-001.001</t>
  </si>
  <si>
    <t>CITY OF BURTON</t>
  </si>
  <si>
    <t>0083089</t>
  </si>
  <si>
    <t>12193-001</t>
  </si>
  <si>
    <t>12193-001.001</t>
  </si>
  <si>
    <t>0082856</t>
  </si>
  <si>
    <t>12190-001</t>
  </si>
  <si>
    <t>12190-001.001</t>
  </si>
  <si>
    <t>KATY SUN PARKS LTD</t>
  </si>
  <si>
    <t>0082830</t>
  </si>
  <si>
    <t>12189-001</t>
  </si>
  <si>
    <t>12189-001.001</t>
  </si>
  <si>
    <t>CITY OF YANTIS</t>
  </si>
  <si>
    <t>0083003</t>
  </si>
  <si>
    <t>12187-001</t>
  </si>
  <si>
    <t>12187-001.001</t>
  </si>
  <si>
    <t>LUTHERAN OUTDOORS MINISTRY OF TEXAS INC</t>
  </si>
  <si>
    <t>0082457</t>
  </si>
  <si>
    <t>12168-001</t>
  </si>
  <si>
    <t>12168-001.001</t>
  </si>
  <si>
    <t>CITY OF RENO</t>
  </si>
  <si>
    <t>0082309</t>
  </si>
  <si>
    <t>12162-001</t>
  </si>
  <si>
    <t>12162-001.001</t>
  </si>
  <si>
    <t>0133744</t>
  </si>
  <si>
    <t>15053-001</t>
  </si>
  <si>
    <t>15053-001.001</t>
  </si>
  <si>
    <t>0022268</t>
  </si>
  <si>
    <t>10008-002</t>
  </si>
  <si>
    <t>10008-002.001</t>
  </si>
  <si>
    <t>10006-001.002</t>
  </si>
  <si>
    <t>10006-001.001</t>
  </si>
  <si>
    <t>CITY OF ALVIN</t>
  </si>
  <si>
    <t>0024554</t>
  </si>
  <si>
    <t>10005-001</t>
  </si>
  <si>
    <t>10005-001.001</t>
  </si>
  <si>
    <t>CITY OF CAMERON</t>
  </si>
  <si>
    <t>0053651</t>
  </si>
  <si>
    <t>10004-001</t>
  </si>
  <si>
    <t>10004-001.001</t>
  </si>
  <si>
    <t>0205</t>
  </si>
  <si>
    <t>CITY OF BURKBURNETT</t>
  </si>
  <si>
    <t>0026956</t>
  </si>
  <si>
    <t>10002-001</t>
  </si>
  <si>
    <t>10002-001.001</t>
  </si>
  <si>
    <t>BROOKSHIRE MWD</t>
  </si>
  <si>
    <t>0025046</t>
  </si>
  <si>
    <t>10001-001</t>
  </si>
  <si>
    <t>10001-001.001</t>
  </si>
  <si>
    <t>RICHEY ROAD MUD</t>
  </si>
  <si>
    <t>0092967</t>
  </si>
  <si>
    <t>12378-002</t>
  </si>
  <si>
    <t>12378-002.001</t>
  </si>
  <si>
    <t>CITY OF NEW LONDON</t>
  </si>
  <si>
    <t>0114847</t>
  </si>
  <si>
    <t>12376-002</t>
  </si>
  <si>
    <t>12376-002.001</t>
  </si>
  <si>
    <t>0087360</t>
  </si>
  <si>
    <t>12376-001</t>
  </si>
  <si>
    <t>12376-001.001</t>
  </si>
  <si>
    <t>PORT OF HOUSTON AUTHORITY</t>
  </si>
  <si>
    <t>0087998</t>
  </si>
  <si>
    <t>12375-001</t>
  </si>
  <si>
    <t>12375-001.001</t>
  </si>
  <si>
    <t>FORT BEND COUNTY MUD 37</t>
  </si>
  <si>
    <t>0087157</t>
  </si>
  <si>
    <t>12370-001</t>
  </si>
  <si>
    <t>12370-001.001</t>
  </si>
  <si>
    <t>HARRIS COUNTY MUD NO 345</t>
  </si>
  <si>
    <t>0086690</t>
  </si>
  <si>
    <t>12356-001</t>
  </si>
  <si>
    <t>12356-001.001</t>
  </si>
  <si>
    <t>0086665</t>
  </si>
  <si>
    <t>12349-001</t>
  </si>
  <si>
    <t>12349-001.001</t>
  </si>
  <si>
    <t>WEST PARK MUD</t>
  </si>
  <si>
    <t>0086185</t>
  </si>
  <si>
    <t>12346-001</t>
  </si>
  <si>
    <t>12346-001.001</t>
  </si>
  <si>
    <t>12344-001.002</t>
  </si>
  <si>
    <t>0085821</t>
  </si>
  <si>
    <t>12342-001</t>
  </si>
  <si>
    <t>12342-001.001</t>
  </si>
  <si>
    <t>BRAZORIA COUNTY MUD NO 3</t>
  </si>
  <si>
    <t>0086118</t>
  </si>
  <si>
    <t>12332-001</t>
  </si>
  <si>
    <t>12332-001.001</t>
  </si>
  <si>
    <t>CYPRESS HILL MUD 1</t>
  </si>
  <si>
    <t>0086011</t>
  </si>
  <si>
    <t>12327-001</t>
  </si>
  <si>
    <t>12327-001.001</t>
  </si>
  <si>
    <t>0056821</t>
  </si>
  <si>
    <t>12321-001</t>
  </si>
  <si>
    <t>12321-001.001</t>
  </si>
  <si>
    <t>QUARTERS LLC</t>
  </si>
  <si>
    <t>0117897</t>
  </si>
  <si>
    <t>12318-001</t>
  </si>
  <si>
    <t>12318-001.001</t>
  </si>
  <si>
    <t>OIL STATES INDUSTRIES INC</t>
  </si>
  <si>
    <t>0101109</t>
  </si>
  <si>
    <t>12314-001</t>
  </si>
  <si>
    <t>12314-001.001</t>
  </si>
  <si>
    <t>R &amp; K WEIMAN MHP LC</t>
  </si>
  <si>
    <t>0085871</t>
  </si>
  <si>
    <t>12310-001</t>
  </si>
  <si>
    <t>12310-001.001</t>
  </si>
  <si>
    <t>CITY OF CEDAR PARK</t>
  </si>
  <si>
    <t>0085740</t>
  </si>
  <si>
    <t>12308-001</t>
  </si>
  <si>
    <t>12308-001.001</t>
  </si>
  <si>
    <t>PETTY WATER SUPPLY &amp; SEWER SERVICE CORP</t>
  </si>
  <si>
    <t>0085707</t>
  </si>
  <si>
    <t>12305-001</t>
  </si>
  <si>
    <t>12305-001.001</t>
  </si>
  <si>
    <t>CHIMNEY HILL MUD</t>
  </si>
  <si>
    <t>0085588</t>
  </si>
  <si>
    <t>12304-001</t>
  </si>
  <si>
    <t>12304-001.001</t>
  </si>
  <si>
    <t>0085693</t>
  </si>
  <si>
    <t>12303-001</t>
  </si>
  <si>
    <t>12303-001.001</t>
  </si>
  <si>
    <t>0129062</t>
  </si>
  <si>
    <t>12298-002</t>
  </si>
  <si>
    <t>12298-002.001</t>
  </si>
  <si>
    <t>ILP COLLEGE STATION LLC</t>
  </si>
  <si>
    <t>0085456</t>
  </si>
  <si>
    <t>12296-001</t>
  </si>
  <si>
    <t>12296-001.001</t>
  </si>
  <si>
    <t>0085383</t>
  </si>
  <si>
    <t>12295-001</t>
  </si>
  <si>
    <t>12295-001.001</t>
  </si>
  <si>
    <t>HARRIS COUNTY MUD 200</t>
  </si>
  <si>
    <t>0085413</t>
  </si>
  <si>
    <t>12294-001</t>
  </si>
  <si>
    <t>12294-001.001</t>
  </si>
  <si>
    <t>GREEN TRAILS MUD</t>
  </si>
  <si>
    <t>0085332</t>
  </si>
  <si>
    <t>12289-001</t>
  </si>
  <si>
    <t>12289-001.001</t>
  </si>
  <si>
    <t>CITY OF COVINGTON</t>
  </si>
  <si>
    <t>0084395</t>
  </si>
  <si>
    <t>12279-001</t>
  </si>
  <si>
    <t>12279-001.001</t>
  </si>
  <si>
    <t>NEW CANEY MUD</t>
  </si>
  <si>
    <t>0084638</t>
  </si>
  <si>
    <t>12274-001</t>
  </si>
  <si>
    <t>12274-001.001</t>
  </si>
  <si>
    <t>SOLHJOU ALI MOHAMMAD</t>
  </si>
  <si>
    <t>0119610</t>
  </si>
  <si>
    <t>12261-002</t>
  </si>
  <si>
    <t>12261-002.001</t>
  </si>
  <si>
    <t>AKRAM SOLHJOU</t>
  </si>
  <si>
    <t>0084671</t>
  </si>
  <si>
    <t>12261-001</t>
  </si>
  <si>
    <t>12261-001.001</t>
  </si>
  <si>
    <t>BAYOU FOREST VILLAGE INC</t>
  </si>
  <si>
    <t>0084531</t>
  </si>
  <si>
    <t>12259-001</t>
  </si>
  <si>
    <t>12259-001.001</t>
  </si>
  <si>
    <t>BEECHNUT MUD</t>
  </si>
  <si>
    <t>0084425</t>
  </si>
  <si>
    <t>12258-001</t>
  </si>
  <si>
    <t>12258-001.001</t>
  </si>
  <si>
    <t>0084051</t>
  </si>
  <si>
    <t>12251-001</t>
  </si>
  <si>
    <t>12251-001.001</t>
  </si>
  <si>
    <t>HARRIS COUNTY MUD NO 122</t>
  </si>
  <si>
    <t>0084484</t>
  </si>
  <si>
    <t>12250-001</t>
  </si>
  <si>
    <t>12250-001.001</t>
  </si>
  <si>
    <t>04760-000.001</t>
  </si>
  <si>
    <t>SANDY CREEK ENERGY ASSOCIATES LP AND SANDY CREEK SERVICES LLC</t>
  </si>
  <si>
    <t>0127256</t>
  </si>
  <si>
    <t>04755-000</t>
  </si>
  <si>
    <t>04755-000.001</t>
  </si>
  <si>
    <t>0127175</t>
  </si>
  <si>
    <t>04753-000</t>
  </si>
  <si>
    <t>04753-000.001</t>
  </si>
  <si>
    <t>00449-000.006</t>
  </si>
  <si>
    <t>00449-000.005</t>
  </si>
  <si>
    <t>00449-000.004</t>
  </si>
  <si>
    <t>00449-000.002</t>
  </si>
  <si>
    <t>UNION CARBIDE CORP</t>
  </si>
  <si>
    <t>0002852</t>
  </si>
  <si>
    <t>00448-000</t>
  </si>
  <si>
    <t>00448-000.006</t>
  </si>
  <si>
    <t>00448-000.003</t>
  </si>
  <si>
    <t>00448-000.002</t>
  </si>
  <si>
    <t>0002844</t>
  </si>
  <si>
    <t>00447-000</t>
  </si>
  <si>
    <t>00447-000.016</t>
  </si>
  <si>
    <t>00447-000.015</t>
  </si>
  <si>
    <t>00447-000.014</t>
  </si>
  <si>
    <t>00447-000.012</t>
  </si>
  <si>
    <t>00447-000.010</t>
  </si>
  <si>
    <t>00447-000.009</t>
  </si>
  <si>
    <t>00447-000.008</t>
  </si>
  <si>
    <t>00447-000.007</t>
  </si>
  <si>
    <t>00447-000.006</t>
  </si>
  <si>
    <t>00447-000.005</t>
  </si>
  <si>
    <t>00447-000.004</t>
  </si>
  <si>
    <t>00447-000.003</t>
  </si>
  <si>
    <t>00447-000.002</t>
  </si>
  <si>
    <t>00447-000.001</t>
  </si>
  <si>
    <t>00445-000.002</t>
  </si>
  <si>
    <t>00445-000.001</t>
  </si>
  <si>
    <t>00443-000.003</t>
  </si>
  <si>
    <t>00443-000.002</t>
  </si>
  <si>
    <t>00443-000.001</t>
  </si>
  <si>
    <t>0106721</t>
  </si>
  <si>
    <t>00440-000</t>
  </si>
  <si>
    <t>00440-000.003</t>
  </si>
  <si>
    <t>00440-000.002</t>
  </si>
  <si>
    <t>CITY OF GORMAN</t>
  </si>
  <si>
    <t>0021806</t>
  </si>
  <si>
    <t>10091-001</t>
  </si>
  <si>
    <t>10091-001.001</t>
  </si>
  <si>
    <t>0024686</t>
  </si>
  <si>
    <t>10090-002</t>
  </si>
  <si>
    <t>10090-002.001</t>
  </si>
  <si>
    <t>0024678</t>
  </si>
  <si>
    <t>10090-001</t>
  </si>
  <si>
    <t>10090-001.001</t>
  </si>
  <si>
    <t>FORT BEND COUNTY WCID NO 2</t>
  </si>
  <si>
    <t>0099511</t>
  </si>
  <si>
    <t>10086-002</t>
  </si>
  <si>
    <t>10086-002.001</t>
  </si>
  <si>
    <t>0021458</t>
  </si>
  <si>
    <t>10086-001</t>
  </si>
  <si>
    <t>10086-001.001</t>
  </si>
  <si>
    <t>CITY OF EMORY</t>
  </si>
  <si>
    <t>0002658</t>
  </si>
  <si>
    <t>10082-002</t>
  </si>
  <si>
    <t>10082-002.001</t>
  </si>
  <si>
    <t>0026328</t>
  </si>
  <si>
    <t>10082-001</t>
  </si>
  <si>
    <t>10082-001.001</t>
  </si>
  <si>
    <t>CONCHO</t>
  </si>
  <si>
    <t>CITY OF EDEN</t>
  </si>
  <si>
    <t>0079804</t>
  </si>
  <si>
    <t>10081-001</t>
  </si>
  <si>
    <t>10081-001.001</t>
  </si>
  <si>
    <t>H &amp; R REALTY INVESTMENTS LLC</t>
  </si>
  <si>
    <t>0092614</t>
  </si>
  <si>
    <t>12680-001</t>
  </si>
  <si>
    <t>12680-001.001</t>
  </si>
  <si>
    <t>0092401</t>
  </si>
  <si>
    <t>12672-001</t>
  </si>
  <si>
    <t>12672-001.001</t>
  </si>
  <si>
    <t>0092517</t>
  </si>
  <si>
    <t>12670-001</t>
  </si>
  <si>
    <t>12670-001.001</t>
  </si>
  <si>
    <t>NORTHWEST HARRIS COUNTY MUD 24</t>
  </si>
  <si>
    <t>0092312</t>
  </si>
  <si>
    <t>12655-001</t>
  </si>
  <si>
    <t>12655-001.001</t>
  </si>
  <si>
    <t>0022608</t>
  </si>
  <si>
    <t>12651-001</t>
  </si>
  <si>
    <t>12651-001.001</t>
  </si>
  <si>
    <t>TRINITY SO GP, LLC</t>
  </si>
  <si>
    <t>0092088</t>
  </si>
  <si>
    <t>12650-001</t>
  </si>
  <si>
    <t>12650-001.001</t>
  </si>
  <si>
    <t>01031-000.001</t>
  </si>
  <si>
    <t>0006378</t>
  </si>
  <si>
    <t>01026-000</t>
  </si>
  <si>
    <t>01026-000.001</t>
  </si>
  <si>
    <t>01021-000.003</t>
  </si>
  <si>
    <t>SCHLUMBERGER TECHNOLOGY CORP</t>
  </si>
  <si>
    <t>0078646</t>
  </si>
  <si>
    <t>04679-000</t>
  </si>
  <si>
    <t>04679-000.002</t>
  </si>
  <si>
    <t>RIVERBEND WATER RESOURCES DISTRICT</t>
  </si>
  <si>
    <t>0126098</t>
  </si>
  <si>
    <t>04664-000</t>
  </si>
  <si>
    <t>04664-000.001</t>
  </si>
  <si>
    <t>04646-000.001</t>
  </si>
  <si>
    <t>MARMAC LLC</t>
  </si>
  <si>
    <t>0125920</t>
  </si>
  <si>
    <t>04633-000</t>
  </si>
  <si>
    <t>04633-000.001</t>
  </si>
  <si>
    <t>290 WR HOLDINGS LP</t>
  </si>
  <si>
    <t>0129577</t>
  </si>
  <si>
    <t>14799-001</t>
  </si>
  <si>
    <t>14799-001.001</t>
  </si>
  <si>
    <t>QUALITY PRODUCT FINISHING INC</t>
  </si>
  <si>
    <t>0118095</t>
  </si>
  <si>
    <t>04627-000</t>
  </si>
  <si>
    <t>04627-000.001</t>
  </si>
  <si>
    <t>0106461</t>
  </si>
  <si>
    <t>04625-000</t>
  </si>
  <si>
    <t>04625-000.001</t>
  </si>
  <si>
    <t>04606-000.006</t>
  </si>
  <si>
    <t>04606-000.005</t>
  </si>
  <si>
    <t>04606-000.003</t>
  </si>
  <si>
    <t>0125831</t>
  </si>
  <si>
    <t>04605-000</t>
  </si>
  <si>
    <t>04605-000.001</t>
  </si>
  <si>
    <t>0125679</t>
  </si>
  <si>
    <t>04599-000</t>
  </si>
  <si>
    <t>04599-000.001</t>
  </si>
  <si>
    <t>DIXIE CHEMICAL CO INC</t>
  </si>
  <si>
    <t>0125644</t>
  </si>
  <si>
    <t>04594-000</t>
  </si>
  <si>
    <t>04594-000.001</t>
  </si>
  <si>
    <t>10137-033.005</t>
  </si>
  <si>
    <t>04552-000.002</t>
  </si>
  <si>
    <t>BROWNSVILLE PUB; SOUTHMOST RWA</t>
  </si>
  <si>
    <t>0124664</t>
  </si>
  <si>
    <t>04541-000</t>
  </si>
  <si>
    <t>04541-000.001</t>
  </si>
  <si>
    <t>0047431</t>
  </si>
  <si>
    <t>10221-001</t>
  </si>
  <si>
    <t>10221-001.001</t>
  </si>
  <si>
    <t>0132772</t>
  </si>
  <si>
    <t>14985-001</t>
  </si>
  <si>
    <t>14985-001.001</t>
  </si>
  <si>
    <t>04820-000.008</t>
  </si>
  <si>
    <t>PREMIUM WATERS INC</t>
  </si>
  <si>
    <t>0132713</t>
  </si>
  <si>
    <t>04937-000</t>
  </si>
  <si>
    <t>04937-000.001</t>
  </si>
  <si>
    <t>GULF COAST TRADES CENTER</t>
  </si>
  <si>
    <t>0035157</t>
  </si>
  <si>
    <t>12159-001</t>
  </si>
  <si>
    <t>12159-001.001</t>
  </si>
  <si>
    <t>0081264</t>
  </si>
  <si>
    <t>14908-002</t>
  </si>
  <si>
    <t>14908-002.001</t>
  </si>
  <si>
    <t>CITY OF WINFIELD</t>
  </si>
  <si>
    <t>0079782</t>
  </si>
  <si>
    <t>12146-001</t>
  </si>
  <si>
    <t>12146-001.001</t>
  </si>
  <si>
    <t>NORTHWEST HARRIS COUNTY MUD NO 21, 22, AND 23</t>
  </si>
  <si>
    <t>0079821</t>
  </si>
  <si>
    <t>12144-001</t>
  </si>
  <si>
    <t>12144-001.001</t>
  </si>
  <si>
    <t>FIN &amp; FEATHER RESORT LLC</t>
  </si>
  <si>
    <t>0079812</t>
  </si>
  <si>
    <t>12143-001</t>
  </si>
  <si>
    <t>12143-001.001</t>
  </si>
  <si>
    <t>WHITE OAK OWNERS ASSN INC</t>
  </si>
  <si>
    <t>0079634</t>
  </si>
  <si>
    <t>12132-001</t>
  </si>
  <si>
    <t>12132-001.001</t>
  </si>
  <si>
    <t>HORSEPEN BAYOU MUD</t>
  </si>
  <si>
    <t>0079537</t>
  </si>
  <si>
    <t>12128-001</t>
  </si>
  <si>
    <t>12128-001.001</t>
  </si>
  <si>
    <t>HARRIS COUNTY MUD 180</t>
  </si>
  <si>
    <t>0079529</t>
  </si>
  <si>
    <t>12127-001</t>
  </si>
  <si>
    <t>12127-001.001</t>
  </si>
  <si>
    <t>HARRIS COUNTY MUD 185</t>
  </si>
  <si>
    <t>0079707</t>
  </si>
  <si>
    <t>12124-001</t>
  </si>
  <si>
    <t>12124-001.001</t>
  </si>
  <si>
    <t>0079383</t>
  </si>
  <si>
    <t>12122-001</t>
  </si>
  <si>
    <t>12122-001.001</t>
  </si>
  <si>
    <t>HARRIS COUNTY MUD 170</t>
  </si>
  <si>
    <t>0079146</t>
  </si>
  <si>
    <t>12121-001</t>
  </si>
  <si>
    <t>12121-001.001</t>
  </si>
  <si>
    <t>WEST HARRIS COUNTY MUD 4</t>
  </si>
  <si>
    <t>0079359</t>
  </si>
  <si>
    <t>12119-001</t>
  </si>
  <si>
    <t>12119-001.001</t>
  </si>
  <si>
    <t>CITY OF KAUFMAN</t>
  </si>
  <si>
    <t>0079391</t>
  </si>
  <si>
    <t>12114-001</t>
  </si>
  <si>
    <t>12114-001.001</t>
  </si>
  <si>
    <t>0079260</t>
  </si>
  <si>
    <t>12113-001</t>
  </si>
  <si>
    <t>12113-001.001</t>
  </si>
  <si>
    <t>KATY ISD</t>
  </si>
  <si>
    <t>0079201</t>
  </si>
  <si>
    <t>12110-001</t>
  </si>
  <si>
    <t>12110-001.001</t>
  </si>
  <si>
    <t>CITY OF CHINA</t>
  </si>
  <si>
    <t>0071650</t>
  </si>
  <si>
    <t>12104-001</t>
  </si>
  <si>
    <t>12104-001.001</t>
  </si>
  <si>
    <t>WEST JEFFERSON COUNTY MWD</t>
  </si>
  <si>
    <t>0116441</t>
  </si>
  <si>
    <t>14899-001</t>
  </si>
  <si>
    <t>14899-001.001</t>
  </si>
  <si>
    <t>HAMPSHIRE-FANNET ISD</t>
  </si>
  <si>
    <t>0079138</t>
  </si>
  <si>
    <t>12098-001</t>
  </si>
  <si>
    <t>12098-001.001</t>
  </si>
  <si>
    <t>US ARMY CORPS OF ENGINEERS</t>
  </si>
  <si>
    <t>0057991</t>
  </si>
  <si>
    <t>12087-001</t>
  </si>
  <si>
    <t>12087-001.001</t>
  </si>
  <si>
    <t>LAVACA-NAVIDAD RIVER AUTHORITY</t>
  </si>
  <si>
    <t>0079006</t>
  </si>
  <si>
    <t>12084-001</t>
  </si>
  <si>
    <t>12084-001.001</t>
  </si>
  <si>
    <t>HOOKS MOBILE HOME PARK LTD</t>
  </si>
  <si>
    <t>0078883</t>
  </si>
  <si>
    <t>12083-001</t>
  </si>
  <si>
    <t>12083-001.001</t>
  </si>
  <si>
    <t>RENN ROAD MUD</t>
  </si>
  <si>
    <t>0078964</t>
  </si>
  <si>
    <t>12078-001</t>
  </si>
  <si>
    <t>12078-001.001</t>
  </si>
  <si>
    <t>0031232</t>
  </si>
  <si>
    <t>12074-001</t>
  </si>
  <si>
    <t>12074-001.001</t>
  </si>
  <si>
    <t>FORT BEND COUNTY MUD 26</t>
  </si>
  <si>
    <t>0078891</t>
  </si>
  <si>
    <t>12073-001</t>
  </si>
  <si>
    <t>12073-001.001</t>
  </si>
  <si>
    <t>0094188</t>
  </si>
  <si>
    <t>12070-002</t>
  </si>
  <si>
    <t>12070-002.001</t>
  </si>
  <si>
    <t>0078808</t>
  </si>
  <si>
    <t>12070-001</t>
  </si>
  <si>
    <t>12070-001.001</t>
  </si>
  <si>
    <t>0078751</t>
  </si>
  <si>
    <t>12068-001</t>
  </si>
  <si>
    <t>12068-001.001</t>
  </si>
  <si>
    <t>HARRIS COUNTY MUD 86</t>
  </si>
  <si>
    <t>0078824</t>
  </si>
  <si>
    <t>12065-001</t>
  </si>
  <si>
    <t>12065-001.001</t>
  </si>
  <si>
    <t>0078743</t>
  </si>
  <si>
    <t>12064-001</t>
  </si>
  <si>
    <t>12064-001.001</t>
  </si>
  <si>
    <t>00485-000.004</t>
  </si>
  <si>
    <t>00485-000.003</t>
  </si>
  <si>
    <t>00485-000.002</t>
  </si>
  <si>
    <t>00485-000.001</t>
  </si>
  <si>
    <t>00476-000.005</t>
  </si>
  <si>
    <t>00476-000.003</t>
  </si>
  <si>
    <t>00476-000.002</t>
  </si>
  <si>
    <t>00476-000.001</t>
  </si>
  <si>
    <t>EI DUPONT DE NEMOURS AND CO</t>
  </si>
  <si>
    <t>0006327</t>
  </si>
  <si>
    <t>00475-000</t>
  </si>
  <si>
    <t>00475-000.001</t>
  </si>
  <si>
    <t>MAUDINE BRUBAKER</t>
  </si>
  <si>
    <t>0127884</t>
  </si>
  <si>
    <t>14613-001</t>
  </si>
  <si>
    <t>14613-001.001</t>
  </si>
  <si>
    <t>SOUTH CENTRAL WATER COMPANY</t>
  </si>
  <si>
    <t>0127850</t>
  </si>
  <si>
    <t>14610-001</t>
  </si>
  <si>
    <t>14610-001.001</t>
  </si>
  <si>
    <t>0127973</t>
  </si>
  <si>
    <t>14624-001</t>
  </si>
  <si>
    <t>14624-001.001</t>
  </si>
  <si>
    <t>0127965</t>
  </si>
  <si>
    <t>14623-001</t>
  </si>
  <si>
    <t>14623-001.001</t>
  </si>
  <si>
    <t>VALLEY RANCH MUD 1</t>
  </si>
  <si>
    <t>0127710</t>
  </si>
  <si>
    <t>14597-001</t>
  </si>
  <si>
    <t>14597-001.001</t>
  </si>
  <si>
    <t>E I DUPONT DE NEMOURS AND CO</t>
  </si>
  <si>
    <t>0007293</t>
  </si>
  <si>
    <t>00474-000</t>
  </si>
  <si>
    <t>00474-000.001</t>
  </si>
  <si>
    <t>00473-000.018</t>
  </si>
  <si>
    <t>00473-000.015</t>
  </si>
  <si>
    <t>0132632</t>
  </si>
  <si>
    <t>14973-001</t>
  </si>
  <si>
    <t>14973-001.001</t>
  </si>
  <si>
    <t>1405</t>
  </si>
  <si>
    <t>HUBER CARBONATES LLC</t>
  </si>
  <si>
    <t>0132594</t>
  </si>
  <si>
    <t>04922-000</t>
  </si>
  <si>
    <t>04922-000.001</t>
  </si>
  <si>
    <t>ROLLING V RANCH WCID NO 1 OF WISE COUNTY</t>
  </si>
  <si>
    <t>0132691</t>
  </si>
  <si>
    <t>14977-001</t>
  </si>
  <si>
    <t>14977-001.001</t>
  </si>
  <si>
    <t>024112</t>
  </si>
  <si>
    <t>0132233</t>
  </si>
  <si>
    <t>10489-007</t>
  </si>
  <si>
    <t>10489-007.001</t>
  </si>
  <si>
    <t>MANVILLE WATER SUPPLY CORPORATION</t>
  </si>
  <si>
    <t>0132659</t>
  </si>
  <si>
    <t>14978-001</t>
  </si>
  <si>
    <t>14978-001.001</t>
  </si>
  <si>
    <t>BEACON ESTATES WSC</t>
  </si>
  <si>
    <t>0132454</t>
  </si>
  <si>
    <t>14963-001</t>
  </si>
  <si>
    <t>14963-001.001</t>
  </si>
  <si>
    <t>FESTIVAL PROPERTIES INC</t>
  </si>
  <si>
    <t>0081256</t>
  </si>
  <si>
    <t>14827-001</t>
  </si>
  <si>
    <t>14827-001.001</t>
  </si>
  <si>
    <t>FIRESTONE POLYMERS LLC</t>
  </si>
  <si>
    <t>0002968</t>
  </si>
  <si>
    <t>00454-000</t>
  </si>
  <si>
    <t>00454-000.001</t>
  </si>
  <si>
    <t>BP AMOCO CHEMICAL CO</t>
  </si>
  <si>
    <t>00452-000.004</t>
  </si>
  <si>
    <t>00452-000.003</t>
  </si>
  <si>
    <t>00452-000.002</t>
  </si>
  <si>
    <t>00452-000.001</t>
  </si>
  <si>
    <t>0123722</t>
  </si>
  <si>
    <t>14705-001</t>
  </si>
  <si>
    <t>14705-001.001</t>
  </si>
  <si>
    <t>00449-000.007</t>
  </si>
  <si>
    <t>0128368</t>
  </si>
  <si>
    <t>14711-001</t>
  </si>
  <si>
    <t>14711-001.001</t>
  </si>
  <si>
    <t>MIRALOMAS MUD</t>
  </si>
  <si>
    <t>0128767</t>
  </si>
  <si>
    <t>14712-001</t>
  </si>
  <si>
    <t>14712-001.001</t>
  </si>
  <si>
    <t>CITY OF DENISON</t>
  </si>
  <si>
    <t>0047210</t>
  </si>
  <si>
    <t>10079-005</t>
  </si>
  <si>
    <t>10079-005.001</t>
  </si>
  <si>
    <t>0047228</t>
  </si>
  <si>
    <t>10079-003</t>
  </si>
  <si>
    <t>10079-003.001</t>
  </si>
  <si>
    <t>CITY OF DE LEON</t>
  </si>
  <si>
    <t>0054844</t>
  </si>
  <si>
    <t>10078-001</t>
  </si>
  <si>
    <t>10078-001.001</t>
  </si>
  <si>
    <t>STUDY BUTTE WSC</t>
  </si>
  <si>
    <t>0133183</t>
  </si>
  <si>
    <t>04968-000</t>
  </si>
  <si>
    <t>04968-000.001</t>
  </si>
  <si>
    <t>00467-000.002</t>
  </si>
  <si>
    <t>00467-000.001</t>
  </si>
  <si>
    <t>00465-000.004</t>
  </si>
  <si>
    <t>00465-000.003</t>
  </si>
  <si>
    <t>00465-000.002</t>
  </si>
  <si>
    <t>0004227</t>
  </si>
  <si>
    <t>00462-000</t>
  </si>
  <si>
    <t>00462-000.001</t>
  </si>
  <si>
    <t>ROHM AND HAAS TEXAS INC</t>
  </si>
  <si>
    <t>0006084</t>
  </si>
  <si>
    <t>00458-000</t>
  </si>
  <si>
    <t>00458-000.011</t>
  </si>
  <si>
    <t>00458-000.006</t>
  </si>
  <si>
    <t>00458-000.005</t>
  </si>
  <si>
    <t>00458-000.004</t>
  </si>
  <si>
    <t>00458-000.003</t>
  </si>
  <si>
    <t>00458-000.002</t>
  </si>
  <si>
    <t>JOHNSON, ANA ARAUJO</t>
  </si>
  <si>
    <t>0072184</t>
  </si>
  <si>
    <t>11821-001</t>
  </si>
  <si>
    <t>11821-001.001</t>
  </si>
  <si>
    <t>LAZY RIVER IMPROVEMENT DISTRICT</t>
  </si>
  <si>
    <t>0069256</t>
  </si>
  <si>
    <t>11820-001</t>
  </si>
  <si>
    <t>11820-001.001</t>
  </si>
  <si>
    <t>BOYS AND GIRLS COUNTRY OF HOUSTON INC</t>
  </si>
  <si>
    <t>0071609</t>
  </si>
  <si>
    <t>11814-001</t>
  </si>
  <si>
    <t>11814-001.001</t>
  </si>
  <si>
    <t>FOREST HILLS MUD</t>
  </si>
  <si>
    <t>0071820</t>
  </si>
  <si>
    <t>11807-001</t>
  </si>
  <si>
    <t>11807-001.001</t>
  </si>
  <si>
    <t>CITY OF NATALIA</t>
  </si>
  <si>
    <t>0068632</t>
  </si>
  <si>
    <t>11806-001</t>
  </si>
  <si>
    <t>11806-001.001</t>
  </si>
  <si>
    <t>HARRIS COUNTY MUD NO 82</t>
  </si>
  <si>
    <t>0071528</t>
  </si>
  <si>
    <t>11799-001</t>
  </si>
  <si>
    <t>11799-001.001</t>
  </si>
  <si>
    <t>HYDRIL USA MANUFACTURING LLC</t>
  </si>
  <si>
    <t>0071251</t>
  </si>
  <si>
    <t>11794-001</t>
  </si>
  <si>
    <t>11794-001.001</t>
  </si>
  <si>
    <t>HARRIS COUNTY MUD NO 105</t>
  </si>
  <si>
    <t>0070971</t>
  </si>
  <si>
    <t>11792-002</t>
  </si>
  <si>
    <t>11792-002.001</t>
  </si>
  <si>
    <t>0071382</t>
  </si>
  <si>
    <t>11791-001</t>
  </si>
  <si>
    <t>11791-001.001</t>
  </si>
  <si>
    <t>CITY OF BULLARD</t>
  </si>
  <si>
    <t>0071188</t>
  </si>
  <si>
    <t>11787-001</t>
  </si>
  <si>
    <t>11787-001.001</t>
  </si>
  <si>
    <t>HYDER SYED NOORIDUN</t>
  </si>
  <si>
    <t>0071145</t>
  </si>
  <si>
    <t>11778-001</t>
  </si>
  <si>
    <t>11778-001.001</t>
  </si>
  <si>
    <t>PORT TERMINAL RAILROAD ASSN</t>
  </si>
  <si>
    <t>0070645</t>
  </si>
  <si>
    <t>11773-001</t>
  </si>
  <si>
    <t>11773-001.001</t>
  </si>
  <si>
    <t>CITY OF BROADDUS</t>
  </si>
  <si>
    <t>0057673</t>
  </si>
  <si>
    <t>11772-001</t>
  </si>
  <si>
    <t>11772-001.001</t>
  </si>
  <si>
    <t>00519-000.003</t>
  </si>
  <si>
    <t>0057053</t>
  </si>
  <si>
    <t>11770-001</t>
  </si>
  <si>
    <t>11770-001.001</t>
  </si>
  <si>
    <t>MASSEY JIMMIE WAYNE</t>
  </si>
  <si>
    <t>0070297</t>
  </si>
  <si>
    <t>11768-001</t>
  </si>
  <si>
    <t>11768-001.001</t>
  </si>
  <si>
    <t>BISHOP CONSOLIDATED ISD</t>
  </si>
  <si>
    <t>0069884</t>
  </si>
  <si>
    <t>11754-001</t>
  </si>
  <si>
    <t>11754-001.001</t>
  </si>
  <si>
    <t>TOWN OF MILLERS COVE</t>
  </si>
  <si>
    <t>0069710</t>
  </si>
  <si>
    <t>11750-001</t>
  </si>
  <si>
    <t>11750-001.001</t>
  </si>
  <si>
    <t>0069582</t>
  </si>
  <si>
    <t>11739-001</t>
  </si>
  <si>
    <t>11739-001.001</t>
  </si>
  <si>
    <t>0125946</t>
  </si>
  <si>
    <t>11738-001</t>
  </si>
  <si>
    <t>11738-001.001</t>
  </si>
  <si>
    <t>HARRIS COUNTY MUD NO 8</t>
  </si>
  <si>
    <t>0075698</t>
  </si>
  <si>
    <t>11727-001</t>
  </si>
  <si>
    <t>11727-001.001</t>
  </si>
  <si>
    <t>0062961</t>
  </si>
  <si>
    <t>11722-001</t>
  </si>
  <si>
    <t>11722-001.001</t>
  </si>
  <si>
    <t>0126233</t>
  </si>
  <si>
    <t>04681-000</t>
  </si>
  <si>
    <t>04681-000.001</t>
  </si>
  <si>
    <t>03596-000.001</t>
  </si>
  <si>
    <t>05281-000.003</t>
  </si>
  <si>
    <t>DEER TRAIL WATER DISTRICT LLC</t>
  </si>
  <si>
    <t>0139505</t>
  </si>
  <si>
    <t>15815-001</t>
  </si>
  <si>
    <t>15815-001.001</t>
  </si>
  <si>
    <t>02720-000.006</t>
  </si>
  <si>
    <t>02436-000.013</t>
  </si>
  <si>
    <t>05281-000.002</t>
  </si>
  <si>
    <t>5</t>
  </si>
  <si>
    <t>WEST CEDAR CREEK MUD</t>
  </si>
  <si>
    <t>0132241</t>
  </si>
  <si>
    <t>11839-002</t>
  </si>
  <si>
    <t>11839-002.001</t>
  </si>
  <si>
    <t>00531-000.013</t>
  </si>
  <si>
    <t>CITY OF SUNRAY</t>
  </si>
  <si>
    <t>0132608</t>
  </si>
  <si>
    <t>10296-001</t>
  </si>
  <si>
    <t>10296-001.001</t>
  </si>
  <si>
    <t>05281-000.001</t>
  </si>
  <si>
    <t>0132497</t>
  </si>
  <si>
    <t>04915-000</t>
  </si>
  <si>
    <t>04915-000.001</t>
  </si>
  <si>
    <t>HARRIS COUNTY IMPROVEMENT DISTRICT NO 18</t>
  </si>
  <si>
    <t>0132471</t>
  </si>
  <si>
    <t>14964-001</t>
  </si>
  <si>
    <t>14964-001.001</t>
  </si>
  <si>
    <t>00458-000.009</t>
  </si>
  <si>
    <t>0006599</t>
  </si>
  <si>
    <t>00457-000</t>
  </si>
  <si>
    <t>00457-000.007</t>
  </si>
  <si>
    <t>NORTHWEST HARRIS CO MUD NO 10</t>
  </si>
  <si>
    <t>0128180</t>
  </si>
  <si>
    <t>14643-001</t>
  </si>
  <si>
    <t>14643-001.001</t>
  </si>
  <si>
    <t>00457-000.006</t>
  </si>
  <si>
    <t>00457-000.004</t>
  </si>
  <si>
    <t>00457-000.003</t>
  </si>
  <si>
    <t>00457-000.001</t>
  </si>
  <si>
    <t>OXEA CORP</t>
  </si>
  <si>
    <t>0006017</t>
  </si>
  <si>
    <t>00455-000</t>
  </si>
  <si>
    <t>00455-000.002</t>
  </si>
  <si>
    <t>00455-000.001</t>
  </si>
  <si>
    <t>00454-000.002</t>
  </si>
  <si>
    <t>00414-000.011</t>
  </si>
  <si>
    <t>00403-000.009</t>
  </si>
  <si>
    <t>00403-000.008</t>
  </si>
  <si>
    <t>00403-000.007</t>
  </si>
  <si>
    <t>BUCKLEY OIL COMPANY</t>
  </si>
  <si>
    <t>0126080</t>
  </si>
  <si>
    <t>04663-000</t>
  </si>
  <si>
    <t>04663-000.002</t>
  </si>
  <si>
    <t>04663-000.001</t>
  </si>
  <si>
    <t>00403-000.006</t>
  </si>
  <si>
    <t>00403-000.004</t>
  </si>
  <si>
    <t>00403-000.003</t>
  </si>
  <si>
    <t>00403-000.002</t>
  </si>
  <si>
    <t>00403-000.001</t>
  </si>
  <si>
    <t>00402-000.004</t>
  </si>
  <si>
    <t>00402-000.003</t>
  </si>
  <si>
    <t>00402-000.002</t>
  </si>
  <si>
    <t>0132721</t>
  </si>
  <si>
    <t>11845-006</t>
  </si>
  <si>
    <t>11845-006.001</t>
  </si>
  <si>
    <t>10871-001.002</t>
  </si>
  <si>
    <t>01590-000.013</t>
  </si>
  <si>
    <t>PLAINVIEW BIOENERGY LLC</t>
  </si>
  <si>
    <t>0132705</t>
  </si>
  <si>
    <t>04935-000</t>
  </si>
  <si>
    <t>04935-000.000</t>
  </si>
  <si>
    <t>11269-001.002</t>
  </si>
  <si>
    <t>01429-000.004</t>
  </si>
  <si>
    <t>GREATWOOD HOSPITALITY INC</t>
  </si>
  <si>
    <t>0132225</t>
  </si>
  <si>
    <t>14955-001</t>
  </si>
  <si>
    <t>14955-001.001</t>
  </si>
  <si>
    <t>10481-000</t>
  </si>
  <si>
    <t>10481-001.006</t>
  </si>
  <si>
    <t>10481-001.005</t>
  </si>
  <si>
    <t>10481-001.004</t>
  </si>
  <si>
    <t>10481-001.007</t>
  </si>
  <si>
    <t>10481-001.003</t>
  </si>
  <si>
    <t>10481-001.002</t>
  </si>
  <si>
    <t>HARRIS COUNTY MUD NO 433</t>
  </si>
  <si>
    <t>0132161</t>
  </si>
  <si>
    <t>14954-001</t>
  </si>
  <si>
    <t>14954-001.001</t>
  </si>
  <si>
    <t>022</t>
  </si>
  <si>
    <t>01064-000.022</t>
  </si>
  <si>
    <t>0047848</t>
  </si>
  <si>
    <t>10060-006</t>
  </si>
  <si>
    <t>10060-006.001</t>
  </si>
  <si>
    <t>0002372</t>
  </si>
  <si>
    <t>10060-005</t>
  </si>
  <si>
    <t>10060-005.001</t>
  </si>
  <si>
    <t>0002364</t>
  </si>
  <si>
    <t>10060-003</t>
  </si>
  <si>
    <t>10060-003.001</t>
  </si>
  <si>
    <t>0047830</t>
  </si>
  <si>
    <t>10060-001</t>
  </si>
  <si>
    <t>10060-001.001</t>
  </si>
  <si>
    <t>CROCKETT</t>
  </si>
  <si>
    <t>CROCKETT COUNTY WCID 1</t>
  </si>
  <si>
    <t>0098345</t>
  </si>
  <si>
    <t>10059-001</t>
  </si>
  <si>
    <t>10059-001.001</t>
  </si>
  <si>
    <t>CITY OF WEST UNIVERSITY PLACE</t>
  </si>
  <si>
    <t>0023841</t>
  </si>
  <si>
    <t>10058-001</t>
  </si>
  <si>
    <t>10058-001.001</t>
  </si>
  <si>
    <t>CITY OF TOM BEAN</t>
  </si>
  <si>
    <t>0055212</t>
  </si>
  <si>
    <t>10057-001</t>
  </si>
  <si>
    <t>10057-001.001</t>
  </si>
  <si>
    <t>SCURRY</t>
  </si>
  <si>
    <t>CITY OF SNYDER</t>
  </si>
  <si>
    <t>0047899</t>
  </si>
  <si>
    <t>10056-001</t>
  </si>
  <si>
    <t>10056-001.001</t>
  </si>
  <si>
    <t>0024562</t>
  </si>
  <si>
    <t>10055-001</t>
  </si>
  <si>
    <t>10055-001.001</t>
  </si>
  <si>
    <t>2471</t>
  </si>
  <si>
    <t>CITY OF ROCKPORT</t>
  </si>
  <si>
    <t>0022152</t>
  </si>
  <si>
    <t>10054-001</t>
  </si>
  <si>
    <t>10054-001.001</t>
  </si>
  <si>
    <t>CITY OF PASADENA</t>
  </si>
  <si>
    <t>0117528</t>
  </si>
  <si>
    <t>10053-009</t>
  </si>
  <si>
    <t>10053-009.001</t>
  </si>
  <si>
    <t>00368-000.004</t>
  </si>
  <si>
    <t>0134813</t>
  </si>
  <si>
    <t>10053-011</t>
  </si>
  <si>
    <t>10053-011.001</t>
  </si>
  <si>
    <t>CITY OF BRIDGE CITY</t>
  </si>
  <si>
    <t>0025500</t>
  </si>
  <si>
    <t>10051-001</t>
  </si>
  <si>
    <t>10051-001.001</t>
  </si>
  <si>
    <t>0124796</t>
  </si>
  <si>
    <t>10050-003</t>
  </si>
  <si>
    <t>10050-003.001</t>
  </si>
  <si>
    <t>10050-001.001</t>
  </si>
  <si>
    <t>CITY OF MARION</t>
  </si>
  <si>
    <t>0022675</t>
  </si>
  <si>
    <t>10048-001</t>
  </si>
  <si>
    <t>10048-001.001</t>
  </si>
  <si>
    <t>CITY OF LAKE JACKSON</t>
  </si>
  <si>
    <t>0025798</t>
  </si>
  <si>
    <t>10047-001</t>
  </si>
  <si>
    <t>10047-001.001</t>
  </si>
  <si>
    <t>CITY OF HEARNE</t>
  </si>
  <si>
    <t>0025879</t>
  </si>
  <si>
    <t>10046-002</t>
  </si>
  <si>
    <t>10046-002.001</t>
  </si>
  <si>
    <t>CITY OF COPPERAS COVE</t>
  </si>
  <si>
    <t>0069841</t>
  </si>
  <si>
    <t>10045-005</t>
  </si>
  <si>
    <t>10045-005.001</t>
  </si>
  <si>
    <t>0069850</t>
  </si>
  <si>
    <t>10045-004</t>
  </si>
  <si>
    <t>10045-004.001</t>
  </si>
  <si>
    <t>0067873</t>
  </si>
  <si>
    <t>10045-003</t>
  </si>
  <si>
    <t>10045-003.001</t>
  </si>
  <si>
    <t>CITY OF CLUTE</t>
  </si>
  <si>
    <t>0034436</t>
  </si>
  <si>
    <t>10044-001</t>
  </si>
  <si>
    <t>10044-001.001</t>
  </si>
  <si>
    <t>CITY OF CLIFTON</t>
  </si>
  <si>
    <t>0033936</t>
  </si>
  <si>
    <t>10043-001</t>
  </si>
  <si>
    <t>10043-001.001</t>
  </si>
  <si>
    <t>CITY OF BRECKENRIDGE</t>
  </si>
  <si>
    <t>0023213</t>
  </si>
  <si>
    <t>10040-001</t>
  </si>
  <si>
    <t>10040-001.001</t>
  </si>
  <si>
    <t>CITY OF BLUE RIDGE</t>
  </si>
  <si>
    <t>0026808</t>
  </si>
  <si>
    <t>10039-001</t>
  </si>
  <si>
    <t>10039-001.001</t>
  </si>
  <si>
    <t>CITY OF BAIRD</t>
  </si>
  <si>
    <t>0125121</t>
  </si>
  <si>
    <t>10037-004</t>
  </si>
  <si>
    <t>10037-004.001</t>
  </si>
  <si>
    <t>SHACKELFORD</t>
  </si>
  <si>
    <t>CITY OF ALBANY</t>
  </si>
  <si>
    <t>0002011</t>
  </si>
  <si>
    <t>10035-001</t>
  </si>
  <si>
    <t>10035-001.001</t>
  </si>
  <si>
    <t>HARRIS COUNTY FWSD 51</t>
  </si>
  <si>
    <t>0025062</t>
  </si>
  <si>
    <t>10032-001</t>
  </si>
  <si>
    <t>10032-001.001</t>
  </si>
  <si>
    <t>0119849</t>
  </si>
  <si>
    <t>10027-004</t>
  </si>
  <si>
    <t>10027-004.001</t>
  </si>
  <si>
    <t>CALPINE CONSTRUCTION FINANCE CO LP &amp; CALPINE OPERATING SERVICES CO INC</t>
  </si>
  <si>
    <t>0116751</t>
  </si>
  <si>
    <t>04040-000</t>
  </si>
  <si>
    <t>04040-000.001</t>
  </si>
  <si>
    <t>04038-000.002</t>
  </si>
  <si>
    <t>04038-000.001</t>
  </si>
  <si>
    <t>MARINE FUELING SERVICE INC</t>
  </si>
  <si>
    <t>0118231</t>
  </si>
  <si>
    <t>04025-000</t>
  </si>
  <si>
    <t>04025-000.001</t>
  </si>
  <si>
    <t>NORTH PARK PUD</t>
  </si>
  <si>
    <t>0072567</t>
  </si>
  <si>
    <t>11855-001</t>
  </si>
  <si>
    <t>11855-001.001</t>
  </si>
  <si>
    <t>0094927</t>
  </si>
  <si>
    <t>11845-002</t>
  </si>
  <si>
    <t>11845-002.001</t>
  </si>
  <si>
    <t>FOREST GLEN INC</t>
  </si>
  <si>
    <t>0071765</t>
  </si>
  <si>
    <t>11844-001</t>
  </si>
  <si>
    <t>11844-001.001</t>
  </si>
  <si>
    <t>CITY OF CALLISBURG</t>
  </si>
  <si>
    <t>0072362</t>
  </si>
  <si>
    <t>11840-001</t>
  </si>
  <si>
    <t>11840-001.001</t>
  </si>
  <si>
    <t>0069183</t>
  </si>
  <si>
    <t>11839-001</t>
  </si>
  <si>
    <t>11839-001.001</t>
  </si>
  <si>
    <t>CITY OF OYSTER CREEK</t>
  </si>
  <si>
    <t>0072591</t>
  </si>
  <si>
    <t>11837-001</t>
  </si>
  <si>
    <t>11837-001.001</t>
  </si>
  <si>
    <t>BRIDGESTONE MUD</t>
  </si>
  <si>
    <t>0072150</t>
  </si>
  <si>
    <t>11835-001</t>
  </si>
  <si>
    <t>11835-001.001</t>
  </si>
  <si>
    <t>LIBERTY-DANVILLE FWSD NO 2</t>
  </si>
  <si>
    <t>0072541</t>
  </si>
  <si>
    <t>11833-001</t>
  </si>
  <si>
    <t>11833-001.001</t>
  </si>
  <si>
    <t>FAULKEY GULLY MUD</t>
  </si>
  <si>
    <t>0072354</t>
  </si>
  <si>
    <t>11832-001</t>
  </si>
  <si>
    <t>11832-001.001</t>
  </si>
  <si>
    <t>AZTEC COVE PROPERTY OWNERS ASSN INC</t>
  </si>
  <si>
    <t>0072109</t>
  </si>
  <si>
    <t>11831-001</t>
  </si>
  <si>
    <t>11831-001.001</t>
  </si>
  <si>
    <t>CITY OF HUDSON</t>
  </si>
  <si>
    <t>0068985</t>
  </si>
  <si>
    <t>11826-001</t>
  </si>
  <si>
    <t>11826-001.001</t>
  </si>
  <si>
    <t>NORTHWEST HARRIS CO MUD 5</t>
  </si>
  <si>
    <t>0072346</t>
  </si>
  <si>
    <t>11824-003</t>
  </si>
  <si>
    <t>11824-003.001</t>
  </si>
  <si>
    <t>CITY OF SOMERSET</t>
  </si>
  <si>
    <t>0074331</t>
  </si>
  <si>
    <t>11822-001</t>
  </si>
  <si>
    <t>11822-001.001</t>
  </si>
  <si>
    <t>00458-000.001</t>
  </si>
  <si>
    <t>00402-000.001</t>
  </si>
  <si>
    <t>GREENVILLE ELECTRIC UTILITY SYSTEM</t>
  </si>
  <si>
    <t>0103080</t>
  </si>
  <si>
    <t>04557-000</t>
  </si>
  <si>
    <t>04557-000.001</t>
  </si>
  <si>
    <t>FORT BEND COUNTY MUD NO 23</t>
  </si>
  <si>
    <t>0074233</t>
  </si>
  <si>
    <t>11999-001</t>
  </si>
  <si>
    <t>11999-001.001</t>
  </si>
  <si>
    <t>CITY OF WOODBRANCH VILLAGE</t>
  </si>
  <si>
    <t>0077241</t>
  </si>
  <si>
    <t>11993-001</t>
  </si>
  <si>
    <t>11993-001.001</t>
  </si>
  <si>
    <t>FRY ROAD MUD</t>
  </si>
  <si>
    <t>0076775</t>
  </si>
  <si>
    <t>11989-001</t>
  </si>
  <si>
    <t>11989-001.001</t>
  </si>
  <si>
    <t>HARRIS COUNTY MUD 24</t>
  </si>
  <si>
    <t>0113115</t>
  </si>
  <si>
    <t>11988-003</t>
  </si>
  <si>
    <t>11988-003.001</t>
  </si>
  <si>
    <t>0113123</t>
  </si>
  <si>
    <t>11988-002</t>
  </si>
  <si>
    <t>11988-002.001</t>
  </si>
  <si>
    <t>0076856</t>
  </si>
  <si>
    <t>11988-001</t>
  </si>
  <si>
    <t>11988-001.001</t>
  </si>
  <si>
    <t>TOWER OAK BEND WSC</t>
  </si>
  <si>
    <t>0076791</t>
  </si>
  <si>
    <t>11986-001</t>
  </si>
  <si>
    <t>11986-001.001</t>
  </si>
  <si>
    <t>0074888</t>
  </si>
  <si>
    <t>11982-001</t>
  </si>
  <si>
    <t>11982-001.001</t>
  </si>
  <si>
    <t>WHITE OAK BEND MUD</t>
  </si>
  <si>
    <t>0076651</t>
  </si>
  <si>
    <t>11979-002</t>
  </si>
  <si>
    <t>11979-002.001</t>
  </si>
  <si>
    <t>0129160</t>
  </si>
  <si>
    <t>14755-001</t>
  </si>
  <si>
    <t>14755-001.001</t>
  </si>
  <si>
    <t>PLANTATION MUD</t>
  </si>
  <si>
    <t>0076554</t>
  </si>
  <si>
    <t>11971-001</t>
  </si>
  <si>
    <t>11971-001.001</t>
  </si>
  <si>
    <t>MAYDE CREEK MUD</t>
  </si>
  <si>
    <t>0076660</t>
  </si>
  <si>
    <t>11969-001</t>
  </si>
  <si>
    <t>11969-001.001</t>
  </si>
  <si>
    <t>HARRIS COUNTY WCID 110</t>
  </si>
  <si>
    <t>0076481</t>
  </si>
  <si>
    <t>11964-001</t>
  </si>
  <si>
    <t>11964-001.001</t>
  </si>
  <si>
    <t>01064-000.021</t>
  </si>
  <si>
    <t>01064-000.020</t>
  </si>
  <si>
    <t>01064-000.019</t>
  </si>
  <si>
    <t>01064-000.018</t>
  </si>
  <si>
    <t>01064-000.017</t>
  </si>
  <si>
    <t>CITY OF MORGAN'S POINT RESORT</t>
  </si>
  <si>
    <t>0126551</t>
  </si>
  <si>
    <t>10918-002</t>
  </si>
  <si>
    <t>10918-002.001</t>
  </si>
  <si>
    <t>01925-000.003</t>
  </si>
  <si>
    <t>10681-004.002</t>
  </si>
  <si>
    <t>0132152</t>
  </si>
  <si>
    <t>04894-000</t>
  </si>
  <si>
    <t>04894-000.001</t>
  </si>
  <si>
    <t>WALLER COUNTY MUD NO 9A</t>
  </si>
  <si>
    <t>0132063</t>
  </si>
  <si>
    <t>14943-001</t>
  </si>
  <si>
    <t>14943-001.001</t>
  </si>
  <si>
    <t>11183-003.004</t>
  </si>
  <si>
    <t>ROYAL WAILEA INVESTMENT LP</t>
  </si>
  <si>
    <t>0132071</t>
  </si>
  <si>
    <t>14944-001</t>
  </si>
  <si>
    <t>14944-001.001</t>
  </si>
  <si>
    <t>HIDALGO COUNTY MUD NO 1</t>
  </si>
  <si>
    <t>0132101</t>
  </si>
  <si>
    <t>14950-001</t>
  </si>
  <si>
    <t>14950-001.001</t>
  </si>
  <si>
    <t>XS RANCH FUND VI LP</t>
  </si>
  <si>
    <t>0132080</t>
  </si>
  <si>
    <t>14946-001</t>
  </si>
  <si>
    <t>14946-001.001</t>
  </si>
  <si>
    <t>00309-000.006</t>
  </si>
  <si>
    <t>00309-000.005</t>
  </si>
  <si>
    <t>OCEAN HOME MOBILE HOME PARK LLC</t>
  </si>
  <si>
    <t>0132748</t>
  </si>
  <si>
    <t>14980-001</t>
  </si>
  <si>
    <t>14980-001.001</t>
  </si>
  <si>
    <t>EASTWOOD HILLS MOBILE HOME PARK LP</t>
  </si>
  <si>
    <t>0132730</t>
  </si>
  <si>
    <t>14979-001</t>
  </si>
  <si>
    <t>14979-001.001</t>
  </si>
  <si>
    <t>0132764</t>
  </si>
  <si>
    <t>14982-001</t>
  </si>
  <si>
    <t>14982-001.001</t>
  </si>
  <si>
    <t>CALUMET DICKINSON REFINING LLC</t>
  </si>
  <si>
    <t>0003727</t>
  </si>
  <si>
    <t>00377-000</t>
  </si>
  <si>
    <t>00377-000.002</t>
  </si>
  <si>
    <t>00377-000.001</t>
  </si>
  <si>
    <t>0126977</t>
  </si>
  <si>
    <t>11477-001</t>
  </si>
  <si>
    <t>11477-001.001</t>
  </si>
  <si>
    <t>00368-000.002</t>
  </si>
  <si>
    <t>00368-000.001</t>
  </si>
  <si>
    <t>0004839</t>
  </si>
  <si>
    <t>00359-000</t>
  </si>
  <si>
    <t>00359-000.001</t>
  </si>
  <si>
    <t>UNITED STATES GYPSUM CO</t>
  </si>
  <si>
    <t>0007056</t>
  </si>
  <si>
    <t>00353-000</t>
  </si>
  <si>
    <t>00353-000.001</t>
  </si>
  <si>
    <t>0000027</t>
  </si>
  <si>
    <t>00348-000</t>
  </si>
  <si>
    <t>00348-000.003</t>
  </si>
  <si>
    <t>00415-000.004</t>
  </si>
  <si>
    <t>00415-000.002</t>
  </si>
  <si>
    <t>EL PASO ELECTRIC CO</t>
  </si>
  <si>
    <t>0127787</t>
  </si>
  <si>
    <t>00836-000</t>
  </si>
  <si>
    <t>00836-000.001</t>
  </si>
  <si>
    <t>00348-000.002</t>
  </si>
  <si>
    <t>00348-000.001</t>
  </si>
  <si>
    <t>0006696</t>
  </si>
  <si>
    <t>00336-000</t>
  </si>
  <si>
    <t>00336-000.001</t>
  </si>
  <si>
    <t>PHILLIPS 66 GULF COAST PROPERTIES LLC</t>
  </si>
  <si>
    <t>0002909</t>
  </si>
  <si>
    <t>00316-000</t>
  </si>
  <si>
    <t>00316-000.005</t>
  </si>
  <si>
    <t>00316-000.003</t>
  </si>
  <si>
    <t>00316-000.002</t>
  </si>
  <si>
    <t>00316-000.001</t>
  </si>
  <si>
    <t>00309-000.008</t>
  </si>
  <si>
    <t>00309-000.004</t>
  </si>
  <si>
    <t>00309-000.001</t>
  </si>
  <si>
    <t>00305-000.005</t>
  </si>
  <si>
    <t>00305-000.004</t>
  </si>
  <si>
    <t>00305-000.003</t>
  </si>
  <si>
    <t>00305-000.002</t>
  </si>
  <si>
    <t>00305-000.001</t>
  </si>
  <si>
    <t>TURNER INDUSTRIES GROUP LLC</t>
  </si>
  <si>
    <t>0000108</t>
  </si>
  <si>
    <t>00300-000</t>
  </si>
  <si>
    <t>00300-000.001</t>
  </si>
  <si>
    <t>00007-000.003</t>
  </si>
  <si>
    <t>00007-000.002</t>
  </si>
  <si>
    <t>00007-000.001</t>
  </si>
  <si>
    <t>0006335</t>
  </si>
  <si>
    <t>00002-000</t>
  </si>
  <si>
    <t>00002-000.001</t>
  </si>
  <si>
    <t>00001-000.007</t>
  </si>
  <si>
    <t>00001-000.006</t>
  </si>
  <si>
    <t>00001-000.005</t>
  </si>
  <si>
    <t>00001-000.003</t>
  </si>
  <si>
    <t>00001-000.002</t>
  </si>
  <si>
    <t>00001-000.001</t>
  </si>
  <si>
    <t>00457-000.011</t>
  </si>
  <si>
    <t>00457-000.009</t>
  </si>
  <si>
    <t>LATERNA VILLA MHP LLC</t>
  </si>
  <si>
    <t>0132438</t>
  </si>
  <si>
    <t>14961-001</t>
  </si>
  <si>
    <t>14961-001.001</t>
  </si>
  <si>
    <t>WESTON MUD</t>
  </si>
  <si>
    <t>0132276</t>
  </si>
  <si>
    <t>14956-001</t>
  </si>
  <si>
    <t>14956-001.001</t>
  </si>
  <si>
    <t>02109-000.007</t>
  </si>
  <si>
    <t>AMERICAN CHROME &amp; CHEMICALS LP</t>
  </si>
  <si>
    <t>0004685</t>
  </si>
  <si>
    <t>00349-000</t>
  </si>
  <si>
    <t>00349-000.001</t>
  </si>
  <si>
    <t>00749-000.005</t>
  </si>
  <si>
    <t>00749-000.006</t>
  </si>
  <si>
    <t>00749-000.004</t>
  </si>
  <si>
    <t>00749-000.003</t>
  </si>
  <si>
    <t>00749-000.002</t>
  </si>
  <si>
    <t>OCCIDENTAL CHEMICAL CORP</t>
  </si>
  <si>
    <t>0104876</t>
  </si>
  <si>
    <t>03083-000</t>
  </si>
  <si>
    <t>03083-000.001</t>
  </si>
  <si>
    <t>JOHN BLUDWORTH SHIPYARD LLC</t>
  </si>
  <si>
    <t>0132004</t>
  </si>
  <si>
    <t>04889-000</t>
  </si>
  <si>
    <t>04889-000.002</t>
  </si>
  <si>
    <t>0052647</t>
  </si>
  <si>
    <t>10137-008</t>
  </si>
  <si>
    <t>10137-008.001</t>
  </si>
  <si>
    <t>0132217</t>
  </si>
  <si>
    <t>12003-002</t>
  </si>
  <si>
    <t>12003-002.001</t>
  </si>
  <si>
    <t>026</t>
  </si>
  <si>
    <t>01064-000.026</t>
  </si>
  <si>
    <t>027</t>
  </si>
  <si>
    <t>01064-000.027</t>
  </si>
  <si>
    <t>0132055</t>
  </si>
  <si>
    <t>13523-014</t>
  </si>
  <si>
    <t>13523-014.001</t>
  </si>
  <si>
    <t>0132179</t>
  </si>
  <si>
    <t>11845-005</t>
  </si>
  <si>
    <t>11845-005.001</t>
  </si>
  <si>
    <t>STEPHENVILLE MOBILE HOME PARK LTD</t>
  </si>
  <si>
    <t>0132039</t>
  </si>
  <si>
    <t>13966-001</t>
  </si>
  <si>
    <t>13966-001.001</t>
  </si>
  <si>
    <t>04889-000.001</t>
  </si>
  <si>
    <t>00465-000.001</t>
  </si>
  <si>
    <t>02460-000.002</t>
  </si>
  <si>
    <t>TEXAS NEW COMMUNITY ALLIANCE</t>
  </si>
  <si>
    <t>0132012</t>
  </si>
  <si>
    <t>14941-001</t>
  </si>
  <si>
    <t>14941-001.001</t>
  </si>
  <si>
    <t>PARK SEWER COMPANY</t>
  </si>
  <si>
    <t>0138363</t>
  </si>
  <si>
    <t>15661-001</t>
  </si>
  <si>
    <t>15661-001.001</t>
  </si>
  <si>
    <t>VICTORIA PORT ARTHUR LLC</t>
  </si>
  <si>
    <t>0138142</t>
  </si>
  <si>
    <t>05245-000</t>
  </si>
  <si>
    <t>05245-000.001</t>
  </si>
  <si>
    <t>HILL MCKNIGHT DISHMAN</t>
  </si>
  <si>
    <t>0138312</t>
  </si>
  <si>
    <t>15586-002</t>
  </si>
  <si>
    <t>15586-002.001</t>
  </si>
  <si>
    <t>0138207</t>
  </si>
  <si>
    <t>15646-001</t>
  </si>
  <si>
    <t>15646-001.001</t>
  </si>
  <si>
    <t>01280-000.004</t>
  </si>
  <si>
    <t>01280-000.003</t>
  </si>
  <si>
    <t>01280-000.002</t>
  </si>
  <si>
    <t>MCALISTER OPPORTUNITY FUND 2012 LP</t>
  </si>
  <si>
    <t>0138193</t>
  </si>
  <si>
    <t>15644-001</t>
  </si>
  <si>
    <t>15644-001.001</t>
  </si>
  <si>
    <t>CW CONSTRUCTION DEVELOPMENT LP</t>
  </si>
  <si>
    <t>013781</t>
  </si>
  <si>
    <t>15595-001</t>
  </si>
  <si>
    <t>15595-001.001</t>
  </si>
  <si>
    <t>MORTON LAKE COMPANY INC</t>
  </si>
  <si>
    <t>0138088</t>
  </si>
  <si>
    <t>15628-001</t>
  </si>
  <si>
    <t>15628-001.001</t>
  </si>
  <si>
    <t>0138070</t>
  </si>
  <si>
    <t>15626-001</t>
  </si>
  <si>
    <t>15626-001.001</t>
  </si>
  <si>
    <t>02712-000.004</t>
  </si>
  <si>
    <t>00445-000.005</t>
  </si>
  <si>
    <t>00445-000.003</t>
  </si>
  <si>
    <t>LOUIS VUITTON US MANUFACTURING INC</t>
  </si>
  <si>
    <t>0138061</t>
  </si>
  <si>
    <t>15622-001</t>
  </si>
  <si>
    <t>15622-001.001</t>
  </si>
  <si>
    <t>0138185</t>
  </si>
  <si>
    <t>15642-001</t>
  </si>
  <si>
    <t>15642-001.001</t>
  </si>
  <si>
    <t>HILCO UNITED SERVICES INC</t>
  </si>
  <si>
    <t>0137847</t>
  </si>
  <si>
    <t>15590-001</t>
  </si>
  <si>
    <t>15590-001.001</t>
  </si>
  <si>
    <t>00471-000.005</t>
  </si>
  <si>
    <t>WYLIE NORTHEAST SPECIAL UTILITY DISTRICT</t>
  </si>
  <si>
    <t>0129089</t>
  </si>
  <si>
    <t>14935-001</t>
  </si>
  <si>
    <t>14935-001.001</t>
  </si>
  <si>
    <t>NIAZI FAMILY INVESTMENTS LTD</t>
  </si>
  <si>
    <t>0137961</t>
  </si>
  <si>
    <t>15607-001</t>
  </si>
  <si>
    <t>15607-001.001</t>
  </si>
  <si>
    <t>10353-002.007</t>
  </si>
  <si>
    <t>0131598</t>
  </si>
  <si>
    <t>04874-000</t>
  </si>
  <si>
    <t>04874-000.001</t>
  </si>
  <si>
    <t>SOMERVELL COUNTY WATER DISTRICT</t>
  </si>
  <si>
    <t>0131911</t>
  </si>
  <si>
    <t>04877-000</t>
  </si>
  <si>
    <t>04877-000.001</t>
  </si>
  <si>
    <t>LONE STAR NGL MONT BELVIEU LP</t>
  </si>
  <si>
    <t>0131903</t>
  </si>
  <si>
    <t>04876-000</t>
  </si>
  <si>
    <t>04876-000.001</t>
  </si>
  <si>
    <t>DXC TECHNOLOGY SERVICES LLC</t>
  </si>
  <si>
    <t>0131938</t>
  </si>
  <si>
    <t>04879-000</t>
  </si>
  <si>
    <t>04879-000.001</t>
  </si>
  <si>
    <t>CITY OF BRIDGEPORT</t>
  </si>
  <si>
    <t>0132411</t>
  </si>
  <si>
    <t>10389-003</t>
  </si>
  <si>
    <t>10389-003.001</t>
  </si>
  <si>
    <t>WATERFRONT LAND INVESTMENTS FUND I LP</t>
  </si>
  <si>
    <t>0131750</t>
  </si>
  <si>
    <t>14925-001</t>
  </si>
  <si>
    <t>14925-001.001</t>
  </si>
  <si>
    <t>HARRIS CO MUD DIST NO 500</t>
  </si>
  <si>
    <t>0117854</t>
  </si>
  <si>
    <t>14936-001</t>
  </si>
  <si>
    <t>14936-001.001</t>
  </si>
  <si>
    <t>STRIPES LLC</t>
  </si>
  <si>
    <t>0131849</t>
  </si>
  <si>
    <t>14932-001</t>
  </si>
  <si>
    <t>14932-001.001</t>
  </si>
  <si>
    <t>2110</t>
  </si>
  <si>
    <t>CITY OF SABINAL</t>
  </si>
  <si>
    <t>0128597</t>
  </si>
  <si>
    <t>14689-001</t>
  </si>
  <si>
    <t>14689-001.001</t>
  </si>
  <si>
    <t>SPIRIT OF AGGIELAND RV RESORT LLC</t>
  </si>
  <si>
    <t>0138096</t>
  </si>
  <si>
    <t>15632-001</t>
  </si>
  <si>
    <t>15632-001.001</t>
  </si>
  <si>
    <t>00990-000.004</t>
  </si>
  <si>
    <t>HORIZON REGIONAL MUD</t>
  </si>
  <si>
    <t>0086045</t>
  </si>
  <si>
    <t>10795-001</t>
  </si>
  <si>
    <t>10795-001.003</t>
  </si>
  <si>
    <t>BAY BLUFF LP</t>
  </si>
  <si>
    <t>0131806</t>
  </si>
  <si>
    <t>14931-001</t>
  </si>
  <si>
    <t>14931-001.001</t>
  </si>
  <si>
    <t>0131776</t>
  </si>
  <si>
    <t>10681-007</t>
  </si>
  <si>
    <t>10681-007.001</t>
  </si>
  <si>
    <t>RANDOLPH WSC</t>
  </si>
  <si>
    <t>0027928</t>
  </si>
  <si>
    <t>14752-001</t>
  </si>
  <si>
    <t>14752-001.001</t>
  </si>
  <si>
    <t>01429-000.003</t>
  </si>
  <si>
    <t>04013-000.006</t>
  </si>
  <si>
    <t>04013-000.005</t>
  </si>
  <si>
    <t>04013-000.004</t>
  </si>
  <si>
    <t>04013-000.003</t>
  </si>
  <si>
    <t>SAMPOGNA PROPERTIES LP</t>
  </si>
  <si>
    <t>0132519</t>
  </si>
  <si>
    <t>14966-001</t>
  </si>
  <si>
    <t>14966-001.001</t>
  </si>
  <si>
    <t>0133027</t>
  </si>
  <si>
    <t>04953-000</t>
  </si>
  <si>
    <t>04953-000.001</t>
  </si>
  <si>
    <t>HARRIS COUNTY MUD NO 71</t>
  </si>
  <si>
    <t>0074403</t>
  </si>
  <si>
    <t>11917-001</t>
  </si>
  <si>
    <t>11917-001.001</t>
  </si>
  <si>
    <t>TEXAS AIRSTREAM HARBOR INC</t>
  </si>
  <si>
    <t>0068039</t>
  </si>
  <si>
    <t>11895-001</t>
  </si>
  <si>
    <t>11895-001.001</t>
  </si>
  <si>
    <t>MEMORIAL MUD</t>
  </si>
  <si>
    <t>0074004</t>
  </si>
  <si>
    <t>11893-001</t>
  </si>
  <si>
    <t>11893-001.001</t>
  </si>
  <si>
    <t>GRANT ROAD PUD</t>
  </si>
  <si>
    <t>0134627</t>
  </si>
  <si>
    <t>15098-001</t>
  </si>
  <si>
    <t>15098-001.001</t>
  </si>
  <si>
    <t>CLP SPLASHTOWN LLC</t>
  </si>
  <si>
    <t>0073105</t>
  </si>
  <si>
    <t>11886-001</t>
  </si>
  <si>
    <t>11886-001.001</t>
  </si>
  <si>
    <t>CASTLEWOOD MUD</t>
  </si>
  <si>
    <t>0071625</t>
  </si>
  <si>
    <t>11883-001</t>
  </si>
  <si>
    <t>11883-001.001</t>
  </si>
  <si>
    <t>TOWN OF BUCKHOLTS</t>
  </si>
  <si>
    <t>0073008</t>
  </si>
  <si>
    <t>11875-001</t>
  </si>
  <si>
    <t>11875-001.001</t>
  </si>
  <si>
    <t>CITY OF MAGNOLIA</t>
  </si>
  <si>
    <t>0072702</t>
  </si>
  <si>
    <t>14903-001</t>
  </si>
  <si>
    <t>14903-001.001</t>
  </si>
  <si>
    <t>CITY OF ANGUS</t>
  </si>
  <si>
    <t>0073032</t>
  </si>
  <si>
    <t>11864-001</t>
  </si>
  <si>
    <t>11864-001.001</t>
  </si>
  <si>
    <t>HARRIS COUNTY MUD NO 150</t>
  </si>
  <si>
    <t>0072893</t>
  </si>
  <si>
    <t>11863-001</t>
  </si>
  <si>
    <t>11863-001.001</t>
  </si>
  <si>
    <t>EAST CEDAR CREEK FWSD</t>
  </si>
  <si>
    <t>0074861</t>
  </si>
  <si>
    <t>11858-001</t>
  </si>
  <si>
    <t>11858-001.001</t>
  </si>
  <si>
    <t>0068926</t>
  </si>
  <si>
    <t>11720-001</t>
  </si>
  <si>
    <t>11720-001.001</t>
  </si>
  <si>
    <t>BRAZOS ISD</t>
  </si>
  <si>
    <t>0068713</t>
  </si>
  <si>
    <t>11719-001</t>
  </si>
  <si>
    <t>11719-001.001</t>
  </si>
  <si>
    <t>TEXAS NATIONAL MUD</t>
  </si>
  <si>
    <t>0068659</t>
  </si>
  <si>
    <t>11715-001</t>
  </si>
  <si>
    <t>11715-001.001</t>
  </si>
  <si>
    <t>LUMBERTON MUD</t>
  </si>
  <si>
    <t>0092801</t>
  </si>
  <si>
    <t>11709-002</t>
  </si>
  <si>
    <t>11709-002.001</t>
  </si>
  <si>
    <t>0068683</t>
  </si>
  <si>
    <t>11701-001</t>
  </si>
  <si>
    <t>11701-001.001</t>
  </si>
  <si>
    <t>PALO PINTO COUNTY</t>
  </si>
  <si>
    <t>0101664</t>
  </si>
  <si>
    <t>11698-001</t>
  </si>
  <si>
    <t>11698-001.001</t>
  </si>
  <si>
    <t>ADDICKS UD</t>
  </si>
  <si>
    <t>0112585</t>
  </si>
  <si>
    <t>11696-002</t>
  </si>
  <si>
    <t>11696-002.001</t>
  </si>
  <si>
    <t>SPORT HARBOUR LLC</t>
  </si>
  <si>
    <t>0056545</t>
  </si>
  <si>
    <t>11693-001</t>
  </si>
  <si>
    <t>11693-001.001</t>
  </si>
  <si>
    <t>INTERNATIONAL EDUCATIONAL SERVICES INC</t>
  </si>
  <si>
    <t>0132756</t>
  </si>
  <si>
    <t>14981-001</t>
  </si>
  <si>
    <t>14981-001.001</t>
  </si>
  <si>
    <t>LANGHAM CREEK UD</t>
  </si>
  <si>
    <t>0064734</t>
  </si>
  <si>
    <t>11682-001</t>
  </si>
  <si>
    <t>11682-001.001</t>
  </si>
  <si>
    <t>WOODLOCH MHP LLC</t>
  </si>
  <si>
    <t>0063860</t>
  </si>
  <si>
    <t>11673-001</t>
  </si>
  <si>
    <t>11673-001.001</t>
  </si>
  <si>
    <t>0063479</t>
  </si>
  <si>
    <t>11670-001</t>
  </si>
  <si>
    <t>11670-001.001</t>
  </si>
  <si>
    <t>0063461</t>
  </si>
  <si>
    <t>11658-001</t>
  </si>
  <si>
    <t>11658-001.001</t>
  </si>
  <si>
    <t>PECAN GROVE MUD</t>
  </si>
  <si>
    <t>0056421</t>
  </si>
  <si>
    <t>11655-001</t>
  </si>
  <si>
    <t>11655-001.001</t>
  </si>
  <si>
    <t>YOUNG MENS CHRISTIAN ASSOCIATION OF THE GREATER HOUSTON AREA</t>
  </si>
  <si>
    <t>0059579</t>
  </si>
  <si>
    <t>11644-001</t>
  </si>
  <si>
    <t>11644-001.001</t>
  </si>
  <si>
    <t>HARRIS COUNTY MUD 1</t>
  </si>
  <si>
    <t>0058530</t>
  </si>
  <si>
    <t>11630-001</t>
  </si>
  <si>
    <t>11630-001.001</t>
  </si>
  <si>
    <t>WINTER GARDEN PARK CORP</t>
  </si>
  <si>
    <t>0059587</t>
  </si>
  <si>
    <t>11628-001</t>
  </si>
  <si>
    <t>11628-001.001</t>
  </si>
  <si>
    <t>CITY OF NEWARK</t>
  </si>
  <si>
    <t>0057231</t>
  </si>
  <si>
    <t>11626-001</t>
  </si>
  <si>
    <t>11626-001.001</t>
  </si>
  <si>
    <t>0057657</t>
  </si>
  <si>
    <t>11621-001</t>
  </si>
  <si>
    <t>11621-001.001</t>
  </si>
  <si>
    <t>ANGELINA &amp; NECHES RIVER AUTHORITY</t>
  </si>
  <si>
    <t>0056154</t>
  </si>
  <si>
    <t>11620-001</t>
  </si>
  <si>
    <t>11620-001.001</t>
  </si>
  <si>
    <t>HUNTERS GLEN MUD</t>
  </si>
  <si>
    <t>0118371</t>
  </si>
  <si>
    <t>11618-003</t>
  </si>
  <si>
    <t>11618-003.001</t>
  </si>
  <si>
    <t>CITY OF BLOOMING GROVE</t>
  </si>
  <si>
    <t>0075418</t>
  </si>
  <si>
    <t>11606-001</t>
  </si>
  <si>
    <t>11606-001.001</t>
  </si>
  <si>
    <t>TOWN OF LITTLE ELM</t>
  </si>
  <si>
    <t>0053783</t>
  </si>
  <si>
    <t>11600-001</t>
  </si>
  <si>
    <t>11600-001.001</t>
  </si>
  <si>
    <t>CITY OF CARTHAGE</t>
  </si>
  <si>
    <t>0032361</t>
  </si>
  <si>
    <t>10074-003</t>
  </si>
  <si>
    <t>10074-003.001</t>
  </si>
  <si>
    <t>CITY OF BOWIE</t>
  </si>
  <si>
    <t>0111325</t>
  </si>
  <si>
    <t>10071-003</t>
  </si>
  <si>
    <t>10071-003.001</t>
  </si>
  <si>
    <t>CITY OF BONHAM</t>
  </si>
  <si>
    <t>0021814</t>
  </si>
  <si>
    <t>10070-001</t>
  </si>
  <si>
    <t>10070-001.001</t>
  </si>
  <si>
    <t>CITY OF BIG SPRING</t>
  </si>
  <si>
    <t>0064963</t>
  </si>
  <si>
    <t>10069-002</t>
  </si>
  <si>
    <t>10069-002.001</t>
  </si>
  <si>
    <t>0047023</t>
  </si>
  <si>
    <t>10069-003</t>
  </si>
  <si>
    <t>10069-003.001</t>
  </si>
  <si>
    <t>0024465</t>
  </si>
  <si>
    <t>10066-001</t>
  </si>
  <si>
    <t>10066-001.001</t>
  </si>
  <si>
    <t>CITY OF BOGATA</t>
  </si>
  <si>
    <t>0022322</t>
  </si>
  <si>
    <t>10065-001</t>
  </si>
  <si>
    <t>10065-001.001</t>
  </si>
  <si>
    <t>10063-003.001</t>
  </si>
  <si>
    <t>CITY OF DE KALB</t>
  </si>
  <si>
    <t>0069671</t>
  </si>
  <si>
    <t>10062-002</t>
  </si>
  <si>
    <t>10062-002.001</t>
  </si>
  <si>
    <t>0002381</t>
  </si>
  <si>
    <t>10060-097</t>
  </si>
  <si>
    <t>10060-097.001</t>
  </si>
  <si>
    <t>00395-000.001</t>
  </si>
  <si>
    <t>ALCOA WORLD ALUMINA LLC</t>
  </si>
  <si>
    <t>0004715</t>
  </si>
  <si>
    <t>00394-000</t>
  </si>
  <si>
    <t>00394-000.015</t>
  </si>
  <si>
    <t>00394-000.014</t>
  </si>
  <si>
    <t>00394-000.013</t>
  </si>
  <si>
    <t>00394-000.016</t>
  </si>
  <si>
    <t>00394-000.010</t>
  </si>
  <si>
    <t>00394-000.009</t>
  </si>
  <si>
    <t>00394-000.008</t>
  </si>
  <si>
    <t>00394-000.007</t>
  </si>
  <si>
    <t>00394-000.006</t>
  </si>
  <si>
    <t>00394-000.005</t>
  </si>
  <si>
    <t>00394-000.003</t>
  </si>
  <si>
    <t>00394-000.001</t>
  </si>
  <si>
    <t>00393-000.002</t>
  </si>
  <si>
    <t>00393-000.001</t>
  </si>
  <si>
    <t>0127205</t>
  </si>
  <si>
    <t>10067-001</t>
  </si>
  <si>
    <t>10067-001.001</t>
  </si>
  <si>
    <t>HOUSTON REFINING LP</t>
  </si>
  <si>
    <t>0003247</t>
  </si>
  <si>
    <t>00392-000</t>
  </si>
  <si>
    <t>00392-000.003</t>
  </si>
  <si>
    <t>00392-000.002</t>
  </si>
  <si>
    <t>00392-000.001</t>
  </si>
  <si>
    <t>00391-000.005</t>
  </si>
  <si>
    <t>00391-000.004</t>
  </si>
  <si>
    <t>00391-000.003</t>
  </si>
  <si>
    <t>00391-000.002</t>
  </si>
  <si>
    <t>00391-000.001</t>
  </si>
  <si>
    <t>00377-000.003</t>
  </si>
  <si>
    <t>04013-000.001</t>
  </si>
  <si>
    <t>CITY OF ANNONA</t>
  </si>
  <si>
    <t>0022705</t>
  </si>
  <si>
    <t>14255-001</t>
  </si>
  <si>
    <t>14255-001.001</t>
  </si>
  <si>
    <t>04760-000.004</t>
  </si>
  <si>
    <t>0062642</t>
  </si>
  <si>
    <t>03994-000</t>
  </si>
  <si>
    <t>03994-000.001</t>
  </si>
  <si>
    <t>WASTEWATER RESIDUALS MANAGEMENTS LLC</t>
  </si>
  <si>
    <t>0119075</t>
  </si>
  <si>
    <t>03987-000</t>
  </si>
  <si>
    <t>03987-000.001</t>
  </si>
  <si>
    <t>HUDSON PRODUCTS CORP</t>
  </si>
  <si>
    <t>0118940</t>
  </si>
  <si>
    <t>03985-000</t>
  </si>
  <si>
    <t>03985-000.001</t>
  </si>
  <si>
    <t>0008788</t>
  </si>
  <si>
    <t>03977-000</t>
  </si>
  <si>
    <t>03977-000.007</t>
  </si>
  <si>
    <t>03977-000.006</t>
  </si>
  <si>
    <t>03977-000.005</t>
  </si>
  <si>
    <t>03977-000.004</t>
  </si>
  <si>
    <t>03977-000.003</t>
  </si>
  <si>
    <t>03977-000.002</t>
  </si>
  <si>
    <t>03977-000.001</t>
  </si>
  <si>
    <t>004B</t>
  </si>
  <si>
    <t>00587-000.006</t>
  </si>
  <si>
    <t>00587-000.005</t>
  </si>
  <si>
    <t>HAYS CO WCID NO 1</t>
  </si>
  <si>
    <t>0128465</t>
  </si>
  <si>
    <t>14293-001</t>
  </si>
  <si>
    <t>14293-001.001</t>
  </si>
  <si>
    <t>REGION</t>
  </si>
  <si>
    <t>BASIN</t>
  </si>
  <si>
    <t>SEGMENT</t>
  </si>
  <si>
    <t>LONG_DD</t>
  </si>
  <si>
    <t>LAT_DD</t>
  </si>
  <si>
    <t>COUNTY</t>
  </si>
  <si>
    <t>INITIALS</t>
  </si>
  <si>
    <t>DTYPE</t>
  </si>
  <si>
    <t>STATUS</t>
  </si>
  <si>
    <t>PERMITTEE</t>
  </si>
  <si>
    <t>NPDES_NUM</t>
  </si>
  <si>
    <t>LETTER</t>
  </si>
  <si>
    <t>OUTFALL</t>
  </si>
  <si>
    <t>PERMIT_NUM</t>
  </si>
  <si>
    <t>GIS_NUMBER</t>
  </si>
  <si>
    <t>MONITORING_DATA_DOWNLOADED</t>
  </si>
  <si>
    <t>Starting month:</t>
  </si>
  <si>
    <t>DOWNLOAD_FLAG</t>
  </si>
  <si>
    <t>TX0000027</t>
  </si>
  <si>
    <t>TX0000086</t>
  </si>
  <si>
    <t>TX0000108</t>
  </si>
  <si>
    <t>TX0000540</t>
  </si>
  <si>
    <t>TX0000710</t>
  </si>
  <si>
    <t>TX0000825</t>
  </si>
  <si>
    <t>TX0000876</t>
  </si>
  <si>
    <t>TX0000949</t>
  </si>
  <si>
    <t>TX0001007</t>
  </si>
  <si>
    <t>TX0001023</t>
  </si>
  <si>
    <t>TX0001031</t>
  </si>
  <si>
    <t>TX0001066</t>
  </si>
  <si>
    <t>TX0001163</t>
  </si>
  <si>
    <t>TX0001198</t>
  </si>
  <si>
    <t>TX0001201</t>
  </si>
  <si>
    <t>TX0001368</t>
  </si>
  <si>
    <t>TX0001449</t>
  </si>
  <si>
    <t>TX0001465</t>
  </si>
  <si>
    <t>TX0001627</t>
  </si>
  <si>
    <t>TX0001830</t>
  </si>
  <si>
    <t>TX0001848</t>
  </si>
  <si>
    <t>TX0001856</t>
  </si>
  <si>
    <t>TX0002011</t>
  </si>
  <si>
    <t>TX0002089</t>
  </si>
  <si>
    <t>TX0002143</t>
  </si>
  <si>
    <t>TX0002313</t>
  </si>
  <si>
    <t>TX0002364</t>
  </si>
  <si>
    <t>TX0002372</t>
  </si>
  <si>
    <t>TX0002470</t>
  </si>
  <si>
    <t>TX0002631</t>
  </si>
  <si>
    <t>TX0002658</t>
  </si>
  <si>
    <t>TX0002798</t>
  </si>
  <si>
    <t>TX0002844</t>
  </si>
  <si>
    <t>TX0002852</t>
  </si>
  <si>
    <t>TX0002909</t>
  </si>
  <si>
    <t>TX0002933</t>
  </si>
  <si>
    <t>TX0002941</t>
  </si>
  <si>
    <t>TX0002968</t>
  </si>
  <si>
    <t>TX0002976</t>
  </si>
  <si>
    <t>TX0003158</t>
  </si>
  <si>
    <t>TX0003204</t>
  </si>
  <si>
    <t>TX0003239</t>
  </si>
  <si>
    <t>TX0003247</t>
  </si>
  <si>
    <t>TX0003522</t>
  </si>
  <si>
    <t>TX0003531</t>
  </si>
  <si>
    <t>TX0003581</t>
  </si>
  <si>
    <t>TX0003603</t>
  </si>
  <si>
    <t>TX0003654</t>
  </si>
  <si>
    <t>TX0003662</t>
  </si>
  <si>
    <t>TX0003671</t>
  </si>
  <si>
    <t>TX0003689</t>
  </si>
  <si>
    <t>TX0003697</t>
  </si>
  <si>
    <t>TX0003727</t>
  </si>
  <si>
    <t>TX0003832</t>
  </si>
  <si>
    <t>TX0003867</t>
  </si>
  <si>
    <t>TX0003875</t>
  </si>
  <si>
    <t>TX0003891</t>
  </si>
  <si>
    <t>TX0003948</t>
  </si>
  <si>
    <t>TX0004022</t>
  </si>
  <si>
    <t>TX0004201</t>
  </si>
  <si>
    <t>TX0004227</t>
  </si>
  <si>
    <t>TX0004626</t>
  </si>
  <si>
    <t>TX0004669</t>
  </si>
  <si>
    <t>TX0004685</t>
  </si>
  <si>
    <t>TX0004715</t>
  </si>
  <si>
    <t>TX0004731</t>
  </si>
  <si>
    <t>TX0004766</t>
  </si>
  <si>
    <t>TX0004821</t>
  </si>
  <si>
    <t>TX0004839</t>
  </si>
  <si>
    <t>TX0004863</t>
  </si>
  <si>
    <t>TX0004871</t>
  </si>
  <si>
    <t>TX0004944</t>
  </si>
  <si>
    <t>TX0004961</t>
  </si>
  <si>
    <t>TX0005061</t>
  </si>
  <si>
    <t>TX0005070</t>
  </si>
  <si>
    <t>TX0005118</t>
  </si>
  <si>
    <t>TX0005380</t>
  </si>
  <si>
    <t>TX0005479</t>
  </si>
  <si>
    <t>TX0005576</t>
  </si>
  <si>
    <t>TX0005584</t>
  </si>
  <si>
    <t>TX0005592</t>
  </si>
  <si>
    <t>TX0005746</t>
  </si>
  <si>
    <t>TX0005754</t>
  </si>
  <si>
    <t>TX0005762</t>
  </si>
  <si>
    <t>TX0005835</t>
  </si>
  <si>
    <t>TX0005860</t>
  </si>
  <si>
    <t>TX0005941</t>
  </si>
  <si>
    <t>TX0005991</t>
  </si>
  <si>
    <t>TX0006009</t>
  </si>
  <si>
    <t>TX0006017</t>
  </si>
  <si>
    <t>TX0006025</t>
  </si>
  <si>
    <t>TX0006033</t>
  </si>
  <si>
    <t>TX0006050</t>
  </si>
  <si>
    <t>TX0006068</t>
  </si>
  <si>
    <t>TX0006076</t>
  </si>
  <si>
    <t>TX0006084</t>
  </si>
  <si>
    <t>TX0006173</t>
  </si>
  <si>
    <t>TX0006211</t>
  </si>
  <si>
    <t>TX0006271</t>
  </si>
  <si>
    <t>TX0006289</t>
  </si>
  <si>
    <t>TX0006327</t>
  </si>
  <si>
    <t>TX0006335</t>
  </si>
  <si>
    <t>TX0006351</t>
  </si>
  <si>
    <t>TX0006386</t>
  </si>
  <si>
    <t>TX0006394</t>
  </si>
  <si>
    <t>TX0006459</t>
  </si>
  <si>
    <t>TX0006483</t>
  </si>
  <si>
    <t>TX0006564</t>
  </si>
  <si>
    <t>TX0006599</t>
  </si>
  <si>
    <t>TX0006696</t>
  </si>
  <si>
    <t>TX0006726</t>
  </si>
  <si>
    <t>TX0006904</t>
  </si>
  <si>
    <t>TX0007048</t>
  </si>
  <si>
    <t>TX0007056</t>
  </si>
  <si>
    <t>TX0007064</t>
  </si>
  <si>
    <t>TX0007072</t>
  </si>
  <si>
    <t>TX0007102</t>
  </si>
  <si>
    <t>TX0007145</t>
  </si>
  <si>
    <t>TX0007277</t>
  </si>
  <si>
    <t>TX0007285</t>
  </si>
  <si>
    <t>TX0007293</t>
  </si>
  <si>
    <t>TX0007323</t>
  </si>
  <si>
    <t>TX0007412</t>
  </si>
  <si>
    <t>TX0007421</t>
  </si>
  <si>
    <t>TX0007439</t>
  </si>
  <si>
    <t>TX0007528</t>
  </si>
  <si>
    <t>TX0007536</t>
  </si>
  <si>
    <t>TX0007544</t>
  </si>
  <si>
    <t>TX0007552</t>
  </si>
  <si>
    <t>TX0007706</t>
  </si>
  <si>
    <t>TX0007889</t>
  </si>
  <si>
    <t>TX0007897</t>
  </si>
  <si>
    <t>TX0008001</t>
  </si>
  <si>
    <t>TX0008150</t>
  </si>
  <si>
    <t>TX0008184</t>
  </si>
  <si>
    <t>TX0008290</t>
  </si>
  <si>
    <t>TX0008524</t>
  </si>
  <si>
    <t>TX0008737</t>
  </si>
  <si>
    <t>TX0008761</t>
  </si>
  <si>
    <t>TX0008788</t>
  </si>
  <si>
    <t>TX0008826</t>
  </si>
  <si>
    <t>TX0008834</t>
  </si>
  <si>
    <t>TX0008851</t>
  </si>
  <si>
    <t>TX0008907</t>
  </si>
  <si>
    <t>TX0008982</t>
  </si>
  <si>
    <t>TX0009148</t>
  </si>
  <si>
    <t>TX0020036</t>
  </si>
  <si>
    <t>TX0020052</t>
  </si>
  <si>
    <t>TX0020061</t>
  </si>
  <si>
    <t>TX0020079</t>
  </si>
  <si>
    <t>TX0020095</t>
  </si>
  <si>
    <t>TX0020109</t>
  </si>
  <si>
    <t>TX0020117</t>
  </si>
  <si>
    <t>TX0020192</t>
  </si>
  <si>
    <t>TX0020206</t>
  </si>
  <si>
    <t>TX0020249</t>
  </si>
  <si>
    <t>TX0020257</t>
  </si>
  <si>
    <t>TX0020290</t>
  </si>
  <si>
    <t>TX0020303</t>
  </si>
  <si>
    <t>TX0020311</t>
  </si>
  <si>
    <t>TX0020320</t>
  </si>
  <si>
    <t>TX0020346</t>
  </si>
  <si>
    <t>TX0020354</t>
  </si>
  <si>
    <t>TX0020389</t>
  </si>
  <si>
    <t>TX0020397</t>
  </si>
  <si>
    <t>TX0020401</t>
  </si>
  <si>
    <t>TX0020419</t>
  </si>
  <si>
    <t>TX0020443</t>
  </si>
  <si>
    <t>TX0020451</t>
  </si>
  <si>
    <t>TX0020460</t>
  </si>
  <si>
    <t>TX0020478</t>
  </si>
  <si>
    <t>TX0020516</t>
  </si>
  <si>
    <t>TX0020524</t>
  </si>
  <si>
    <t>TX0020559</t>
  </si>
  <si>
    <t>TX0020567</t>
  </si>
  <si>
    <t>TX0020591</t>
  </si>
  <si>
    <t>TX0020613</t>
  </si>
  <si>
    <t>TX0020621</t>
  </si>
  <si>
    <t>TX0020711</t>
  </si>
  <si>
    <t>TX0020788</t>
  </si>
  <si>
    <t>TX0020800</t>
  </si>
  <si>
    <t>TX0020923</t>
  </si>
  <si>
    <t>TX0020974</t>
  </si>
  <si>
    <t>TX0020991</t>
  </si>
  <si>
    <t>TX0021075</t>
  </si>
  <si>
    <t>TX0021083</t>
  </si>
  <si>
    <t>TX0021105</t>
  </si>
  <si>
    <t>TX0021211</t>
  </si>
  <si>
    <t>TX0021237</t>
  </si>
  <si>
    <t>TX0021245</t>
  </si>
  <si>
    <t>TX0021253</t>
  </si>
  <si>
    <t>TX0021261</t>
  </si>
  <si>
    <t>TX0021270</t>
  </si>
  <si>
    <t>TX0021288</t>
  </si>
  <si>
    <t>TX0021300</t>
  </si>
  <si>
    <t>TX0021318</t>
  </si>
  <si>
    <t>TX0021369</t>
  </si>
  <si>
    <t>TX0021393</t>
  </si>
  <si>
    <t>TX0021458</t>
  </si>
  <si>
    <t>TX0021474</t>
  </si>
  <si>
    <t>TX0021512</t>
  </si>
  <si>
    <t>TX0021547</t>
  </si>
  <si>
    <t>TX0021555</t>
  </si>
  <si>
    <t>TX0021725</t>
  </si>
  <si>
    <t>TX0021784</t>
  </si>
  <si>
    <t>TX0021792</t>
  </si>
  <si>
    <t>TX0021806</t>
  </si>
  <si>
    <t>TX0021814</t>
  </si>
  <si>
    <t>TX0021822</t>
  </si>
  <si>
    <t>TX0022055</t>
  </si>
  <si>
    <t>TX0022063</t>
  </si>
  <si>
    <t>TX0022071</t>
  </si>
  <si>
    <t>TX0022080</t>
  </si>
  <si>
    <t>TX0022152</t>
  </si>
  <si>
    <t>TX0022217</t>
  </si>
  <si>
    <t>TX0022241</t>
  </si>
  <si>
    <t>TX0022250</t>
  </si>
  <si>
    <t>TX0022268</t>
  </si>
  <si>
    <t>TX0022306</t>
  </si>
  <si>
    <t>TX0022314</t>
  </si>
  <si>
    <t>TX0022322</t>
  </si>
  <si>
    <t>TX0022331</t>
  </si>
  <si>
    <t>TX0022349</t>
  </si>
  <si>
    <t>TX0022357</t>
  </si>
  <si>
    <t>TX0022365</t>
  </si>
  <si>
    <t>TX0022373</t>
  </si>
  <si>
    <t>TX0022381</t>
  </si>
  <si>
    <t>TX0022390</t>
  </si>
  <si>
    <t>TX0022403</t>
  </si>
  <si>
    <t>TX0022411</t>
  </si>
  <si>
    <t>TX0022420</t>
  </si>
  <si>
    <t>TX0022438</t>
  </si>
  <si>
    <t>TX0022454</t>
  </si>
  <si>
    <t>TX0022462</t>
  </si>
  <si>
    <t>TX0022489</t>
  </si>
  <si>
    <t>TX0022501</t>
  </si>
  <si>
    <t>TX0022527</t>
  </si>
  <si>
    <t>TX0022543</t>
  </si>
  <si>
    <t>TX0022551</t>
  </si>
  <si>
    <t>TX0022578</t>
  </si>
  <si>
    <t>TX0022586</t>
  </si>
  <si>
    <t>TX0022594</t>
  </si>
  <si>
    <t>TX0022608</t>
  </si>
  <si>
    <t>TX0022616</t>
  </si>
  <si>
    <t>TX0022632</t>
  </si>
  <si>
    <t>TX0022659</t>
  </si>
  <si>
    <t>TX0022667</t>
  </si>
  <si>
    <t>TX0022675</t>
  </si>
  <si>
    <t>TX0022705</t>
  </si>
  <si>
    <t>TX0022730</t>
  </si>
  <si>
    <t>TX0022748</t>
  </si>
  <si>
    <t>TX0022756</t>
  </si>
  <si>
    <t>TX0022764</t>
  </si>
  <si>
    <t>TX0022772</t>
  </si>
  <si>
    <t>TX0022799</t>
  </si>
  <si>
    <t>TX0022802</t>
  </si>
  <si>
    <t>TX0022811</t>
  </si>
  <si>
    <t>TX0022845</t>
  </si>
  <si>
    <t>TX0022853</t>
  </si>
  <si>
    <t>TX0022900</t>
  </si>
  <si>
    <t>TX0022926</t>
  </si>
  <si>
    <t>TX0022942</t>
  </si>
  <si>
    <t>TX0022951</t>
  </si>
  <si>
    <t>TX0022969</t>
  </si>
  <si>
    <t>TX0022985</t>
  </si>
  <si>
    <t>TX0023001</t>
  </si>
  <si>
    <t>TX0023019</t>
  </si>
  <si>
    <t>TX0023027</t>
  </si>
  <si>
    <t>TX0023035</t>
  </si>
  <si>
    <t>TX0023051</t>
  </si>
  <si>
    <t>TX0023078</t>
  </si>
  <si>
    <t>TX0023094</t>
  </si>
  <si>
    <t>TX0023108</t>
  </si>
  <si>
    <t>TX0023116</t>
  </si>
  <si>
    <t>TX0023159</t>
  </si>
  <si>
    <t>TX0023167</t>
  </si>
  <si>
    <t>TX0023175</t>
  </si>
  <si>
    <t>TX0023183</t>
  </si>
  <si>
    <t>TX0023191</t>
  </si>
  <si>
    <t>TX0023213</t>
  </si>
  <si>
    <t>TX0023230</t>
  </si>
  <si>
    <t>TX0023272</t>
  </si>
  <si>
    <t>TX0023299</t>
  </si>
  <si>
    <t>TX0023311</t>
  </si>
  <si>
    <t>TX0023329</t>
  </si>
  <si>
    <t>TX0023337</t>
  </si>
  <si>
    <t>TX0023361</t>
  </si>
  <si>
    <t>TX0023370</t>
  </si>
  <si>
    <t>TX0023396</t>
  </si>
  <si>
    <t>TX0023418</t>
  </si>
  <si>
    <t>TX0023442</t>
  </si>
  <si>
    <t>TX0023477</t>
  </si>
  <si>
    <t>TX0023515</t>
  </si>
  <si>
    <t>TX0023558</t>
  </si>
  <si>
    <t>TX0023566</t>
  </si>
  <si>
    <t>TX0023574</t>
  </si>
  <si>
    <t>TX0023604</t>
  </si>
  <si>
    <t>TX0023612</t>
  </si>
  <si>
    <t>TX0023621</t>
  </si>
  <si>
    <t>TX0023639</t>
  </si>
  <si>
    <t>TX0023647</t>
  </si>
  <si>
    <t>TX0023655</t>
  </si>
  <si>
    <t>TX0023671</t>
  </si>
  <si>
    <t>TX0023701</t>
  </si>
  <si>
    <t>TX0023710</t>
  </si>
  <si>
    <t>TX0023728</t>
  </si>
  <si>
    <t>TX0023736</t>
  </si>
  <si>
    <t>TX0023779</t>
  </si>
  <si>
    <t>TX0023787</t>
  </si>
  <si>
    <t>TX0023795</t>
  </si>
  <si>
    <t>TX0023809</t>
  </si>
  <si>
    <t>TX0023825</t>
  </si>
  <si>
    <t>TX0023833</t>
  </si>
  <si>
    <t>TX0023841</t>
  </si>
  <si>
    <t>TX0023868</t>
  </si>
  <si>
    <t>TX0023876</t>
  </si>
  <si>
    <t>TX0023892</t>
  </si>
  <si>
    <t>TX0023914</t>
  </si>
  <si>
    <t>TX0023931</t>
  </si>
  <si>
    <t>TX0023949</t>
  </si>
  <si>
    <t>TX0023973</t>
  </si>
  <si>
    <t>TX0023981</t>
  </si>
  <si>
    <t>TX0024007</t>
  </si>
  <si>
    <t>TX0024066</t>
  </si>
  <si>
    <t>TX0024082</t>
  </si>
  <si>
    <t>TX0024112</t>
  </si>
  <si>
    <t>TX0024139</t>
  </si>
  <si>
    <t>TX0024155</t>
  </si>
  <si>
    <t>TX0024163</t>
  </si>
  <si>
    <t>TX0024171</t>
  </si>
  <si>
    <t>TX0024180</t>
  </si>
  <si>
    <t>TX0024198</t>
  </si>
  <si>
    <t>TX0024201</t>
  </si>
  <si>
    <t>TX0024228</t>
  </si>
  <si>
    <t>TX0024236</t>
  </si>
  <si>
    <t>TX0024244</t>
  </si>
  <si>
    <t>TX0024252</t>
  </si>
  <si>
    <t>TX0024261</t>
  </si>
  <si>
    <t>TX0024287</t>
  </si>
  <si>
    <t>TX0024309</t>
  </si>
  <si>
    <t>TX0024325</t>
  </si>
  <si>
    <t>TX0024368</t>
  </si>
  <si>
    <t>TX0024414</t>
  </si>
  <si>
    <t>TX0024422</t>
  </si>
  <si>
    <t>TX0024457</t>
  </si>
  <si>
    <t>TX0024465</t>
  </si>
  <si>
    <t>TX0024473</t>
  </si>
  <si>
    <t>TX0024490</t>
  </si>
  <si>
    <t>TX0024503</t>
  </si>
  <si>
    <t>TX0024511</t>
  </si>
  <si>
    <t>TX0024546</t>
  </si>
  <si>
    <t>TX0024554</t>
  </si>
  <si>
    <t>TX0024562</t>
  </si>
  <si>
    <t>TX0024589</t>
  </si>
  <si>
    <t>TX0024597</t>
  </si>
  <si>
    <t>TX0024601</t>
  </si>
  <si>
    <t>TX0024635</t>
  </si>
  <si>
    <t>TX0024678</t>
  </si>
  <si>
    <t>TX0024686</t>
  </si>
  <si>
    <t>TX0024759</t>
  </si>
  <si>
    <t>TX0024775</t>
  </si>
  <si>
    <t>TX0024783</t>
  </si>
  <si>
    <t>TX0024821</t>
  </si>
  <si>
    <t>TX0024848</t>
  </si>
  <si>
    <t>TX0024856</t>
  </si>
  <si>
    <t>TX0024872</t>
  </si>
  <si>
    <t>TX0024902</t>
  </si>
  <si>
    <t>TX0024911</t>
  </si>
  <si>
    <t>TX0024929</t>
  </si>
  <si>
    <t>TX0024953</t>
  </si>
  <si>
    <t>TX0024988</t>
  </si>
  <si>
    <t>TX0025011</t>
  </si>
  <si>
    <t>TX0025020</t>
  </si>
  <si>
    <t>TX0025046</t>
  </si>
  <si>
    <t>TX0025054</t>
  </si>
  <si>
    <t>TX0025062</t>
  </si>
  <si>
    <t>TX0025071</t>
  </si>
  <si>
    <t>TX0025097</t>
  </si>
  <si>
    <t>TX0025101</t>
  </si>
  <si>
    <t>TX0025151</t>
  </si>
  <si>
    <t>TX0025186</t>
  </si>
  <si>
    <t>TX0025208</t>
  </si>
  <si>
    <t>TX0025224</t>
  </si>
  <si>
    <t>TX0025232</t>
  </si>
  <si>
    <t>TX0025283</t>
  </si>
  <si>
    <t>TX0025291</t>
  </si>
  <si>
    <t>TX0025321</t>
  </si>
  <si>
    <t>TX0025364</t>
  </si>
  <si>
    <t>TX0025372</t>
  </si>
  <si>
    <t>TX0025399</t>
  </si>
  <si>
    <t>TX0025402</t>
  </si>
  <si>
    <t>TX0025411</t>
  </si>
  <si>
    <t>TX0025437</t>
  </si>
  <si>
    <t>TX0025445</t>
  </si>
  <si>
    <t>TX0025453</t>
  </si>
  <si>
    <t>TX0025461</t>
  </si>
  <si>
    <t>TX0025470</t>
  </si>
  <si>
    <t>TX0025500</t>
  </si>
  <si>
    <t>TX0025569</t>
  </si>
  <si>
    <t>TX0025577</t>
  </si>
  <si>
    <t>TX0025615</t>
  </si>
  <si>
    <t>TX0025623</t>
  </si>
  <si>
    <t>TX0025674</t>
  </si>
  <si>
    <t>TX0025682</t>
  </si>
  <si>
    <t>TX0025712</t>
  </si>
  <si>
    <t>TX0025747</t>
  </si>
  <si>
    <t>TX0025755</t>
  </si>
  <si>
    <t>TX0025801</t>
  </si>
  <si>
    <t>TX0025810</t>
  </si>
  <si>
    <t>TX0025828</t>
  </si>
  <si>
    <t>TX0025852</t>
  </si>
  <si>
    <t>TX0025879</t>
  </si>
  <si>
    <t>TX0025895</t>
  </si>
  <si>
    <t>TX0025917</t>
  </si>
  <si>
    <t>TX0025968</t>
  </si>
  <si>
    <t>TX0025976</t>
  </si>
  <si>
    <t>TX0026018</t>
  </si>
  <si>
    <t>TX0026026</t>
  </si>
  <si>
    <t>TX0026034</t>
  </si>
  <si>
    <t>TX0026042</t>
  </si>
  <si>
    <t>TX0026051</t>
  </si>
  <si>
    <t>TX0026182</t>
  </si>
  <si>
    <t>TX0026221</t>
  </si>
  <si>
    <t>TX0026247</t>
  </si>
  <si>
    <t>TX0026255</t>
  </si>
  <si>
    <t>TX0026263</t>
  </si>
  <si>
    <t>TX0026328</t>
  </si>
  <si>
    <t>TX0026344</t>
  </si>
  <si>
    <t>TX0026352</t>
  </si>
  <si>
    <t>TX0026395</t>
  </si>
  <si>
    <t>TX0026433</t>
  </si>
  <si>
    <t>TX0026450</t>
  </si>
  <si>
    <t>TX0026476</t>
  </si>
  <si>
    <t>TX0026506</t>
  </si>
  <si>
    <t>TX0026522</t>
  </si>
  <si>
    <t>TX0026531</t>
  </si>
  <si>
    <t>TX0026557</t>
  </si>
  <si>
    <t>TX0026565</t>
  </si>
  <si>
    <t>TX0026581</t>
  </si>
  <si>
    <t>TX0026590</t>
  </si>
  <si>
    <t>TX0026603</t>
  </si>
  <si>
    <t>TX0026662</t>
  </si>
  <si>
    <t>TX0026671</t>
  </si>
  <si>
    <t>TX0026689</t>
  </si>
  <si>
    <t>TX0026697</t>
  </si>
  <si>
    <t>TX0026751</t>
  </si>
  <si>
    <t>TX0026808</t>
  </si>
  <si>
    <t>TX0026867</t>
  </si>
  <si>
    <t>TX0026875</t>
  </si>
  <si>
    <t>TX0026883</t>
  </si>
  <si>
    <t>TX0026891</t>
  </si>
  <si>
    <t>TX0026921</t>
  </si>
  <si>
    <t>TX0026956</t>
  </si>
  <si>
    <t>TX0026964</t>
  </si>
  <si>
    <t>TX0027006</t>
  </si>
  <si>
    <t>TX0027031</t>
  </si>
  <si>
    <t>TX0027049</t>
  </si>
  <si>
    <t>TX0027103</t>
  </si>
  <si>
    <t>TX0027111</t>
  </si>
  <si>
    <t>TX0027120</t>
  </si>
  <si>
    <t>TX0027138</t>
  </si>
  <si>
    <t>TX0027146</t>
  </si>
  <si>
    <t>TX0027154</t>
  </si>
  <si>
    <t>TX0027171</t>
  </si>
  <si>
    <t>TX0027197</t>
  </si>
  <si>
    <t>TX0027201</t>
  </si>
  <si>
    <t>TX0027227</t>
  </si>
  <si>
    <t>TX0027243</t>
  </si>
  <si>
    <t>TX0027260</t>
  </si>
  <si>
    <t>TX0027308</t>
  </si>
  <si>
    <t>TX0027324</t>
  </si>
  <si>
    <t>TX0027391</t>
  </si>
  <si>
    <t>TX0027448</t>
  </si>
  <si>
    <t>TX0027456</t>
  </si>
  <si>
    <t>TX0027472</t>
  </si>
  <si>
    <t>TX0027481</t>
  </si>
  <si>
    <t>TX0027499</t>
  </si>
  <si>
    <t>TX0027502</t>
  </si>
  <si>
    <t>TX0027537</t>
  </si>
  <si>
    <t>TX0027545</t>
  </si>
  <si>
    <t>TX0027618</t>
  </si>
  <si>
    <t>TX0027634</t>
  </si>
  <si>
    <t>TX0027669</t>
  </si>
  <si>
    <t>TX0027677</t>
  </si>
  <si>
    <t>TX0027685</t>
  </si>
  <si>
    <t>TX0027693</t>
  </si>
  <si>
    <t>TX0027707</t>
  </si>
  <si>
    <t>TX0027723</t>
  </si>
  <si>
    <t>TX0027740</t>
  </si>
  <si>
    <t>TX0027774</t>
  </si>
  <si>
    <t>TX0027782</t>
  </si>
  <si>
    <t>TX0027791</t>
  </si>
  <si>
    <t>TX0027910</t>
  </si>
  <si>
    <t>TX0027928</t>
  </si>
  <si>
    <t>TX0027936</t>
  </si>
  <si>
    <t>TX0027944</t>
  </si>
  <si>
    <t>TX0028169</t>
  </si>
  <si>
    <t>TX0029777</t>
  </si>
  <si>
    <t>TX0030040</t>
  </si>
  <si>
    <t>TX0030180</t>
  </si>
  <si>
    <t>TX0030228</t>
  </si>
  <si>
    <t>TX0030686</t>
  </si>
  <si>
    <t>TX0030732</t>
  </si>
  <si>
    <t>TX0030775</t>
  </si>
  <si>
    <t>TX0030813</t>
  </si>
  <si>
    <t>TX0030929</t>
  </si>
  <si>
    <t>TX0030937</t>
  </si>
  <si>
    <t>TX0030953</t>
  </si>
  <si>
    <t>TX0030970</t>
  </si>
  <si>
    <t>TX0030988</t>
  </si>
  <si>
    <t>TX0031232</t>
  </si>
  <si>
    <t>TX0031267</t>
  </si>
  <si>
    <t>TX0031275</t>
  </si>
  <si>
    <t>TX0031283</t>
  </si>
  <si>
    <t>TX0031461</t>
  </si>
  <si>
    <t>TX0031534</t>
  </si>
  <si>
    <t>TX0031569</t>
  </si>
  <si>
    <t>TX0031577</t>
  </si>
  <si>
    <t>TX0031585</t>
  </si>
  <si>
    <t>TX0031593</t>
  </si>
  <si>
    <t>TX0031607</t>
  </si>
  <si>
    <t>TX0031615</t>
  </si>
  <si>
    <t>TX0031658</t>
  </si>
  <si>
    <t>TX0031674</t>
  </si>
  <si>
    <t>TX0032018</t>
  </si>
  <si>
    <t>TX0032034</t>
  </si>
  <si>
    <t>TX0032085</t>
  </si>
  <si>
    <t>TX0032093</t>
  </si>
  <si>
    <t>TX0032212</t>
  </si>
  <si>
    <t>TX0032328</t>
  </si>
  <si>
    <t>TX0032344</t>
  </si>
  <si>
    <t>TX0032361</t>
  </si>
  <si>
    <t>TX0032379</t>
  </si>
  <si>
    <t>TX0032387</t>
  </si>
  <si>
    <t>TX0032425</t>
  </si>
  <si>
    <t>TX0032476</t>
  </si>
  <si>
    <t>TX0032484</t>
  </si>
  <si>
    <t>TX0032492</t>
  </si>
  <si>
    <t>TX0032549</t>
  </si>
  <si>
    <t>TX0032581</t>
  </si>
  <si>
    <t>TX0032638</t>
  </si>
  <si>
    <t>TX0032646</t>
  </si>
  <si>
    <t>TX0032654</t>
  </si>
  <si>
    <t>TX0032671</t>
  </si>
  <si>
    <t>TX0032719</t>
  </si>
  <si>
    <t>TX0032735</t>
  </si>
  <si>
    <t>TX0032743</t>
  </si>
  <si>
    <t>TX0033189</t>
  </si>
  <si>
    <t>TX0033197</t>
  </si>
  <si>
    <t>TX0033243</t>
  </si>
  <si>
    <t>TX0033294</t>
  </si>
  <si>
    <t>TX0033308</t>
  </si>
  <si>
    <t>TX0033316</t>
  </si>
  <si>
    <t>TX0033332</t>
  </si>
  <si>
    <t>TX0033341</t>
  </si>
  <si>
    <t>TX0033367</t>
  </si>
  <si>
    <t>TX0033375</t>
  </si>
  <si>
    <t>TX0033456</t>
  </si>
  <si>
    <t>TX0033499</t>
  </si>
  <si>
    <t>TX0033529</t>
  </si>
  <si>
    <t>TX0033910</t>
  </si>
  <si>
    <t>TX0033936</t>
  </si>
  <si>
    <t>TX0033944</t>
  </si>
  <si>
    <t>TX0034002</t>
  </si>
  <si>
    <t>TX0034312</t>
  </si>
  <si>
    <t>TX0034410</t>
  </si>
  <si>
    <t>TX0034428</t>
  </si>
  <si>
    <t>TX0034436</t>
  </si>
  <si>
    <t>TX0034452</t>
  </si>
  <si>
    <t>TX0034461</t>
  </si>
  <si>
    <t>TX0034495</t>
  </si>
  <si>
    <t>TX0034509</t>
  </si>
  <si>
    <t>TX0034681</t>
  </si>
  <si>
    <t>TX0034738</t>
  </si>
  <si>
    <t>TX0034797</t>
  </si>
  <si>
    <t>TX0034916</t>
  </si>
  <si>
    <t>TX0034924</t>
  </si>
  <si>
    <t>TX0035009</t>
  </si>
  <si>
    <t>TX0035017</t>
  </si>
  <si>
    <t>TX0035106</t>
  </si>
  <si>
    <t>TX0035157</t>
  </si>
  <si>
    <t>TX0035211</t>
  </si>
  <si>
    <t>TX0035220</t>
  </si>
  <si>
    <t>TX0035505</t>
  </si>
  <si>
    <t>TX0042081</t>
  </si>
  <si>
    <t>TX0042099</t>
  </si>
  <si>
    <t>TX0042129</t>
  </si>
  <si>
    <t>TX0042650</t>
  </si>
  <si>
    <t>TX0042668</t>
  </si>
  <si>
    <t>TX0046612</t>
  </si>
  <si>
    <t>TX0046621</t>
  </si>
  <si>
    <t>TX0046639</t>
  </si>
  <si>
    <t>TX0046663</t>
  </si>
  <si>
    <t>TX0046671</t>
  </si>
  <si>
    <t>TX0046701</t>
  </si>
  <si>
    <t>TX0046710</t>
  </si>
  <si>
    <t>TX0046728</t>
  </si>
  <si>
    <t>TX0046736</t>
  </si>
  <si>
    <t>TX0046744</t>
  </si>
  <si>
    <t>TX0046761</t>
  </si>
  <si>
    <t>TX0046779</t>
  </si>
  <si>
    <t>TX0046817</t>
  </si>
  <si>
    <t>TX0046833</t>
  </si>
  <si>
    <t>TX0046841</t>
  </si>
  <si>
    <t>TX0046868</t>
  </si>
  <si>
    <t>TX0046892</t>
  </si>
  <si>
    <t>TX0046906</t>
  </si>
  <si>
    <t>TX0046981</t>
  </si>
  <si>
    <t>TX0046990</t>
  </si>
  <si>
    <t>TX0047007</t>
  </si>
  <si>
    <t>TX0047023</t>
  </si>
  <si>
    <t>TX0047031</t>
  </si>
  <si>
    <t>TX0047040</t>
  </si>
  <si>
    <t>TX0047058</t>
  </si>
  <si>
    <t>TX0047066</t>
  </si>
  <si>
    <t>TX0047074</t>
  </si>
  <si>
    <t>TX0047082</t>
  </si>
  <si>
    <t>TX0047104</t>
  </si>
  <si>
    <t>TX0047121</t>
  </si>
  <si>
    <t>TX0047155</t>
  </si>
  <si>
    <t>TX0047163</t>
  </si>
  <si>
    <t>TX0047180</t>
  </si>
  <si>
    <t>TX0047198</t>
  </si>
  <si>
    <t>TX0047210</t>
  </si>
  <si>
    <t>TX0047228</t>
  </si>
  <si>
    <t>TX0047261</t>
  </si>
  <si>
    <t>TX0047295</t>
  </si>
  <si>
    <t>TX0047309</t>
  </si>
  <si>
    <t>TX0047333</t>
  </si>
  <si>
    <t>TX0047414</t>
  </si>
  <si>
    <t>TX0047431</t>
  </si>
  <si>
    <t>TX0047449</t>
  </si>
  <si>
    <t>TX0047457</t>
  </si>
  <si>
    <t>TX0047511</t>
  </si>
  <si>
    <t>TX0047562</t>
  </si>
  <si>
    <t>TX0047571</t>
  </si>
  <si>
    <t>TX0047589</t>
  </si>
  <si>
    <t>TX0047651</t>
  </si>
  <si>
    <t>TX0047686</t>
  </si>
  <si>
    <t>TX0047724</t>
  </si>
  <si>
    <t>TX0047791</t>
  </si>
  <si>
    <t>TX0047830</t>
  </si>
  <si>
    <t>TX0047848</t>
  </si>
  <si>
    <t>TX0047899</t>
  </si>
  <si>
    <t>TX0047911</t>
  </si>
  <si>
    <t>TX0047929</t>
  </si>
  <si>
    <t>TX0047945</t>
  </si>
  <si>
    <t>TX0047988</t>
  </si>
  <si>
    <t>TX0047996</t>
  </si>
  <si>
    <t>TX0048038</t>
  </si>
  <si>
    <t>TX0052591</t>
  </si>
  <si>
    <t>TX0052639</t>
  </si>
  <si>
    <t>TX0052647</t>
  </si>
  <si>
    <t>TX0052779</t>
  </si>
  <si>
    <t>TX0052787</t>
  </si>
  <si>
    <t>TX0052825</t>
  </si>
  <si>
    <t>TX0052841</t>
  </si>
  <si>
    <t>TX0052850</t>
  </si>
  <si>
    <t>TX0052876</t>
  </si>
  <si>
    <t>TX0052892</t>
  </si>
  <si>
    <t>TX0052906</t>
  </si>
  <si>
    <t>TX0052922</t>
  </si>
  <si>
    <t>TX0052931</t>
  </si>
  <si>
    <t>TX0052949</t>
  </si>
  <si>
    <t>TX0052973</t>
  </si>
  <si>
    <t>TX0052981</t>
  </si>
  <si>
    <t>TX0052990</t>
  </si>
  <si>
    <t>TX0053023</t>
  </si>
  <si>
    <t>TX0053066</t>
  </si>
  <si>
    <t>TX0053074</t>
  </si>
  <si>
    <t>TX0053091</t>
  </si>
  <si>
    <t>TX0053287</t>
  </si>
  <si>
    <t>TX0053295</t>
  </si>
  <si>
    <t>TX0053317</t>
  </si>
  <si>
    <t>TX0053325</t>
  </si>
  <si>
    <t>TX0053368</t>
  </si>
  <si>
    <t>TX0053376</t>
  </si>
  <si>
    <t>TX0053392</t>
  </si>
  <si>
    <t>TX0053422</t>
  </si>
  <si>
    <t>TX0053449</t>
  </si>
  <si>
    <t>TX0053465</t>
  </si>
  <si>
    <t>TX0053473</t>
  </si>
  <si>
    <t>TX0053481</t>
  </si>
  <si>
    <t>TX0053503</t>
  </si>
  <si>
    <t>TX0053511</t>
  </si>
  <si>
    <t>TX0053520</t>
  </si>
  <si>
    <t>TX0053538</t>
  </si>
  <si>
    <t>TX0053562</t>
  </si>
  <si>
    <t>TX0053571</t>
  </si>
  <si>
    <t>TX0053627</t>
  </si>
  <si>
    <t>TX0053643</t>
  </si>
  <si>
    <t>TX0053651</t>
  </si>
  <si>
    <t>TX0053678</t>
  </si>
  <si>
    <t>TX0053716</t>
  </si>
  <si>
    <t>TX0053783</t>
  </si>
  <si>
    <t>TX0053813</t>
  </si>
  <si>
    <t>TX0053830</t>
  </si>
  <si>
    <t>TX0053872</t>
  </si>
  <si>
    <t>TX0053937</t>
  </si>
  <si>
    <t>TX0053945</t>
  </si>
  <si>
    <t>TX0053961</t>
  </si>
  <si>
    <t>TX0053970</t>
  </si>
  <si>
    <t>TX0054020</t>
  </si>
  <si>
    <t>TX0054038</t>
  </si>
  <si>
    <t>TX0054071</t>
  </si>
  <si>
    <t>TX0054101</t>
  </si>
  <si>
    <t>TX0054127</t>
  </si>
  <si>
    <t>TX0054151</t>
  </si>
  <si>
    <t>TX0054178</t>
  </si>
  <si>
    <t>TX0054186</t>
  </si>
  <si>
    <t>TX0054194</t>
  </si>
  <si>
    <t>TX0054208</t>
  </si>
  <si>
    <t>TX0054232</t>
  </si>
  <si>
    <t>TX0054348</t>
  </si>
  <si>
    <t>TX0054364</t>
  </si>
  <si>
    <t>TX0054399</t>
  </si>
  <si>
    <t>TX0054429</t>
  </si>
  <si>
    <t>TX0054445</t>
  </si>
  <si>
    <t>TX0054500</t>
  </si>
  <si>
    <t>TX0054518</t>
  </si>
  <si>
    <t>TX0054551</t>
  </si>
  <si>
    <t>TX0054585</t>
  </si>
  <si>
    <t>TX0054623</t>
  </si>
  <si>
    <t>TX0054631</t>
  </si>
  <si>
    <t>TX0054658</t>
  </si>
  <si>
    <t>TX0054666</t>
  </si>
  <si>
    <t>TX0054771</t>
  </si>
  <si>
    <t>TX0054780</t>
  </si>
  <si>
    <t>TX0054801</t>
  </si>
  <si>
    <t>TX0054810</t>
  </si>
  <si>
    <t>TX0054844</t>
  </si>
  <si>
    <t>TX0054917</t>
  </si>
  <si>
    <t>TX0055077</t>
  </si>
  <si>
    <t>TX0055123</t>
  </si>
  <si>
    <t>TX0055166</t>
  </si>
  <si>
    <t>TX0055212</t>
  </si>
  <si>
    <t>TX0055221</t>
  </si>
  <si>
    <t>TX0055239</t>
  </si>
  <si>
    <t>TX0055310</t>
  </si>
  <si>
    <t>TX0055361</t>
  </si>
  <si>
    <t>TX0055433</t>
  </si>
  <si>
    <t>TX0055484</t>
  </si>
  <si>
    <t>TX0055492</t>
  </si>
  <si>
    <t>TX0055522</t>
  </si>
  <si>
    <t>TX0055581</t>
  </si>
  <si>
    <t>TX0055611</t>
  </si>
  <si>
    <t>TX0055689</t>
  </si>
  <si>
    <t>TX0055735</t>
  </si>
  <si>
    <t>TX0056057</t>
  </si>
  <si>
    <t>TX0056154</t>
  </si>
  <si>
    <t>TX0056189</t>
  </si>
  <si>
    <t>TX0056227</t>
  </si>
  <si>
    <t>TX0056251</t>
  </si>
  <si>
    <t>TX0056316</t>
  </si>
  <si>
    <t>TX0056421</t>
  </si>
  <si>
    <t>TX0056481</t>
  </si>
  <si>
    <t>TX0056537</t>
  </si>
  <si>
    <t>TX0056545</t>
  </si>
  <si>
    <t>TX0056588</t>
  </si>
  <si>
    <t>TX0056596</t>
  </si>
  <si>
    <t>TX0056618</t>
  </si>
  <si>
    <t>TX0056677</t>
  </si>
  <si>
    <t>TX0056685</t>
  </si>
  <si>
    <t>TX0056707</t>
  </si>
  <si>
    <t>TX0056731</t>
  </si>
  <si>
    <t>TX0056821</t>
  </si>
  <si>
    <t>TX0056952</t>
  </si>
  <si>
    <t>TX0057011</t>
  </si>
  <si>
    <t>TX0057029</t>
  </si>
  <si>
    <t>TX0057045</t>
  </si>
  <si>
    <t>TX0057053</t>
  </si>
  <si>
    <t>TX0057169</t>
  </si>
  <si>
    <t>TX0057185</t>
  </si>
  <si>
    <t>TX0057207</t>
  </si>
  <si>
    <t>TX0057215</t>
  </si>
  <si>
    <t>TX0057231</t>
  </si>
  <si>
    <t>TX0057258</t>
  </si>
  <si>
    <t>TX0057274</t>
  </si>
  <si>
    <t>TX0057304</t>
  </si>
  <si>
    <t>TX0057347</t>
  </si>
  <si>
    <t>TX0057363</t>
  </si>
  <si>
    <t>TX0057436</t>
  </si>
  <si>
    <t>TX0057509</t>
  </si>
  <si>
    <t>TX0057576</t>
  </si>
  <si>
    <t>TX0057592</t>
  </si>
  <si>
    <t>TX0057614</t>
  </si>
  <si>
    <t>TX0057622</t>
  </si>
  <si>
    <t>TX0057631</t>
  </si>
  <si>
    <t>TX0057657</t>
  </si>
  <si>
    <t>TX0057673</t>
  </si>
  <si>
    <t>TX0057801</t>
  </si>
  <si>
    <t>TX0057843</t>
  </si>
  <si>
    <t>TX0057959</t>
  </si>
  <si>
    <t>TX0057991</t>
  </si>
  <si>
    <t>TX0058106</t>
  </si>
  <si>
    <t>TX0058114</t>
  </si>
  <si>
    <t>TX0058360</t>
  </si>
  <si>
    <t>TX0058378</t>
  </si>
  <si>
    <t>TX0058386</t>
  </si>
  <si>
    <t>TX0058424</t>
  </si>
  <si>
    <t>TX0058441</t>
  </si>
  <si>
    <t>TX0058530</t>
  </si>
  <si>
    <t>TX0058548</t>
  </si>
  <si>
    <t>TX0058572</t>
  </si>
  <si>
    <t>TX0058955</t>
  </si>
  <si>
    <t>TX0058963</t>
  </si>
  <si>
    <t>TX0059285</t>
  </si>
  <si>
    <t>TX0059579</t>
  </si>
  <si>
    <t>TX0059587</t>
  </si>
  <si>
    <t>TX0060801</t>
  </si>
  <si>
    <t>TX0061999</t>
  </si>
  <si>
    <t>TX0062006</t>
  </si>
  <si>
    <t>TX0062014</t>
  </si>
  <si>
    <t>TX0062031</t>
  </si>
  <si>
    <t>TX0062049</t>
  </si>
  <si>
    <t>TX0062197</t>
  </si>
  <si>
    <t>TX0062219</t>
  </si>
  <si>
    <t>TX0062235</t>
  </si>
  <si>
    <t>TX0062243</t>
  </si>
  <si>
    <t>TX0062448</t>
  </si>
  <si>
    <t>TX0062642</t>
  </si>
  <si>
    <t>TX0062677</t>
  </si>
  <si>
    <t>TX0062707</t>
  </si>
  <si>
    <t>TX0062839</t>
  </si>
  <si>
    <t>TX0062936</t>
  </si>
  <si>
    <t>TX0062952</t>
  </si>
  <si>
    <t>TX0062961</t>
  </si>
  <si>
    <t>TX0062995</t>
  </si>
  <si>
    <t>TX0063002</t>
  </si>
  <si>
    <t>TX0063011</t>
  </si>
  <si>
    <t>TX0063029</t>
  </si>
  <si>
    <t>TX0063037</t>
  </si>
  <si>
    <t>TX0063045</t>
  </si>
  <si>
    <t>TX0063053</t>
  </si>
  <si>
    <t>TX0063061</t>
  </si>
  <si>
    <t>TX0063070</t>
  </si>
  <si>
    <t>TX0063096</t>
  </si>
  <si>
    <t>TX0063215</t>
  </si>
  <si>
    <t>TX0063231</t>
  </si>
  <si>
    <t>TX0063355</t>
  </si>
  <si>
    <t>TX0063401</t>
  </si>
  <si>
    <t>TX0063461</t>
  </si>
  <si>
    <t>TX0063479</t>
  </si>
  <si>
    <t>TX0063509</t>
  </si>
  <si>
    <t>TX0063681</t>
  </si>
  <si>
    <t>TX0063690</t>
  </si>
  <si>
    <t>TX0063703</t>
  </si>
  <si>
    <t>TX0063860</t>
  </si>
  <si>
    <t>TX0063878</t>
  </si>
  <si>
    <t>TX0064378</t>
  </si>
  <si>
    <t>TX0064491</t>
  </si>
  <si>
    <t>TX0064513</t>
  </si>
  <si>
    <t>TX0064718</t>
  </si>
  <si>
    <t>TX0064734</t>
  </si>
  <si>
    <t>TX0064912</t>
  </si>
  <si>
    <t>TX0064998</t>
  </si>
  <si>
    <t>TX0065013</t>
  </si>
  <si>
    <t>TX0065021</t>
  </si>
  <si>
    <t>TX0065307</t>
  </si>
  <si>
    <t>TX0065641</t>
  </si>
  <si>
    <t>TX0065650</t>
  </si>
  <si>
    <t>TX0065749</t>
  </si>
  <si>
    <t>TX0065854</t>
  </si>
  <si>
    <t>TX0065986</t>
  </si>
  <si>
    <t>TX0066010</t>
  </si>
  <si>
    <t>TX0066125</t>
  </si>
  <si>
    <t>TX0066133</t>
  </si>
  <si>
    <t>TX0066150</t>
  </si>
  <si>
    <t>TX0066478</t>
  </si>
  <si>
    <t>TX0066648</t>
  </si>
  <si>
    <t>TX0066656</t>
  </si>
  <si>
    <t>TX0066664</t>
  </si>
  <si>
    <t>TX0066702</t>
  </si>
  <si>
    <t>TX0066745</t>
  </si>
  <si>
    <t>TX0067415</t>
  </si>
  <si>
    <t>TX0067466</t>
  </si>
  <si>
    <t>TX0067474</t>
  </si>
  <si>
    <t>TX0067504</t>
  </si>
  <si>
    <t>TX0067539</t>
  </si>
  <si>
    <t>TX0067695</t>
  </si>
  <si>
    <t>TX0067873</t>
  </si>
  <si>
    <t>TX0067881</t>
  </si>
  <si>
    <t>TX0067890</t>
  </si>
  <si>
    <t>TX0068004</t>
  </si>
  <si>
    <t>TX0068021</t>
  </si>
  <si>
    <t>TX0068039</t>
  </si>
  <si>
    <t>TX0068047</t>
  </si>
  <si>
    <t>TX0068276</t>
  </si>
  <si>
    <t>TX0068349</t>
  </si>
  <si>
    <t>TX0068357</t>
  </si>
  <si>
    <t>TX0068632</t>
  </si>
  <si>
    <t>TX0068659</t>
  </si>
  <si>
    <t>TX0068713</t>
  </si>
  <si>
    <t>TX0068756</t>
  </si>
  <si>
    <t>TX0068764</t>
  </si>
  <si>
    <t>TX0068781</t>
  </si>
  <si>
    <t>TX0068845</t>
  </si>
  <si>
    <t>TX0068926</t>
  </si>
  <si>
    <t>TX0068934</t>
  </si>
  <si>
    <t>TX0068985</t>
  </si>
  <si>
    <t>TX0069086</t>
  </si>
  <si>
    <t>TX0069108</t>
  </si>
  <si>
    <t>TX0069183</t>
  </si>
  <si>
    <t>TX0069191</t>
  </si>
  <si>
    <t>TX0069213</t>
  </si>
  <si>
    <t>TX0069256</t>
  </si>
  <si>
    <t>TX0069493</t>
  </si>
  <si>
    <t>TX0069582</t>
  </si>
  <si>
    <t>TX0069671</t>
  </si>
  <si>
    <t>TX0069710</t>
  </si>
  <si>
    <t>TX0069728</t>
  </si>
  <si>
    <t>TX0069736</t>
  </si>
  <si>
    <t>TX0069809</t>
  </si>
  <si>
    <t>TX0069825</t>
  </si>
  <si>
    <t>TX0069841</t>
  </si>
  <si>
    <t>TX0069850</t>
  </si>
  <si>
    <t>TX0069884</t>
  </si>
  <si>
    <t>TX0070017</t>
  </si>
  <si>
    <t>TX0070068</t>
  </si>
  <si>
    <t>TX0070165</t>
  </si>
  <si>
    <t>TX0070211</t>
  </si>
  <si>
    <t>TX0070297</t>
  </si>
  <si>
    <t>TX0070416</t>
  </si>
  <si>
    <t>TX0070611</t>
  </si>
  <si>
    <t>TX0070645</t>
  </si>
  <si>
    <t>TX0070769</t>
  </si>
  <si>
    <t>TX0070785</t>
  </si>
  <si>
    <t>TX0070831</t>
  </si>
  <si>
    <t>TX0070939</t>
  </si>
  <si>
    <t>TX0070963</t>
  </si>
  <si>
    <t>TX0070971</t>
  </si>
  <si>
    <t>TX0071021</t>
  </si>
  <si>
    <t>TX0071030</t>
  </si>
  <si>
    <t>TX0071056</t>
  </si>
  <si>
    <t>TX0071081</t>
  </si>
  <si>
    <t>TX0071111</t>
  </si>
  <si>
    <t>TX0071145</t>
  </si>
  <si>
    <t>TX0071188</t>
  </si>
  <si>
    <t>TX0071251</t>
  </si>
  <si>
    <t>TX0071340</t>
  </si>
  <si>
    <t>TX0071382</t>
  </si>
  <si>
    <t>TX0071412</t>
  </si>
  <si>
    <t>TX0071510</t>
  </si>
  <si>
    <t>TX0071528</t>
  </si>
  <si>
    <t>TX0071544</t>
  </si>
  <si>
    <t>TX0071579</t>
  </si>
  <si>
    <t>TX0071609</t>
  </si>
  <si>
    <t>TX0071625</t>
  </si>
  <si>
    <t>TX0071633</t>
  </si>
  <si>
    <t>TX0071650</t>
  </si>
  <si>
    <t>TX0071765</t>
  </si>
  <si>
    <t>TX0071790</t>
  </si>
  <si>
    <t>TX0071803</t>
  </si>
  <si>
    <t>TX0071820</t>
  </si>
  <si>
    <t>TX0071889</t>
  </si>
  <si>
    <t>TX0071978</t>
  </si>
  <si>
    <t>TX0072087</t>
  </si>
  <si>
    <t>TX0072109</t>
  </si>
  <si>
    <t>TX0072150</t>
  </si>
  <si>
    <t>TX0072168</t>
  </si>
  <si>
    <t>TX0072184</t>
  </si>
  <si>
    <t>TX0072320</t>
  </si>
  <si>
    <t>TX0072338</t>
  </si>
  <si>
    <t>TX0072346</t>
  </si>
  <si>
    <t>TX0072354</t>
  </si>
  <si>
    <t>TX0072362</t>
  </si>
  <si>
    <t>TX0072508</t>
  </si>
  <si>
    <t>TX0072524</t>
  </si>
  <si>
    <t>TX0072541</t>
  </si>
  <si>
    <t>TX0072567</t>
  </si>
  <si>
    <t>TX0072591</t>
  </si>
  <si>
    <t>TX0072702</t>
  </si>
  <si>
    <t>TX0072711</t>
  </si>
  <si>
    <t>TX0072737</t>
  </si>
  <si>
    <t>TX0072770</t>
  </si>
  <si>
    <t>TX0072800</t>
  </si>
  <si>
    <t>TX0072818</t>
  </si>
  <si>
    <t>TX0072834</t>
  </si>
  <si>
    <t>TX0072885</t>
  </si>
  <si>
    <t>TX0072893</t>
  </si>
  <si>
    <t>TX0072974</t>
  </si>
  <si>
    <t>TX0072982</t>
  </si>
  <si>
    <t>TX0073008</t>
  </si>
  <si>
    <t>TX0073032</t>
  </si>
  <si>
    <t>TX0073105</t>
  </si>
  <si>
    <t>TX0073121</t>
  </si>
  <si>
    <t>TX0073229</t>
  </si>
  <si>
    <t>TX0073423</t>
  </si>
  <si>
    <t>TX0073946</t>
  </si>
  <si>
    <t>TX0073954</t>
  </si>
  <si>
    <t>TX0074004</t>
  </si>
  <si>
    <t>TX0074021</t>
  </si>
  <si>
    <t>TX0074047</t>
  </si>
  <si>
    <t>TX0074136</t>
  </si>
  <si>
    <t>TX0074217</t>
  </si>
  <si>
    <t>TX0074233</t>
  </si>
  <si>
    <t>TX0074250</t>
  </si>
  <si>
    <t>TX0074276</t>
  </si>
  <si>
    <t>TX0074284</t>
  </si>
  <si>
    <t>TX0074292</t>
  </si>
  <si>
    <t>TX0074322</t>
  </si>
  <si>
    <t>TX0074331</t>
  </si>
  <si>
    <t>TX0074403</t>
  </si>
  <si>
    <t>TX0074438</t>
  </si>
  <si>
    <t>TX0074446</t>
  </si>
  <si>
    <t>TX0074632</t>
  </si>
  <si>
    <t>TX0074683</t>
  </si>
  <si>
    <t>TX0074799</t>
  </si>
  <si>
    <t>TX0074853</t>
  </si>
  <si>
    <t>TX0074870</t>
  </si>
  <si>
    <t>TX0074888</t>
  </si>
  <si>
    <t>TX0074896</t>
  </si>
  <si>
    <t>TX0075132</t>
  </si>
  <si>
    <t>TX0075159</t>
  </si>
  <si>
    <t>TX0075167</t>
  </si>
  <si>
    <t>TX0075183</t>
  </si>
  <si>
    <t>TX0075221</t>
  </si>
  <si>
    <t>TX0075302</t>
  </si>
  <si>
    <t>TX0075311</t>
  </si>
  <si>
    <t>TX0075388</t>
  </si>
  <si>
    <t>TX0075396</t>
  </si>
  <si>
    <t>TX0075418</t>
  </si>
  <si>
    <t>TX0075434</t>
  </si>
  <si>
    <t>TX0075442</t>
  </si>
  <si>
    <t>TX0075451</t>
  </si>
  <si>
    <t>TX0075540</t>
  </si>
  <si>
    <t>TX0075604</t>
  </si>
  <si>
    <t>TX0075639</t>
  </si>
  <si>
    <t>TX0075647</t>
  </si>
  <si>
    <t>TX0075663</t>
  </si>
  <si>
    <t>TX0075671</t>
  </si>
  <si>
    <t>TX0075680</t>
  </si>
  <si>
    <t>TX0075698</t>
  </si>
  <si>
    <t>TX0075701</t>
  </si>
  <si>
    <t>TX0075761</t>
  </si>
  <si>
    <t>TX0075779</t>
  </si>
  <si>
    <t>TX0075795</t>
  </si>
  <si>
    <t>TX0075809</t>
  </si>
  <si>
    <t>TX0075841</t>
  </si>
  <si>
    <t>TX0075850</t>
  </si>
  <si>
    <t>TX0075884</t>
  </si>
  <si>
    <t>TX0075949</t>
  </si>
  <si>
    <t>TX0075957</t>
  </si>
  <si>
    <t>TX0075981</t>
  </si>
  <si>
    <t>TX0076015</t>
  </si>
  <si>
    <t>TX0076023</t>
  </si>
  <si>
    <t>TX0076104</t>
  </si>
  <si>
    <t>TX0076392</t>
  </si>
  <si>
    <t>TX0076422</t>
  </si>
  <si>
    <t>TX0076465</t>
  </si>
  <si>
    <t>TX0076481</t>
  </si>
  <si>
    <t>TX0076503</t>
  </si>
  <si>
    <t>TX0076538</t>
  </si>
  <si>
    <t>TX0076554</t>
  </si>
  <si>
    <t>TX0076651</t>
  </si>
  <si>
    <t>TX0076660</t>
  </si>
  <si>
    <t>TX0076767</t>
  </si>
  <si>
    <t>TX0076775</t>
  </si>
  <si>
    <t>TX0076791</t>
  </si>
  <si>
    <t>TX0076856</t>
  </si>
  <si>
    <t>TX0076945</t>
  </si>
  <si>
    <t>TX0076953</t>
  </si>
  <si>
    <t>TX0076996</t>
  </si>
  <si>
    <t>TX0077062</t>
  </si>
  <si>
    <t>TX0077178</t>
  </si>
  <si>
    <t>TX0077232</t>
  </si>
  <si>
    <t>TX0077241</t>
  </si>
  <si>
    <t>TX0077291</t>
  </si>
  <si>
    <t>TX0077399</t>
  </si>
  <si>
    <t>TX0077429</t>
  </si>
  <si>
    <t>TX0077470</t>
  </si>
  <si>
    <t>TX0077526</t>
  </si>
  <si>
    <t>TX0077534</t>
  </si>
  <si>
    <t>TX0077577</t>
  </si>
  <si>
    <t>TX0077763</t>
  </si>
  <si>
    <t>TX0077771</t>
  </si>
  <si>
    <t>TX0077801</t>
  </si>
  <si>
    <t>TX0077810</t>
  </si>
  <si>
    <t>TX0077887</t>
  </si>
  <si>
    <t>TX0077941</t>
  </si>
  <si>
    <t>TX0078247</t>
  </si>
  <si>
    <t>TX0078255</t>
  </si>
  <si>
    <t>TX0078344</t>
  </si>
  <si>
    <t>TX0078433</t>
  </si>
  <si>
    <t>TX0078441</t>
  </si>
  <si>
    <t>TX0078565</t>
  </si>
  <si>
    <t>TX0078646</t>
  </si>
  <si>
    <t>TX0078743</t>
  </si>
  <si>
    <t>TX0078751</t>
  </si>
  <si>
    <t>TX0078808</t>
  </si>
  <si>
    <t>TX0078824</t>
  </si>
  <si>
    <t>TX0078841</t>
  </si>
  <si>
    <t>TX0078883</t>
  </si>
  <si>
    <t>TX0078905</t>
  </si>
  <si>
    <t>TX0078930</t>
  </si>
  <si>
    <t>TX0078964</t>
  </si>
  <si>
    <t>TX0079006</t>
  </si>
  <si>
    <t>TX0079057</t>
  </si>
  <si>
    <t>TX0079138</t>
  </si>
  <si>
    <t>TX0079146</t>
  </si>
  <si>
    <t>TX0079201</t>
  </si>
  <si>
    <t>TX0079235</t>
  </si>
  <si>
    <t>TX0079260</t>
  </si>
  <si>
    <t>TX0079359</t>
  </si>
  <si>
    <t>TX0079383</t>
  </si>
  <si>
    <t>TX0079391</t>
  </si>
  <si>
    <t>TX0079529</t>
  </si>
  <si>
    <t>TX0079537</t>
  </si>
  <si>
    <t>TX0079561</t>
  </si>
  <si>
    <t>TX0079618</t>
  </si>
  <si>
    <t>TX0079634</t>
  </si>
  <si>
    <t>TX0079707</t>
  </si>
  <si>
    <t>TX0079782</t>
  </si>
  <si>
    <t>TX0079804</t>
  </si>
  <si>
    <t>TX0079812</t>
  </si>
  <si>
    <t>TX0079821</t>
  </si>
  <si>
    <t>TX0081256</t>
  </si>
  <si>
    <t>TX0081264</t>
  </si>
  <si>
    <t>TX0082261</t>
  </si>
  <si>
    <t>TX0082309</t>
  </si>
  <si>
    <t>TX0082317</t>
  </si>
  <si>
    <t>TX0082457</t>
  </si>
  <si>
    <t>TX0082589</t>
  </si>
  <si>
    <t>TX0082830</t>
  </si>
  <si>
    <t>TX0082856</t>
  </si>
  <si>
    <t>TX0082988</t>
  </si>
  <si>
    <t>TX0083003</t>
  </si>
  <si>
    <t>TX0083011</t>
  </si>
  <si>
    <t>TX0083062</t>
  </si>
  <si>
    <t>TX0083089</t>
  </si>
  <si>
    <t>TX0083127</t>
  </si>
  <si>
    <t>TX0083178</t>
  </si>
  <si>
    <t>TX0083208</t>
  </si>
  <si>
    <t>TX0083216</t>
  </si>
  <si>
    <t>TX0083381</t>
  </si>
  <si>
    <t>TX0083429</t>
  </si>
  <si>
    <t>TX0083437</t>
  </si>
  <si>
    <t>TX0083496</t>
  </si>
  <si>
    <t>TX0083500</t>
  </si>
  <si>
    <t>TX0083712</t>
  </si>
  <si>
    <t>TX0083801</t>
  </si>
  <si>
    <t>TX0083828</t>
  </si>
  <si>
    <t>TX0083887</t>
  </si>
  <si>
    <t>TX0083933</t>
  </si>
  <si>
    <t>TX0083950</t>
  </si>
  <si>
    <t>TX0083976</t>
  </si>
  <si>
    <t>TX0084018</t>
  </si>
  <si>
    <t>TX0084042</t>
  </si>
  <si>
    <t>TX0084051</t>
  </si>
  <si>
    <t>TX0084085</t>
  </si>
  <si>
    <t>TX0084093</t>
  </si>
  <si>
    <t>TX0084115</t>
  </si>
  <si>
    <t>TX0084298</t>
  </si>
  <si>
    <t>TX0084328</t>
  </si>
  <si>
    <t>TX0084395</t>
  </si>
  <si>
    <t>TX0084425</t>
  </si>
  <si>
    <t>TX0084468</t>
  </si>
  <si>
    <t>TX0084484</t>
  </si>
  <si>
    <t>TX0084531</t>
  </si>
  <si>
    <t>TX0084557</t>
  </si>
  <si>
    <t>TX0084581</t>
  </si>
  <si>
    <t>TX0084638</t>
  </si>
  <si>
    <t>TX0084671</t>
  </si>
  <si>
    <t>TX0084760</t>
  </si>
  <si>
    <t>TX0084808</t>
  </si>
  <si>
    <t>TX0084875</t>
  </si>
  <si>
    <t>TX0085316</t>
  </si>
  <si>
    <t>TX0085332</t>
  </si>
  <si>
    <t>TX0085383</t>
  </si>
  <si>
    <t>TX0085413</t>
  </si>
  <si>
    <t>TX0085448</t>
  </si>
  <si>
    <t>TX0085456</t>
  </si>
  <si>
    <t>TX0085570</t>
  </si>
  <si>
    <t>TX0085588</t>
  </si>
  <si>
    <t>TX0085618</t>
  </si>
  <si>
    <t>TX0085693</t>
  </si>
  <si>
    <t>TX0085707</t>
  </si>
  <si>
    <t>TX0085740</t>
  </si>
  <si>
    <t>TX0085782</t>
  </si>
  <si>
    <t>TX0085821</t>
  </si>
  <si>
    <t>TX0085871</t>
  </si>
  <si>
    <t>TX0085961</t>
  </si>
  <si>
    <t>TX0085979</t>
  </si>
  <si>
    <t>TX0086002</t>
  </si>
  <si>
    <t>TX0086011</t>
  </si>
  <si>
    <t>TX0086045</t>
  </si>
  <si>
    <t>TX0086053</t>
  </si>
  <si>
    <t>TX0086100</t>
  </si>
  <si>
    <t>TX0086118</t>
  </si>
  <si>
    <t>TX0086185</t>
  </si>
  <si>
    <t>TX0086363</t>
  </si>
  <si>
    <t>TX0086398</t>
  </si>
  <si>
    <t>TX0086541</t>
  </si>
  <si>
    <t>TX0086568</t>
  </si>
  <si>
    <t>TX0086665</t>
  </si>
  <si>
    <t>TX0086690</t>
  </si>
  <si>
    <t>TX0087149</t>
  </si>
  <si>
    <t>TX0087157</t>
  </si>
  <si>
    <t>TX0087173</t>
  </si>
  <si>
    <t>TX0087190</t>
  </si>
  <si>
    <t>TX0087203</t>
  </si>
  <si>
    <t>TX0087254</t>
  </si>
  <si>
    <t>TX0087271</t>
  </si>
  <si>
    <t>TX0087343</t>
  </si>
  <si>
    <t>TX0087360</t>
  </si>
  <si>
    <t>TX0087475</t>
  </si>
  <si>
    <t>TX0087491</t>
  </si>
  <si>
    <t>TX0087661</t>
  </si>
  <si>
    <t>TX0087726</t>
  </si>
  <si>
    <t>TX0087751</t>
  </si>
  <si>
    <t>TX0087785</t>
  </si>
  <si>
    <t>TX0087831</t>
  </si>
  <si>
    <t>TX0087963</t>
  </si>
  <si>
    <t>TX0087971</t>
  </si>
  <si>
    <t>TX0087998</t>
  </si>
  <si>
    <t>TX0088081</t>
  </si>
  <si>
    <t>TX0088102</t>
  </si>
  <si>
    <t>TX0088137</t>
  </si>
  <si>
    <t>TX0088153</t>
  </si>
  <si>
    <t>TX0088170</t>
  </si>
  <si>
    <t>TX0088331</t>
  </si>
  <si>
    <t>TX0088366</t>
  </si>
  <si>
    <t>TX0088447</t>
  </si>
  <si>
    <t>TX0088455</t>
  </si>
  <si>
    <t>TX0088501</t>
  </si>
  <si>
    <t>TX0088633</t>
  </si>
  <si>
    <t>TX0088650</t>
  </si>
  <si>
    <t>TX0088781</t>
  </si>
  <si>
    <t>TX0088811</t>
  </si>
  <si>
    <t>TX0088838</t>
  </si>
  <si>
    <t>TX0088862</t>
  </si>
  <si>
    <t>TX0088927</t>
  </si>
  <si>
    <t>TX0088935</t>
  </si>
  <si>
    <t>TX0089010</t>
  </si>
  <si>
    <t>TX0089028</t>
  </si>
  <si>
    <t>TX0089036</t>
  </si>
  <si>
    <t>TX0089044</t>
  </si>
  <si>
    <t>TX0089061</t>
  </si>
  <si>
    <t>TX0089109</t>
  </si>
  <si>
    <t>TX0089125</t>
  </si>
  <si>
    <t>TX0089184</t>
  </si>
  <si>
    <t>TX0089192</t>
  </si>
  <si>
    <t>TX0089249</t>
  </si>
  <si>
    <t>TX0089281</t>
  </si>
  <si>
    <t>TX0089338</t>
  </si>
  <si>
    <t>TX0089346</t>
  </si>
  <si>
    <t>TX0089362</t>
  </si>
  <si>
    <t>TX0089494</t>
  </si>
  <si>
    <t>TX0089516</t>
  </si>
  <si>
    <t>TX0089567</t>
  </si>
  <si>
    <t>TX0089621</t>
  </si>
  <si>
    <t>TX0089672</t>
  </si>
  <si>
    <t>TX0089753</t>
  </si>
  <si>
    <t>TX0089915</t>
  </si>
  <si>
    <t>TX0089940</t>
  </si>
  <si>
    <t>TX0090115</t>
  </si>
  <si>
    <t>TX0090123</t>
  </si>
  <si>
    <t>TX0090344</t>
  </si>
  <si>
    <t>TX0090425</t>
  </si>
  <si>
    <t>TX0090476</t>
  </si>
  <si>
    <t>TX0090484</t>
  </si>
  <si>
    <t>TX0090492</t>
  </si>
  <si>
    <t>TX0090506</t>
  </si>
  <si>
    <t>TX0090603</t>
  </si>
  <si>
    <t>TX0090611</t>
  </si>
  <si>
    <t>TX0090697</t>
  </si>
  <si>
    <t>TX0090735</t>
  </si>
  <si>
    <t>TX0090824</t>
  </si>
  <si>
    <t>TX0090841</t>
  </si>
  <si>
    <t>TX0090883</t>
  </si>
  <si>
    <t>TX0090905</t>
  </si>
  <si>
    <t>TX0090948</t>
  </si>
  <si>
    <t>TX0091171</t>
  </si>
  <si>
    <t>TX0091219</t>
  </si>
  <si>
    <t>TX0091227</t>
  </si>
  <si>
    <t>TX0091243</t>
  </si>
  <si>
    <t>TX0091260</t>
  </si>
  <si>
    <t>TX0091316</t>
  </si>
  <si>
    <t>TX0091421</t>
  </si>
  <si>
    <t>TX0091448</t>
  </si>
  <si>
    <t>TX0091481</t>
  </si>
  <si>
    <t>TX0091561</t>
  </si>
  <si>
    <t>TX0091626</t>
  </si>
  <si>
    <t>TX0091651</t>
  </si>
  <si>
    <t>TX0091677</t>
  </si>
  <si>
    <t>TX0091693</t>
  </si>
  <si>
    <t>TX0091758</t>
  </si>
  <si>
    <t>TX0091791</t>
  </si>
  <si>
    <t>TX0091804</t>
  </si>
  <si>
    <t>TX0091855</t>
  </si>
  <si>
    <t>TX0091901</t>
  </si>
  <si>
    <t>TX0091910</t>
  </si>
  <si>
    <t>TX0091979</t>
  </si>
  <si>
    <t>TX0091987</t>
  </si>
  <si>
    <t>TX0092037</t>
  </si>
  <si>
    <t>TX0092088</t>
  </si>
  <si>
    <t>TX0092142</t>
  </si>
  <si>
    <t>TX0092151</t>
  </si>
  <si>
    <t>TX0092274</t>
  </si>
  <si>
    <t>TX0092282</t>
  </si>
  <si>
    <t>TX0092312</t>
  </si>
  <si>
    <t>TX0092363</t>
  </si>
  <si>
    <t>TX0092401</t>
  </si>
  <si>
    <t>TX0092517</t>
  </si>
  <si>
    <t>TX0092541</t>
  </si>
  <si>
    <t>TX0092584</t>
  </si>
  <si>
    <t>TX0092606</t>
  </si>
  <si>
    <t>TX0092614</t>
  </si>
  <si>
    <t>TX0092711</t>
  </si>
  <si>
    <t>TX0092789</t>
  </si>
  <si>
    <t>TX0092801</t>
  </si>
  <si>
    <t>TX0092843</t>
  </si>
  <si>
    <t>TX0092894</t>
  </si>
  <si>
    <t>TX0092908</t>
  </si>
  <si>
    <t>TX0092932</t>
  </si>
  <si>
    <t>TX0092967</t>
  </si>
  <si>
    <t>TX0092991</t>
  </si>
  <si>
    <t>TX0093068</t>
  </si>
  <si>
    <t>TX0093092</t>
  </si>
  <si>
    <t>TX0093106</t>
  </si>
  <si>
    <t>TX0093157</t>
  </si>
  <si>
    <t>TX0093220</t>
  </si>
  <si>
    <t>TX0093262</t>
  </si>
  <si>
    <t>TX0093360</t>
  </si>
  <si>
    <t>TX0093416</t>
  </si>
  <si>
    <t>TX0093475</t>
  </si>
  <si>
    <t>TX0093483</t>
  </si>
  <si>
    <t>TX0093505</t>
  </si>
  <si>
    <t>TX0093556</t>
  </si>
  <si>
    <t>TX0093564</t>
  </si>
  <si>
    <t>TX0093581</t>
  </si>
  <si>
    <t>TX0093696</t>
  </si>
  <si>
    <t>TX0093726</t>
  </si>
  <si>
    <t>TX0093823</t>
  </si>
  <si>
    <t>TX0093891</t>
  </si>
  <si>
    <t>TX0094056</t>
  </si>
  <si>
    <t>TX0094129</t>
  </si>
  <si>
    <t>TX0094145</t>
  </si>
  <si>
    <t>TX0094188</t>
  </si>
  <si>
    <t>TX0094226</t>
  </si>
  <si>
    <t>TX0094307</t>
  </si>
  <si>
    <t>TX0094412</t>
  </si>
  <si>
    <t>TX0094463</t>
  </si>
  <si>
    <t>TX0094552</t>
  </si>
  <si>
    <t>TX0094650</t>
  </si>
  <si>
    <t>TX0094684</t>
  </si>
  <si>
    <t>TX0094706</t>
  </si>
  <si>
    <t>TX0094790</t>
  </si>
  <si>
    <t>TX0094803</t>
  </si>
  <si>
    <t>TX0094927</t>
  </si>
  <si>
    <t>TX0094935</t>
  </si>
  <si>
    <t>TX0094986</t>
  </si>
  <si>
    <t>TX0095125</t>
  </si>
  <si>
    <t>TX0095184</t>
  </si>
  <si>
    <t>TX0095451</t>
  </si>
  <si>
    <t>TX0095478</t>
  </si>
  <si>
    <t>TX0095508</t>
  </si>
  <si>
    <t>TX0095532</t>
  </si>
  <si>
    <t>TX0095559</t>
  </si>
  <si>
    <t>TX0095583</t>
  </si>
  <si>
    <t>TX0095605</t>
  </si>
  <si>
    <t>TX0095656</t>
  </si>
  <si>
    <t>TX0095702</t>
  </si>
  <si>
    <t>TX0095761</t>
  </si>
  <si>
    <t>TX0095770</t>
  </si>
  <si>
    <t>TX0095869</t>
  </si>
  <si>
    <t>TX0096059</t>
  </si>
  <si>
    <t>TX0096172</t>
  </si>
  <si>
    <t>TX0096474</t>
  </si>
  <si>
    <t>TX0096679</t>
  </si>
  <si>
    <t>TX0096709</t>
  </si>
  <si>
    <t>TX0096768</t>
  </si>
  <si>
    <t>TX0096881</t>
  </si>
  <si>
    <t>TX0096920</t>
  </si>
  <si>
    <t>TX0097047</t>
  </si>
  <si>
    <t>TX0097063</t>
  </si>
  <si>
    <t>TX0097071</t>
  </si>
  <si>
    <t>TX0097209</t>
  </si>
  <si>
    <t>TX0097225</t>
  </si>
  <si>
    <t>TX0097233</t>
  </si>
  <si>
    <t>TX0097373</t>
  </si>
  <si>
    <t>TX0097527</t>
  </si>
  <si>
    <t>TX0097675</t>
  </si>
  <si>
    <t>TX0097691</t>
  </si>
  <si>
    <t>TX0097853</t>
  </si>
  <si>
    <t>TX0097870</t>
  </si>
  <si>
    <t>TX0097969</t>
  </si>
  <si>
    <t>TX0097977</t>
  </si>
  <si>
    <t>TX0097985</t>
  </si>
  <si>
    <t>TX0098191</t>
  </si>
  <si>
    <t>TX0098205</t>
  </si>
  <si>
    <t>TX0098264</t>
  </si>
  <si>
    <t>TX0098345</t>
  </si>
  <si>
    <t>TX0098434</t>
  </si>
  <si>
    <t>TX0098604</t>
  </si>
  <si>
    <t>TX0098612</t>
  </si>
  <si>
    <t>TX0098647</t>
  </si>
  <si>
    <t>TX0098663</t>
  </si>
  <si>
    <t>TX0098744</t>
  </si>
  <si>
    <t>TX0098752</t>
  </si>
  <si>
    <t>TX0098809</t>
  </si>
  <si>
    <t>TX0098914</t>
  </si>
  <si>
    <t>TX0098949</t>
  </si>
  <si>
    <t>TX0098957</t>
  </si>
  <si>
    <t>TX0098965</t>
  </si>
  <si>
    <t>TX0099015</t>
  </si>
  <si>
    <t>TX0099082</t>
  </si>
  <si>
    <t>TX0099112</t>
  </si>
  <si>
    <t>TX0099171</t>
  </si>
  <si>
    <t>TX0099228</t>
  </si>
  <si>
    <t>TX0099287</t>
  </si>
  <si>
    <t>TX0099597</t>
  </si>
  <si>
    <t>TX0099732</t>
  </si>
  <si>
    <t>TX0099813</t>
  </si>
  <si>
    <t>TX0099856</t>
  </si>
  <si>
    <t>TX0100021</t>
  </si>
  <si>
    <t>TX0100137</t>
  </si>
  <si>
    <t>TX0100161</t>
  </si>
  <si>
    <t>TX0100170</t>
  </si>
  <si>
    <t>TX0100188</t>
  </si>
  <si>
    <t>TX0100242</t>
  </si>
  <si>
    <t>TX0100331</t>
  </si>
  <si>
    <t>TX0100587</t>
  </si>
  <si>
    <t>TX0100684</t>
  </si>
  <si>
    <t>TX0100692</t>
  </si>
  <si>
    <t>TX0100854</t>
  </si>
  <si>
    <t>TX0100919</t>
  </si>
  <si>
    <t>TX0100935</t>
  </si>
  <si>
    <t>TX0101010</t>
  </si>
  <si>
    <t>TX0101052</t>
  </si>
  <si>
    <t>TX0101109</t>
  </si>
  <si>
    <t>TX0101168</t>
  </si>
  <si>
    <t>TX0101214</t>
  </si>
  <si>
    <t>TX0101222</t>
  </si>
  <si>
    <t>TX0101281</t>
  </si>
  <si>
    <t>TX0101303</t>
  </si>
  <si>
    <t>TX0101371</t>
  </si>
  <si>
    <t>TX0101460</t>
  </si>
  <si>
    <t>TX0101567</t>
  </si>
  <si>
    <t>TX0101605</t>
  </si>
  <si>
    <t>TX0101656</t>
  </si>
  <si>
    <t>TX0101664</t>
  </si>
  <si>
    <t>TX0101702</t>
  </si>
  <si>
    <t>TX0101800</t>
  </si>
  <si>
    <t>TX0101818</t>
  </si>
  <si>
    <t>TX0101826</t>
  </si>
  <si>
    <t>TX0101869</t>
  </si>
  <si>
    <t>TX0101885</t>
  </si>
  <si>
    <t>TX0101915</t>
  </si>
  <si>
    <t>TX0101940</t>
  </si>
  <si>
    <t>TX0102024</t>
  </si>
  <si>
    <t>TX0102032</t>
  </si>
  <si>
    <t>TX0102091</t>
  </si>
  <si>
    <t>TX0102113</t>
  </si>
  <si>
    <t>TX0102164</t>
  </si>
  <si>
    <t>TX0102261</t>
  </si>
  <si>
    <t>TX0102296</t>
  </si>
  <si>
    <t>TX0102326</t>
  </si>
  <si>
    <t>TX0102385</t>
  </si>
  <si>
    <t>TX0102512</t>
  </si>
  <si>
    <t>TX0102555</t>
  </si>
  <si>
    <t>TX0102563</t>
  </si>
  <si>
    <t>TX0102598</t>
  </si>
  <si>
    <t>TX0102806</t>
  </si>
  <si>
    <t>TX0102822</t>
  </si>
  <si>
    <t>TX0102857</t>
  </si>
  <si>
    <t>TX0102890</t>
  </si>
  <si>
    <t>TX0102920</t>
  </si>
  <si>
    <t>TX0102997</t>
  </si>
  <si>
    <t>TX0103004</t>
  </si>
  <si>
    <t>TX0103071</t>
  </si>
  <si>
    <t>TX0103080</t>
  </si>
  <si>
    <t>TX0103250</t>
  </si>
  <si>
    <t>TX0103276</t>
  </si>
  <si>
    <t>TX0103292</t>
  </si>
  <si>
    <t>TX0103365</t>
  </si>
  <si>
    <t>TX0103446</t>
  </si>
  <si>
    <t>TX0103497</t>
  </si>
  <si>
    <t>TX0103501</t>
  </si>
  <si>
    <t>TX0103535</t>
  </si>
  <si>
    <t>TX0103578</t>
  </si>
  <si>
    <t>TX0103586</t>
  </si>
  <si>
    <t>TX0103608</t>
  </si>
  <si>
    <t>TX0103616</t>
  </si>
  <si>
    <t>TX0103624</t>
  </si>
  <si>
    <t>TX0103641</t>
  </si>
  <si>
    <t>TX0103667</t>
  </si>
  <si>
    <t>TX0103705</t>
  </si>
  <si>
    <t>TX0103721</t>
  </si>
  <si>
    <t>TX0103781</t>
  </si>
  <si>
    <t>TX0103900</t>
  </si>
  <si>
    <t>TX0104051</t>
  </si>
  <si>
    <t>TX0104060</t>
  </si>
  <si>
    <t>TX0104175</t>
  </si>
  <si>
    <t>TX0104205</t>
  </si>
  <si>
    <t>TX0104213</t>
  </si>
  <si>
    <t>TX0104272</t>
  </si>
  <si>
    <t>TX0104299</t>
  </si>
  <si>
    <t>TX0104400</t>
  </si>
  <si>
    <t>TX0104515</t>
  </si>
  <si>
    <t>TX0104531</t>
  </si>
  <si>
    <t>TX0104558</t>
  </si>
  <si>
    <t>TX0104612</t>
  </si>
  <si>
    <t>TX0104621</t>
  </si>
  <si>
    <t>TX0104710</t>
  </si>
  <si>
    <t>TX0104752</t>
  </si>
  <si>
    <t>TX0104761</t>
  </si>
  <si>
    <t>TX0104795</t>
  </si>
  <si>
    <t>TX0104833</t>
  </si>
  <si>
    <t>TX0104876</t>
  </si>
  <si>
    <t>TX0104884</t>
  </si>
  <si>
    <t>TX0104957</t>
  </si>
  <si>
    <t>TX0104965</t>
  </si>
  <si>
    <t>TX0104990</t>
  </si>
  <si>
    <t>TX0105015</t>
  </si>
  <si>
    <t>TX0105031</t>
  </si>
  <si>
    <t>TX0105091</t>
  </si>
  <si>
    <t>TX0105104</t>
  </si>
  <si>
    <t>TX0105155</t>
  </si>
  <si>
    <t>TX0105163</t>
  </si>
  <si>
    <t>TX0105171</t>
  </si>
  <si>
    <t>TX0105201</t>
  </si>
  <si>
    <t>TX0105210</t>
  </si>
  <si>
    <t>TX0105287</t>
  </si>
  <si>
    <t>TX0105376</t>
  </si>
  <si>
    <t>TX0105406</t>
  </si>
  <si>
    <t>TX0105651</t>
  </si>
  <si>
    <t>TX0105872</t>
  </si>
  <si>
    <t>TX0105899</t>
  </si>
  <si>
    <t>TX0105937</t>
  </si>
  <si>
    <t>TX0105988</t>
  </si>
  <si>
    <t>TX0105996</t>
  </si>
  <si>
    <t>TX0106046</t>
  </si>
  <si>
    <t>TX0106054</t>
  </si>
  <si>
    <t>TX0106071</t>
  </si>
  <si>
    <t>TX0106101</t>
  </si>
  <si>
    <t>TX0106119</t>
  </si>
  <si>
    <t>TX0106208</t>
  </si>
  <si>
    <t>TX0106224</t>
  </si>
  <si>
    <t>TX0106291</t>
  </si>
  <si>
    <t>TX0106437</t>
  </si>
  <si>
    <t>TX0106461</t>
  </si>
  <si>
    <t>TX0106542</t>
  </si>
  <si>
    <t>TX0106551</t>
  </si>
  <si>
    <t>TX0106704</t>
  </si>
  <si>
    <t>TX0106836</t>
  </si>
  <si>
    <t>TX0107395</t>
  </si>
  <si>
    <t>TX0107425</t>
  </si>
  <si>
    <t>TX0107492</t>
  </si>
  <si>
    <t>TX0107719</t>
  </si>
  <si>
    <t>TX0107743</t>
  </si>
  <si>
    <t>TX0107867</t>
  </si>
  <si>
    <t>TX0107875</t>
  </si>
  <si>
    <t>TX0107981</t>
  </si>
  <si>
    <t>TX0108065</t>
  </si>
  <si>
    <t>TX0108120</t>
  </si>
  <si>
    <t>TX0108146</t>
  </si>
  <si>
    <t>TX0108332</t>
  </si>
  <si>
    <t>TX0108367</t>
  </si>
  <si>
    <t>TX0108405</t>
  </si>
  <si>
    <t>TX0108499</t>
  </si>
  <si>
    <t>TX0109011</t>
  </si>
  <si>
    <t>TX0109126</t>
  </si>
  <si>
    <t>TX0109339</t>
  </si>
  <si>
    <t>TX0109444</t>
  </si>
  <si>
    <t>TX0109622</t>
  </si>
  <si>
    <t>TX0109886</t>
  </si>
  <si>
    <t>TX0110035</t>
  </si>
  <si>
    <t>TX0110337</t>
  </si>
  <si>
    <t>TX0110361</t>
  </si>
  <si>
    <t>TX0110647</t>
  </si>
  <si>
    <t>TX0110663</t>
  </si>
  <si>
    <t>TX0111201</t>
  </si>
  <si>
    <t>TX0111325</t>
  </si>
  <si>
    <t>TX0111333</t>
  </si>
  <si>
    <t>TX0111341</t>
  </si>
  <si>
    <t>TX0111350</t>
  </si>
  <si>
    <t>TX0111465</t>
  </si>
  <si>
    <t>TX0111520</t>
  </si>
  <si>
    <t>TX0111589</t>
  </si>
  <si>
    <t>TX0111660</t>
  </si>
  <si>
    <t>TX0111767</t>
  </si>
  <si>
    <t>TX0111791</t>
  </si>
  <si>
    <t>TX0111872</t>
  </si>
  <si>
    <t>TX0111937</t>
  </si>
  <si>
    <t>TX0112038</t>
  </si>
  <si>
    <t>TX0112151</t>
  </si>
  <si>
    <t>TX0112259</t>
  </si>
  <si>
    <t>TX0112283</t>
  </si>
  <si>
    <t>TX0112461</t>
  </si>
  <si>
    <t>TX0112585</t>
  </si>
  <si>
    <t>TX0112593</t>
  </si>
  <si>
    <t>TX0112691</t>
  </si>
  <si>
    <t>TX0112739</t>
  </si>
  <si>
    <t>TX0112747</t>
  </si>
  <si>
    <t>TX0112763</t>
  </si>
  <si>
    <t>TX0113000</t>
  </si>
  <si>
    <t>TX0113026</t>
  </si>
  <si>
    <t>TX0113107</t>
  </si>
  <si>
    <t>TX0113115</t>
  </si>
  <si>
    <t>TX0113123</t>
  </si>
  <si>
    <t>TX0113131</t>
  </si>
  <si>
    <t>TX0113484</t>
  </si>
  <si>
    <t>TX0113565</t>
  </si>
  <si>
    <t>TX0113573</t>
  </si>
  <si>
    <t>TX0113603</t>
  </si>
  <si>
    <t>TX0113697</t>
  </si>
  <si>
    <t>TX0113760</t>
  </si>
  <si>
    <t>TX0113786</t>
  </si>
  <si>
    <t>TX0113859</t>
  </si>
  <si>
    <t>TX0113875</t>
  </si>
  <si>
    <t>TX0113883</t>
  </si>
  <si>
    <t>TX0113913</t>
  </si>
  <si>
    <t>TX0113930</t>
  </si>
  <si>
    <t>TX0113981</t>
  </si>
  <si>
    <t>TX0114006</t>
  </si>
  <si>
    <t>TX0114031</t>
  </si>
  <si>
    <t>TX0114413</t>
  </si>
  <si>
    <t>TX0114821</t>
  </si>
  <si>
    <t>TX0114839</t>
  </si>
  <si>
    <t>TX0114847</t>
  </si>
  <si>
    <t>TX0114855</t>
  </si>
  <si>
    <t>TX0114880</t>
  </si>
  <si>
    <t>TX0114995</t>
  </si>
  <si>
    <t>TX0115169</t>
  </si>
  <si>
    <t>TX0115177</t>
  </si>
  <si>
    <t>TX0115797</t>
  </si>
  <si>
    <t>TX0115819</t>
  </si>
  <si>
    <t>TX0115827</t>
  </si>
  <si>
    <t>TX0115851</t>
  </si>
  <si>
    <t>TX0115924</t>
  </si>
  <si>
    <t>TX0115983</t>
  </si>
  <si>
    <t>TX0115991</t>
  </si>
  <si>
    <t>TX0116009</t>
  </si>
  <si>
    <t>TX0116068</t>
  </si>
  <si>
    <t>TX0116084</t>
  </si>
  <si>
    <t>TX0116114</t>
  </si>
  <si>
    <t>TX0116157</t>
  </si>
  <si>
    <t>TX0116173</t>
  </si>
  <si>
    <t>TX0116211</t>
  </si>
  <si>
    <t>TX0116360</t>
  </si>
  <si>
    <t>TX0116378</t>
  </si>
  <si>
    <t>TX0116386</t>
  </si>
  <si>
    <t>TX0116394</t>
  </si>
  <si>
    <t>TX0116408</t>
  </si>
  <si>
    <t>TX0116441</t>
  </si>
  <si>
    <t>TX0116459</t>
  </si>
  <si>
    <t>TX0116556</t>
  </si>
  <si>
    <t>TX0116572</t>
  </si>
  <si>
    <t>TX0116637</t>
  </si>
  <si>
    <t>TX0116661</t>
  </si>
  <si>
    <t>TX0116742</t>
  </si>
  <si>
    <t>TX0116751</t>
  </si>
  <si>
    <t>TX0116785</t>
  </si>
  <si>
    <t>TX0116882</t>
  </si>
  <si>
    <t>TX0116891</t>
  </si>
  <si>
    <t>TX0116904</t>
  </si>
  <si>
    <t>TX0116921</t>
  </si>
  <si>
    <t>TX0117056</t>
  </si>
  <si>
    <t>TX0117064</t>
  </si>
  <si>
    <t>TX0117072</t>
  </si>
  <si>
    <t>TX0117129</t>
  </si>
  <si>
    <t>TX0117145</t>
  </si>
  <si>
    <t>TX0117161</t>
  </si>
  <si>
    <t>TX0117170</t>
  </si>
  <si>
    <t>TX0117188</t>
  </si>
  <si>
    <t>TX0117218</t>
  </si>
  <si>
    <t>TX0117234</t>
  </si>
  <si>
    <t>TX0117242</t>
  </si>
  <si>
    <t>TX0117277</t>
  </si>
  <si>
    <t>TX0117315</t>
  </si>
  <si>
    <t>TX0117331</t>
  </si>
  <si>
    <t>TX0117358</t>
  </si>
  <si>
    <t>TX0117366</t>
  </si>
  <si>
    <t>TX0117374</t>
  </si>
  <si>
    <t>TX0117421</t>
  </si>
  <si>
    <t>TX0117455</t>
  </si>
  <si>
    <t>TX0117463</t>
  </si>
  <si>
    <t>TX0117498</t>
  </si>
  <si>
    <t>TX0117501</t>
  </si>
  <si>
    <t>TX0117528</t>
  </si>
  <si>
    <t>TX0117536</t>
  </si>
  <si>
    <t>TX0117544</t>
  </si>
  <si>
    <t>TX0117579</t>
  </si>
  <si>
    <t>TX0117587</t>
  </si>
  <si>
    <t>TX0117595</t>
  </si>
  <si>
    <t>TX0117609</t>
  </si>
  <si>
    <t>TX0117633</t>
  </si>
  <si>
    <t>TX0117650</t>
  </si>
  <si>
    <t>TX0117676</t>
  </si>
  <si>
    <t>TX0117684</t>
  </si>
  <si>
    <t>TX0117706</t>
  </si>
  <si>
    <t>TX0117722</t>
  </si>
  <si>
    <t>TX0117731</t>
  </si>
  <si>
    <t>TX0117757</t>
  </si>
  <si>
    <t>TX0117765</t>
  </si>
  <si>
    <t>TX0117820</t>
  </si>
  <si>
    <t>TX0117846</t>
  </si>
  <si>
    <t>TX0117889</t>
  </si>
  <si>
    <t>TX0117897</t>
  </si>
  <si>
    <t>TX0117919</t>
  </si>
  <si>
    <t>TX0117927</t>
  </si>
  <si>
    <t>TX0117935</t>
  </si>
  <si>
    <t>TX0117951</t>
  </si>
  <si>
    <t>TX0117960</t>
  </si>
  <si>
    <t>TX0117978</t>
  </si>
  <si>
    <t>TX0117986</t>
  </si>
  <si>
    <t>TX0118001</t>
  </si>
  <si>
    <t>TX0118028</t>
  </si>
  <si>
    <t>TX0118079</t>
  </si>
  <si>
    <t>TX0118095</t>
  </si>
  <si>
    <t>TX0118109</t>
  </si>
  <si>
    <t>TX0118125</t>
  </si>
  <si>
    <t>TX0118214</t>
  </si>
  <si>
    <t>TX0118222</t>
  </si>
  <si>
    <t>TX0118231</t>
  </si>
  <si>
    <t>TX0118265</t>
  </si>
  <si>
    <t>TX0118281</t>
  </si>
  <si>
    <t>TX0118311</t>
  </si>
  <si>
    <t>TX0118320</t>
  </si>
  <si>
    <t>TX0118346</t>
  </si>
  <si>
    <t>TX0118354</t>
  </si>
  <si>
    <t>TX0118371</t>
  </si>
  <si>
    <t>TX0118389</t>
  </si>
  <si>
    <t>TX0118427</t>
  </si>
  <si>
    <t>TX0118443</t>
  </si>
  <si>
    <t>TX0118451</t>
  </si>
  <si>
    <t>TX0118532</t>
  </si>
  <si>
    <t>TX0118559</t>
  </si>
  <si>
    <t>TX0118567</t>
  </si>
  <si>
    <t>TX0118575</t>
  </si>
  <si>
    <t>TX0118583</t>
  </si>
  <si>
    <t>TX0118591</t>
  </si>
  <si>
    <t>TX0118621</t>
  </si>
  <si>
    <t>TX0118656</t>
  </si>
  <si>
    <t>TX0118672</t>
  </si>
  <si>
    <t>TX0118702</t>
  </si>
  <si>
    <t>TX0118737</t>
  </si>
  <si>
    <t>TX0118745</t>
  </si>
  <si>
    <t>TX0118770</t>
  </si>
  <si>
    <t>TX0118851</t>
  </si>
  <si>
    <t>TX0118877</t>
  </si>
  <si>
    <t>TX0118923</t>
  </si>
  <si>
    <t>TX0118931</t>
  </si>
  <si>
    <t>TX0118966</t>
  </si>
  <si>
    <t>TX0118982</t>
  </si>
  <si>
    <t>TX0118991</t>
  </si>
  <si>
    <t>TX0119008</t>
  </si>
  <si>
    <t>TX0119024</t>
  </si>
  <si>
    <t>TX0119041</t>
  </si>
  <si>
    <t>TX0119067</t>
  </si>
  <si>
    <t>TX0119075</t>
  </si>
  <si>
    <t>TX0119083</t>
  </si>
  <si>
    <t>TX0119113</t>
  </si>
  <si>
    <t>TX0119121</t>
  </si>
  <si>
    <t>TX0119172</t>
  </si>
  <si>
    <t>TX0119181</t>
  </si>
  <si>
    <t>TX0119199</t>
  </si>
  <si>
    <t>TX0119211</t>
  </si>
  <si>
    <t>TX0119229</t>
  </si>
  <si>
    <t>TX0119270</t>
  </si>
  <si>
    <t>TX0119288</t>
  </si>
  <si>
    <t>TX0119326</t>
  </si>
  <si>
    <t>TX0119351</t>
  </si>
  <si>
    <t>TX0119369</t>
  </si>
  <si>
    <t>TX0119407</t>
  </si>
  <si>
    <t>TX0119415</t>
  </si>
  <si>
    <t>TX0119423</t>
  </si>
  <si>
    <t>TX0119431</t>
  </si>
  <si>
    <t>TX0119458</t>
  </si>
  <si>
    <t>TX0119466</t>
  </si>
  <si>
    <t>TX0119482</t>
  </si>
  <si>
    <t>TX0119504</t>
  </si>
  <si>
    <t>TX0119521</t>
  </si>
  <si>
    <t>TX0119539</t>
  </si>
  <si>
    <t>TX0119547</t>
  </si>
  <si>
    <t>TX0119563</t>
  </si>
  <si>
    <t>TX0119571</t>
  </si>
  <si>
    <t>TX0119598</t>
  </si>
  <si>
    <t>TX0119601</t>
  </si>
  <si>
    <t>TX0119610</t>
  </si>
  <si>
    <t>TX0119628</t>
  </si>
  <si>
    <t>TX0119679</t>
  </si>
  <si>
    <t>TX0119687</t>
  </si>
  <si>
    <t>TX0119709</t>
  </si>
  <si>
    <t>TX0119776</t>
  </si>
  <si>
    <t>TX0119784</t>
  </si>
  <si>
    <t>TX0119792</t>
  </si>
  <si>
    <t>TX0119814</t>
  </si>
  <si>
    <t>TX0119849</t>
  </si>
  <si>
    <t>TX0119857</t>
  </si>
  <si>
    <t>TX0119873</t>
  </si>
  <si>
    <t>TX0119890</t>
  </si>
  <si>
    <t>TX0119946</t>
  </si>
  <si>
    <t>TX0119954</t>
  </si>
  <si>
    <t>TX0119962</t>
  </si>
  <si>
    <t>TX0120006</t>
  </si>
  <si>
    <t>TX0120022</t>
  </si>
  <si>
    <t>TX0120073</t>
  </si>
  <si>
    <t>TX0120146</t>
  </si>
  <si>
    <t>TX0120189</t>
  </si>
  <si>
    <t>TX0120243</t>
  </si>
  <si>
    <t>TX0121053</t>
  </si>
  <si>
    <t>TX0121061</t>
  </si>
  <si>
    <t>TX0121126</t>
  </si>
  <si>
    <t>TX0121762</t>
  </si>
  <si>
    <t>TX0121797</t>
  </si>
  <si>
    <t>TX0122173</t>
  </si>
  <si>
    <t>TX0122181</t>
  </si>
  <si>
    <t>TX0122203</t>
  </si>
  <si>
    <t>TX0122211</t>
  </si>
  <si>
    <t>TX0122246</t>
  </si>
  <si>
    <t>TX0122271</t>
  </si>
  <si>
    <t>TX0122297</t>
  </si>
  <si>
    <t>TX0122327</t>
  </si>
  <si>
    <t>TX0122335</t>
  </si>
  <si>
    <t>TX0122351</t>
  </si>
  <si>
    <t>TX0122360</t>
  </si>
  <si>
    <t>TX0122386</t>
  </si>
  <si>
    <t>TX0122459</t>
  </si>
  <si>
    <t>TX0122483</t>
  </si>
  <si>
    <t>TX0122513</t>
  </si>
  <si>
    <t>TX0122521</t>
  </si>
  <si>
    <t>TX0122530</t>
  </si>
  <si>
    <t>TX0122564</t>
  </si>
  <si>
    <t>TX0122661</t>
  </si>
  <si>
    <t>TX0122823</t>
  </si>
  <si>
    <t>TX0122963</t>
  </si>
  <si>
    <t>TX0122980</t>
  </si>
  <si>
    <t>TX0123013</t>
  </si>
  <si>
    <t>TX0123137</t>
  </si>
  <si>
    <t>TX0123145</t>
  </si>
  <si>
    <t>TX0123200</t>
  </si>
  <si>
    <t>TX0123293</t>
  </si>
  <si>
    <t>TX0123315</t>
  </si>
  <si>
    <t>TX0123358</t>
  </si>
  <si>
    <t>TX0123374</t>
  </si>
  <si>
    <t>TX0123421</t>
  </si>
  <si>
    <t>TX0123498</t>
  </si>
  <si>
    <t>TX0123510</t>
  </si>
  <si>
    <t>TX0123528</t>
  </si>
  <si>
    <t>TX0123552</t>
  </si>
  <si>
    <t>TX0123579</t>
  </si>
  <si>
    <t>TX0123587</t>
  </si>
  <si>
    <t>TX0123676</t>
  </si>
  <si>
    <t>TX0123722</t>
  </si>
  <si>
    <t>TX0123781</t>
  </si>
  <si>
    <t>TX0123820</t>
  </si>
  <si>
    <t>TX0123854</t>
  </si>
  <si>
    <t>TX0123862</t>
  </si>
  <si>
    <t>TX0123871</t>
  </si>
  <si>
    <t>TX0123935</t>
  </si>
  <si>
    <t>TX0123978</t>
  </si>
  <si>
    <t>TX0123994</t>
  </si>
  <si>
    <t>TX0124001</t>
  </si>
  <si>
    <t>TX0124087</t>
  </si>
  <si>
    <t>TX0124125</t>
  </si>
  <si>
    <t>TX0124141</t>
  </si>
  <si>
    <t>TX0124150</t>
  </si>
  <si>
    <t>TX0124249</t>
  </si>
  <si>
    <t>TX0124257</t>
  </si>
  <si>
    <t>TX0124265</t>
  </si>
  <si>
    <t>TX0124281</t>
  </si>
  <si>
    <t>TX0124303</t>
  </si>
  <si>
    <t>TX0124362</t>
  </si>
  <si>
    <t>TX0124371</t>
  </si>
  <si>
    <t>TX0124389</t>
  </si>
  <si>
    <t>TX0124419</t>
  </si>
  <si>
    <t>TX0124427</t>
  </si>
  <si>
    <t>TX0124478</t>
  </si>
  <si>
    <t>TX0124494</t>
  </si>
  <si>
    <t>TX0124516</t>
  </si>
  <si>
    <t>TX0124664</t>
  </si>
  <si>
    <t>TX0124681</t>
  </si>
  <si>
    <t>TX0124699</t>
  </si>
  <si>
    <t>TX0124702</t>
  </si>
  <si>
    <t>TX0124745</t>
  </si>
  <si>
    <t>TX0124761</t>
  </si>
  <si>
    <t>TX0124796</t>
  </si>
  <si>
    <t>TX0124800</t>
  </si>
  <si>
    <t>TX0124842</t>
  </si>
  <si>
    <t>TX0124851</t>
  </si>
  <si>
    <t>TX0124877</t>
  </si>
  <si>
    <t>TX0124893</t>
  </si>
  <si>
    <t>TX0124907</t>
  </si>
  <si>
    <t>TX0124923</t>
  </si>
  <si>
    <t>TX0124958</t>
  </si>
  <si>
    <t>TX0124966</t>
  </si>
  <si>
    <t>TX0124974</t>
  </si>
  <si>
    <t>TX0125083</t>
  </si>
  <si>
    <t>TX0125091</t>
  </si>
  <si>
    <t>TX0125113</t>
  </si>
  <si>
    <t>TX0125156</t>
  </si>
  <si>
    <t>TX0125164</t>
  </si>
  <si>
    <t>TX0125172</t>
  </si>
  <si>
    <t>TX0125199</t>
  </si>
  <si>
    <t>TX0125270</t>
  </si>
  <si>
    <t>TX0125288</t>
  </si>
  <si>
    <t>TX0125300</t>
  </si>
  <si>
    <t>TX0125326</t>
  </si>
  <si>
    <t>TX0125334</t>
  </si>
  <si>
    <t>TX0125369</t>
  </si>
  <si>
    <t>TX0125377</t>
  </si>
  <si>
    <t>TX0125458</t>
  </si>
  <si>
    <t>TX0125491</t>
  </si>
  <si>
    <t>TX0125512</t>
  </si>
  <si>
    <t>TX0125521</t>
  </si>
  <si>
    <t>TX0125555</t>
  </si>
  <si>
    <t>TX0125563</t>
  </si>
  <si>
    <t>TX0125598</t>
  </si>
  <si>
    <t>TX0125610</t>
  </si>
  <si>
    <t>TX0125661</t>
  </si>
  <si>
    <t>TX0125679</t>
  </si>
  <si>
    <t>TX0125687</t>
  </si>
  <si>
    <t>TX0125741</t>
  </si>
  <si>
    <t>TX0125776</t>
  </si>
  <si>
    <t>TX0125806</t>
  </si>
  <si>
    <t>TX0125831</t>
  </si>
  <si>
    <t>TX0125857</t>
  </si>
  <si>
    <t>TX0125865</t>
  </si>
  <si>
    <t>TX0125881</t>
  </si>
  <si>
    <t>TX0125920</t>
  </si>
  <si>
    <t>TX0125938</t>
  </si>
  <si>
    <t>TX0125946</t>
  </si>
  <si>
    <t>TX0125989</t>
  </si>
  <si>
    <t>TX0126004</t>
  </si>
  <si>
    <t>TX0126021</t>
  </si>
  <si>
    <t>TX0126098</t>
  </si>
  <si>
    <t>TX0126101</t>
  </si>
  <si>
    <t>TX0126110</t>
  </si>
  <si>
    <t>TX0126128</t>
  </si>
  <si>
    <t>TX0126152</t>
  </si>
  <si>
    <t>TX0126161</t>
  </si>
  <si>
    <t>TX0126179</t>
  </si>
  <si>
    <t>TX0126187</t>
  </si>
  <si>
    <t>TX0126195</t>
  </si>
  <si>
    <t>TX0126209</t>
  </si>
  <si>
    <t>TX0126217</t>
  </si>
  <si>
    <t>TX0126241</t>
  </si>
  <si>
    <t>TX0126268</t>
  </si>
  <si>
    <t>TX0126284</t>
  </si>
  <si>
    <t>TX0126292</t>
  </si>
  <si>
    <t>TX0126306</t>
  </si>
  <si>
    <t>TX0126322</t>
  </si>
  <si>
    <t>TX0126349</t>
  </si>
  <si>
    <t>TX0126381</t>
  </si>
  <si>
    <t>TX0126446</t>
  </si>
  <si>
    <t>TX0126497</t>
  </si>
  <si>
    <t>TX0126527</t>
  </si>
  <si>
    <t>TX0126543</t>
  </si>
  <si>
    <t>TX0126551</t>
  </si>
  <si>
    <t>TX0126560</t>
  </si>
  <si>
    <t>TX0126616</t>
  </si>
  <si>
    <t>TX0126624</t>
  </si>
  <si>
    <t>TX0126641</t>
  </si>
  <si>
    <t>TX0126667</t>
  </si>
  <si>
    <t>TX0126675</t>
  </si>
  <si>
    <t>TX0126691</t>
  </si>
  <si>
    <t>TX0126713</t>
  </si>
  <si>
    <t>TX0126730</t>
  </si>
  <si>
    <t>TX0126756</t>
  </si>
  <si>
    <t>TX0126772</t>
  </si>
  <si>
    <t>TX0126799</t>
  </si>
  <si>
    <t>TX0126829</t>
  </si>
  <si>
    <t>TX0126837</t>
  </si>
  <si>
    <t>TX0126853</t>
  </si>
  <si>
    <t>TX0126861</t>
  </si>
  <si>
    <t>TX0126926</t>
  </si>
  <si>
    <t>TX0126934</t>
  </si>
  <si>
    <t>TX0126951</t>
  </si>
  <si>
    <t>TX0126969</t>
  </si>
  <si>
    <t>TX0126977</t>
  </si>
  <si>
    <t>TX0127019</t>
  </si>
  <si>
    <t>TX0127086</t>
  </si>
  <si>
    <t>TX0127124</t>
  </si>
  <si>
    <t>TX0127132</t>
  </si>
  <si>
    <t>TX0127141</t>
  </si>
  <si>
    <t>TX0127175</t>
  </si>
  <si>
    <t>TX0127183</t>
  </si>
  <si>
    <t>TX0127230</t>
  </si>
  <si>
    <t>TX0127256</t>
  </si>
  <si>
    <t>TX0127264</t>
  </si>
  <si>
    <t>TX0127272</t>
  </si>
  <si>
    <t>TX0127299</t>
  </si>
  <si>
    <t>TX0127311</t>
  </si>
  <si>
    <t>TX0127345</t>
  </si>
  <si>
    <t>TX0127353</t>
  </si>
  <si>
    <t>TX0127370</t>
  </si>
  <si>
    <t>TX0127388</t>
  </si>
  <si>
    <t>TX0127400</t>
  </si>
  <si>
    <t>TX0127426</t>
  </si>
  <si>
    <t>TX0127647</t>
  </si>
  <si>
    <t>TX0127698</t>
  </si>
  <si>
    <t>TX0127728</t>
  </si>
  <si>
    <t>TX0127752</t>
  </si>
  <si>
    <t>TX0127779</t>
  </si>
  <si>
    <t>TX0127795</t>
  </si>
  <si>
    <t>TX0127809</t>
  </si>
  <si>
    <t>TX0127817</t>
  </si>
  <si>
    <t>TX0127833</t>
  </si>
  <si>
    <t>TX0127868</t>
  </si>
  <si>
    <t>TX0127884</t>
  </si>
  <si>
    <t>TX0127922</t>
  </si>
  <si>
    <t>TX0127931</t>
  </si>
  <si>
    <t>TX0127957</t>
  </si>
  <si>
    <t>TX0127965</t>
  </si>
  <si>
    <t>TX0127981</t>
  </si>
  <si>
    <t>TX0128007</t>
  </si>
  <si>
    <t>TX0128015</t>
  </si>
  <si>
    <t>TX0128023</t>
  </si>
  <si>
    <t>TX0128031</t>
  </si>
  <si>
    <t>TX0128082</t>
  </si>
  <si>
    <t>TX0128112</t>
  </si>
  <si>
    <t>TX0128121</t>
  </si>
  <si>
    <t>TX0128163</t>
  </si>
  <si>
    <t>TX0128180</t>
  </si>
  <si>
    <t>TX0128201</t>
  </si>
  <si>
    <t>TX0128210</t>
  </si>
  <si>
    <t>TX0128236</t>
  </si>
  <si>
    <t>TX0128244</t>
  </si>
  <si>
    <t>TX0128261</t>
  </si>
  <si>
    <t>TX0128287</t>
  </si>
  <si>
    <t>TX0128295</t>
  </si>
  <si>
    <t>TX0128325</t>
  </si>
  <si>
    <t>TX0128333</t>
  </si>
  <si>
    <t>TX0128341</t>
  </si>
  <si>
    <t>TX0128350</t>
  </si>
  <si>
    <t>TX0128368</t>
  </si>
  <si>
    <t>TX0128392</t>
  </si>
  <si>
    <t>TX0128406</t>
  </si>
  <si>
    <t>TX0128431</t>
  </si>
  <si>
    <t>TX0128449</t>
  </si>
  <si>
    <t>TX0128457</t>
  </si>
  <si>
    <t>TX0128473</t>
  </si>
  <si>
    <t>TX0128481</t>
  </si>
  <si>
    <t>TX0128490</t>
  </si>
  <si>
    <t>TX0128511</t>
  </si>
  <si>
    <t>TX0128538</t>
  </si>
  <si>
    <t>TX0128554</t>
  </si>
  <si>
    <t>TX0128589</t>
  </si>
  <si>
    <t>TX0128597</t>
  </si>
  <si>
    <t>TX0128643</t>
  </si>
  <si>
    <t>TX0128686</t>
  </si>
  <si>
    <t>TX0128708</t>
  </si>
  <si>
    <t>TX0128724</t>
  </si>
  <si>
    <t>TX0128741</t>
  </si>
  <si>
    <t>TX0128767</t>
  </si>
  <si>
    <t>TX0128783</t>
  </si>
  <si>
    <t>TX0128791</t>
  </si>
  <si>
    <t>TX0128813</t>
  </si>
  <si>
    <t>TX0128856</t>
  </si>
  <si>
    <t>TX0128864</t>
  </si>
  <si>
    <t>TX0128945</t>
  </si>
  <si>
    <t>TX0128988</t>
  </si>
  <si>
    <t>TX0128996</t>
  </si>
  <si>
    <t>TX0129011</t>
  </si>
  <si>
    <t>TX0129062</t>
  </si>
  <si>
    <t>TX0129071</t>
  </si>
  <si>
    <t>TX0129119</t>
  </si>
  <si>
    <t>TX0129127</t>
  </si>
  <si>
    <t>TX0129160</t>
  </si>
  <si>
    <t>TX0129178</t>
  </si>
  <si>
    <t>TX0129186</t>
  </si>
  <si>
    <t>TX0129194</t>
  </si>
  <si>
    <t>TX0129216</t>
  </si>
  <si>
    <t>TX0129224</t>
  </si>
  <si>
    <t>TX0129241</t>
  </si>
  <si>
    <t>TX0129305</t>
  </si>
  <si>
    <t>TX0129313</t>
  </si>
  <si>
    <t>TX0129321</t>
  </si>
  <si>
    <t>TX0129330</t>
  </si>
  <si>
    <t>TX0129348</t>
  </si>
  <si>
    <t>TX0129364</t>
  </si>
  <si>
    <t>TX0129381</t>
  </si>
  <si>
    <t>TX0129411</t>
  </si>
  <si>
    <t>TX0129437</t>
  </si>
  <si>
    <t>TX0129470</t>
  </si>
  <si>
    <t>TX0129488</t>
  </si>
  <si>
    <t>TX0129526</t>
  </si>
  <si>
    <t>TX0129607</t>
  </si>
  <si>
    <t>TX0129640</t>
  </si>
  <si>
    <t>TX0129666</t>
  </si>
  <si>
    <t>TX0129674</t>
  </si>
  <si>
    <t>TX0129780</t>
  </si>
  <si>
    <t>TX0129810</t>
  </si>
  <si>
    <t>TX0129861</t>
  </si>
  <si>
    <t>TX0129879</t>
  </si>
  <si>
    <t>TX0129887</t>
  </si>
  <si>
    <t>TX0129895</t>
  </si>
  <si>
    <t>TX0129917</t>
  </si>
  <si>
    <t>TX0129925</t>
  </si>
  <si>
    <t>TX0129950</t>
  </si>
  <si>
    <t>TX0129968</t>
  </si>
  <si>
    <t>TX0129984</t>
  </si>
  <si>
    <t>TX0129992</t>
  </si>
  <si>
    <t>TX0130028</t>
  </si>
  <si>
    <t>TX0130036</t>
  </si>
  <si>
    <t>TX0130052</t>
  </si>
  <si>
    <t>TX0130109</t>
  </si>
  <si>
    <t>TX0130117</t>
  </si>
  <si>
    <t>TX0131351</t>
  </si>
  <si>
    <t>TX0131407</t>
  </si>
  <si>
    <t>TX0131466</t>
  </si>
  <si>
    <t>TX0131482</t>
  </si>
  <si>
    <t>TX0131491</t>
  </si>
  <si>
    <t>TX0131504</t>
  </si>
  <si>
    <t>TX0131539</t>
  </si>
  <si>
    <t>TX0131547</t>
  </si>
  <si>
    <t>TX0131555</t>
  </si>
  <si>
    <t>TX0131598</t>
  </si>
  <si>
    <t>TX0131768</t>
  </si>
  <si>
    <t>TX0131776</t>
  </si>
  <si>
    <t>TX0131792</t>
  </si>
  <si>
    <t>TX0131806</t>
  </si>
  <si>
    <t>TX0131831</t>
  </si>
  <si>
    <t>TX0131857</t>
  </si>
  <si>
    <t>TX0131903</t>
  </si>
  <si>
    <t>TX0131911</t>
  </si>
  <si>
    <t>TX0131938</t>
  </si>
  <si>
    <t>TX0132004</t>
  </si>
  <si>
    <t>TX0132012</t>
  </si>
  <si>
    <t>TX0132039</t>
  </si>
  <si>
    <t>TX0132055</t>
  </si>
  <si>
    <t>TX0132128</t>
  </si>
  <si>
    <t>TX0132161</t>
  </si>
  <si>
    <t>TX0132195</t>
  </si>
  <si>
    <t>TX0132217</t>
  </si>
  <si>
    <t>TX0132225</t>
  </si>
  <si>
    <t>TX0132241</t>
  </si>
  <si>
    <t>TX0132276</t>
  </si>
  <si>
    <t>TX0132365</t>
  </si>
  <si>
    <t>TX0132411</t>
  </si>
  <si>
    <t>TX0132446</t>
  </si>
  <si>
    <t>TX0132454</t>
  </si>
  <si>
    <t>TX0132471</t>
  </si>
  <si>
    <t>TX0132497</t>
  </si>
  <si>
    <t>TX0132543</t>
  </si>
  <si>
    <t>TX0132560</t>
  </si>
  <si>
    <t>TX0132608</t>
  </si>
  <si>
    <t>TX0132632</t>
  </si>
  <si>
    <t>TX0132659</t>
  </si>
  <si>
    <t>TX0132675</t>
  </si>
  <si>
    <t>TX0132683</t>
  </si>
  <si>
    <t>TX0132705</t>
  </si>
  <si>
    <t>TX0132713</t>
  </si>
  <si>
    <t>TX0132721</t>
  </si>
  <si>
    <t>TX0132730</t>
  </si>
  <si>
    <t>TX0132756</t>
  </si>
  <si>
    <t>TX0132764</t>
  </si>
  <si>
    <t>TX0132799</t>
  </si>
  <si>
    <t>TX0132802</t>
  </si>
  <si>
    <t>TX0132829</t>
  </si>
  <si>
    <t>TX0132837</t>
  </si>
  <si>
    <t>TX0132896</t>
  </si>
  <si>
    <t>TX0132918</t>
  </si>
  <si>
    <t>TX0132926</t>
  </si>
  <si>
    <t>TX0132942</t>
  </si>
  <si>
    <t>TX0132993</t>
  </si>
  <si>
    <t>TX0133001</t>
  </si>
  <si>
    <t>TX0133019</t>
  </si>
  <si>
    <t>TX0133027</t>
  </si>
  <si>
    <t>TX0133035</t>
  </si>
  <si>
    <t>TX0133043</t>
  </si>
  <si>
    <t>TX0133051</t>
  </si>
  <si>
    <t>TX0133094</t>
  </si>
  <si>
    <t>TX0133124</t>
  </si>
  <si>
    <t>TX0133132</t>
  </si>
  <si>
    <t>TX0133141</t>
  </si>
  <si>
    <t>TX0133167</t>
  </si>
  <si>
    <t>TX0133175</t>
  </si>
  <si>
    <t>TX0133183</t>
  </si>
  <si>
    <t>TX0133205</t>
  </si>
  <si>
    <t>TX0133230</t>
  </si>
  <si>
    <t>TX0133248</t>
  </si>
  <si>
    <t>TX0133302</t>
  </si>
  <si>
    <t>TX0133311</t>
  </si>
  <si>
    <t>TX0133329</t>
  </si>
  <si>
    <t>TX0133337</t>
  </si>
  <si>
    <t>TX0133353</t>
  </si>
  <si>
    <t>TX0133370</t>
  </si>
  <si>
    <t>TX0133388</t>
  </si>
  <si>
    <t>TX0133396</t>
  </si>
  <si>
    <t>TX0133442</t>
  </si>
  <si>
    <t>TX0133469</t>
  </si>
  <si>
    <t>TX0133515</t>
  </si>
  <si>
    <t>TX0133523</t>
  </si>
  <si>
    <t>TX0133531</t>
  </si>
  <si>
    <t>TX0133540</t>
  </si>
  <si>
    <t>TX0133566</t>
  </si>
  <si>
    <t>TX0133574</t>
  </si>
  <si>
    <t>TX0133582</t>
  </si>
  <si>
    <t>TX0133621</t>
  </si>
  <si>
    <t>TX0133655</t>
  </si>
  <si>
    <t>TX0133663</t>
  </si>
  <si>
    <t>TX0133680</t>
  </si>
  <si>
    <t>TX0133698</t>
  </si>
  <si>
    <t>TX0133701</t>
  </si>
  <si>
    <t>TX0133710</t>
  </si>
  <si>
    <t>TX0133736</t>
  </si>
  <si>
    <t>TX0133744</t>
  </si>
  <si>
    <t>TX0133761</t>
  </si>
  <si>
    <t>TX0133779</t>
  </si>
  <si>
    <t>TX0133787</t>
  </si>
  <si>
    <t>TX0133809</t>
  </si>
  <si>
    <t>TX0133817</t>
  </si>
  <si>
    <t>TX0133825</t>
  </si>
  <si>
    <t>TX0133833</t>
  </si>
  <si>
    <t>TX0133884</t>
  </si>
  <si>
    <t>TX0133892</t>
  </si>
  <si>
    <t>TX0133906</t>
  </si>
  <si>
    <t>TX0133914</t>
  </si>
  <si>
    <t>TX0133957</t>
  </si>
  <si>
    <t>TX0133981</t>
  </si>
  <si>
    <t>TX0134244</t>
  </si>
  <si>
    <t>TX0134261</t>
  </si>
  <si>
    <t>TX0134287</t>
  </si>
  <si>
    <t>TX0134309</t>
  </si>
  <si>
    <t>TX0134325</t>
  </si>
  <si>
    <t>TX0134368</t>
  </si>
  <si>
    <t>TX0134376</t>
  </si>
  <si>
    <t>TX0134422</t>
  </si>
  <si>
    <t>TX0134449</t>
  </si>
  <si>
    <t>TX0134465</t>
  </si>
  <si>
    <t>TX0134481</t>
  </si>
  <si>
    <t>TX0134490</t>
  </si>
  <si>
    <t>TX0134503</t>
  </si>
  <si>
    <t>TX0134520</t>
  </si>
  <si>
    <t>TX0134546</t>
  </si>
  <si>
    <t>TX0134571</t>
  </si>
  <si>
    <t>TX0134601</t>
  </si>
  <si>
    <t>TX0134619</t>
  </si>
  <si>
    <t>TX0134627</t>
  </si>
  <si>
    <t>TX0134643</t>
  </si>
  <si>
    <t>TX0134651</t>
  </si>
  <si>
    <t>TX0134694</t>
  </si>
  <si>
    <t>TX0134708</t>
  </si>
  <si>
    <t>TX0134716</t>
  </si>
  <si>
    <t>TX0134759</t>
  </si>
  <si>
    <t>TX0134775</t>
  </si>
  <si>
    <t>TX0134783</t>
  </si>
  <si>
    <t>TX0134791</t>
  </si>
  <si>
    <t>TX0134813</t>
  </si>
  <si>
    <t>TX0134856</t>
  </si>
  <si>
    <t>TX0134872</t>
  </si>
  <si>
    <t>TX0134899</t>
  </si>
  <si>
    <t>TX0134902</t>
  </si>
  <si>
    <t>TX0134911</t>
  </si>
  <si>
    <t>TX0134929</t>
  </si>
  <si>
    <t>TX0134937</t>
  </si>
  <si>
    <t>TX0134953</t>
  </si>
  <si>
    <t>TX0134996</t>
  </si>
  <si>
    <t>TX0135020</t>
  </si>
  <si>
    <t>TX0135046</t>
  </si>
  <si>
    <t>TX0135054</t>
  </si>
  <si>
    <t>TX0135062</t>
  </si>
  <si>
    <t>TX0135089</t>
  </si>
  <si>
    <t>TX0135101</t>
  </si>
  <si>
    <t>TX0135119</t>
  </si>
  <si>
    <t>TX0135135</t>
  </si>
  <si>
    <t>TX0135143</t>
  </si>
  <si>
    <t>TX0135151</t>
  </si>
  <si>
    <t>TX0135160</t>
  </si>
  <si>
    <t>TX0135186</t>
  </si>
  <si>
    <t>TX0135283</t>
  </si>
  <si>
    <t>TX0135305</t>
  </si>
  <si>
    <t>TX0135356</t>
  </si>
  <si>
    <t>TX0135364</t>
  </si>
  <si>
    <t>TX0135373</t>
  </si>
  <si>
    <t>TX0135411</t>
  </si>
  <si>
    <t>TX0135445</t>
  </si>
  <si>
    <t>TX0135453</t>
  </si>
  <si>
    <t>TX0135461</t>
  </si>
  <si>
    <t>TX0135470</t>
  </si>
  <si>
    <t>TX0135488</t>
  </si>
  <si>
    <t>TX0135500</t>
  </si>
  <si>
    <t>TX0135526</t>
  </si>
  <si>
    <t>TX0135551</t>
  </si>
  <si>
    <t>TX0135593</t>
  </si>
  <si>
    <t>TX0135615</t>
  </si>
  <si>
    <t>TX0135631</t>
  </si>
  <si>
    <t>TX0135640</t>
  </si>
  <si>
    <t>TX0135682</t>
  </si>
  <si>
    <t>TX0135691</t>
  </si>
  <si>
    <t>TX0135704</t>
  </si>
  <si>
    <t>TX0135712</t>
  </si>
  <si>
    <t>TX0135721</t>
  </si>
  <si>
    <t>TX0135747</t>
  </si>
  <si>
    <t>TX0135763</t>
  </si>
  <si>
    <t>TX0135836</t>
  </si>
  <si>
    <t>TX0135879</t>
  </si>
  <si>
    <t>TX0135895</t>
  </si>
  <si>
    <t>TX0135917</t>
  </si>
  <si>
    <t>TX0135925</t>
  </si>
  <si>
    <t>TX0135941</t>
  </si>
  <si>
    <t>TX0135976</t>
  </si>
  <si>
    <t>TX0135984</t>
  </si>
  <si>
    <t>TX0135992</t>
  </si>
  <si>
    <t>TX0136000</t>
  </si>
  <si>
    <t>TX0136034</t>
  </si>
  <si>
    <t>TX0136051</t>
  </si>
  <si>
    <t>TX0136069</t>
  </si>
  <si>
    <t>TX0136123</t>
  </si>
  <si>
    <t>TX0136131</t>
  </si>
  <si>
    <t>TX0136140</t>
  </si>
  <si>
    <t>TX0136158</t>
  </si>
  <si>
    <t>TX0136191</t>
  </si>
  <si>
    <t>TX0136204</t>
  </si>
  <si>
    <t>TX0136239</t>
  </si>
  <si>
    <t>TX0136280</t>
  </si>
  <si>
    <t>TX0136298</t>
  </si>
  <si>
    <t>TX0136344</t>
  </si>
  <si>
    <t>TX0136352</t>
  </si>
  <si>
    <t>TX0136361</t>
  </si>
  <si>
    <t>TX0136387</t>
  </si>
  <si>
    <t>TX0136417</t>
  </si>
  <si>
    <t>TX0136425</t>
  </si>
  <si>
    <t>TX0136433</t>
  </si>
  <si>
    <t>TX0136531</t>
  </si>
  <si>
    <t>TX0136557</t>
  </si>
  <si>
    <t>TX0136565</t>
  </si>
  <si>
    <t>TX0136573</t>
  </si>
  <si>
    <t>TX0136581</t>
  </si>
  <si>
    <t>TX0136590</t>
  </si>
  <si>
    <t>TX0136603</t>
  </si>
  <si>
    <t>TX0136638</t>
  </si>
  <si>
    <t>TX0136662</t>
  </si>
  <si>
    <t>TX0136701</t>
  </si>
  <si>
    <t>TX0136727</t>
  </si>
  <si>
    <t>TX0136743</t>
  </si>
  <si>
    <t>TX0136760</t>
  </si>
  <si>
    <t>TX0136824</t>
  </si>
  <si>
    <t>TX0136875</t>
  </si>
  <si>
    <t>TX0136905</t>
  </si>
  <si>
    <t>TX0136930</t>
  </si>
  <si>
    <t>TX0136964</t>
  </si>
  <si>
    <t>TX0136997</t>
  </si>
  <si>
    <t>TX0137031</t>
  </si>
  <si>
    <t>TX0137111</t>
  </si>
  <si>
    <t>TX0137146</t>
  </si>
  <si>
    <t>TX0137197</t>
  </si>
  <si>
    <t>TX0137235</t>
  </si>
  <si>
    <t>TX0137251</t>
  </si>
  <si>
    <t>TX0137286</t>
  </si>
  <si>
    <t>TX0137332</t>
  </si>
  <si>
    <t>TX0137464</t>
  </si>
  <si>
    <t>TX0137481</t>
  </si>
  <si>
    <t>TX0137511</t>
  </si>
  <si>
    <t>TX0137545</t>
  </si>
  <si>
    <t>TX0137596</t>
  </si>
  <si>
    <t>TX0137600</t>
  </si>
  <si>
    <t>TX0137626</t>
  </si>
  <si>
    <t>TX0137651</t>
  </si>
  <si>
    <t>TX0137685</t>
  </si>
  <si>
    <t>TX0137707</t>
  </si>
  <si>
    <t>TX0137740</t>
  </si>
  <si>
    <t>TX0137766</t>
  </si>
  <si>
    <t>TX0137782</t>
  </si>
  <si>
    <t>TX0137928</t>
  </si>
  <si>
    <t>TX0137936</t>
  </si>
  <si>
    <t>TX0138118</t>
  </si>
  <si>
    <t>TX0138142</t>
  </si>
  <si>
    <t>TX0138215</t>
  </si>
  <si>
    <t>TX0138231</t>
  </si>
  <si>
    <t>TX0138240</t>
  </si>
  <si>
    <t>TX0138258</t>
  </si>
  <si>
    <t>TX0138304</t>
  </si>
  <si>
    <t>TX0138452</t>
  </si>
  <si>
    <t>TX0138835</t>
  </si>
  <si>
    <t>TX0138932</t>
  </si>
  <si>
    <t>TX0139122</t>
  </si>
  <si>
    <t>TX0139131</t>
  </si>
  <si>
    <t>TX0139238</t>
  </si>
  <si>
    <t>TX0139246</t>
  </si>
  <si>
    <t>TX0139521</t>
  </si>
  <si>
    <t>TX0139688</t>
  </si>
  <si>
    <t>NPDES_ID</t>
  </si>
  <si>
    <t>LAST_OUTFALL</t>
  </si>
  <si>
    <t>basin_num</t>
  </si>
  <si>
    <t>basin_name</t>
  </si>
  <si>
    <t>ID</t>
  </si>
  <si>
    <t>Label_No</t>
  </si>
  <si>
    <t>Brazos</t>
  </si>
  <si>
    <t>Brazos-Colorado</t>
  </si>
  <si>
    <t>Canadian</t>
  </si>
  <si>
    <t>1</t>
  </si>
  <si>
    <t>Colorado</t>
  </si>
  <si>
    <t>Colorado-Lavaca</t>
  </si>
  <si>
    <t>Cypress</t>
  </si>
  <si>
    <t>Guadalupe</t>
  </si>
  <si>
    <t>Lavaca</t>
  </si>
  <si>
    <t>Lavaca-Guadalupe</t>
  </si>
  <si>
    <t>Neches</t>
  </si>
  <si>
    <t>6</t>
  </si>
  <si>
    <t>Neches-Trinity</t>
  </si>
  <si>
    <t>Nueces</t>
  </si>
  <si>
    <t>Nueces-Rio Grande</t>
  </si>
  <si>
    <t>Red</t>
  </si>
  <si>
    <t>2</t>
  </si>
  <si>
    <t>Sabine</t>
  </si>
  <si>
    <t>San Antonio</t>
  </si>
  <si>
    <t>San Antonio-Nueces</t>
  </si>
  <si>
    <t>San Jacinto</t>
  </si>
  <si>
    <t>San Jacinto-Brazos</t>
  </si>
  <si>
    <t>Sulphur</t>
  </si>
  <si>
    <t>3</t>
  </si>
  <si>
    <t>Trinity</t>
  </si>
  <si>
    <t>8</t>
  </si>
  <si>
    <t>Trinity-San Jacinto</t>
  </si>
  <si>
    <t>Rio Grande</t>
  </si>
  <si>
    <t>BASIN_NAME</t>
  </si>
  <si>
    <t>PROCESS_FLAG</t>
  </si>
  <si>
    <t>COMPLETE</t>
  </si>
  <si>
    <t xml:space="preserve">Note for Bill:  I added the census numbers from 2010. Population number didn't change from last round of planning, since there wasn't a new census.  Showed annual growth trends 2010-70 &amp; 2020-70.  </t>
  </si>
  <si>
    <r>
      <rPr>
        <b/>
        <sz val="14"/>
        <color rgb="FF00008B"/>
        <rFont val="Calibri"/>
        <family val="2"/>
      </rPr>
      <t xml:space="preserve">2021 Regional Water Plan 
</t>
    </r>
    <r>
      <rPr>
        <b/>
        <sz val="14"/>
        <color rgb="FF00008B"/>
        <rFont val="Calibri"/>
        <family val="2"/>
      </rPr>
      <t>County Population Projections for 2020-2070</t>
    </r>
  </si>
  <si>
    <t>County Name</t>
  </si>
  <si>
    <t>2020</t>
  </si>
  <si>
    <t>2030</t>
  </si>
  <si>
    <t>2040</t>
  </si>
  <si>
    <t>2050</t>
  </si>
  <si>
    <t>2060</t>
  </si>
  <si>
    <t>2070</t>
  </si>
  <si>
    <t>Percent Growth 2010-70</t>
  </si>
  <si>
    <t>Percent Growth 2020-70</t>
  </si>
  <si>
    <t>ARMSTRONG</t>
  </si>
  <si>
    <t>BAILEY</t>
  </si>
  <si>
    <t>BORDEN</t>
  </si>
  <si>
    <t>BRISCOE</t>
  </si>
  <si>
    <t>BROOKS</t>
  </si>
  <si>
    <t>CASTRO</t>
  </si>
  <si>
    <t>COCHRAN</t>
  </si>
  <si>
    <t>COLLINGSWORTH</t>
  </si>
  <si>
    <t>COTTLE</t>
  </si>
  <si>
    <t>CRANE</t>
  </si>
  <si>
    <t>DALLAM</t>
  </si>
  <si>
    <t>DICKENS</t>
  </si>
  <si>
    <t>DONLEY</t>
  </si>
  <si>
    <t>FISHER</t>
  </si>
  <si>
    <t>FLOYD</t>
  </si>
  <si>
    <t>GARZA</t>
  </si>
  <si>
    <t>GLASSCOCK</t>
  </si>
  <si>
    <t>HOCKLEY</t>
  </si>
  <si>
    <t>KENT</t>
  </si>
  <si>
    <t>KING</t>
  </si>
  <si>
    <t>LAMB</t>
  </si>
  <si>
    <t>LOVING</t>
  </si>
  <si>
    <t>LYNN</t>
  </si>
  <si>
    <t>MARTIN</t>
  </si>
  <si>
    <t>MOTLEY</t>
  </si>
  <si>
    <t>OCHILTREE</t>
  </si>
  <si>
    <t>OLDHAM</t>
  </si>
  <si>
    <t>PARMER</t>
  </si>
  <si>
    <t>PECOS</t>
  </si>
  <si>
    <t>REAGAN</t>
  </si>
  <si>
    <t>REAL</t>
  </si>
  <si>
    <t>RUNNELS</t>
  </si>
  <si>
    <t>SHERMAN</t>
  </si>
  <si>
    <t>STERLING</t>
  </si>
  <si>
    <t>STONEWALL</t>
  </si>
  <si>
    <t>TERRELL</t>
  </si>
  <si>
    <t>TERRY</t>
  </si>
  <si>
    <t>TOM GREEN</t>
  </si>
  <si>
    <t>UPTON</t>
  </si>
  <si>
    <t>WARD</t>
  </si>
  <si>
    <t>WINKLER</t>
  </si>
  <si>
    <t>YOAKUM</t>
  </si>
  <si>
    <t>Texas Total</t>
  </si>
  <si>
    <t>Basin</t>
  </si>
  <si>
    <t>wam_out_file</t>
  </si>
  <si>
    <t>process_flag</t>
  </si>
  <si>
    <t>Status:</t>
  </si>
  <si>
    <t>NPDESID</t>
  </si>
  <si>
    <t>ANNUAL_AVG</t>
  </si>
  <si>
    <t>MONTHLY_AVG</t>
  </si>
  <si>
    <t>TOTAL_FLOW</t>
  </si>
  <si>
    <t>NPDESID_SEQ</t>
  </si>
  <si>
    <t>TX0000027_005</t>
  </si>
  <si>
    <t>TX0000086_001</t>
  </si>
  <si>
    <t>TX0000108_001</t>
  </si>
  <si>
    <t>TX0000540_001</t>
  </si>
  <si>
    <t>TX0000710_002</t>
  </si>
  <si>
    <t>TX0000825_002</t>
  </si>
  <si>
    <t>TX0000876_007</t>
  </si>
  <si>
    <t>TX0000949_004</t>
  </si>
  <si>
    <t>TX0001007_002</t>
  </si>
  <si>
    <t>TX0001023_001</t>
  </si>
  <si>
    <t>TX0001031_001</t>
  </si>
  <si>
    <t>TX0001066_001</t>
  </si>
  <si>
    <t>TX0001163_002</t>
  </si>
  <si>
    <t>TX0001198_001</t>
  </si>
  <si>
    <t>TX0001201_004</t>
  </si>
  <si>
    <t>TX0001368_004</t>
  </si>
  <si>
    <t>TX0001449_015</t>
  </si>
  <si>
    <t>TX0001465_004</t>
  </si>
  <si>
    <t>TX0001627_001</t>
  </si>
  <si>
    <t>TX0001830_002</t>
  </si>
  <si>
    <t>TX0001848_001</t>
  </si>
  <si>
    <t>TX0001856_001</t>
  </si>
  <si>
    <t>TX0002011_001</t>
  </si>
  <si>
    <t>TX0002089_001</t>
  </si>
  <si>
    <t>TX0002143_101</t>
  </si>
  <si>
    <t>TX0002313_006</t>
  </si>
  <si>
    <t>TX0002364_001</t>
  </si>
  <si>
    <t>TX0002372_001</t>
  </si>
  <si>
    <t>TX0002470_001</t>
  </si>
  <si>
    <t>TX0002631_001</t>
  </si>
  <si>
    <t>TX0002658_001</t>
  </si>
  <si>
    <t>TX0002798_007</t>
  </si>
  <si>
    <t>TX0002844_016</t>
  </si>
  <si>
    <t>TX0002852_006</t>
  </si>
  <si>
    <t>TX0002909_005</t>
  </si>
  <si>
    <t>TX0002933_001</t>
  </si>
  <si>
    <t>TX0002941_001</t>
  </si>
  <si>
    <t>TX0002968_001</t>
  </si>
  <si>
    <t>TX0002976_008</t>
  </si>
  <si>
    <t>TX0003158_002</t>
  </si>
  <si>
    <t>TX0003204_004</t>
  </si>
  <si>
    <t>TX0003239_001</t>
  </si>
  <si>
    <t>TX0003247_003</t>
  </si>
  <si>
    <t>TX0003522_006</t>
  </si>
  <si>
    <t>TX0003531_004</t>
  </si>
  <si>
    <t>TX0003581_001</t>
  </si>
  <si>
    <t>TX0003603_002</t>
  </si>
  <si>
    <t>TX0003654_001</t>
  </si>
  <si>
    <t>TX0003662_007</t>
  </si>
  <si>
    <t>TX0003671_003</t>
  </si>
  <si>
    <t>TX0003689_002</t>
  </si>
  <si>
    <t>TX0003697_014</t>
  </si>
  <si>
    <t>TX0003727_002</t>
  </si>
  <si>
    <t>TX0003832_001</t>
  </si>
  <si>
    <t>TX0003867_001</t>
  </si>
  <si>
    <t>TX0003875_007</t>
  </si>
  <si>
    <t>TX0003891_002</t>
  </si>
  <si>
    <t>TX0003948_004</t>
  </si>
  <si>
    <t>TX0004022_003</t>
  </si>
  <si>
    <t>TX0004201_005</t>
  </si>
  <si>
    <t>TX0004227_001</t>
  </si>
  <si>
    <t>TX0004626_003</t>
  </si>
  <si>
    <t>TX0004669_021</t>
  </si>
  <si>
    <t>TX0004685_001</t>
  </si>
  <si>
    <t>TX0004715_015</t>
  </si>
  <si>
    <t>TX0004731_004</t>
  </si>
  <si>
    <t>TX0004766_005</t>
  </si>
  <si>
    <t>TX0004821_005</t>
  </si>
  <si>
    <t>TX0004839_001</t>
  </si>
  <si>
    <t>TX0004863_005</t>
  </si>
  <si>
    <t>TX0004871_009</t>
  </si>
  <si>
    <t>TX0004944_001</t>
  </si>
  <si>
    <t>TX0004961_007</t>
  </si>
  <si>
    <t>TX0005061_003</t>
  </si>
  <si>
    <t>TX0005070_012</t>
  </si>
  <si>
    <t>TX0005118_001</t>
  </si>
  <si>
    <t>TX0005380_001</t>
  </si>
  <si>
    <t>TX0005479_001</t>
  </si>
  <si>
    <t>TX0005576_001</t>
  </si>
  <si>
    <t>TX0005584_005</t>
  </si>
  <si>
    <t>TX0005592_001</t>
  </si>
  <si>
    <t>TX0005746_005</t>
  </si>
  <si>
    <t>TX0005754_004</t>
  </si>
  <si>
    <t>TX0005762_003</t>
  </si>
  <si>
    <t>TX0005835_011</t>
  </si>
  <si>
    <t>TX0005860_002</t>
  </si>
  <si>
    <t>TX0005941_004</t>
  </si>
  <si>
    <t>TX0005991_005</t>
  </si>
  <si>
    <t>TX0006009_009</t>
  </si>
  <si>
    <t>TX0006017_002</t>
  </si>
  <si>
    <t>TX0006025_002</t>
  </si>
  <si>
    <t>TX0006033_005</t>
  </si>
  <si>
    <t>TX0006050_003</t>
  </si>
  <si>
    <t>TX0006068_002</t>
  </si>
  <si>
    <t>TX0006076_007</t>
  </si>
  <si>
    <t>TX0006084_011</t>
  </si>
  <si>
    <t>TX0006173_001</t>
  </si>
  <si>
    <t>TX0006211_007</t>
  </si>
  <si>
    <t>TX0006271_003</t>
  </si>
  <si>
    <t>TX0006289_011</t>
  </si>
  <si>
    <t>TX0006327_001</t>
  </si>
  <si>
    <t>TX0006335_001</t>
  </si>
  <si>
    <t>TX0006351_101</t>
  </si>
  <si>
    <t>TX0006386_002</t>
  </si>
  <si>
    <t>TX0006394_005</t>
  </si>
  <si>
    <t>TX0006459_006</t>
  </si>
  <si>
    <t>TX0006483_004</t>
  </si>
  <si>
    <t>TX0006564_001</t>
  </si>
  <si>
    <t>TX0006599_011</t>
  </si>
  <si>
    <t>TX0006696_001</t>
  </si>
  <si>
    <t>TX0006726_001</t>
  </si>
  <si>
    <t>TX0006904_003</t>
  </si>
  <si>
    <t>TX0007048_007</t>
  </si>
  <si>
    <t>TX0007056_001</t>
  </si>
  <si>
    <t>TX0007064_005</t>
  </si>
  <si>
    <t>TX0007072_001</t>
  </si>
  <si>
    <t>TX0007102_005</t>
  </si>
  <si>
    <t>TX0007145_003</t>
  </si>
  <si>
    <t>TX0007277_002</t>
  </si>
  <si>
    <t>TX0007285_003</t>
  </si>
  <si>
    <t>TX0007293_001</t>
  </si>
  <si>
    <t>TX0007323_003</t>
  </si>
  <si>
    <t>TX0007412_005</t>
  </si>
  <si>
    <t>TX0007421_002</t>
  </si>
  <si>
    <t>TX0007439_001</t>
  </si>
  <si>
    <t>TX0007528_009</t>
  </si>
  <si>
    <t>TX0007536_011</t>
  </si>
  <si>
    <t>TX0007544_001</t>
  </si>
  <si>
    <t>TX0007552_004</t>
  </si>
  <si>
    <t>TX0007706_001</t>
  </si>
  <si>
    <t>TX0007889_001</t>
  </si>
  <si>
    <t>TX0007897_002</t>
  </si>
  <si>
    <t>TX0008001_001</t>
  </si>
  <si>
    <t>TX0008150_002</t>
  </si>
  <si>
    <t>TX0008184_001</t>
  </si>
  <si>
    <t>TX0008290_001</t>
  </si>
  <si>
    <t>TX0008524_009</t>
  </si>
  <si>
    <t>TX0008737_002</t>
  </si>
  <si>
    <t>TX0008761_001</t>
  </si>
  <si>
    <t>TX0008788_006</t>
  </si>
  <si>
    <t>TX0008826_001</t>
  </si>
  <si>
    <t>TX0008834_001</t>
  </si>
  <si>
    <t>TX0008851_001</t>
  </si>
  <si>
    <t>TX0008907_002</t>
  </si>
  <si>
    <t>TX0008982_001</t>
  </si>
  <si>
    <t>TX0009148_004</t>
  </si>
  <si>
    <t>TX0020036_001</t>
  </si>
  <si>
    <t>TX0020052_001</t>
  </si>
  <si>
    <t>TX0020061_001</t>
  </si>
  <si>
    <t>TX0020079_001</t>
  </si>
  <si>
    <t>TX0020095_001</t>
  </si>
  <si>
    <t>TX0020109_001</t>
  </si>
  <si>
    <t>TX0020117_001</t>
  </si>
  <si>
    <t>TX0020192_001</t>
  </si>
  <si>
    <t>TX0020206_001</t>
  </si>
  <si>
    <t>TX0020249_001</t>
  </si>
  <si>
    <t>TX0020257_001</t>
  </si>
  <si>
    <t>TX0020290_002</t>
  </si>
  <si>
    <t>TX0020303_001</t>
  </si>
  <si>
    <t>TX0020311_001</t>
  </si>
  <si>
    <t>TX0020320_001</t>
  </si>
  <si>
    <t>TX0020346_001</t>
  </si>
  <si>
    <t>TX0020354_001</t>
  </si>
  <si>
    <t>TX0020389_001</t>
  </si>
  <si>
    <t>TX0020397_001</t>
  </si>
  <si>
    <t>TX0020401_001</t>
  </si>
  <si>
    <t>TX0020419_001</t>
  </si>
  <si>
    <t>TX0020443_001</t>
  </si>
  <si>
    <t>TX0020451_001</t>
  </si>
  <si>
    <t>TX0020460_001</t>
  </si>
  <si>
    <t>TX0020478_001</t>
  </si>
  <si>
    <t>TX0020516_001</t>
  </si>
  <si>
    <t>TX0020524_001</t>
  </si>
  <si>
    <t>TX0020559_001</t>
  </si>
  <si>
    <t>TX0020567_001</t>
  </si>
  <si>
    <t>TX0020591_001</t>
  </si>
  <si>
    <t>TX0020613_001</t>
  </si>
  <si>
    <t>TX0020621_001</t>
  </si>
  <si>
    <t>TX0020711_001</t>
  </si>
  <si>
    <t>TX0020788_001</t>
  </si>
  <si>
    <t>TX0020800_001</t>
  </si>
  <si>
    <t>TX0020923_001</t>
  </si>
  <si>
    <t>TX0020974_001</t>
  </si>
  <si>
    <t>TX0020991_001</t>
  </si>
  <si>
    <t>TX0021075_001</t>
  </si>
  <si>
    <t>TX0021083_001</t>
  </si>
  <si>
    <t>TX0021105_001</t>
  </si>
  <si>
    <t>TX0021211_001</t>
  </si>
  <si>
    <t>TX0021237_001</t>
  </si>
  <si>
    <t>TX0021245_001</t>
  </si>
  <si>
    <t>TX0021253_001</t>
  </si>
  <si>
    <t>TX0021261_001</t>
  </si>
  <si>
    <t>TX0021270_001</t>
  </si>
  <si>
    <t>TX0021288_001</t>
  </si>
  <si>
    <t>TX0021300_001</t>
  </si>
  <si>
    <t>TX0021318_001</t>
  </si>
  <si>
    <t>TX0021369_001</t>
  </si>
  <si>
    <t>TX0021393_001</t>
  </si>
  <si>
    <t>TX0021458_001</t>
  </si>
  <si>
    <t>TX0021474_001</t>
  </si>
  <si>
    <t>TX0021512_001</t>
  </si>
  <si>
    <t>TX0021547_001</t>
  </si>
  <si>
    <t>TX0021555_001</t>
  </si>
  <si>
    <t>TX0021725_001</t>
  </si>
  <si>
    <t>TX0021784_001</t>
  </si>
  <si>
    <t>TX0021792_001</t>
  </si>
  <si>
    <t>TX0021806_001</t>
  </si>
  <si>
    <t>TX0021814_001</t>
  </si>
  <si>
    <t>TX0021822_001</t>
  </si>
  <si>
    <t>TX0022055_001</t>
  </si>
  <si>
    <t>TX0022063_001</t>
  </si>
  <si>
    <t>TX0022071_001</t>
  </si>
  <si>
    <t>TX0022080_003</t>
  </si>
  <si>
    <t>TX0022152_001</t>
  </si>
  <si>
    <t>TX0022217_001</t>
  </si>
  <si>
    <t>TX0022241_001</t>
  </si>
  <si>
    <t>TX0022250_001</t>
  </si>
  <si>
    <t>TX0022268_001</t>
  </si>
  <si>
    <t>TX0022306_001</t>
  </si>
  <si>
    <t>TX0022314_001</t>
  </si>
  <si>
    <t>TX0022322_001</t>
  </si>
  <si>
    <t>TX0022331_001</t>
  </si>
  <si>
    <t>TX0022349_001</t>
  </si>
  <si>
    <t>TX0022357_001</t>
  </si>
  <si>
    <t>TX0022365_001</t>
  </si>
  <si>
    <t>TX0022373_001</t>
  </si>
  <si>
    <t>TX0022381_001</t>
  </si>
  <si>
    <t>TX0022390_001</t>
  </si>
  <si>
    <t>TX0022403_001</t>
  </si>
  <si>
    <t>TX0022411_001</t>
  </si>
  <si>
    <t>TX0022420_001</t>
  </si>
  <si>
    <t>TX0022438_001</t>
  </si>
  <si>
    <t>TX0022454_001</t>
  </si>
  <si>
    <t>TX0022462_001</t>
  </si>
  <si>
    <t>TX0022489_001</t>
  </si>
  <si>
    <t>TX0022501_001</t>
  </si>
  <si>
    <t>TX0022527_001</t>
  </si>
  <si>
    <t>TX0022543_001</t>
  </si>
  <si>
    <t>TX0022551_001</t>
  </si>
  <si>
    <t>TX0022578_001</t>
  </si>
  <si>
    <t>TX0022586_001</t>
  </si>
  <si>
    <t>TX0022594_003</t>
  </si>
  <si>
    <t>TX0022608_001</t>
  </si>
  <si>
    <t>TX0022616_001</t>
  </si>
  <si>
    <t>TX0022632_001</t>
  </si>
  <si>
    <t>TX0022659_001</t>
  </si>
  <si>
    <t>TX0022667_001</t>
  </si>
  <si>
    <t>TX0022675_001</t>
  </si>
  <si>
    <t>TX0022705_001</t>
  </si>
  <si>
    <t>TX0022730_001</t>
  </si>
  <si>
    <t>TX0022748_001</t>
  </si>
  <si>
    <t>TX0022756_001</t>
  </si>
  <si>
    <t>TX0022764_001</t>
  </si>
  <si>
    <t>TX0022772_001</t>
  </si>
  <si>
    <t>TX0022799_001</t>
  </si>
  <si>
    <t>TX0022802_001</t>
  </si>
  <si>
    <t>TX0022811_001</t>
  </si>
  <si>
    <t>TX0022845_001</t>
  </si>
  <si>
    <t>TX0022853_001</t>
  </si>
  <si>
    <t>TX0022900_001</t>
  </si>
  <si>
    <t>TX0022926_001</t>
  </si>
  <si>
    <t>TX0022942_001</t>
  </si>
  <si>
    <t>TX0022951_001</t>
  </si>
  <si>
    <t>TX0022969_001</t>
  </si>
  <si>
    <t>TX0022985_001</t>
  </si>
  <si>
    <t>TX0023001_001</t>
  </si>
  <si>
    <t>TX0023019_001</t>
  </si>
  <si>
    <t>TX0023027_001</t>
  </si>
  <si>
    <t>TX0023035_001</t>
  </si>
  <si>
    <t>TX0023051_001</t>
  </si>
  <si>
    <t>TX0023078_002</t>
  </si>
  <si>
    <t>TX0023094_002</t>
  </si>
  <si>
    <t>TX0023108_001</t>
  </si>
  <si>
    <t>TX0023116_004</t>
  </si>
  <si>
    <t>TX0023159_001</t>
  </si>
  <si>
    <t>TX0023167_001</t>
  </si>
  <si>
    <t>TX0023175_001</t>
  </si>
  <si>
    <t>TX0023183_001</t>
  </si>
  <si>
    <t>TX0023191_001</t>
  </si>
  <si>
    <t>TX0023213_001</t>
  </si>
  <si>
    <t>TX0023230_001</t>
  </si>
  <si>
    <t>TX0023272_001</t>
  </si>
  <si>
    <t>TX0023299_001</t>
  </si>
  <si>
    <t>TX0023311_001</t>
  </si>
  <si>
    <t>TX0023329_001</t>
  </si>
  <si>
    <t>TX0023337_001</t>
  </si>
  <si>
    <t>TX0023361_001</t>
  </si>
  <si>
    <t>TX0023370_001</t>
  </si>
  <si>
    <t>TX0023396_001</t>
  </si>
  <si>
    <t>TX0023418_001</t>
  </si>
  <si>
    <t>TX0023442_001</t>
  </si>
  <si>
    <t>TX0023477_001</t>
  </si>
  <si>
    <t>TX0023515_001</t>
  </si>
  <si>
    <t>TX0023558_001</t>
  </si>
  <si>
    <t>TX0023566_001</t>
  </si>
  <si>
    <t>TX0023574_001</t>
  </si>
  <si>
    <t>TX0023604_001</t>
  </si>
  <si>
    <t>TX0023612_001</t>
  </si>
  <si>
    <t>TX0023621_001</t>
  </si>
  <si>
    <t>TX0023639_001</t>
  </si>
  <si>
    <t>TX0023647_001</t>
  </si>
  <si>
    <t>TX0023655_001</t>
  </si>
  <si>
    <t>TX0023671_001</t>
  </si>
  <si>
    <t>TX0023701_001</t>
  </si>
  <si>
    <t>TX0023710_001</t>
  </si>
  <si>
    <t>TX0023728_001</t>
  </si>
  <si>
    <t>TX0023736_001</t>
  </si>
  <si>
    <t>TX0023779_001</t>
  </si>
  <si>
    <t>TX0023787_001</t>
  </si>
  <si>
    <t>TX0023795_001</t>
  </si>
  <si>
    <t>TX0023809_002</t>
  </si>
  <si>
    <t>TX0023825_001</t>
  </si>
  <si>
    <t>TX0023833_001</t>
  </si>
  <si>
    <t>TX0023841_001</t>
  </si>
  <si>
    <t>TX0023868_001</t>
  </si>
  <si>
    <t>TX0023876_001</t>
  </si>
  <si>
    <t>TX0023892_001</t>
  </si>
  <si>
    <t>TX0023914_001</t>
  </si>
  <si>
    <t>TX0023931_001</t>
  </si>
  <si>
    <t>TX0023949_001</t>
  </si>
  <si>
    <t>TX0023973_003</t>
  </si>
  <si>
    <t>TX0023981_001</t>
  </si>
  <si>
    <t>TX0024007_001</t>
  </si>
  <si>
    <t>TX0024066_001</t>
  </si>
  <si>
    <t>TX0024082_001</t>
  </si>
  <si>
    <t>TX0024112_001</t>
  </si>
  <si>
    <t>TX0024139_001</t>
  </si>
  <si>
    <t>TX0024155_001</t>
  </si>
  <si>
    <t>TX0024163_001</t>
  </si>
  <si>
    <t>TX0024171_001</t>
  </si>
  <si>
    <t>TX0024180_001</t>
  </si>
  <si>
    <t>TX0024198_001</t>
  </si>
  <si>
    <t>TX0024201_001</t>
  </si>
  <si>
    <t>TX0024228_002</t>
  </si>
  <si>
    <t>TX0024236_001</t>
  </si>
  <si>
    <t>TX0024244_001</t>
  </si>
  <si>
    <t>TX0024252_001</t>
  </si>
  <si>
    <t>TX0024261_003</t>
  </si>
  <si>
    <t>TX0024287_001</t>
  </si>
  <si>
    <t>TX0024309_001</t>
  </si>
  <si>
    <t>TX0024325_001</t>
  </si>
  <si>
    <t>TX0024368_001</t>
  </si>
  <si>
    <t>TX0024414_001</t>
  </si>
  <si>
    <t>TX0024422_001</t>
  </si>
  <si>
    <t>TX0024457_001</t>
  </si>
  <si>
    <t>TX0024465_001</t>
  </si>
  <si>
    <t>TX0024473_001</t>
  </si>
  <si>
    <t>TX0024490_001</t>
  </si>
  <si>
    <t>TX0024503_001</t>
  </si>
  <si>
    <t>TX0024511_001</t>
  </si>
  <si>
    <t>TX0024546_001</t>
  </si>
  <si>
    <t>TX0024554_001</t>
  </si>
  <si>
    <t>TX0024562_001</t>
  </si>
  <si>
    <t>TX0024589_001</t>
  </si>
  <si>
    <t>TX0024597_001</t>
  </si>
  <si>
    <t>TX0024601_001</t>
  </si>
  <si>
    <t>TX0024635_001</t>
  </si>
  <si>
    <t>TX0024678_001</t>
  </si>
  <si>
    <t>TX0024686_001</t>
  </si>
  <si>
    <t>TX0024759_001</t>
  </si>
  <si>
    <t>TX0024775_001</t>
  </si>
  <si>
    <t>TX0024783_001</t>
  </si>
  <si>
    <t>TX0024821_001</t>
  </si>
  <si>
    <t>TX0024848_001</t>
  </si>
  <si>
    <t>TX0024856_001</t>
  </si>
  <si>
    <t>TX0024872_001</t>
  </si>
  <si>
    <t>TX0024902_001</t>
  </si>
  <si>
    <t>TX0024911_001</t>
  </si>
  <si>
    <t>TX0024929_001</t>
  </si>
  <si>
    <t>TX0024953_001</t>
  </si>
  <si>
    <t>TX0024988_001</t>
  </si>
  <si>
    <t>TX0025011_002</t>
  </si>
  <si>
    <t>TX0025020_001</t>
  </si>
  <si>
    <t>TX0025046_001</t>
  </si>
  <si>
    <t>TX0025054_001</t>
  </si>
  <si>
    <t>TX0025062_001</t>
  </si>
  <si>
    <t>TX0025071_001</t>
  </si>
  <si>
    <t>TX0025097_001</t>
  </si>
  <si>
    <t>TX0025101_059</t>
  </si>
  <si>
    <t>TX0025151_001</t>
  </si>
  <si>
    <t>TX0025186_001</t>
  </si>
  <si>
    <t>TX0025208_002</t>
  </si>
  <si>
    <t>TX0025224_001</t>
  </si>
  <si>
    <t>TX0025232_001</t>
  </si>
  <si>
    <t>TX0025283_001</t>
  </si>
  <si>
    <t>TX0025291_001</t>
  </si>
  <si>
    <t>TX0025321_001</t>
  </si>
  <si>
    <t>TX0025364_001</t>
  </si>
  <si>
    <t>TX0025372_001</t>
  </si>
  <si>
    <t>TX0025399_001</t>
  </si>
  <si>
    <t>TX0025402_001</t>
  </si>
  <si>
    <t>TX0025411_001</t>
  </si>
  <si>
    <t>TX0025437_001</t>
  </si>
  <si>
    <t>TX0025445_001</t>
  </si>
  <si>
    <t>TX0025453_001</t>
  </si>
  <si>
    <t>TX0025461_001</t>
  </si>
  <si>
    <t>TX0025470_001</t>
  </si>
  <si>
    <t>TX0025500_001</t>
  </si>
  <si>
    <t>TX0025569_001</t>
  </si>
  <si>
    <t>TX0025577_001</t>
  </si>
  <si>
    <t>TX0025615_001</t>
  </si>
  <si>
    <t>TX0025623_001</t>
  </si>
  <si>
    <t>TX0025674_001</t>
  </si>
  <si>
    <t>TX0025682_001</t>
  </si>
  <si>
    <t>TX0025712_001</t>
  </si>
  <si>
    <t>TX0025747_001</t>
  </si>
  <si>
    <t>TX0025755_001</t>
  </si>
  <si>
    <t>TX0025801_001</t>
  </si>
  <si>
    <t>TX0025810_002</t>
  </si>
  <si>
    <t>TX0025828_001</t>
  </si>
  <si>
    <t>TX0025852_001</t>
  </si>
  <si>
    <t>TX0025879_001</t>
  </si>
  <si>
    <t>TX0025895_001</t>
  </si>
  <si>
    <t>TX0025917_001</t>
  </si>
  <si>
    <t>TX0025968_001</t>
  </si>
  <si>
    <t>TX0025976_001</t>
  </si>
  <si>
    <t>TX0026018_001</t>
  </si>
  <si>
    <t>TX0026026_001</t>
  </si>
  <si>
    <t>TX0026034_001</t>
  </si>
  <si>
    <t>TX0026042_001</t>
  </si>
  <si>
    <t>TX0026051_001</t>
  </si>
  <si>
    <t>TX0026182_001</t>
  </si>
  <si>
    <t>TX0026221_001</t>
  </si>
  <si>
    <t>TX0026247_001</t>
  </si>
  <si>
    <t>TX0026255_001</t>
  </si>
  <si>
    <t>TX0026263_001</t>
  </si>
  <si>
    <t>TX0026328_002</t>
  </si>
  <si>
    <t>TX0026344_001</t>
  </si>
  <si>
    <t>TX0026352_001</t>
  </si>
  <si>
    <t>TX0026395_001</t>
  </si>
  <si>
    <t>TX0026433_001</t>
  </si>
  <si>
    <t>TX0026450_001</t>
  </si>
  <si>
    <t>TX0026476_001</t>
  </si>
  <si>
    <t>TX0026506_001</t>
  </si>
  <si>
    <t>TX0026522_001</t>
  </si>
  <si>
    <t>TX0026531_001</t>
  </si>
  <si>
    <t>TX0026557_002</t>
  </si>
  <si>
    <t>TX0026565_001</t>
  </si>
  <si>
    <t>TX0026581_001</t>
  </si>
  <si>
    <t>TX0026590_001</t>
  </si>
  <si>
    <t>TX0026603_001</t>
  </si>
  <si>
    <t>TX0026662_001</t>
  </si>
  <si>
    <t>TX0026671_001</t>
  </si>
  <si>
    <t>TX0026689_001</t>
  </si>
  <si>
    <t>TX0026697_001</t>
  </si>
  <si>
    <t>TX0026751_002</t>
  </si>
  <si>
    <t>TX0026808_001</t>
  </si>
  <si>
    <t>TX0026867_001</t>
  </si>
  <si>
    <t>TX0026875_001</t>
  </si>
  <si>
    <t>TX0026883_001</t>
  </si>
  <si>
    <t>TX0026891_001</t>
  </si>
  <si>
    <t>TX0026921_001</t>
  </si>
  <si>
    <t>TX0026956_001</t>
  </si>
  <si>
    <t>TX0026964_001</t>
  </si>
  <si>
    <t>TX0027006_001</t>
  </si>
  <si>
    <t>TX0027031_001</t>
  </si>
  <si>
    <t>TX0027049_001</t>
  </si>
  <si>
    <t>TX0027103_001</t>
  </si>
  <si>
    <t>TX0027111_001</t>
  </si>
  <si>
    <t>TX0027120_001</t>
  </si>
  <si>
    <t>TX0027138_001</t>
  </si>
  <si>
    <t>TX0027146_001</t>
  </si>
  <si>
    <t>TX0027154_001</t>
  </si>
  <si>
    <t>TX0027171_001</t>
  </si>
  <si>
    <t>TX0027197_001</t>
  </si>
  <si>
    <t>TX0027201_001</t>
  </si>
  <si>
    <t>TX0027227_001</t>
  </si>
  <si>
    <t>TX0027243_001</t>
  </si>
  <si>
    <t>TX0027260_001</t>
  </si>
  <si>
    <t>TX0027308_001</t>
  </si>
  <si>
    <t>TX0027324_001</t>
  </si>
  <si>
    <t>TX0027391_001</t>
  </si>
  <si>
    <t>TX0027448_001</t>
  </si>
  <si>
    <t>TX0027456_001</t>
  </si>
  <si>
    <t>TX0027472_001</t>
  </si>
  <si>
    <t>TX0027481_001</t>
  </si>
  <si>
    <t>TX0027499_001</t>
  </si>
  <si>
    <t>TX0027502_001</t>
  </si>
  <si>
    <t>TX0027537_001</t>
  </si>
  <si>
    <t>TX0027545_001</t>
  </si>
  <si>
    <t>TX0027618_001</t>
  </si>
  <si>
    <t>TX0027634_001</t>
  </si>
  <si>
    <t>TX0027669_001</t>
  </si>
  <si>
    <t>TX0027677_002</t>
  </si>
  <si>
    <t>TX0027685_001</t>
  </si>
  <si>
    <t>TX0027693_001</t>
  </si>
  <si>
    <t>TX0027707_001</t>
  </si>
  <si>
    <t>TX0027723_001</t>
  </si>
  <si>
    <t>TX0027740_001</t>
  </si>
  <si>
    <t>TX0027774_001</t>
  </si>
  <si>
    <t>TX0027782_001</t>
  </si>
  <si>
    <t>TX0027791_001</t>
  </si>
  <si>
    <t>TX0027910_001</t>
  </si>
  <si>
    <t>TX0027928_001</t>
  </si>
  <si>
    <t>TX0027936_001</t>
  </si>
  <si>
    <t>TX0027944_001</t>
  </si>
  <si>
    <t>TX0028169_001</t>
  </si>
  <si>
    <t>TX0029777_001</t>
  </si>
  <si>
    <t>TX0030040_002</t>
  </si>
  <si>
    <t>TX0030180_002</t>
  </si>
  <si>
    <t>TX0030228_003</t>
  </si>
  <si>
    <t>TX0030686_001</t>
  </si>
  <si>
    <t>TX0030732_001</t>
  </si>
  <si>
    <t>TX0030775_001</t>
  </si>
  <si>
    <t>TX0030813_001</t>
  </si>
  <si>
    <t>TX0030929_002</t>
  </si>
  <si>
    <t>TX0030937_001</t>
  </si>
  <si>
    <t>TX0030953_001</t>
  </si>
  <si>
    <t>TX0030970_001</t>
  </si>
  <si>
    <t>TX0030988_001</t>
  </si>
  <si>
    <t>TX0031232_001</t>
  </si>
  <si>
    <t>TX0031267_001</t>
  </si>
  <si>
    <t>TX0031275_001</t>
  </si>
  <si>
    <t>TX0031283_001</t>
  </si>
  <si>
    <t>TX0031461_001</t>
  </si>
  <si>
    <t>TX0031534_021</t>
  </si>
  <si>
    <t>TX0031569_001</t>
  </si>
  <si>
    <t>TX0031577_001</t>
  </si>
  <si>
    <t>TX0031585_001</t>
  </si>
  <si>
    <t>TX0031593_001</t>
  </si>
  <si>
    <t>TX0031607_001</t>
  </si>
  <si>
    <t>TX0031615_001</t>
  </si>
  <si>
    <t>TX0031658_001</t>
  </si>
  <si>
    <t>TX0031674_001</t>
  </si>
  <si>
    <t>TX0032018_001</t>
  </si>
  <si>
    <t>TX0032034_001</t>
  </si>
  <si>
    <t>TX0032085_001</t>
  </si>
  <si>
    <t>TX0032093_001</t>
  </si>
  <si>
    <t>TX0032212_001</t>
  </si>
  <si>
    <t>TX0032328_001</t>
  </si>
  <si>
    <t>TX0032344_001</t>
  </si>
  <si>
    <t>TX0032361_001</t>
  </si>
  <si>
    <t>TX0032379_001</t>
  </si>
  <si>
    <t>TX0032387_001</t>
  </si>
  <si>
    <t>TX0032425_001</t>
  </si>
  <si>
    <t>TX0032476_001</t>
  </si>
  <si>
    <t>TX0032484_001</t>
  </si>
  <si>
    <t>TX0032492_001</t>
  </si>
  <si>
    <t>TX0032549_001</t>
  </si>
  <si>
    <t>TX0032581_001</t>
  </si>
  <si>
    <t>TX0032638_001</t>
  </si>
  <si>
    <t>TX0032646_001</t>
  </si>
  <si>
    <t>TX0032654_001</t>
  </si>
  <si>
    <t>TX0032671_001</t>
  </si>
  <si>
    <t>TX0032719_001</t>
  </si>
  <si>
    <t>TX0032735_001</t>
  </si>
  <si>
    <t>TX0032743_001</t>
  </si>
  <si>
    <t>TX0033189_001</t>
  </si>
  <si>
    <t>TX0033197_001</t>
  </si>
  <si>
    <t>TX0033243_001</t>
  </si>
  <si>
    <t>TX0033294_001</t>
  </si>
  <si>
    <t>TX0033308_001</t>
  </si>
  <si>
    <t>TX0033316_001</t>
  </si>
  <si>
    <t>TX0033332_001</t>
  </si>
  <si>
    <t>TX0033341_001</t>
  </si>
  <si>
    <t>TX0033367_001</t>
  </si>
  <si>
    <t>TX0033375_001</t>
  </si>
  <si>
    <t>TX0033456_001</t>
  </si>
  <si>
    <t>TX0033499_001</t>
  </si>
  <si>
    <t>TX0033529_001</t>
  </si>
  <si>
    <t>TX0033910_001</t>
  </si>
  <si>
    <t>TX0033936_001</t>
  </si>
  <si>
    <t>TX0033944_001</t>
  </si>
  <si>
    <t>TX0034002_001</t>
  </si>
  <si>
    <t>TX0034312_001</t>
  </si>
  <si>
    <t>TX0034410_001</t>
  </si>
  <si>
    <t>TX0034428_001</t>
  </si>
  <si>
    <t>TX0034436_001</t>
  </si>
  <si>
    <t>TX0034452_001</t>
  </si>
  <si>
    <t>TX0034461_001</t>
  </si>
  <si>
    <t>TX0034495_001</t>
  </si>
  <si>
    <t>TX0034509_001</t>
  </si>
  <si>
    <t>TX0034681_001</t>
  </si>
  <si>
    <t>TX0034738_002</t>
  </si>
  <si>
    <t>TX0034797_001</t>
  </si>
  <si>
    <t>TX0034916_001</t>
  </si>
  <si>
    <t>TX0034924_001</t>
  </si>
  <si>
    <t>TX0035009_001</t>
  </si>
  <si>
    <t>TX0035017_001</t>
  </si>
  <si>
    <t>TX0035106_001</t>
  </si>
  <si>
    <t>TX0035157_001</t>
  </si>
  <si>
    <t>TX0035211_001</t>
  </si>
  <si>
    <t>TX0035220_001</t>
  </si>
  <si>
    <t>TX0035505_001</t>
  </si>
  <si>
    <t>TX0042081_001</t>
  </si>
  <si>
    <t>TX0042099_001</t>
  </si>
  <si>
    <t>TX0042129_002</t>
  </si>
  <si>
    <t>TX0042650_001</t>
  </si>
  <si>
    <t>TX0042668_001</t>
  </si>
  <si>
    <t>TX0046612_001</t>
  </si>
  <si>
    <t>TX0046621_001</t>
  </si>
  <si>
    <t>TX0046639_001</t>
  </si>
  <si>
    <t>TX0046663_001</t>
  </si>
  <si>
    <t>TX0046671_001</t>
  </si>
  <si>
    <t>TX0046701_001</t>
  </si>
  <si>
    <t>TX0046710_001</t>
  </si>
  <si>
    <t>TX0046728_001</t>
  </si>
  <si>
    <t>TX0046736_001</t>
  </si>
  <si>
    <t>TX0046744_001</t>
  </si>
  <si>
    <t>TX0046761_001</t>
  </si>
  <si>
    <t>TX0046779_001</t>
  </si>
  <si>
    <t>TX0046817_001</t>
  </si>
  <si>
    <t>TX0046833_001</t>
  </si>
  <si>
    <t>TX0046841_001</t>
  </si>
  <si>
    <t>TX0046868_001</t>
  </si>
  <si>
    <t>TX0046892_006</t>
  </si>
  <si>
    <t>TX0046906_002</t>
  </si>
  <si>
    <t>TX0046981_001</t>
  </si>
  <si>
    <t>TX0046990_001</t>
  </si>
  <si>
    <t>TX0047007_001</t>
  </si>
  <si>
    <t>TX0047023_001</t>
  </si>
  <si>
    <t>TX0047031_001</t>
  </si>
  <si>
    <t>TX0047040_001</t>
  </si>
  <si>
    <t>TX0047058_001</t>
  </si>
  <si>
    <t>TX0047066_001</t>
  </si>
  <si>
    <t>TX0047074_001</t>
  </si>
  <si>
    <t>TX0047082_001</t>
  </si>
  <si>
    <t>TX0047104_001</t>
  </si>
  <si>
    <t>TX0047121_001</t>
  </si>
  <si>
    <t>TX0047155_001</t>
  </si>
  <si>
    <t>TX0047163_001</t>
  </si>
  <si>
    <t>TX0047180_001</t>
  </si>
  <si>
    <t>TX0047198_001</t>
  </si>
  <si>
    <t>TX0047210_001</t>
  </si>
  <si>
    <t>TX0047228_001</t>
  </si>
  <si>
    <t>TX0047261_001</t>
  </si>
  <si>
    <t>TX0047295_001</t>
  </si>
  <si>
    <t>TX0047309_001</t>
  </si>
  <si>
    <t>TX0047333_001</t>
  </si>
  <si>
    <t>TX0047414_001</t>
  </si>
  <si>
    <t>TX0047431_001</t>
  </si>
  <si>
    <t>TX0047449_001</t>
  </si>
  <si>
    <t>TX0047457_001</t>
  </si>
  <si>
    <t>TX0047511_001</t>
  </si>
  <si>
    <t>TX0047562_001</t>
  </si>
  <si>
    <t>TX0047571_001</t>
  </si>
  <si>
    <t>TX0047589_001</t>
  </si>
  <si>
    <t>TX0047651_001</t>
  </si>
  <si>
    <t>TX0047686_002</t>
  </si>
  <si>
    <t>TX0047724_001</t>
  </si>
  <si>
    <t>TX0047791_002</t>
  </si>
  <si>
    <t>TX0047830_001</t>
  </si>
  <si>
    <t>TX0047848_001</t>
  </si>
  <si>
    <t>TX0047899_001</t>
  </si>
  <si>
    <t>TX0047911_001</t>
  </si>
  <si>
    <t>TX0047929_001</t>
  </si>
  <si>
    <t>TX0047945_001</t>
  </si>
  <si>
    <t>TX0047988_001</t>
  </si>
  <si>
    <t>TX0047996_001</t>
  </si>
  <si>
    <t>TX0048038_001</t>
  </si>
  <si>
    <t>TX0052591_001</t>
  </si>
  <si>
    <t>TX0052639_101</t>
  </si>
  <si>
    <t>TX0052779_001</t>
  </si>
  <si>
    <t>TX0052787_001</t>
  </si>
  <si>
    <t>TX0052825_001</t>
  </si>
  <si>
    <t>TX0052841_001</t>
  </si>
  <si>
    <t>TX0052850_001</t>
  </si>
  <si>
    <t>TX0052876_001</t>
  </si>
  <si>
    <t>TX0052892_001</t>
  </si>
  <si>
    <t>TX0052906_001</t>
  </si>
  <si>
    <t>TX0052922_001</t>
  </si>
  <si>
    <t>TX0052931_001</t>
  </si>
  <si>
    <t>TX0052949_001</t>
  </si>
  <si>
    <t>TX0052973_001</t>
  </si>
  <si>
    <t>TX0052981_001</t>
  </si>
  <si>
    <t>TX0052990_001</t>
  </si>
  <si>
    <t>TX0053023_001</t>
  </si>
  <si>
    <t>TX0053066_001</t>
  </si>
  <si>
    <t>TX0053074_001</t>
  </si>
  <si>
    <t>TX0053091_001</t>
  </si>
  <si>
    <t>TX0053287_001</t>
  </si>
  <si>
    <t>TX0053295_001</t>
  </si>
  <si>
    <t>TX0053317_001</t>
  </si>
  <si>
    <t>TX0053325_001</t>
  </si>
  <si>
    <t>TX0053368_001</t>
  </si>
  <si>
    <t>TX0053376_001</t>
  </si>
  <si>
    <t>TX0053392_001</t>
  </si>
  <si>
    <t>TX0053422_001</t>
  </si>
  <si>
    <t>TX0053449_001</t>
  </si>
  <si>
    <t>TX0053465_001</t>
  </si>
  <si>
    <t>TX0053473_001</t>
  </si>
  <si>
    <t>TX0053481_001</t>
  </si>
  <si>
    <t>TX0053503_001</t>
  </si>
  <si>
    <t>TX0053511_001</t>
  </si>
  <si>
    <t>TX0053520_001</t>
  </si>
  <si>
    <t>TX0053538_001</t>
  </si>
  <si>
    <t>TX0053562_001</t>
  </si>
  <si>
    <t>TX0053571_001</t>
  </si>
  <si>
    <t>TX0053627_001</t>
  </si>
  <si>
    <t>TX0053643_001</t>
  </si>
  <si>
    <t>TX0053651_001</t>
  </si>
  <si>
    <t>TX0053678_001</t>
  </si>
  <si>
    <t>TX0053716_001</t>
  </si>
  <si>
    <t>TX0053783_001</t>
  </si>
  <si>
    <t>TX0053813_008</t>
  </si>
  <si>
    <t>TX0053830_001</t>
  </si>
  <si>
    <t>TX0053872_001</t>
  </si>
  <si>
    <t>TX0053937_001</t>
  </si>
  <si>
    <t>TX0053945_001</t>
  </si>
  <si>
    <t>TX0053961_001</t>
  </si>
  <si>
    <t>TX0053970_001</t>
  </si>
  <si>
    <t>TX0054020_001</t>
  </si>
  <si>
    <t>TX0054038_001</t>
  </si>
  <si>
    <t>TX0054071_001</t>
  </si>
  <si>
    <t>TX0054101_001</t>
  </si>
  <si>
    <t>TX0054127_001</t>
  </si>
  <si>
    <t>TX0054151_001</t>
  </si>
  <si>
    <t>TX0054178_001</t>
  </si>
  <si>
    <t>TX0054186_002</t>
  </si>
  <si>
    <t>TX0054194_001</t>
  </si>
  <si>
    <t>TX0054208_001</t>
  </si>
  <si>
    <t>TX0054232_001</t>
  </si>
  <si>
    <t>TX0054348_001</t>
  </si>
  <si>
    <t>TX0054364_001</t>
  </si>
  <si>
    <t>TX0054399_001</t>
  </si>
  <si>
    <t>TX0054429_001</t>
  </si>
  <si>
    <t>TX0054445_001</t>
  </si>
  <si>
    <t>TX0054500_001</t>
  </si>
  <si>
    <t>TX0054518_001</t>
  </si>
  <si>
    <t>TX0054551_001</t>
  </si>
  <si>
    <t>TX0054585_001</t>
  </si>
  <si>
    <t>TX0054623_001</t>
  </si>
  <si>
    <t>TX0054631_001</t>
  </si>
  <si>
    <t>TX0054658_001</t>
  </si>
  <si>
    <t>TX0054666_001</t>
  </si>
  <si>
    <t>TX0054780_001</t>
  </si>
  <si>
    <t>TX0054801_001</t>
  </si>
  <si>
    <t>TX0054810_001</t>
  </si>
  <si>
    <t>TX0054844_001</t>
  </si>
  <si>
    <t>TX0054917_001</t>
  </si>
  <si>
    <t>TX0055077_001</t>
  </si>
  <si>
    <t>TX0055123_001</t>
  </si>
  <si>
    <t>TX0055166_001</t>
  </si>
  <si>
    <t>TX0055212_001</t>
  </si>
  <si>
    <t>TX0055221_001</t>
  </si>
  <si>
    <t>TX0055239_001</t>
  </si>
  <si>
    <t>TX0055310_001</t>
  </si>
  <si>
    <t>TX0055361_001</t>
  </si>
  <si>
    <t>TX0055433_001</t>
  </si>
  <si>
    <t>TX0055484_001</t>
  </si>
  <si>
    <t>TX0055492_001</t>
  </si>
  <si>
    <t>TX0055522_001</t>
  </si>
  <si>
    <t>TX0055581_001</t>
  </si>
  <si>
    <t>TX0055611_001</t>
  </si>
  <si>
    <t>TX0055735_001</t>
  </si>
  <si>
    <t>TX0056057_001</t>
  </si>
  <si>
    <t>TX0056154_001</t>
  </si>
  <si>
    <t>TX0056189_001</t>
  </si>
  <si>
    <t>TX0056227_001</t>
  </si>
  <si>
    <t>TX0056251_001</t>
  </si>
  <si>
    <t>TX0056316_001</t>
  </si>
  <si>
    <t>TX0056421_001</t>
  </si>
  <si>
    <t>TX0056481_001</t>
  </si>
  <si>
    <t>TX0056537_001</t>
  </si>
  <si>
    <t>TX0056545_001</t>
  </si>
  <si>
    <t>TX0056588_001</t>
  </si>
  <si>
    <t>TX0056596_001</t>
  </si>
  <si>
    <t>TX0056618_001</t>
  </si>
  <si>
    <t>TX0056677_002</t>
  </si>
  <si>
    <t>TX0056685_001</t>
  </si>
  <si>
    <t>TX0056707_001</t>
  </si>
  <si>
    <t>TX0056731_002</t>
  </si>
  <si>
    <t>TX0056821_001</t>
  </si>
  <si>
    <t>TX0056952_001</t>
  </si>
  <si>
    <t>TX0057011_001</t>
  </si>
  <si>
    <t>TX0057029_001</t>
  </si>
  <si>
    <t>TX0057045_001</t>
  </si>
  <si>
    <t>TX0057053_001</t>
  </si>
  <si>
    <t>TX0057169_001</t>
  </si>
  <si>
    <t>TX0057185_001</t>
  </si>
  <si>
    <t>TX0057207_001</t>
  </si>
  <si>
    <t>TX0057215_001</t>
  </si>
  <si>
    <t>TX0057231_002</t>
  </si>
  <si>
    <t>TX0057258_001</t>
  </si>
  <si>
    <t>TX0057304_001</t>
  </si>
  <si>
    <t>TX0057347_001</t>
  </si>
  <si>
    <t>TX0057363_001</t>
  </si>
  <si>
    <t>TX0057509_001</t>
  </si>
  <si>
    <t>TX0057576_001</t>
  </si>
  <si>
    <t>TX0057592_002</t>
  </si>
  <si>
    <t>TX0057614_001</t>
  </si>
  <si>
    <t>TX0057622_001</t>
  </si>
  <si>
    <t>TX0057631_001</t>
  </si>
  <si>
    <t>TX0057657_001</t>
  </si>
  <si>
    <t>TX0057673_001</t>
  </si>
  <si>
    <t>TX0057801_001</t>
  </si>
  <si>
    <t>TX0057843_001</t>
  </si>
  <si>
    <t>TX0057959_001</t>
  </si>
  <si>
    <t>TX0057991_001</t>
  </si>
  <si>
    <t>TX0058106_001</t>
  </si>
  <si>
    <t>TX0058114_001</t>
  </si>
  <si>
    <t>TX0058360_001</t>
  </si>
  <si>
    <t>TX0058378_001</t>
  </si>
  <si>
    <t>TX0058386_001</t>
  </si>
  <si>
    <t>TX0058424_001</t>
  </si>
  <si>
    <t>TX0058441_002</t>
  </si>
  <si>
    <t>TX0058530_001</t>
  </si>
  <si>
    <t>TX0058548_001</t>
  </si>
  <si>
    <t>TX0058572_001</t>
  </si>
  <si>
    <t>TX0058955_001</t>
  </si>
  <si>
    <t>TX0058963_001</t>
  </si>
  <si>
    <t>TX0059285_002</t>
  </si>
  <si>
    <t>TX0059579_001</t>
  </si>
  <si>
    <t>TX0059587_001</t>
  </si>
  <si>
    <t>TX0060801_001</t>
  </si>
  <si>
    <t>TX0061999_001</t>
  </si>
  <si>
    <t>TX0062006_002</t>
  </si>
  <si>
    <t>TX0062014_001</t>
  </si>
  <si>
    <t>TX0062031_001</t>
  </si>
  <si>
    <t>TX0062049_001</t>
  </si>
  <si>
    <t>TX0062197_003</t>
  </si>
  <si>
    <t>TX0062219_001</t>
  </si>
  <si>
    <t>TX0062235_001</t>
  </si>
  <si>
    <t>TX0062243_001</t>
  </si>
  <si>
    <t>TX0062448_001</t>
  </si>
  <si>
    <t>TX0062642_001</t>
  </si>
  <si>
    <t>TX0062677_001</t>
  </si>
  <si>
    <t>TX0062707_001</t>
  </si>
  <si>
    <t>TX0062839_001</t>
  </si>
  <si>
    <t>TX0062936_001</t>
  </si>
  <si>
    <t>TX0062952_001</t>
  </si>
  <si>
    <t>TX0062961_001</t>
  </si>
  <si>
    <t>TX0062995_001</t>
  </si>
  <si>
    <t>TX0063002_001</t>
  </si>
  <si>
    <t>TX0063011_001</t>
  </si>
  <si>
    <t>TX0063029_001</t>
  </si>
  <si>
    <t>TX0063037_001</t>
  </si>
  <si>
    <t>TX0063045_001</t>
  </si>
  <si>
    <t>TX0063053_003</t>
  </si>
  <si>
    <t>TX0063061_001</t>
  </si>
  <si>
    <t>TX0063070_001</t>
  </si>
  <si>
    <t>TX0063096_001</t>
  </si>
  <si>
    <t>TX0063215_003</t>
  </si>
  <si>
    <t>TX0063231_001</t>
  </si>
  <si>
    <t>TX0063355_008</t>
  </si>
  <si>
    <t>TX0063401_006</t>
  </si>
  <si>
    <t>TX0063461_001</t>
  </si>
  <si>
    <t>TX0063479_001</t>
  </si>
  <si>
    <t>TX0063509_001</t>
  </si>
  <si>
    <t>TX0063681_014</t>
  </si>
  <si>
    <t>TX0063690_015</t>
  </si>
  <si>
    <t>TX0063703_001</t>
  </si>
  <si>
    <t>TX0063860_001</t>
  </si>
  <si>
    <t>TX0063878_001</t>
  </si>
  <si>
    <t>TX0064378_002</t>
  </si>
  <si>
    <t>TX0064491_002</t>
  </si>
  <si>
    <t>TX0064513_001</t>
  </si>
  <si>
    <t>TX0064718_002</t>
  </si>
  <si>
    <t>TX0064734_001</t>
  </si>
  <si>
    <t>TX0064912_001</t>
  </si>
  <si>
    <t>TX0064998_001</t>
  </si>
  <si>
    <t>TX0065013_001</t>
  </si>
  <si>
    <t>TX0065021_001</t>
  </si>
  <si>
    <t>TX0065307_001</t>
  </si>
  <si>
    <t>TX0065641_001</t>
  </si>
  <si>
    <t>TX0065650_001</t>
  </si>
  <si>
    <t>TX0065749_001</t>
  </si>
  <si>
    <t>TX0065854_004</t>
  </si>
  <si>
    <t>TX0065986_001</t>
  </si>
  <si>
    <t>TX0066010_001</t>
  </si>
  <si>
    <t>TX0066125_001</t>
  </si>
  <si>
    <t>TX0066133_001</t>
  </si>
  <si>
    <t>TX0066150_001</t>
  </si>
  <si>
    <t>TX0066478_001</t>
  </si>
  <si>
    <t>TX0066648_001</t>
  </si>
  <si>
    <t>TX0066656_001</t>
  </si>
  <si>
    <t>TX0066664_001</t>
  </si>
  <si>
    <t>TX0066702_001</t>
  </si>
  <si>
    <t>TX0066745_001</t>
  </si>
  <si>
    <t>TX0067415_001</t>
  </si>
  <si>
    <t>TX0067466_001</t>
  </si>
  <si>
    <t>TX0067474_001</t>
  </si>
  <si>
    <t>TX0067504_001</t>
  </si>
  <si>
    <t>TX0067539_001</t>
  </si>
  <si>
    <t>TX0067695_007</t>
  </si>
  <si>
    <t>TX0067873_001</t>
  </si>
  <si>
    <t>TX0067881_001</t>
  </si>
  <si>
    <t>TX0067890_002</t>
  </si>
  <si>
    <t>TX0068004_001</t>
  </si>
  <si>
    <t>TX0068021_001</t>
  </si>
  <si>
    <t>TX0068039_001</t>
  </si>
  <si>
    <t>TX0068047_001</t>
  </si>
  <si>
    <t>TX0068276_001</t>
  </si>
  <si>
    <t>TX0068349_010</t>
  </si>
  <si>
    <t>TX0068357_003</t>
  </si>
  <si>
    <t>TX0068632_001</t>
  </si>
  <si>
    <t>TX0068659_001</t>
  </si>
  <si>
    <t>TX0068713_001</t>
  </si>
  <si>
    <t>TX0068756_001</t>
  </si>
  <si>
    <t>TX0068764_001</t>
  </si>
  <si>
    <t>TX0068781_001</t>
  </si>
  <si>
    <t>TX0068845_001</t>
  </si>
  <si>
    <t>TX0068926_001</t>
  </si>
  <si>
    <t>TX0068934_002</t>
  </si>
  <si>
    <t>TX0068985_001</t>
  </si>
  <si>
    <t>TX0069086_001</t>
  </si>
  <si>
    <t>TX0069108_001</t>
  </si>
  <si>
    <t>TX0069183_001</t>
  </si>
  <si>
    <t>TX0069191_001</t>
  </si>
  <si>
    <t>TX0069213_001</t>
  </si>
  <si>
    <t>TX0069256_001</t>
  </si>
  <si>
    <t>TX0069493_006</t>
  </si>
  <si>
    <t>TX0069582_001</t>
  </si>
  <si>
    <t>TX0069671_001</t>
  </si>
  <si>
    <t>TX0069710_001</t>
  </si>
  <si>
    <t>TX0069728_001</t>
  </si>
  <si>
    <t>TX0069736_001</t>
  </si>
  <si>
    <t>TX0069825_002</t>
  </si>
  <si>
    <t>TX0069841_001</t>
  </si>
  <si>
    <t>TX0069850_001</t>
  </si>
  <si>
    <t>TX0069884_001</t>
  </si>
  <si>
    <t>TX0070017_001</t>
  </si>
  <si>
    <t>TX0070068_003</t>
  </si>
  <si>
    <t>TX0070165_001</t>
  </si>
  <si>
    <t>TX0070211_001</t>
  </si>
  <si>
    <t>TX0070297_001</t>
  </si>
  <si>
    <t>TX0070416_003</t>
  </si>
  <si>
    <t>TX0070611_001</t>
  </si>
  <si>
    <t>TX0070645_001</t>
  </si>
  <si>
    <t>TX0070769_001</t>
  </si>
  <si>
    <t>TX0070785_001</t>
  </si>
  <si>
    <t>TX0070831_001</t>
  </si>
  <si>
    <t>TX0070939_001</t>
  </si>
  <si>
    <t>TX0070963_001</t>
  </si>
  <si>
    <t>TX0070971_001</t>
  </si>
  <si>
    <t>TX0071021_001</t>
  </si>
  <si>
    <t>TX0071030_001</t>
  </si>
  <si>
    <t>TX0071056_001</t>
  </si>
  <si>
    <t>TX0071081_001</t>
  </si>
  <si>
    <t>TX0071111_001</t>
  </si>
  <si>
    <t>TX0071145_001</t>
  </si>
  <si>
    <t>TX0071188_001</t>
  </si>
  <si>
    <t>TX0071251_001</t>
  </si>
  <si>
    <t>TX0071340_001</t>
  </si>
  <si>
    <t>TX0071382_001</t>
  </si>
  <si>
    <t>TX0071412_001</t>
  </si>
  <si>
    <t>TX0071510_001</t>
  </si>
  <si>
    <t>TX0071528_001</t>
  </si>
  <si>
    <t>TX0071544_001</t>
  </si>
  <si>
    <t>TX0071579_001</t>
  </si>
  <si>
    <t>TX0071609_001</t>
  </si>
  <si>
    <t>TX0071625_001</t>
  </si>
  <si>
    <t>TX0071633_001</t>
  </si>
  <si>
    <t>TX0071650_001</t>
  </si>
  <si>
    <t>TX0071765_001</t>
  </si>
  <si>
    <t>TX0071790_001</t>
  </si>
  <si>
    <t>TX0071803_001</t>
  </si>
  <si>
    <t>TX0071820_001</t>
  </si>
  <si>
    <t>TX0071889_001</t>
  </si>
  <si>
    <t>TX0071978_001</t>
  </si>
  <si>
    <t>TX0072087_001</t>
  </si>
  <si>
    <t>TX0072109_001</t>
  </si>
  <si>
    <t>TX0072150_001</t>
  </si>
  <si>
    <t>TX0072168_001</t>
  </si>
  <si>
    <t>TX0072184_001</t>
  </si>
  <si>
    <t>TX0072320_006</t>
  </si>
  <si>
    <t>TX0072338_001</t>
  </si>
  <si>
    <t>TX0072346_001</t>
  </si>
  <si>
    <t>TX0072354_001</t>
  </si>
  <si>
    <t>TX0072362_001</t>
  </si>
  <si>
    <t>TX0072508_001</t>
  </si>
  <si>
    <t>TX0072524_001</t>
  </si>
  <si>
    <t>TX0072541_001</t>
  </si>
  <si>
    <t>TX0072567_001</t>
  </si>
  <si>
    <t>TX0072591_001</t>
  </si>
  <si>
    <t>TX0072702_001</t>
  </si>
  <si>
    <t>TX0072711_001</t>
  </si>
  <si>
    <t>TX0072737_003</t>
  </si>
  <si>
    <t>TX0072770_001</t>
  </si>
  <si>
    <t>TX0072800_001</t>
  </si>
  <si>
    <t>TX0072818_002</t>
  </si>
  <si>
    <t>TX0072834_001</t>
  </si>
  <si>
    <t>TX0072885_001</t>
  </si>
  <si>
    <t>TX0072893_001</t>
  </si>
  <si>
    <t>TX0072974_001</t>
  </si>
  <si>
    <t>TX0072982_002</t>
  </si>
  <si>
    <t>TX0073008_001</t>
  </si>
  <si>
    <t>TX0073032_001</t>
  </si>
  <si>
    <t>TX0073105_001</t>
  </si>
  <si>
    <t>TX0073121_003</t>
  </si>
  <si>
    <t>TX0073229_001</t>
  </si>
  <si>
    <t>TX0073423_002</t>
  </si>
  <si>
    <t>TX0073946_001</t>
  </si>
  <si>
    <t>TX0073954_003</t>
  </si>
  <si>
    <t>TX0074004_001</t>
  </si>
  <si>
    <t>TX0074021_001</t>
  </si>
  <si>
    <t>TX0074047_001</t>
  </si>
  <si>
    <t>TX0074136_001</t>
  </si>
  <si>
    <t>TX0074217_001</t>
  </si>
  <si>
    <t>TX0074233_001</t>
  </si>
  <si>
    <t>TX0074250_001</t>
  </si>
  <si>
    <t>TX0074276_003</t>
  </si>
  <si>
    <t>TX0074284_001</t>
  </si>
  <si>
    <t>TX0074292_001</t>
  </si>
  <si>
    <t>TX0074322_001</t>
  </si>
  <si>
    <t>TX0074331_001</t>
  </si>
  <si>
    <t>TX0074403_001</t>
  </si>
  <si>
    <t>TX0074438_004</t>
  </si>
  <si>
    <t>TX0074446_001</t>
  </si>
  <si>
    <t>TX0074632_001</t>
  </si>
  <si>
    <t>TX0074683_001</t>
  </si>
  <si>
    <t>TX0074799_001</t>
  </si>
  <si>
    <t>TX0074853_001</t>
  </si>
  <si>
    <t>TX0074870_001</t>
  </si>
  <si>
    <t>TX0074888_001</t>
  </si>
  <si>
    <t>TX0074896_001</t>
  </si>
  <si>
    <t>TX0075132_001</t>
  </si>
  <si>
    <t>TX0075159_001</t>
  </si>
  <si>
    <t>TX0075167_001</t>
  </si>
  <si>
    <t>TX0075183_001</t>
  </si>
  <si>
    <t>TX0075221_001</t>
  </si>
  <si>
    <t>TX0075302_005</t>
  </si>
  <si>
    <t>TX0075311_007</t>
  </si>
  <si>
    <t>TX0075388_001</t>
  </si>
  <si>
    <t>TX0075396_001</t>
  </si>
  <si>
    <t>TX0075418_001</t>
  </si>
  <si>
    <t>TX0075434_001</t>
  </si>
  <si>
    <t>TX0075442_001</t>
  </si>
  <si>
    <t>TX0075451_001</t>
  </si>
  <si>
    <t>TX0075540_001</t>
  </si>
  <si>
    <t>TX0075604_001</t>
  </si>
  <si>
    <t>TX0075639_001</t>
  </si>
  <si>
    <t>TX0075647_001</t>
  </si>
  <si>
    <t>TX0075663_001</t>
  </si>
  <si>
    <t>TX0075671_001</t>
  </si>
  <si>
    <t>TX0075680_001</t>
  </si>
  <si>
    <t>TX0075698_001</t>
  </si>
  <si>
    <t>TX0075701_001</t>
  </si>
  <si>
    <t>TX0075761_001</t>
  </si>
  <si>
    <t>TX0075779_001</t>
  </si>
  <si>
    <t>TX0075795_001</t>
  </si>
  <si>
    <t>TX0075809_001</t>
  </si>
  <si>
    <t>TX0075841_001</t>
  </si>
  <si>
    <t>TX0075850_001</t>
  </si>
  <si>
    <t>TX0075884_001</t>
  </si>
  <si>
    <t>TX0075949_001</t>
  </si>
  <si>
    <t>TX0075957_001</t>
  </si>
  <si>
    <t>TX0075981_001</t>
  </si>
  <si>
    <t>TX0076015_001</t>
  </si>
  <si>
    <t>TX0076023_001</t>
  </si>
  <si>
    <t>TX0076104_001</t>
  </si>
  <si>
    <t>TX0076392_001</t>
  </si>
  <si>
    <t>TX0076422_001</t>
  </si>
  <si>
    <t>TX0076465_004</t>
  </si>
  <si>
    <t>TX0076481_001</t>
  </si>
  <si>
    <t>TX0076503_001</t>
  </si>
  <si>
    <t>TX0076538_001</t>
  </si>
  <si>
    <t>TX0076554_001</t>
  </si>
  <si>
    <t>TX0076651_001</t>
  </si>
  <si>
    <t>TX0076660_001</t>
  </si>
  <si>
    <t>TX0076767_001</t>
  </si>
  <si>
    <t>TX0076775_001</t>
  </si>
  <si>
    <t>TX0076791_001</t>
  </si>
  <si>
    <t>TX0076856_001</t>
  </si>
  <si>
    <t>TX0076945_001</t>
  </si>
  <si>
    <t>TX0076953_001</t>
  </si>
  <si>
    <t>TX0076996_003</t>
  </si>
  <si>
    <t>TX0077062_001</t>
  </si>
  <si>
    <t>TX0077178_001</t>
  </si>
  <si>
    <t>TX0077232_001</t>
  </si>
  <si>
    <t>TX0077241_001</t>
  </si>
  <si>
    <t>TX0077291_001</t>
  </si>
  <si>
    <t>TX0077399_001</t>
  </si>
  <si>
    <t>TX0077429_001</t>
  </si>
  <si>
    <t>TX0077470_001</t>
  </si>
  <si>
    <t>TX0077526_001</t>
  </si>
  <si>
    <t>TX0077534_001</t>
  </si>
  <si>
    <t>TX0077577_001</t>
  </si>
  <si>
    <t>TX0077763_001</t>
  </si>
  <si>
    <t>TX0077771_001</t>
  </si>
  <si>
    <t>TX0077801_102</t>
  </si>
  <si>
    <t>TX0077810_001</t>
  </si>
  <si>
    <t>TX0077887_002</t>
  </si>
  <si>
    <t>TX0077941_001</t>
  </si>
  <si>
    <t>TX0078247_001</t>
  </si>
  <si>
    <t>TX0078255_001</t>
  </si>
  <si>
    <t>TX0078344_001</t>
  </si>
  <si>
    <t>TX0078433_001</t>
  </si>
  <si>
    <t>TX0078441_001</t>
  </si>
  <si>
    <t>TX0078565_001</t>
  </si>
  <si>
    <t>TX0078646_101</t>
  </si>
  <si>
    <t>TX0078743_001</t>
  </si>
  <si>
    <t>TX0078751_001</t>
  </si>
  <si>
    <t>TX0078808_001</t>
  </si>
  <si>
    <t>TX0078824_001</t>
  </si>
  <si>
    <t>TX0078841_001</t>
  </si>
  <si>
    <t>TX0078883_001</t>
  </si>
  <si>
    <t>TX0078905_001</t>
  </si>
  <si>
    <t>TX0078930_001</t>
  </si>
  <si>
    <t>TX0078964_001</t>
  </si>
  <si>
    <t>TX0079006_001</t>
  </si>
  <si>
    <t>TX0079057_001</t>
  </si>
  <si>
    <t>TX0079138_001</t>
  </si>
  <si>
    <t>TX0079146_001</t>
  </si>
  <si>
    <t>TX0079201_001</t>
  </si>
  <si>
    <t>TX0079235_001</t>
  </si>
  <si>
    <t>TX0079260_001</t>
  </si>
  <si>
    <t>TX0079359_001</t>
  </si>
  <si>
    <t>TX0079383_001</t>
  </si>
  <si>
    <t>TX0079391_001</t>
  </si>
  <si>
    <t>TX0079529_001</t>
  </si>
  <si>
    <t>TX0079537_001</t>
  </si>
  <si>
    <t>TX0079561_004</t>
  </si>
  <si>
    <t>TX0079618_001</t>
  </si>
  <si>
    <t>TX0079634_001</t>
  </si>
  <si>
    <t>TX0079707_001</t>
  </si>
  <si>
    <t>TX0079782_001</t>
  </si>
  <si>
    <t>TX0079804_001</t>
  </si>
  <si>
    <t>TX0079812_001</t>
  </si>
  <si>
    <t>TX0079821_001</t>
  </si>
  <si>
    <t>TX0081256_001</t>
  </si>
  <si>
    <t>TX0081264_001</t>
  </si>
  <si>
    <t>TX0082261_001</t>
  </si>
  <si>
    <t>TX0082309_001</t>
  </si>
  <si>
    <t>TX0082317_001</t>
  </si>
  <si>
    <t>TX0082457_001</t>
  </si>
  <si>
    <t>TX0082589_001</t>
  </si>
  <si>
    <t>TX0082830_001</t>
  </si>
  <si>
    <t>TX0082856_001</t>
  </si>
  <si>
    <t>TX0082988_001</t>
  </si>
  <si>
    <t>TX0083003_001</t>
  </si>
  <si>
    <t>TX0083011_001</t>
  </si>
  <si>
    <t>TX0083062_001</t>
  </si>
  <si>
    <t>TX0083089_001</t>
  </si>
  <si>
    <t>TX0083127_001</t>
  </si>
  <si>
    <t>TX0083208_001</t>
  </si>
  <si>
    <t>TX0083216_001</t>
  </si>
  <si>
    <t>TX0083381_001</t>
  </si>
  <si>
    <t>TX0083429_001</t>
  </si>
  <si>
    <t>TX0083437_001</t>
  </si>
  <si>
    <t>TX0083496_001</t>
  </si>
  <si>
    <t>TX0083500_001</t>
  </si>
  <si>
    <t>TX0083712_001</t>
  </si>
  <si>
    <t>TX0083801_001</t>
  </si>
  <si>
    <t>TX0083828_001</t>
  </si>
  <si>
    <t>TX0083887_001</t>
  </si>
  <si>
    <t>TX0083933_001</t>
  </si>
  <si>
    <t>TX0083950_001</t>
  </si>
  <si>
    <t>TX0083976_001</t>
  </si>
  <si>
    <t>TX0084018_001</t>
  </si>
  <si>
    <t>TX0084042_001</t>
  </si>
  <si>
    <t>TX0084051_001</t>
  </si>
  <si>
    <t>TX0084085_001</t>
  </si>
  <si>
    <t>TX0084093_001</t>
  </si>
  <si>
    <t>TX0084115_003</t>
  </si>
  <si>
    <t>TX0084298_001</t>
  </si>
  <si>
    <t>TX0084328_001</t>
  </si>
  <si>
    <t>TX0084395_001</t>
  </si>
  <si>
    <t>TX0084425_001</t>
  </si>
  <si>
    <t>TX0084468_001</t>
  </si>
  <si>
    <t>TX0084484_001</t>
  </si>
  <si>
    <t>TX0084531_001</t>
  </si>
  <si>
    <t>TX0084557_001</t>
  </si>
  <si>
    <t>TX0084581_002</t>
  </si>
  <si>
    <t>TX0084638_001</t>
  </si>
  <si>
    <t>TX0084671_001</t>
  </si>
  <si>
    <t>TX0084760_001</t>
  </si>
  <si>
    <t>TX0084808_001</t>
  </si>
  <si>
    <t>TX0084875_001</t>
  </si>
  <si>
    <t>TX0085316_001</t>
  </si>
  <si>
    <t>TX0085332_001</t>
  </si>
  <si>
    <t>TX0085383_001</t>
  </si>
  <si>
    <t>TX0085413_001</t>
  </si>
  <si>
    <t>TX0085448_001</t>
  </si>
  <si>
    <t>TX0085456_001</t>
  </si>
  <si>
    <t>TX0085570_013</t>
  </si>
  <si>
    <t>TX0085588_001</t>
  </si>
  <si>
    <t>TX0085618_001</t>
  </si>
  <si>
    <t>TX0085693_001</t>
  </si>
  <si>
    <t>TX0085707_001</t>
  </si>
  <si>
    <t>TX0085740_001</t>
  </si>
  <si>
    <t>TX0085782_002</t>
  </si>
  <si>
    <t>TX0085821_001</t>
  </si>
  <si>
    <t>TX0085871_001</t>
  </si>
  <si>
    <t>TX0085961_001</t>
  </si>
  <si>
    <t>TX0085979_002</t>
  </si>
  <si>
    <t>TX0086002_003</t>
  </si>
  <si>
    <t>TX0086011_001</t>
  </si>
  <si>
    <t>TX0086045_003</t>
  </si>
  <si>
    <t>TX0086053_001</t>
  </si>
  <si>
    <t>TX0086100_001</t>
  </si>
  <si>
    <t>TX0086118_001</t>
  </si>
  <si>
    <t>TX0086185_001</t>
  </si>
  <si>
    <t>TX0086363_002</t>
  </si>
  <si>
    <t>TX0086398_001</t>
  </si>
  <si>
    <t>TX0086541_004</t>
  </si>
  <si>
    <t>TX0086568_001</t>
  </si>
  <si>
    <t>TX0086665_001</t>
  </si>
  <si>
    <t>TX0086690_001</t>
  </si>
  <si>
    <t>TX0087149_001</t>
  </si>
  <si>
    <t>TX0087157_001</t>
  </si>
  <si>
    <t>TX0087173_002</t>
  </si>
  <si>
    <t>TX0087190_002</t>
  </si>
  <si>
    <t>TX0087203_001</t>
  </si>
  <si>
    <t>TX0087254_001</t>
  </si>
  <si>
    <t>TX0087271_001</t>
  </si>
  <si>
    <t>TX0087343_001</t>
  </si>
  <si>
    <t>TX0087360_001</t>
  </si>
  <si>
    <t>TX0087475_001</t>
  </si>
  <si>
    <t>TX0087491_001</t>
  </si>
  <si>
    <t>TX0087661_001</t>
  </si>
  <si>
    <t>TX0087726_005</t>
  </si>
  <si>
    <t>TX0087751_001</t>
  </si>
  <si>
    <t>TX0087785_001</t>
  </si>
  <si>
    <t>TX0087831_001</t>
  </si>
  <si>
    <t>TX0087963_001</t>
  </si>
  <si>
    <t>TX0087971_002</t>
  </si>
  <si>
    <t>TX0087998_001</t>
  </si>
  <si>
    <t>TX0088081_001</t>
  </si>
  <si>
    <t>TX0088102_001</t>
  </si>
  <si>
    <t>TX0088137_001</t>
  </si>
  <si>
    <t>TX0088153_001</t>
  </si>
  <si>
    <t>TX0088170_001</t>
  </si>
  <si>
    <t>TX0088331_002</t>
  </si>
  <si>
    <t>TX0088366_001</t>
  </si>
  <si>
    <t>TX0088447_001</t>
  </si>
  <si>
    <t>TX0088455_001</t>
  </si>
  <si>
    <t>TX0088501_001</t>
  </si>
  <si>
    <t>TX0088633_001</t>
  </si>
  <si>
    <t>TX0088650_001</t>
  </si>
  <si>
    <t>TX0088781_002</t>
  </si>
  <si>
    <t>TX0088811_001</t>
  </si>
  <si>
    <t>TX0088838_001</t>
  </si>
  <si>
    <t>TX0088862_001</t>
  </si>
  <si>
    <t>TX0088927_001</t>
  </si>
  <si>
    <t>TX0088935_062</t>
  </si>
  <si>
    <t>TX0089010_001</t>
  </si>
  <si>
    <t>TX0089028_001</t>
  </si>
  <si>
    <t>TX0089036_001</t>
  </si>
  <si>
    <t>TX0089044_001</t>
  </si>
  <si>
    <t>TX0089061_001</t>
  </si>
  <si>
    <t>TX0089109_002</t>
  </si>
  <si>
    <t>TX0089125_001</t>
  </si>
  <si>
    <t>TX0089184_001</t>
  </si>
  <si>
    <t>TX0089192_001</t>
  </si>
  <si>
    <t>TX0089249_001</t>
  </si>
  <si>
    <t>TX0089281_001</t>
  </si>
  <si>
    <t>TX0089338_001</t>
  </si>
  <si>
    <t>TX0089346_001</t>
  </si>
  <si>
    <t>TX0089362_001</t>
  </si>
  <si>
    <t>TX0089494_001</t>
  </si>
  <si>
    <t>TX0089516_001</t>
  </si>
  <si>
    <t>TX0089567_002</t>
  </si>
  <si>
    <t>TX0089621_001</t>
  </si>
  <si>
    <t>TX0089672_001</t>
  </si>
  <si>
    <t>TX0089753_001</t>
  </si>
  <si>
    <t>TX0089915_001</t>
  </si>
  <si>
    <t>TX0089940_005</t>
  </si>
  <si>
    <t>TX0090115_001</t>
  </si>
  <si>
    <t>TX0090123_001</t>
  </si>
  <si>
    <t>TX0090344_001</t>
  </si>
  <si>
    <t>TX0090425_001</t>
  </si>
  <si>
    <t>TX0090476_001</t>
  </si>
  <si>
    <t>TX0090484_001</t>
  </si>
  <si>
    <t>TX0090492_001</t>
  </si>
  <si>
    <t>TX0090506_001</t>
  </si>
  <si>
    <t>TX0090611_001</t>
  </si>
  <si>
    <t>TX0090697_001</t>
  </si>
  <si>
    <t>TX0090735_001</t>
  </si>
  <si>
    <t>TX0090824_001</t>
  </si>
  <si>
    <t>TX0090841_001</t>
  </si>
  <si>
    <t>TX0090883_001</t>
  </si>
  <si>
    <t>TX0090905_001</t>
  </si>
  <si>
    <t>TX0090948_003</t>
  </si>
  <si>
    <t>TX0091171_001</t>
  </si>
  <si>
    <t>TX0091219_001</t>
  </si>
  <si>
    <t>TX0091227_001</t>
  </si>
  <si>
    <t>TX0091243_001</t>
  </si>
  <si>
    <t>TX0091260_001</t>
  </si>
  <si>
    <t>TX0091316_001</t>
  </si>
  <si>
    <t>TX0091421_001</t>
  </si>
  <si>
    <t>TX0091448_001</t>
  </si>
  <si>
    <t>TX0091481_001</t>
  </si>
  <si>
    <t>TX0091561_001</t>
  </si>
  <si>
    <t>TX0091626_001</t>
  </si>
  <si>
    <t>TX0091651_001</t>
  </si>
  <si>
    <t>TX0091677_001</t>
  </si>
  <si>
    <t>TX0091693_001</t>
  </si>
  <si>
    <t>TX0091758_001</t>
  </si>
  <si>
    <t>TX0091791_001</t>
  </si>
  <si>
    <t>TX0091804_001</t>
  </si>
  <si>
    <t>TX0091855_004</t>
  </si>
  <si>
    <t>TX0091901_001</t>
  </si>
  <si>
    <t>TX0091910_001</t>
  </si>
  <si>
    <t>TX0091979_001</t>
  </si>
  <si>
    <t>TX0091987_001</t>
  </si>
  <si>
    <t>TX0092037_001</t>
  </si>
  <si>
    <t>TX0092088_001</t>
  </si>
  <si>
    <t>TX0092142_001</t>
  </si>
  <si>
    <t>TX0092151_001</t>
  </si>
  <si>
    <t>TX0092274_001</t>
  </si>
  <si>
    <t>TX0092282_006</t>
  </si>
  <si>
    <t>TX0092312_001</t>
  </si>
  <si>
    <t>TX0092363_001</t>
  </si>
  <si>
    <t>TX0092401_001</t>
  </si>
  <si>
    <t>TX0092517_001</t>
  </si>
  <si>
    <t>TX0092541_001</t>
  </si>
  <si>
    <t>TX0092584_001</t>
  </si>
  <si>
    <t>TX0092606_001</t>
  </si>
  <si>
    <t>TX0092614_001</t>
  </si>
  <si>
    <t>TX0092711_001</t>
  </si>
  <si>
    <t>TX0092789_001</t>
  </si>
  <si>
    <t>TX0092801_001</t>
  </si>
  <si>
    <t>TX0092843_001</t>
  </si>
  <si>
    <t>TX0092894_001</t>
  </si>
  <si>
    <t>TX0092908_001</t>
  </si>
  <si>
    <t>TX0092932_001</t>
  </si>
  <si>
    <t>TX0092967_001</t>
  </si>
  <si>
    <t>TX0092991_001</t>
  </si>
  <si>
    <t>TX0093068_001</t>
  </si>
  <si>
    <t>TX0093092_001</t>
  </si>
  <si>
    <t>TX0093106_001</t>
  </si>
  <si>
    <t>TX0093157_001</t>
  </si>
  <si>
    <t>TX0093220_001</t>
  </si>
  <si>
    <t>TX0093262_001</t>
  </si>
  <si>
    <t>TX0093360_001</t>
  </si>
  <si>
    <t>TX0093416_003</t>
  </si>
  <si>
    <t>TX0093475_001</t>
  </si>
  <si>
    <t>TX0093483_001</t>
  </si>
  <si>
    <t>TX0093505_001</t>
  </si>
  <si>
    <t>TX0093556_001</t>
  </si>
  <si>
    <t>TX0093564_001</t>
  </si>
  <si>
    <t>TX0093581_001</t>
  </si>
  <si>
    <t>TX0093696_001</t>
  </si>
  <si>
    <t>TX0093726_001</t>
  </si>
  <si>
    <t>TX0093823_001</t>
  </si>
  <si>
    <t>TX0093891_001</t>
  </si>
  <si>
    <t>TX0094056_001</t>
  </si>
  <si>
    <t>TX0094129_001</t>
  </si>
  <si>
    <t>TX0094145_001</t>
  </si>
  <si>
    <t>TX0094188_001</t>
  </si>
  <si>
    <t>TX0094226_001</t>
  </si>
  <si>
    <t>TX0094307_003</t>
  </si>
  <si>
    <t>TX0094412_001</t>
  </si>
  <si>
    <t>TX0094463_001</t>
  </si>
  <si>
    <t>TX0094552_001</t>
  </si>
  <si>
    <t>TX0094650_001</t>
  </si>
  <si>
    <t>TX0094684_001</t>
  </si>
  <si>
    <t>TX0094706_001</t>
  </si>
  <si>
    <t>TX0094790_001</t>
  </si>
  <si>
    <t>TX0094803_001</t>
  </si>
  <si>
    <t>TX0094927_001</t>
  </si>
  <si>
    <t>TX0094935_001</t>
  </si>
  <si>
    <t>TX0094986_001</t>
  </si>
  <si>
    <t>TX0095125_001</t>
  </si>
  <si>
    <t>TX0095184_001</t>
  </si>
  <si>
    <t>TX0095451_001</t>
  </si>
  <si>
    <t>TX0095478_001</t>
  </si>
  <si>
    <t>TX0095508_001</t>
  </si>
  <si>
    <t>TX0095532_001</t>
  </si>
  <si>
    <t>TX0095559_003</t>
  </si>
  <si>
    <t>TX0095583_001</t>
  </si>
  <si>
    <t>TX0095605_001</t>
  </si>
  <si>
    <t>TX0095656_001</t>
  </si>
  <si>
    <t>TX0095702_001</t>
  </si>
  <si>
    <t>TX0095761_001</t>
  </si>
  <si>
    <t>TX0095770_001</t>
  </si>
  <si>
    <t>TX0095869_004</t>
  </si>
  <si>
    <t>TX0096059_001</t>
  </si>
  <si>
    <t>TX0096172_003</t>
  </si>
  <si>
    <t>TX0096474_001</t>
  </si>
  <si>
    <t>TX0096679_001</t>
  </si>
  <si>
    <t>TX0096709_001</t>
  </si>
  <si>
    <t>TX0096768_001</t>
  </si>
  <si>
    <t>TX0096881_001</t>
  </si>
  <si>
    <t>TX0096920_001</t>
  </si>
  <si>
    <t>TX0097047_001</t>
  </si>
  <si>
    <t>TX0097063_001</t>
  </si>
  <si>
    <t>TX0097071_001</t>
  </si>
  <si>
    <t>TX0097209_001</t>
  </si>
  <si>
    <t>TX0097225_001</t>
  </si>
  <si>
    <t>TX0097233_001</t>
  </si>
  <si>
    <t>TX0097373_001</t>
  </si>
  <si>
    <t>TX0097527_001</t>
  </si>
  <si>
    <t>TX0097675_001</t>
  </si>
  <si>
    <t>TX0097691_001</t>
  </si>
  <si>
    <t>TX0097853_001</t>
  </si>
  <si>
    <t>TX0097870_001</t>
  </si>
  <si>
    <t>TX0097969_001</t>
  </si>
  <si>
    <t>TX0097977_001</t>
  </si>
  <si>
    <t>TX0097985_001</t>
  </si>
  <si>
    <t>TX0098191_001</t>
  </si>
  <si>
    <t>TX0098205_001</t>
  </si>
  <si>
    <t>TX0098264_001</t>
  </si>
  <si>
    <t>TX0098345_001</t>
  </si>
  <si>
    <t>TX0098434_001</t>
  </si>
  <si>
    <t>TX0098604_001</t>
  </si>
  <si>
    <t>TX0098612_001</t>
  </si>
  <si>
    <t>TX0098647_001</t>
  </si>
  <si>
    <t>TX0098663_001</t>
  </si>
  <si>
    <t>TX0098744_001</t>
  </si>
  <si>
    <t>TX0098752_001</t>
  </si>
  <si>
    <t>TX0098809_001</t>
  </si>
  <si>
    <t>TX0098914_001</t>
  </si>
  <si>
    <t>TX0098949_001</t>
  </si>
  <si>
    <t>TX0098957_001</t>
  </si>
  <si>
    <t>TX0098965_001</t>
  </si>
  <si>
    <t>TX0099015_001</t>
  </si>
  <si>
    <t>TX0099082_001</t>
  </si>
  <si>
    <t>TX0099112_001</t>
  </si>
  <si>
    <t>TX0099171_001</t>
  </si>
  <si>
    <t>TX0099228_004</t>
  </si>
  <si>
    <t>TX0099287_001</t>
  </si>
  <si>
    <t>TX0099597_001</t>
  </si>
  <si>
    <t>TX0099732_001</t>
  </si>
  <si>
    <t>TX0099813_001</t>
  </si>
  <si>
    <t>TX0099856_001</t>
  </si>
  <si>
    <t>TX0100021_001</t>
  </si>
  <si>
    <t>TX0100137_001</t>
  </si>
  <si>
    <t>TX0100161_001</t>
  </si>
  <si>
    <t>TX0100170_001</t>
  </si>
  <si>
    <t>TX0100188_001</t>
  </si>
  <si>
    <t>TX0100242_001</t>
  </si>
  <si>
    <t>TX0100331_001</t>
  </si>
  <si>
    <t>TX0100587_001</t>
  </si>
  <si>
    <t>TX0100684_001</t>
  </si>
  <si>
    <t>TX0100692_001</t>
  </si>
  <si>
    <t>TX0100854_001</t>
  </si>
  <si>
    <t>TX0100919_002</t>
  </si>
  <si>
    <t>TX0100935_001</t>
  </si>
  <si>
    <t>TX0101010_001</t>
  </si>
  <si>
    <t>TX0101052_001</t>
  </si>
  <si>
    <t>TX0101109_001</t>
  </si>
  <si>
    <t>TX0101168_003</t>
  </si>
  <si>
    <t>TX0101214_001</t>
  </si>
  <si>
    <t>TX0101222_001</t>
  </si>
  <si>
    <t>TX0101281_001</t>
  </si>
  <si>
    <t>TX0101303_001</t>
  </si>
  <si>
    <t>TX0101371_001</t>
  </si>
  <si>
    <t>TX0101460_001</t>
  </si>
  <si>
    <t>TX0101567_020</t>
  </si>
  <si>
    <t>TX0101605_002</t>
  </si>
  <si>
    <t>TX0101656_001</t>
  </si>
  <si>
    <t>TX0101664_001</t>
  </si>
  <si>
    <t>TX0101702_001</t>
  </si>
  <si>
    <t>TX0101800_001</t>
  </si>
  <si>
    <t>TX0101818_001</t>
  </si>
  <si>
    <t>TX0101826_001</t>
  </si>
  <si>
    <t>TX0101869_001</t>
  </si>
  <si>
    <t>TX0101885_001</t>
  </si>
  <si>
    <t>TX0101915_001</t>
  </si>
  <si>
    <t>TX0101940_001</t>
  </si>
  <si>
    <t>TX0102024_001</t>
  </si>
  <si>
    <t>TX0102032_001</t>
  </si>
  <si>
    <t>TX0102091_001</t>
  </si>
  <si>
    <t>TX0102113_001</t>
  </si>
  <si>
    <t>TX0102164_001</t>
  </si>
  <si>
    <t>TX0102261_001</t>
  </si>
  <si>
    <t>TX0102296_004</t>
  </si>
  <si>
    <t>TX0102326_005</t>
  </si>
  <si>
    <t>TX0102385_001</t>
  </si>
  <si>
    <t>TX0102512_001</t>
  </si>
  <si>
    <t>TX0102555_001</t>
  </si>
  <si>
    <t>TX0102563_001</t>
  </si>
  <si>
    <t>TX0102598_001</t>
  </si>
  <si>
    <t>TX0102806_001</t>
  </si>
  <si>
    <t>TX0102822_001</t>
  </si>
  <si>
    <t>TX0102857_001</t>
  </si>
  <si>
    <t>TX0102890_001</t>
  </si>
  <si>
    <t>TX0102920_001</t>
  </si>
  <si>
    <t>TX0102997_001</t>
  </si>
  <si>
    <t>TX0103004_001</t>
  </si>
  <si>
    <t>TX0103071_001</t>
  </si>
  <si>
    <t>TX0103080_001</t>
  </si>
  <si>
    <t>TX0103250_001</t>
  </si>
  <si>
    <t>TX0103276_001</t>
  </si>
  <si>
    <t>TX0103292_001</t>
  </si>
  <si>
    <t>TX0103365_001</t>
  </si>
  <si>
    <t>TX0103446_001</t>
  </si>
  <si>
    <t>TX0103497_001</t>
  </si>
  <si>
    <t>TX0103501_001</t>
  </si>
  <si>
    <t>TX0103535_001</t>
  </si>
  <si>
    <t>TX0103578_001</t>
  </si>
  <si>
    <t>TX0103586_002</t>
  </si>
  <si>
    <t>TX0103608_001</t>
  </si>
  <si>
    <t>TX0103616_001</t>
  </si>
  <si>
    <t>TX0103624_001</t>
  </si>
  <si>
    <t>TX0103641_001</t>
  </si>
  <si>
    <t>TX0103667_001</t>
  </si>
  <si>
    <t>TX0103705_001</t>
  </si>
  <si>
    <t>TX0103721_001</t>
  </si>
  <si>
    <t>TX0103781_001</t>
  </si>
  <si>
    <t>TX0103900_001</t>
  </si>
  <si>
    <t>TX0104051_001</t>
  </si>
  <si>
    <t>TX0104060_001</t>
  </si>
  <si>
    <t>TX0104175_006</t>
  </si>
  <si>
    <t>TX0104205_001</t>
  </si>
  <si>
    <t>TX0104213_001</t>
  </si>
  <si>
    <t>TX0104272_001</t>
  </si>
  <si>
    <t>TX0104299_001</t>
  </si>
  <si>
    <t>TX0104400_004</t>
  </si>
  <si>
    <t>TX0104515_003</t>
  </si>
  <si>
    <t>TX0104531_005</t>
  </si>
  <si>
    <t>TX0104558_001</t>
  </si>
  <si>
    <t>TX0104612_001</t>
  </si>
  <si>
    <t>TX0104621_003</t>
  </si>
  <si>
    <t>TX0104710_002</t>
  </si>
  <si>
    <t>TX0104752_001</t>
  </si>
  <si>
    <t>TX0104761_001</t>
  </si>
  <si>
    <t>TX0104795_001</t>
  </si>
  <si>
    <t>TX0104833_001</t>
  </si>
  <si>
    <t>TX0104876_001</t>
  </si>
  <si>
    <t>TX0104884_001</t>
  </si>
  <si>
    <t>TX0104957_002</t>
  </si>
  <si>
    <t>TX0104965_001</t>
  </si>
  <si>
    <t>TX0104990_001</t>
  </si>
  <si>
    <t>TX0105015_001</t>
  </si>
  <si>
    <t>TX0105031_001</t>
  </si>
  <si>
    <t>TX0105091_001</t>
  </si>
  <si>
    <t>TX0105104_001</t>
  </si>
  <si>
    <t>TX0105155_001</t>
  </si>
  <si>
    <t>TX0105163_001</t>
  </si>
  <si>
    <t>TX0105171_001</t>
  </si>
  <si>
    <t>TX0105201_001</t>
  </si>
  <si>
    <t>TX0105210_001</t>
  </si>
  <si>
    <t>TX0105287_002</t>
  </si>
  <si>
    <t>TX0105376_001</t>
  </si>
  <si>
    <t>TX0105406_001</t>
  </si>
  <si>
    <t>TX0105651_002</t>
  </si>
  <si>
    <t>TX0105872_001</t>
  </si>
  <si>
    <t>TX0105899_001</t>
  </si>
  <si>
    <t>TX0105937_002</t>
  </si>
  <si>
    <t>TX0105988_001</t>
  </si>
  <si>
    <t>TX0105996_001</t>
  </si>
  <si>
    <t>TX0106046_001</t>
  </si>
  <si>
    <t>TX0106054_002</t>
  </si>
  <si>
    <t>TX0106071_007</t>
  </si>
  <si>
    <t>TX0106101_001</t>
  </si>
  <si>
    <t>TX0106119_001</t>
  </si>
  <si>
    <t>TX0106208_001</t>
  </si>
  <si>
    <t>TX0106224_101</t>
  </si>
  <si>
    <t>TX0106291_001</t>
  </si>
  <si>
    <t>TX0106437_001</t>
  </si>
  <si>
    <t>TX0106461_001</t>
  </si>
  <si>
    <t>TX0106542_001</t>
  </si>
  <si>
    <t>TX0106551_001</t>
  </si>
  <si>
    <t>TX0106704_001</t>
  </si>
  <si>
    <t>TX0106836_001</t>
  </si>
  <si>
    <t>TX0107395_001</t>
  </si>
  <si>
    <t>TX0107425_001</t>
  </si>
  <si>
    <t>TX0107492_001</t>
  </si>
  <si>
    <t>TX0107719_001</t>
  </si>
  <si>
    <t>TX0107743_001</t>
  </si>
  <si>
    <t>TX0107867_001</t>
  </si>
  <si>
    <t>TX0107875_001</t>
  </si>
  <si>
    <t>TX0107981_001</t>
  </si>
  <si>
    <t>TX0108065_001</t>
  </si>
  <si>
    <t>TX0108120_001</t>
  </si>
  <si>
    <t>TX0108146_001</t>
  </si>
  <si>
    <t>TX0108332_004</t>
  </si>
  <si>
    <t>TX0108367_001</t>
  </si>
  <si>
    <t>TX0108405_003</t>
  </si>
  <si>
    <t>TX0108499_001</t>
  </si>
  <si>
    <t>TX0109011_003</t>
  </si>
  <si>
    <t>TX0109126_001</t>
  </si>
  <si>
    <t>TX0109339_001</t>
  </si>
  <si>
    <t>TX0109444_001</t>
  </si>
  <si>
    <t>TX0109622_001</t>
  </si>
  <si>
    <t>TX0109886_001</t>
  </si>
  <si>
    <t>TX0110035_001</t>
  </si>
  <si>
    <t>TX0110337_001</t>
  </si>
  <si>
    <t>TX0110361_001</t>
  </si>
  <si>
    <t>TX0110647_001</t>
  </si>
  <si>
    <t>TX0110663_001</t>
  </si>
  <si>
    <t>TX0111201_001</t>
  </si>
  <si>
    <t>TX0111325_001</t>
  </si>
  <si>
    <t>TX0111333_001</t>
  </si>
  <si>
    <t>TX0111341_001</t>
  </si>
  <si>
    <t>TX0111350_001</t>
  </si>
  <si>
    <t>TX0111465_001</t>
  </si>
  <si>
    <t>TX0111520_001</t>
  </si>
  <si>
    <t>TX0111589_001</t>
  </si>
  <si>
    <t>TX0111660_001</t>
  </si>
  <si>
    <t>TX0111767_001</t>
  </si>
  <si>
    <t>TX0111791_001</t>
  </si>
  <si>
    <t>TX0111872_001</t>
  </si>
  <si>
    <t>TX0111937_001</t>
  </si>
  <si>
    <t>TX0112038_003</t>
  </si>
  <si>
    <t>TX0112151_001</t>
  </si>
  <si>
    <t>TX0112259_001</t>
  </si>
  <si>
    <t>TX0112283_001</t>
  </si>
  <si>
    <t>TX0112461_001</t>
  </si>
  <si>
    <t>TX0112585_001</t>
  </si>
  <si>
    <t>TX0112593_001</t>
  </si>
  <si>
    <t>TX0112691_004</t>
  </si>
  <si>
    <t>TX0112739_001</t>
  </si>
  <si>
    <t>TX0112747_001</t>
  </si>
  <si>
    <t>TX0112763_001</t>
  </si>
  <si>
    <t>TX0113000_001</t>
  </si>
  <si>
    <t>TX0113026_001</t>
  </si>
  <si>
    <t>TX0113107_001</t>
  </si>
  <si>
    <t>TX0113115_001</t>
  </si>
  <si>
    <t>TX0113123_001</t>
  </si>
  <si>
    <t>TX0113131_001</t>
  </si>
  <si>
    <t>TX0113484_001</t>
  </si>
  <si>
    <t>TX0113565_001</t>
  </si>
  <si>
    <t>TX0113573_001</t>
  </si>
  <si>
    <t>TX0113603_001</t>
  </si>
  <si>
    <t>TX0113697_001</t>
  </si>
  <si>
    <t>TX0113760_001</t>
  </si>
  <si>
    <t>TX0113786_001</t>
  </si>
  <si>
    <t>TX0113859_001</t>
  </si>
  <si>
    <t>TX0113875_001</t>
  </si>
  <si>
    <t>TX0113883_001</t>
  </si>
  <si>
    <t>TX0113913_001</t>
  </si>
  <si>
    <t>TX0113930_001</t>
  </si>
  <si>
    <t>TX0113981_001</t>
  </si>
  <si>
    <t>TX0114006_001</t>
  </si>
  <si>
    <t>TX0114031_001</t>
  </si>
  <si>
    <t>TX0114413_001</t>
  </si>
  <si>
    <t>TX0114821_001</t>
  </si>
  <si>
    <t>TX0114839_001</t>
  </si>
  <si>
    <t>TX0114847_001</t>
  </si>
  <si>
    <t>TX0114855_001</t>
  </si>
  <si>
    <t>TX0114880_001</t>
  </si>
  <si>
    <t>TX0114995_001</t>
  </si>
  <si>
    <t>TX0115169_001</t>
  </si>
  <si>
    <t>TX0115177_001</t>
  </si>
  <si>
    <t>TX0115797_001</t>
  </si>
  <si>
    <t>TX0115819_001</t>
  </si>
  <si>
    <t>TX0115827_001</t>
  </si>
  <si>
    <t>TX0115851_007</t>
  </si>
  <si>
    <t>TX0115924_001</t>
  </si>
  <si>
    <t>TX0115983_001</t>
  </si>
  <si>
    <t>TX0115991_001</t>
  </si>
  <si>
    <t>TX0116009_001</t>
  </si>
  <si>
    <t>TX0116068_001</t>
  </si>
  <si>
    <t>TX0116084_001</t>
  </si>
  <si>
    <t>TX0116114_001</t>
  </si>
  <si>
    <t>TX0116157_001</t>
  </si>
  <si>
    <t>TX0116173_001</t>
  </si>
  <si>
    <t>TX0116211_001</t>
  </si>
  <si>
    <t>TX0116360_001</t>
  </si>
  <si>
    <t>TX0116378_001</t>
  </si>
  <si>
    <t>TX0116386_001</t>
  </si>
  <si>
    <t>TX0116394_001</t>
  </si>
  <si>
    <t>TX0116408_001</t>
  </si>
  <si>
    <t>TX0116441_001</t>
  </si>
  <si>
    <t>TX0116459_001</t>
  </si>
  <si>
    <t>TX0116556_001</t>
  </si>
  <si>
    <t>TX0116572_001</t>
  </si>
  <si>
    <t>TX0116637_001</t>
  </si>
  <si>
    <t>TX0116661_001</t>
  </si>
  <si>
    <t>TX0116751_001</t>
  </si>
  <si>
    <t>TX0116785_001</t>
  </si>
  <si>
    <t>TX0116882_001</t>
  </si>
  <si>
    <t>TX0116891_002</t>
  </si>
  <si>
    <t>TX0116904_001</t>
  </si>
  <si>
    <t>TX0116921_001</t>
  </si>
  <si>
    <t>TX0117056_001</t>
  </si>
  <si>
    <t>TX0117064_001</t>
  </si>
  <si>
    <t>TX0117072_001</t>
  </si>
  <si>
    <t>TX0117129_001</t>
  </si>
  <si>
    <t>TX0117145_001</t>
  </si>
  <si>
    <t>TX0117161_001</t>
  </si>
  <si>
    <t>TX0117218_001</t>
  </si>
  <si>
    <t>TX0117234_001</t>
  </si>
  <si>
    <t>TX0117242_001</t>
  </si>
  <si>
    <t>TX0117277_001</t>
  </si>
  <si>
    <t>TX0117315_001</t>
  </si>
  <si>
    <t>TX0117331_001</t>
  </si>
  <si>
    <t>TX0117358_001</t>
  </si>
  <si>
    <t>TX0117366_001</t>
  </si>
  <si>
    <t>TX0117374_001</t>
  </si>
  <si>
    <t>TX0117421_001</t>
  </si>
  <si>
    <t>TX0117455_001</t>
  </si>
  <si>
    <t>TX0117463_001</t>
  </si>
  <si>
    <t>TX0117498_001</t>
  </si>
  <si>
    <t>TX0117501_001</t>
  </si>
  <si>
    <t>TX0117528_001</t>
  </si>
  <si>
    <t>TX0117536_001</t>
  </si>
  <si>
    <t>TX0117544_001</t>
  </si>
  <si>
    <t>TX0117579_001</t>
  </si>
  <si>
    <t>TX0117587_001</t>
  </si>
  <si>
    <t>TX0117595_001</t>
  </si>
  <si>
    <t>TX0117609_001</t>
  </si>
  <si>
    <t>TX0117633_001</t>
  </si>
  <si>
    <t>TX0117650_001</t>
  </si>
  <si>
    <t>TX0117676_001</t>
  </si>
  <si>
    <t>TX0117684_001</t>
  </si>
  <si>
    <t>TX0117706_001</t>
  </si>
  <si>
    <t>TX0117722_001</t>
  </si>
  <si>
    <t>TX0117731_001</t>
  </si>
  <si>
    <t>TX0117757_001</t>
  </si>
  <si>
    <t>TX0117765_001</t>
  </si>
  <si>
    <t>TX0117820_001</t>
  </si>
  <si>
    <t>TX0117846_001</t>
  </si>
  <si>
    <t>TX0117889_001</t>
  </si>
  <si>
    <t>TX0117897_001</t>
  </si>
  <si>
    <t>TX0117919_001</t>
  </si>
  <si>
    <t>TX0117927_001</t>
  </si>
  <si>
    <t>TX0117935_001</t>
  </si>
  <si>
    <t>TX0117951_001</t>
  </si>
  <si>
    <t>TX0117960_001</t>
  </si>
  <si>
    <t>TX0117978_001</t>
  </si>
  <si>
    <t>TX0117986_001</t>
  </si>
  <si>
    <t>TX0118001_001</t>
  </si>
  <si>
    <t>TX0118028_001</t>
  </si>
  <si>
    <t>TX0118079_001</t>
  </si>
  <si>
    <t>TX0118095_001</t>
  </si>
  <si>
    <t>TX0118109_001</t>
  </si>
  <si>
    <t>TX0118125_002</t>
  </si>
  <si>
    <t>TX0118214_004</t>
  </si>
  <si>
    <t>TX0118222_001</t>
  </si>
  <si>
    <t>TX0118231_001</t>
  </si>
  <si>
    <t>TX0118265_001</t>
  </si>
  <si>
    <t>TX0118281_001</t>
  </si>
  <si>
    <t>TX0118311_001</t>
  </si>
  <si>
    <t>TX0118320_001</t>
  </si>
  <si>
    <t>TX0118346_001</t>
  </si>
  <si>
    <t>TX0118354_001</t>
  </si>
  <si>
    <t>TX0118371_001</t>
  </si>
  <si>
    <t>TX0118389_002</t>
  </si>
  <si>
    <t>TX0118427_001</t>
  </si>
  <si>
    <t>TX0118443_001</t>
  </si>
  <si>
    <t>TX0118451_001</t>
  </si>
  <si>
    <t>TX0118532_001</t>
  </si>
  <si>
    <t>TX0118559_001</t>
  </si>
  <si>
    <t>TX0118567_002</t>
  </si>
  <si>
    <t>TX0118575_001</t>
  </si>
  <si>
    <t>TX0118583_001</t>
  </si>
  <si>
    <t>TX0118591_001</t>
  </si>
  <si>
    <t>TX0118621_001</t>
  </si>
  <si>
    <t>TX0118656_001</t>
  </si>
  <si>
    <t>TX0118672_001</t>
  </si>
  <si>
    <t>TX0118702_001</t>
  </si>
  <si>
    <t>TX0118737_001</t>
  </si>
  <si>
    <t>TX0118745_001</t>
  </si>
  <si>
    <t>TX0118770_001</t>
  </si>
  <si>
    <t>TX0118851_001</t>
  </si>
  <si>
    <t>TX0118877_001</t>
  </si>
  <si>
    <t>TX0118923_001</t>
  </si>
  <si>
    <t>TX0118931_001</t>
  </si>
  <si>
    <t>TX0118966_001</t>
  </si>
  <si>
    <t>TX0118982_001</t>
  </si>
  <si>
    <t>TX0118991_001</t>
  </si>
  <si>
    <t>TX0119008_001</t>
  </si>
  <si>
    <t>TX0119024_001</t>
  </si>
  <si>
    <t>TX0119041_001</t>
  </si>
  <si>
    <t>TX0119067_001</t>
  </si>
  <si>
    <t>TX0119075_001</t>
  </si>
  <si>
    <t>TX0119083_001</t>
  </si>
  <si>
    <t>TX0119113_001</t>
  </si>
  <si>
    <t>TX0119121_001</t>
  </si>
  <si>
    <t>TX0119172_003</t>
  </si>
  <si>
    <t>TX0119181_001</t>
  </si>
  <si>
    <t>TX0119199_001</t>
  </si>
  <si>
    <t>TX0119211_001</t>
  </si>
  <si>
    <t>TX0119229_001</t>
  </si>
  <si>
    <t>TX0119270_001</t>
  </si>
  <si>
    <t>TX0119288_002</t>
  </si>
  <si>
    <t>TX0119326_001</t>
  </si>
  <si>
    <t>TX0119351_001</t>
  </si>
  <si>
    <t>TX0119369_002</t>
  </si>
  <si>
    <t>TX0119407_001</t>
  </si>
  <si>
    <t>TX0119415_001</t>
  </si>
  <si>
    <t>TX0119423_001</t>
  </si>
  <si>
    <t>TX0119431_001</t>
  </si>
  <si>
    <t>TX0119458_001</t>
  </si>
  <si>
    <t>TX0119482_001</t>
  </si>
  <si>
    <t>TX0119504_001</t>
  </si>
  <si>
    <t>TX0119521_001</t>
  </si>
  <si>
    <t>TX0119539_001</t>
  </si>
  <si>
    <t>TX0119547_001</t>
  </si>
  <si>
    <t>TX0119563_001</t>
  </si>
  <si>
    <t>TX0119571_001</t>
  </si>
  <si>
    <t>TX0119598_001</t>
  </si>
  <si>
    <t>TX0119601_001</t>
  </si>
  <si>
    <t>TX0119610_001</t>
  </si>
  <si>
    <t>TX0119628_001</t>
  </si>
  <si>
    <t>TX0119679_001</t>
  </si>
  <si>
    <t>TX0119687_001</t>
  </si>
  <si>
    <t>TX0119709_001</t>
  </si>
  <si>
    <t>TX0119776_003</t>
  </si>
  <si>
    <t>TX0119784_001</t>
  </si>
  <si>
    <t>TX0119792_007</t>
  </si>
  <si>
    <t>TX0119814_001</t>
  </si>
  <si>
    <t>TX0119849_001</t>
  </si>
  <si>
    <t>TX0119857_001</t>
  </si>
  <si>
    <t>TX0119873_001</t>
  </si>
  <si>
    <t>TX0119890_001</t>
  </si>
  <si>
    <t>TX0119946_001</t>
  </si>
  <si>
    <t>TX0119954_001</t>
  </si>
  <si>
    <t>TX0119962_001</t>
  </si>
  <si>
    <t>TX0120006_001</t>
  </si>
  <si>
    <t>TX0120022_001</t>
  </si>
  <si>
    <t>TX0120073_001</t>
  </si>
  <si>
    <t>TX0120146_001</t>
  </si>
  <si>
    <t>TX0120189_001</t>
  </si>
  <si>
    <t>TX0120243_001</t>
  </si>
  <si>
    <t>TX0121053_001</t>
  </si>
  <si>
    <t>TX0121061_001</t>
  </si>
  <si>
    <t>TX0121126_001</t>
  </si>
  <si>
    <t>TX0121762_001</t>
  </si>
  <si>
    <t>TX0121797_001</t>
  </si>
  <si>
    <t>TX0122173_001</t>
  </si>
  <si>
    <t>TX0122181_001</t>
  </si>
  <si>
    <t>TX0122203_001</t>
  </si>
  <si>
    <t>TX0122211_001</t>
  </si>
  <si>
    <t>TX0122246_001</t>
  </si>
  <si>
    <t>TX0122271_001</t>
  </si>
  <si>
    <t>TX0122297_001</t>
  </si>
  <si>
    <t>TX0122327_001</t>
  </si>
  <si>
    <t>TX0122335_001</t>
  </si>
  <si>
    <t>TX0122351_001</t>
  </si>
  <si>
    <t>TX0122360_001</t>
  </si>
  <si>
    <t>TX0122386_001</t>
  </si>
  <si>
    <t>TX0122459_001</t>
  </si>
  <si>
    <t>TX0122483_001</t>
  </si>
  <si>
    <t>TX0122513_001</t>
  </si>
  <si>
    <t>TX0122521_001</t>
  </si>
  <si>
    <t>TX0122530_001</t>
  </si>
  <si>
    <t>TX0122564_001</t>
  </si>
  <si>
    <t>TX0122661_001</t>
  </si>
  <si>
    <t>TX0122823_001</t>
  </si>
  <si>
    <t>TX0122963_001</t>
  </si>
  <si>
    <t>TX0122980_001</t>
  </si>
  <si>
    <t>TX0123013_001</t>
  </si>
  <si>
    <t>TX0123137_001</t>
  </si>
  <si>
    <t>TX0123145_001</t>
  </si>
  <si>
    <t>TX0123200_001</t>
  </si>
  <si>
    <t>TX0123293_001</t>
  </si>
  <si>
    <t>TX0123315_001</t>
  </si>
  <si>
    <t>TX0123374_001</t>
  </si>
  <si>
    <t>TX0123421_001</t>
  </si>
  <si>
    <t>TX0123498_001</t>
  </si>
  <si>
    <t>TX0123510_001</t>
  </si>
  <si>
    <t>TX0123528_001</t>
  </si>
  <si>
    <t>TX0123552_001</t>
  </si>
  <si>
    <t>TX0123579_001</t>
  </si>
  <si>
    <t>TX0123587_001</t>
  </si>
  <si>
    <t>TX0123676_001</t>
  </si>
  <si>
    <t>TX0123722_001</t>
  </si>
  <si>
    <t>TX0123781_002</t>
  </si>
  <si>
    <t>TX0123820_001</t>
  </si>
  <si>
    <t>TX0123854_001</t>
  </si>
  <si>
    <t>TX0123862_001</t>
  </si>
  <si>
    <t>TX0123871_001</t>
  </si>
  <si>
    <t>TX0123935_001</t>
  </si>
  <si>
    <t>TX0123978_001</t>
  </si>
  <si>
    <t>TX0123994_001</t>
  </si>
  <si>
    <t>TX0124001_001</t>
  </si>
  <si>
    <t>TX0124087_001</t>
  </si>
  <si>
    <t>TX0124125_001</t>
  </si>
  <si>
    <t>TX0124141_001</t>
  </si>
  <si>
    <t>TX0124150_001</t>
  </si>
  <si>
    <t>TX0124249_001</t>
  </si>
  <si>
    <t>TX0124257_001</t>
  </si>
  <si>
    <t>TX0124265_001</t>
  </si>
  <si>
    <t>TX0124281_001</t>
  </si>
  <si>
    <t>TX0124303_001</t>
  </si>
  <si>
    <t>TX0124362_001</t>
  </si>
  <si>
    <t>TX0124371_001</t>
  </si>
  <si>
    <t>TX0124389_001</t>
  </si>
  <si>
    <t>TX0124419_001</t>
  </si>
  <si>
    <t>TX0124427_001</t>
  </si>
  <si>
    <t>TX0124478_001</t>
  </si>
  <si>
    <t>TX0124494_001</t>
  </si>
  <si>
    <t>TX0124516_002</t>
  </si>
  <si>
    <t>TX0124664_001</t>
  </si>
  <si>
    <t>TX0124681_001</t>
  </si>
  <si>
    <t>TX0124699_001</t>
  </si>
  <si>
    <t>TX0124702_001</t>
  </si>
  <si>
    <t>TX0124745_001</t>
  </si>
  <si>
    <t>TX0124761_001</t>
  </si>
  <si>
    <t>TX0124796_001</t>
  </si>
  <si>
    <t>TX0124800_001</t>
  </si>
  <si>
    <t>TX0124842_101</t>
  </si>
  <si>
    <t>TX0124851_001</t>
  </si>
  <si>
    <t>TX0124877_001</t>
  </si>
  <si>
    <t>TX0124893_001</t>
  </si>
  <si>
    <t>TX0124907_001</t>
  </si>
  <si>
    <t>TX0124923_001</t>
  </si>
  <si>
    <t>TX0124958_001</t>
  </si>
  <si>
    <t>TX0124966_001</t>
  </si>
  <si>
    <t>TX0124974_001</t>
  </si>
  <si>
    <t>TX0125091_001</t>
  </si>
  <si>
    <t>TX0125113_001</t>
  </si>
  <si>
    <t>TX0125156_001</t>
  </si>
  <si>
    <t>TX0125164_001</t>
  </si>
  <si>
    <t>TX0125172_001</t>
  </si>
  <si>
    <t>TX0125199_001</t>
  </si>
  <si>
    <t>TX0125270_001</t>
  </si>
  <si>
    <t>TX0125288_004</t>
  </si>
  <si>
    <t>TX0125300_001</t>
  </si>
  <si>
    <t>TX0125326_001</t>
  </si>
  <si>
    <t>TX0125334_002</t>
  </si>
  <si>
    <t>TX0125369_003</t>
  </si>
  <si>
    <t>TX0125377_001</t>
  </si>
  <si>
    <t>TX0125458_001</t>
  </si>
  <si>
    <t>TX0125491_001</t>
  </si>
  <si>
    <t>TX0125512_001</t>
  </si>
  <si>
    <t>TX0125521_001</t>
  </si>
  <si>
    <t>TX0125555_003</t>
  </si>
  <si>
    <t>TX0125563_001</t>
  </si>
  <si>
    <t>TX0125598_001</t>
  </si>
  <si>
    <t>TX0125610_001</t>
  </si>
  <si>
    <t>TX0125661_001</t>
  </si>
  <si>
    <t>TX0125679_001</t>
  </si>
  <si>
    <t>TX0125687_001</t>
  </si>
  <si>
    <t>TX0125741_001</t>
  </si>
  <si>
    <t>TX0125776_001</t>
  </si>
  <si>
    <t>TX0125806_001</t>
  </si>
  <si>
    <t>TX0125831_001</t>
  </si>
  <si>
    <t>TX0125857_003</t>
  </si>
  <si>
    <t>TX0125881_001</t>
  </si>
  <si>
    <t>TX0125920_001</t>
  </si>
  <si>
    <t>TX0125938_001</t>
  </si>
  <si>
    <t>TX0125946_001</t>
  </si>
  <si>
    <t>TX0125989_001</t>
  </si>
  <si>
    <t>TX0126004_001</t>
  </si>
  <si>
    <t>TX0126021_001</t>
  </si>
  <si>
    <t>TX0126098_001</t>
  </si>
  <si>
    <t>TX0126101_001</t>
  </si>
  <si>
    <t>TX0126110_001</t>
  </si>
  <si>
    <t>TX0126128_001</t>
  </si>
  <si>
    <t>TX0126152_001</t>
  </si>
  <si>
    <t>TX0126161_001</t>
  </si>
  <si>
    <t>TX0126179_001</t>
  </si>
  <si>
    <t>TX0126187_001</t>
  </si>
  <si>
    <t>TX0126195_001</t>
  </si>
  <si>
    <t>TX0126209_001</t>
  </si>
  <si>
    <t>TX0126217_001</t>
  </si>
  <si>
    <t>TX0126241_001</t>
  </si>
  <si>
    <t>TX0126268_002</t>
  </si>
  <si>
    <t>TX0126284_001</t>
  </si>
  <si>
    <t>TX0126292_003</t>
  </si>
  <si>
    <t>TX0126306_001</t>
  </si>
  <si>
    <t>TX0126322_005</t>
  </si>
  <si>
    <t>TX0126349_001</t>
  </si>
  <si>
    <t>TX0126381_001</t>
  </si>
  <si>
    <t>TX0126446_001</t>
  </si>
  <si>
    <t>TX0126497_001</t>
  </si>
  <si>
    <t>TX0126527_001</t>
  </si>
  <si>
    <t>TX0126543_001</t>
  </si>
  <si>
    <t>TX0126551_001</t>
  </si>
  <si>
    <t>TX0126560_001</t>
  </si>
  <si>
    <t>TX0126616_001</t>
  </si>
  <si>
    <t>TX0126624_001</t>
  </si>
  <si>
    <t>TX0126641_001</t>
  </si>
  <si>
    <t>TX0126667_001</t>
  </si>
  <si>
    <t>TX0126675_001</t>
  </si>
  <si>
    <t>TX0126691_001</t>
  </si>
  <si>
    <t>TX0126713_001</t>
  </si>
  <si>
    <t>TX0126730_001</t>
  </si>
  <si>
    <t>TX0126756_001</t>
  </si>
  <si>
    <t>TX0126772_001</t>
  </si>
  <si>
    <t>TX0126799_001</t>
  </si>
  <si>
    <t>TX0126829_001</t>
  </si>
  <si>
    <t>TX0126837_001</t>
  </si>
  <si>
    <t>TX0126853_001</t>
  </si>
  <si>
    <t>TX0126861_001</t>
  </si>
  <si>
    <t>TX0126926_001</t>
  </si>
  <si>
    <t>TX0126934_001</t>
  </si>
  <si>
    <t>TX0126951_001</t>
  </si>
  <si>
    <t>TX0126969_001</t>
  </si>
  <si>
    <t>TX0126977_001</t>
  </si>
  <si>
    <t>TX0127019_001</t>
  </si>
  <si>
    <t>TX0127086_001</t>
  </si>
  <si>
    <t>TX0127124_001</t>
  </si>
  <si>
    <t>TX0127132_001</t>
  </si>
  <si>
    <t>TX0127141_001</t>
  </si>
  <si>
    <t>TX0127175_001</t>
  </si>
  <si>
    <t>TX0127183_001</t>
  </si>
  <si>
    <t>TX0127230_001</t>
  </si>
  <si>
    <t>TX0127256_001</t>
  </si>
  <si>
    <t>TX0127264_001</t>
  </si>
  <si>
    <t>TX0127272_001</t>
  </si>
  <si>
    <t>TX0127299_001</t>
  </si>
  <si>
    <t>TX0127311_001</t>
  </si>
  <si>
    <t>TX0127345_001</t>
  </si>
  <si>
    <t>TX0127353_001</t>
  </si>
  <si>
    <t>TX0127370_001</t>
  </si>
  <si>
    <t>TX0127388_001</t>
  </si>
  <si>
    <t>TX0127400_001</t>
  </si>
  <si>
    <t>TX0127426_001</t>
  </si>
  <si>
    <t>TX0127647_001</t>
  </si>
  <si>
    <t>TX0127698_001</t>
  </si>
  <si>
    <t>TX0127728_001</t>
  </si>
  <si>
    <t>TX0127752_001</t>
  </si>
  <si>
    <t>TX0127779_001</t>
  </si>
  <si>
    <t>TX0127795_001</t>
  </si>
  <si>
    <t>TX0127809_001</t>
  </si>
  <si>
    <t>TX0127817_001</t>
  </si>
  <si>
    <t>TX0127833_001</t>
  </si>
  <si>
    <t>TX0127868_001</t>
  </si>
  <si>
    <t>TX0127884_001</t>
  </si>
  <si>
    <t>TX0127922_001</t>
  </si>
  <si>
    <t>TX0127931_001</t>
  </si>
  <si>
    <t>TX0127957_001</t>
  </si>
  <si>
    <t>TX0127965_001</t>
  </si>
  <si>
    <t>TX0127981_001</t>
  </si>
  <si>
    <t>TX0128007_001</t>
  </si>
  <si>
    <t>TX0128015_002</t>
  </si>
  <si>
    <t>TX0128023_001</t>
  </si>
  <si>
    <t>TX0128031_001</t>
  </si>
  <si>
    <t>TX0128082_001</t>
  </si>
  <si>
    <t>TX0128112_002</t>
  </si>
  <si>
    <t>TX0128121_001</t>
  </si>
  <si>
    <t>TX0128163_001</t>
  </si>
  <si>
    <t>TX0128180_001</t>
  </si>
  <si>
    <t>TX0128210_001</t>
  </si>
  <si>
    <t>TX0128236_001</t>
  </si>
  <si>
    <t>TX0128244_001</t>
  </si>
  <si>
    <t>TX0128261_001</t>
  </si>
  <si>
    <t>TX0128287_001</t>
  </si>
  <si>
    <t>TX0128295_001</t>
  </si>
  <si>
    <t>TX0128325_001</t>
  </si>
  <si>
    <t>TX0128333_001</t>
  </si>
  <si>
    <t>TX0128341_001</t>
  </si>
  <si>
    <t>TX0128350_001</t>
  </si>
  <si>
    <t>TX0128368_001</t>
  </si>
  <si>
    <t>TX0128392_001</t>
  </si>
  <si>
    <t>TX0128406_001</t>
  </si>
  <si>
    <t>TX0128431_001</t>
  </si>
  <si>
    <t>TX0128449_001</t>
  </si>
  <si>
    <t>TX0128457_001</t>
  </si>
  <si>
    <t>TX0128473_001</t>
  </si>
  <si>
    <t>TX0128481_001</t>
  </si>
  <si>
    <t>TX0128490_001</t>
  </si>
  <si>
    <t>TX0128511_001</t>
  </si>
  <si>
    <t>TX0128538_001</t>
  </si>
  <si>
    <t>TX0128554_001</t>
  </si>
  <si>
    <t>TX0128589_001</t>
  </si>
  <si>
    <t>TX0128597_001</t>
  </si>
  <si>
    <t>TX0128643_001</t>
  </si>
  <si>
    <t>TX0128686_001</t>
  </si>
  <si>
    <t>TX0128708_001</t>
  </si>
  <si>
    <t>TX0128724_001</t>
  </si>
  <si>
    <t>TX0128783_001</t>
  </si>
  <si>
    <t>TX0128791_001</t>
  </si>
  <si>
    <t>TX0128813_001</t>
  </si>
  <si>
    <t>TX0128856_001</t>
  </si>
  <si>
    <t>TX0128864_001</t>
  </si>
  <si>
    <t>TX0128945_001</t>
  </si>
  <si>
    <t>TX0128988_001</t>
  </si>
  <si>
    <t>TX0128996_001</t>
  </si>
  <si>
    <t>TX0129011_001</t>
  </si>
  <si>
    <t>TX0129062_001</t>
  </si>
  <si>
    <t>TX0129071_001</t>
  </si>
  <si>
    <t>TX0129119_001</t>
  </si>
  <si>
    <t>TX0129127_001</t>
  </si>
  <si>
    <t>TX0129160_001</t>
  </si>
  <si>
    <t>TX0129178_001</t>
  </si>
  <si>
    <t>TX0129186_001</t>
  </si>
  <si>
    <t>TX0129194_001</t>
  </si>
  <si>
    <t>TX0129216_001</t>
  </si>
  <si>
    <t>TX0129224_001</t>
  </si>
  <si>
    <t>TX0129241_001</t>
  </si>
  <si>
    <t>TX0129305_001</t>
  </si>
  <si>
    <t>TX0129313_001</t>
  </si>
  <si>
    <t>TX0129321_001</t>
  </si>
  <si>
    <t>TX0129330_001</t>
  </si>
  <si>
    <t>TX0129348_001</t>
  </si>
  <si>
    <t>TX0129381_001</t>
  </si>
  <si>
    <t>TX0129411_008</t>
  </si>
  <si>
    <t>TX0129437_001</t>
  </si>
  <si>
    <t>TX0129470_001</t>
  </si>
  <si>
    <t>TX0129488_001</t>
  </si>
  <si>
    <t>TX0129526_001</t>
  </si>
  <si>
    <t>TX0129607_001</t>
  </si>
  <si>
    <t>TX0129640_001</t>
  </si>
  <si>
    <t>TX0129666_001</t>
  </si>
  <si>
    <t>TX0129674_001</t>
  </si>
  <si>
    <t>TX0129780_001</t>
  </si>
  <si>
    <t>TX0129861_001</t>
  </si>
  <si>
    <t>TX0129887_011</t>
  </si>
  <si>
    <t>TX0129895_001</t>
  </si>
  <si>
    <t>TX0129917_001</t>
  </si>
  <si>
    <t>TX0129925_001</t>
  </si>
  <si>
    <t>TX0129950_001</t>
  </si>
  <si>
    <t>TX0129968_001</t>
  </si>
  <si>
    <t>TX0129984_001</t>
  </si>
  <si>
    <t>TX0129992_001</t>
  </si>
  <si>
    <t>TX0130028_001</t>
  </si>
  <si>
    <t>TX0130036_001</t>
  </si>
  <si>
    <t>TX0130052_001</t>
  </si>
  <si>
    <t>TX0130109_003</t>
  </si>
  <si>
    <t>TX0130117_001</t>
  </si>
  <si>
    <t>TX0131407_001</t>
  </si>
  <si>
    <t>TX0131466_001</t>
  </si>
  <si>
    <t>TX0131482_001</t>
  </si>
  <si>
    <t>TX0131491_001</t>
  </si>
  <si>
    <t>TX0131504_001</t>
  </si>
  <si>
    <t>TX0131539_001</t>
  </si>
  <si>
    <t>TX0131547_001</t>
  </si>
  <si>
    <t>TX0131555_001</t>
  </si>
  <si>
    <t>TX0131598_001</t>
  </si>
  <si>
    <t>TX0131768_002</t>
  </si>
  <si>
    <t>TX0131776_001</t>
  </si>
  <si>
    <t>TX0131792_001</t>
  </si>
  <si>
    <t>TX0131806_001</t>
  </si>
  <si>
    <t>TX0131831_001</t>
  </si>
  <si>
    <t>TX0131857_001</t>
  </si>
  <si>
    <t>TX0131903_001</t>
  </si>
  <si>
    <t>TX0131911_001</t>
  </si>
  <si>
    <t>TX0131938_001</t>
  </si>
  <si>
    <t>TX0132004_001</t>
  </si>
  <si>
    <t>TX0132012_001</t>
  </si>
  <si>
    <t>TX0132039_001</t>
  </si>
  <si>
    <t>TX0132055_001</t>
  </si>
  <si>
    <t>TX0132128_001</t>
  </si>
  <si>
    <t>TX0132161_001</t>
  </si>
  <si>
    <t>TX0132195_003</t>
  </si>
  <si>
    <t>TX0132217_001</t>
  </si>
  <si>
    <t>TX0132225_001</t>
  </si>
  <si>
    <t>TX0132241_001</t>
  </si>
  <si>
    <t>TX0132276_001</t>
  </si>
  <si>
    <t>TX0132365_001</t>
  </si>
  <si>
    <t>TX0132411_001</t>
  </si>
  <si>
    <t>TX0132446_001</t>
  </si>
  <si>
    <t>TX0132454_001</t>
  </si>
  <si>
    <t>TX0132471_001</t>
  </si>
  <si>
    <t>TX0132497_001</t>
  </si>
  <si>
    <t>TX0132543_001</t>
  </si>
  <si>
    <t>TX0132560_001</t>
  </si>
  <si>
    <t>TX0132608_001</t>
  </si>
  <si>
    <t>TX0132632_001</t>
  </si>
  <si>
    <t>TX0132659_001</t>
  </si>
  <si>
    <t>TX0132675_001</t>
  </si>
  <si>
    <t>TX0132683_005</t>
  </si>
  <si>
    <t>TX0132705_001</t>
  </si>
  <si>
    <t>TX0132713_001</t>
  </si>
  <si>
    <t>TX0132721_001</t>
  </si>
  <si>
    <t>TX0132730_001</t>
  </si>
  <si>
    <t>TX0132756_001</t>
  </si>
  <si>
    <t>TX0132764_001</t>
  </si>
  <si>
    <t>TX0132799_001</t>
  </si>
  <si>
    <t>TX0132802_001</t>
  </si>
  <si>
    <t>TX0132829_001</t>
  </si>
  <si>
    <t>TX0132837_001</t>
  </si>
  <si>
    <t>TX0132896_001</t>
  </si>
  <si>
    <t>TX0132918_001</t>
  </si>
  <si>
    <t>TX0132926_001</t>
  </si>
  <si>
    <t>TX0132942_001</t>
  </si>
  <si>
    <t>TX0132993_001</t>
  </si>
  <si>
    <t>TX0133001_001</t>
  </si>
  <si>
    <t>TX0133019_001</t>
  </si>
  <si>
    <t>TX0133027_001</t>
  </si>
  <si>
    <t>TX0133035_001</t>
  </si>
  <si>
    <t>TX0133043_001</t>
  </si>
  <si>
    <t>TX0133051_001</t>
  </si>
  <si>
    <t>TX0133094_001</t>
  </si>
  <si>
    <t>TX0133124_001</t>
  </si>
  <si>
    <t>TX0133141_001</t>
  </si>
  <si>
    <t>TX0133167_001</t>
  </si>
  <si>
    <t>TX0133175_001</t>
  </si>
  <si>
    <t>TX0133183_001</t>
  </si>
  <si>
    <t>TX0133205_001</t>
  </si>
  <si>
    <t>TX0133230_001</t>
  </si>
  <si>
    <t>TX0133248_002</t>
  </si>
  <si>
    <t>TX0133302_001</t>
  </si>
  <si>
    <t>TX0133311_001</t>
  </si>
  <si>
    <t>TX0133329_001</t>
  </si>
  <si>
    <t>TX0133337_001</t>
  </si>
  <si>
    <t>TX0133353_001</t>
  </si>
  <si>
    <t>TX0133370_005</t>
  </si>
  <si>
    <t>TX0133388_001</t>
  </si>
  <si>
    <t>TX0133396_001</t>
  </si>
  <si>
    <t>TX0133442_001</t>
  </si>
  <si>
    <t>TX0133469_001</t>
  </si>
  <si>
    <t>TX0133523_001</t>
  </si>
  <si>
    <t>TX0133531_004</t>
  </si>
  <si>
    <t>TX0133540_001</t>
  </si>
  <si>
    <t>TX0133566_001</t>
  </si>
  <si>
    <t>TX0133574_011</t>
  </si>
  <si>
    <t>TX0133582_001</t>
  </si>
  <si>
    <t>TX0133621_001</t>
  </si>
  <si>
    <t>TX0133655_001</t>
  </si>
  <si>
    <t>TX0133663_001</t>
  </si>
  <si>
    <t>TX0133680_001</t>
  </si>
  <si>
    <t>TX0133698_001</t>
  </si>
  <si>
    <t>TX0133701_001</t>
  </si>
  <si>
    <t>TX0133710_001</t>
  </si>
  <si>
    <t>TX0133736_001</t>
  </si>
  <si>
    <t>TX0133744_001</t>
  </si>
  <si>
    <t>TX0133761_001</t>
  </si>
  <si>
    <t>TX0133779_001</t>
  </si>
  <si>
    <t>TX0133787_001</t>
  </si>
  <si>
    <t>TX0133809_001</t>
  </si>
  <si>
    <t>TX0133817_001</t>
  </si>
  <si>
    <t>TX0133825_001</t>
  </si>
  <si>
    <t>TX0133833_001</t>
  </si>
  <si>
    <t>TX0133884_003</t>
  </si>
  <si>
    <t>TX0133906_001</t>
  </si>
  <si>
    <t>TX0133914_001</t>
  </si>
  <si>
    <t>TX0133957_001</t>
  </si>
  <si>
    <t>TX0133981_001</t>
  </si>
  <si>
    <t>TX0134244_001</t>
  </si>
  <si>
    <t>TX0134261_001</t>
  </si>
  <si>
    <t>TX0134287_001</t>
  </si>
  <si>
    <t>TX0134309_001</t>
  </si>
  <si>
    <t>TX0134325_001</t>
  </si>
  <si>
    <t>TX0134376_001</t>
  </si>
  <si>
    <t>TX0134422_011</t>
  </si>
  <si>
    <t>TX0134449_001</t>
  </si>
  <si>
    <t>TX0134465_004</t>
  </si>
  <si>
    <t>TX0134481_001</t>
  </si>
  <si>
    <t>TX0134490_001</t>
  </si>
  <si>
    <t>TX0134503_001</t>
  </si>
  <si>
    <t>TX0134520_001</t>
  </si>
  <si>
    <t>TX0134546_001</t>
  </si>
  <si>
    <t>TX0134571_001</t>
  </si>
  <si>
    <t>TX0134601_001</t>
  </si>
  <si>
    <t>TX0134619_001</t>
  </si>
  <si>
    <t>TX0134627_001</t>
  </si>
  <si>
    <t>TX0134643_001</t>
  </si>
  <si>
    <t>TX0134651_101</t>
  </si>
  <si>
    <t>TX0134694_004</t>
  </si>
  <si>
    <t>TX0134708_001</t>
  </si>
  <si>
    <t>TX0134716_001</t>
  </si>
  <si>
    <t>TX0134759_001</t>
  </si>
  <si>
    <t>TX0134775_001</t>
  </si>
  <si>
    <t>TX0134791_001</t>
  </si>
  <si>
    <t>TX0134813_001</t>
  </si>
  <si>
    <t>TX0134856_001</t>
  </si>
  <si>
    <t>TX0134872_001</t>
  </si>
  <si>
    <t>TX0134899_001</t>
  </si>
  <si>
    <t>TX0134902_001</t>
  </si>
  <si>
    <t>TX0134911_001</t>
  </si>
  <si>
    <t>TX0134929_001</t>
  </si>
  <si>
    <t>TX0134937_001</t>
  </si>
  <si>
    <t>TX0134953_001</t>
  </si>
  <si>
    <t>TX0134996_001</t>
  </si>
  <si>
    <t>TX0135020_001</t>
  </si>
  <si>
    <t>TX0135046_001</t>
  </si>
  <si>
    <t>TX0135054_001</t>
  </si>
  <si>
    <t>TX0135062_001</t>
  </si>
  <si>
    <t>TX0135089_001</t>
  </si>
  <si>
    <t>TX0135101_001</t>
  </si>
  <si>
    <t>TX0135119_001</t>
  </si>
  <si>
    <t>TX0135143_001</t>
  </si>
  <si>
    <t>TX0135151_001</t>
  </si>
  <si>
    <t>TX0135160_001</t>
  </si>
  <si>
    <t>TX0135186_001</t>
  </si>
  <si>
    <t>TX0135283_001</t>
  </si>
  <si>
    <t>TX0135305_001</t>
  </si>
  <si>
    <t>TX0135356_001</t>
  </si>
  <si>
    <t>TX0135364_001</t>
  </si>
  <si>
    <t>TX0135373_001</t>
  </si>
  <si>
    <t>TX0135411_001</t>
  </si>
  <si>
    <t>TX0135453_001</t>
  </si>
  <si>
    <t>TX0135461_001</t>
  </si>
  <si>
    <t>TX0135470_002</t>
  </si>
  <si>
    <t>TX0135488_001</t>
  </si>
  <si>
    <t>TX0135500_013</t>
  </si>
  <si>
    <t>TX0135526_001</t>
  </si>
  <si>
    <t>TX0135551_001</t>
  </si>
  <si>
    <t>TX0135593_002</t>
  </si>
  <si>
    <t>TX0135615_001</t>
  </si>
  <si>
    <t>TX0135631_001</t>
  </si>
  <si>
    <t>TX0135640_002</t>
  </si>
  <si>
    <t>TX0135682_001</t>
  </si>
  <si>
    <t>TX0135704_001</t>
  </si>
  <si>
    <t>TX0135721_001</t>
  </si>
  <si>
    <t>TX0135747_001</t>
  </si>
  <si>
    <t>TX0135763_001</t>
  </si>
  <si>
    <t>TX0135836_002</t>
  </si>
  <si>
    <t>TX0135879_001</t>
  </si>
  <si>
    <t>TX0135895_001</t>
  </si>
  <si>
    <t>TX0135917_003</t>
  </si>
  <si>
    <t>TX0135925_001</t>
  </si>
  <si>
    <t>TX0135941_001</t>
  </si>
  <si>
    <t>TX0135984_001</t>
  </si>
  <si>
    <t>TX0135992_001</t>
  </si>
  <si>
    <t>TX0136000_001</t>
  </si>
  <si>
    <t>TX0136034_001</t>
  </si>
  <si>
    <t>TX0136051_001</t>
  </si>
  <si>
    <t>TX0136123_001</t>
  </si>
  <si>
    <t>TX0136140_001</t>
  </si>
  <si>
    <t>TX0136158_002</t>
  </si>
  <si>
    <t>TX0136191_001</t>
  </si>
  <si>
    <t>TX0136204_001</t>
  </si>
  <si>
    <t>TX0136239_001</t>
  </si>
  <si>
    <t>TX0136280_001</t>
  </si>
  <si>
    <t>TX0136344_003</t>
  </si>
  <si>
    <t>TX0136361_001</t>
  </si>
  <si>
    <t>TX0136387_001</t>
  </si>
  <si>
    <t>TX0136417_001</t>
  </si>
  <si>
    <t>TX0136433_001</t>
  </si>
  <si>
    <t>TX0136531_001</t>
  </si>
  <si>
    <t>TX0136557_001</t>
  </si>
  <si>
    <t>TX0136573_003</t>
  </si>
  <si>
    <t>TX0136581_001</t>
  </si>
  <si>
    <t>TX0136590_001</t>
  </si>
  <si>
    <t>TX0136603_001</t>
  </si>
  <si>
    <t>TX0136638_001</t>
  </si>
  <si>
    <t>TX0136662_001</t>
  </si>
  <si>
    <t>TX0136701_001</t>
  </si>
  <si>
    <t>TX0136727_001</t>
  </si>
  <si>
    <t>TX0136743_001</t>
  </si>
  <si>
    <t>TX0136760_001</t>
  </si>
  <si>
    <t>TX0136824_002</t>
  </si>
  <si>
    <t>TX0136875_001</t>
  </si>
  <si>
    <t>TX0136905_001</t>
  </si>
  <si>
    <t>TX0136930_001</t>
  </si>
  <si>
    <t>TX0136964_002</t>
  </si>
  <si>
    <t>TX0136997_001</t>
  </si>
  <si>
    <t>TX0137031_002</t>
  </si>
  <si>
    <t>TX0137111_001</t>
  </si>
  <si>
    <t>TX0137146_001</t>
  </si>
  <si>
    <t>TX0137197_001</t>
  </si>
  <si>
    <t>TX0137235_001</t>
  </si>
  <si>
    <t>TX0137251_001</t>
  </si>
  <si>
    <t>TX0137286_001</t>
  </si>
  <si>
    <t>TX0137332_001</t>
  </si>
  <si>
    <t>TX0137464_001</t>
  </si>
  <si>
    <t>TX0137481_001</t>
  </si>
  <si>
    <t>TX0137511_001</t>
  </si>
  <si>
    <t>TX0137596_001</t>
  </si>
  <si>
    <t>TX0137600_001</t>
  </si>
  <si>
    <t>TX0137626_001</t>
  </si>
  <si>
    <t>TX0137651_001</t>
  </si>
  <si>
    <t>TX0137685_001</t>
  </si>
  <si>
    <t>TX0137707_001</t>
  </si>
  <si>
    <t>TX0137740_001</t>
  </si>
  <si>
    <t>TX0137766_001</t>
  </si>
  <si>
    <t>TX0137782_001</t>
  </si>
  <si>
    <t>TX0137928_001</t>
  </si>
  <si>
    <t>TX0137936_001</t>
  </si>
  <si>
    <t>TX0138118_001</t>
  </si>
  <si>
    <t>TX0138142_001</t>
  </si>
  <si>
    <t>TX0138215_001</t>
  </si>
  <si>
    <t>TX0138231_001</t>
  </si>
  <si>
    <t>TX0138240_001</t>
  </si>
  <si>
    <t>TX0138258_001</t>
  </si>
  <si>
    <t>TX0138932_001</t>
  </si>
  <si>
    <t>25th</t>
  </si>
  <si>
    <t>75th</t>
  </si>
  <si>
    <t>IQR</t>
  </si>
  <si>
    <t>min</t>
  </si>
  <si>
    <t>max</t>
  </si>
  <si>
    <t>suspect_flag</t>
  </si>
  <si>
    <t>SUSPECT_BAD_DATA_FLAG</t>
  </si>
  <si>
    <t>C:\Users\BThaman\OneDrive - HDR, Inc\Documents\PycharmProjects\TWDB_ASR\WAM\Brazos\bwam3.OUT</t>
  </si>
  <si>
    <t>C:\Users\BThaman\OneDrive - HDR, Inc\Documents\PycharmProjects\TWDB_ASR\WAM\Lavaca\lav3.OUT</t>
  </si>
  <si>
    <t>C:\Users\BThaman\OneDrive - HDR, Inc\Documents\PycharmProjects\TWDB_ASR\WAM\Neches\neches3.OUT</t>
  </si>
  <si>
    <t>C:\Users\BThaman\OneDrive - HDR, Inc\Documents\PycharmProjects\TWDB_ASR\WAM\Sabine\sabine3.OUT</t>
  </si>
  <si>
    <t>C:\Users\BThaman\OneDrive - HDR, Inc\Documents\PycharmProjects\TWDB_ASR\WAM\San Jacinto\sjarun3.OUT</t>
  </si>
  <si>
    <t>C:\Users\BThaman\OneDrive - HDR, Inc\Documents\PycharmProjects\TWDB_ASR\WAM\Trinity\trin3.OUT</t>
  </si>
  <si>
    <t>C:\Users\BThaman\OneDrive - HDR, Inc\Documents\PycharmProjects\TWDB_ASR\WAM\Canadian\crun3.OUT</t>
  </si>
  <si>
    <t>C:\Users\BThaman\OneDrive - HDR, Inc\Documents\PycharmProjects\TWDB_ASR\WAM\Cypress\cyp03.OUT</t>
  </si>
  <si>
    <t>Guadalupe-San Antonio</t>
  </si>
  <si>
    <t>C:\Users\BThaman\OneDrive - HDR, Inc\Documents\PycharmProjects\TWDB_ASR\WAM\Guadalupe-San Antonio\gsa_run3.OUT</t>
  </si>
  <si>
    <t>C:\Users\BThaman\OneDrive - HDR, Inc\Documents\PycharmProjects\TWDB_ASR\WAM\red\red3.OUT</t>
  </si>
  <si>
    <t>C:\Users\BThaman\OneDrive - HDR, Inc\Documents\PycharmProjects\TWDB_ASR\WAM\rio grande\rg3.OUT</t>
  </si>
  <si>
    <t>C:\Users\BThaman\OneDrive - HDR, Inc\Documents\PycharmProjects\TWDB_ASR\WAM\sulphur\sulphur3.OUT</t>
  </si>
  <si>
    <t>C:\Users\BThaman\OneDrive - HDR, Inc\Documents\PycharmProjects\TWDB_ASR\WAM\colorado\c3.OUT</t>
  </si>
  <si>
    <t>C:\Users\BThaman\OneDrive - HDR, Inc\Documents\PycharmProjects\TWDB_ASR\WAM\nueces\n_run3.OUT</t>
  </si>
  <si>
    <t>Done</t>
  </si>
  <si>
    <t>Brazos_Brazos-San Jacinto</t>
  </si>
  <si>
    <t>C:\Users\BThaman\OneDrive - HDR, Inc\Documents\PycharmProjects\TWDB_ASR\WAM\Brazos_Brazos-San Jacinto\bwam3.out</t>
  </si>
  <si>
    <t>C:\Users\BThaman\OneDrive - HDR, Inc\Documents\PycharmProjects\TWDB_ASR\WAM\Colorado-Lavaca\col-lav3.out</t>
  </si>
  <si>
    <t>C:\Users\BThaman\OneDrive - HDR, Inc\Documents\PycharmProjects\TWDB_ASR\WAM\Lavaca-Guadalupe\lavguad3.out</t>
  </si>
  <si>
    <t>C:\Users\BThaman\OneDrive - HDR, Inc\Documents\PycharmProjects\TWDB_ASR\WAM\Neches-Trinity\nt3.out</t>
  </si>
  <si>
    <t>C:\Users\BThaman\OneDrive - HDR, Inc\Documents\PycharmProjects\TWDB_ASR\WAM\Nueces-Rio Grande\nrg3.out</t>
  </si>
  <si>
    <t>C:\Users\BThaman\OneDrive - HDR, Inc\Documents\PycharmProjects\TWDB_ASR\WAM\San Antonio-Nueces\r3basin20.out</t>
  </si>
  <si>
    <t>C:\Users\BThaman\OneDrive - HDR, Inc\Documents\PycharmProjects\TWDB_ASR\WAM\Trinity-San Jacinto\tsj3.out</t>
  </si>
  <si>
    <t>C:\Users\BTHAMAN\Documents\JCW\env\Scripts\pythonw.exe</t>
  </si>
  <si>
    <t>1/2010</t>
  </si>
  <si>
    <t>X</t>
  </si>
  <si>
    <t>Y</t>
  </si>
  <si>
    <t>OBJECTID</t>
  </si>
  <si>
    <t>HORZ_METH</t>
  </si>
  <si>
    <t>HORZ_ACC</t>
  </si>
  <si>
    <t>HORZ_REF</t>
  </si>
  <si>
    <t>HORZ_DATE</t>
  </si>
  <si>
    <t>HORZ_ORG</t>
  </si>
  <si>
    <t>HORZ_DATUM</t>
  </si>
  <si>
    <t>HORZ_DESC</t>
  </si>
  <si>
    <t>UTM_ZONE</t>
  </si>
  <si>
    <t>GPS_CERT</t>
  </si>
  <si>
    <t>DRG</t>
  </si>
  <si>
    <t>other</t>
  </si>
  <si>
    <t>TCEQ</t>
  </si>
  <si>
    <t>NAD83</t>
  </si>
  <si>
    <t>End of pipe as indicated on paper map</t>
  </si>
  <si>
    <t>BBC</t>
  </si>
  <si>
    <t>BYK USA INC</t>
  </si>
  <si>
    <t xml:space="preserve"> </t>
  </si>
  <si>
    <t>JJR</t>
  </si>
  <si>
    <t>&lt;Null&gt;</t>
  </si>
  <si>
    <t>GMD</t>
  </si>
  <si>
    <t>DOQQ</t>
  </si>
  <si>
    <t>16150-001.001</t>
  </si>
  <si>
    <t>16150-001</t>
  </si>
  <si>
    <t>NIV NYLON CHEMICALS AMERICAS LLC</t>
  </si>
  <si>
    <t>15858-001.001</t>
  </si>
  <si>
    <t>15858-001</t>
  </si>
  <si>
    <t>JAKOVICH &amp; PERRY CAPITAL PARTNERS LLC</t>
  </si>
  <si>
    <t>15859-001.001</t>
  </si>
  <si>
    <t>15859-001</t>
  </si>
  <si>
    <t xml:space="preserve">WALTON TEXAS LP </t>
  </si>
  <si>
    <t>COLETO CREEK POWER LLC</t>
  </si>
  <si>
    <t>15933-001.001</t>
  </si>
  <si>
    <t>15933-001</t>
  </si>
  <si>
    <t>STUDIO ESTATES LLC</t>
  </si>
  <si>
    <t>15949-001.001</t>
  </si>
  <si>
    <t>15949-001</t>
  </si>
  <si>
    <t>OCEAN VIEW PROPERTY GROUP LTD</t>
  </si>
  <si>
    <t>16052-001.001</t>
  </si>
  <si>
    <t>16052-001</t>
  </si>
  <si>
    <t>SJWTX INC AND MARY JANE CIELENCKI</t>
  </si>
  <si>
    <t>15917-001.001</t>
  </si>
  <si>
    <t>15917-001</t>
  </si>
  <si>
    <t>GREEN VALLEY SUD</t>
  </si>
  <si>
    <t>15843-001.001</t>
  </si>
  <si>
    <t>15843-001</t>
  </si>
  <si>
    <t>KALI KATE SERVICES INC</t>
  </si>
  <si>
    <t>15966-001.001</t>
  </si>
  <si>
    <t>15966-001</t>
  </si>
  <si>
    <t>16049-001.001</t>
  </si>
  <si>
    <t>16049-001</t>
  </si>
  <si>
    <t>RATTLER RIDGE LLC</t>
  </si>
  <si>
    <t>16107-001.001</t>
  </si>
  <si>
    <t>16107-001</t>
  </si>
  <si>
    <t>PHAU-LOCKHART 450 LLC</t>
  </si>
  <si>
    <t>10576-002.001</t>
  </si>
  <si>
    <t>10576-002</t>
  </si>
  <si>
    <t>10277-003.002</t>
  </si>
  <si>
    <t>16163-001.001</t>
  </si>
  <si>
    <t>16163-001</t>
  </si>
  <si>
    <t>HIGHLANDER REAL ESTATE PARTNERS LLC</t>
  </si>
  <si>
    <t>15978-001.001</t>
  </si>
  <si>
    <t>15978-001</t>
  </si>
  <si>
    <t>SOUTHSTAR COMMUNITIES LLC</t>
  </si>
  <si>
    <t>15940-001.001</t>
  </si>
  <si>
    <t>15940-001</t>
  </si>
  <si>
    <t>CONTINENTAL HOMES OF TEXAS LP AND KY TEX PROPERTIES LLC</t>
  </si>
  <si>
    <t>15918-001.001</t>
  </si>
  <si>
    <t>15918-001</t>
  </si>
  <si>
    <t>15939-001.001</t>
  </si>
  <si>
    <t>15939-001</t>
  </si>
  <si>
    <t>EC ENTERPRISES LLC</t>
  </si>
  <si>
    <t>15962-001.001</t>
  </si>
  <si>
    <t>15962-001</t>
  </si>
  <si>
    <t>CITY OF ELMENDORF</t>
  </si>
  <si>
    <t>16154-001.001</t>
  </si>
  <si>
    <t>16154-001</t>
  </si>
  <si>
    <t>CIVITAS AT BUDA LLC</t>
  </si>
  <si>
    <t>16149-001.001</t>
  </si>
  <si>
    <t>16149-001</t>
  </si>
  <si>
    <t>AUSTIN MARK VENTURES LLC</t>
  </si>
  <si>
    <t>15990-001.001</t>
  </si>
  <si>
    <t>15990-001</t>
  </si>
  <si>
    <t>GRAM VIKAS PARTNERS INC</t>
  </si>
  <si>
    <t>10232-001.002</t>
  </si>
  <si>
    <t>16060-001.001</t>
  </si>
  <si>
    <t>16060-001</t>
  </si>
  <si>
    <t>16112-001.001</t>
  </si>
  <si>
    <t>16112-001</t>
  </si>
  <si>
    <t>STAFFORD DEVELOPMENT WWP LLC</t>
  </si>
  <si>
    <t>15852-001.001</t>
  </si>
  <si>
    <t>15852-001</t>
  </si>
  <si>
    <t>15866-001.001</t>
  </si>
  <si>
    <t>15866-001</t>
  </si>
  <si>
    <t>MATCH</t>
  </si>
  <si>
    <t>TX0139947</t>
  </si>
  <si>
    <t>TX0139955</t>
  </si>
  <si>
    <t>TX0138657</t>
  </si>
  <si>
    <t>TX0140686</t>
  </si>
  <si>
    <t>TX0141828</t>
  </si>
  <si>
    <t>TX0139785</t>
  </si>
  <si>
    <t>TX0141054</t>
  </si>
  <si>
    <t>TX0141798</t>
  </si>
  <si>
    <t>TX0142409</t>
  </si>
  <si>
    <t>TX0140481</t>
  </si>
  <si>
    <t>TX0142905</t>
  </si>
  <si>
    <t>TX0141186</t>
  </si>
  <si>
    <t>TX0140741</t>
  </si>
  <si>
    <t>TX0140554</t>
  </si>
  <si>
    <t>TX0142832</t>
  </si>
  <si>
    <t>TX0142808</t>
  </si>
  <si>
    <t>TX0141283</t>
  </si>
  <si>
    <t>TX0142441</t>
  </si>
  <si>
    <t>TX0139904</t>
  </si>
  <si>
    <t>TX0140155</t>
  </si>
  <si>
    <t>TX0142816</t>
  </si>
  <si>
    <t>TX0140881</t>
  </si>
  <si>
    <t>TX0140546</t>
  </si>
  <si>
    <t>TX0137294</t>
  </si>
  <si>
    <t>TX0140732</t>
  </si>
  <si>
    <t>TX0140996</t>
  </si>
  <si>
    <t>TX0141909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</si>
</sst>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0000000"/>
    <numFmt numFmtId="165" formatCode="[$-1010409]#,##0"/>
    <numFmt numFmtId="166" formatCode="[$-10409]#,##0;\-#,##0"/>
    <numFmt numFmtId="167" formatCode="#,##0.0"/>
    <numFmt numFmtId="168" formatCode="m/yyyy;@"/>
  </numFmts>
  <fonts count="20" x14ac:knownFonts="1"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name val="Calibri"/>
      <family val="2"/>
    </font>
    <font>
      <b/>
      <sz val="14"/>
      <color rgb="FF00008B"/>
      <name val="Calibri"/>
      <family val="2"/>
    </font>
    <font>
      <b/>
      <sz val="9"/>
      <color rgb="FFFFFFFF"/>
      <name val="Calibri"/>
      <family val="2"/>
    </font>
    <font>
      <sz val="9.5"/>
      <color rgb="FF000000"/>
      <name val="Calibri"/>
      <family val="2"/>
    </font>
    <font>
      <sz val="10"/>
      <name val="Arial"/>
      <family val="2"/>
    </font>
    <font>
      <sz val="9.5"/>
      <color indexed="8"/>
      <name val="Calibri"/>
      <family val="2"/>
      <scheme val="minor"/>
    </font>
    <font>
      <sz val="9.5"/>
      <name val="Calibri"/>
      <family val="2"/>
      <scheme val="minor"/>
    </font>
    <font>
      <b/>
      <sz val="9.5"/>
      <color rgb="FF000000"/>
      <name val="Calibri"/>
      <family val="2"/>
    </font>
    <font>
      <b/>
      <sz val="9.5"/>
      <color rgb="FF000000"/>
      <name val="Calibri"/>
      <family val="2"/>
      <scheme val="minor"/>
    </font>
    <font>
      <b/>
      <sz val="9.5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4682B4"/>
        <bgColor rgb="FF4682B4"/>
      </patternFill>
    </fill>
    <fill>
      <patternFill patternType="solid">
        <fgColor theme="6" tint="0.39997558519241921"/>
        <bgColor rgb="FF4682B4"/>
      </patternFill>
    </fill>
    <fill>
      <patternFill patternType="solid">
        <fgColor rgb="FFFFFFFF"/>
        <bgColor rgb="FFFFFFFF"/>
      </patternFill>
    </fill>
    <fill>
      <patternFill patternType="solid">
        <fgColor rgb="FFDCDCDC"/>
        <bgColor rgb="FFDCDCDC"/>
      </patternFill>
    </fill>
    <fill>
      <patternFill patternType="solid">
        <fgColor theme="4" tint="-0.499984740745262"/>
        <bgColor indexed="64"/>
      </patternFill>
    </fill>
  </fills>
  <borders count="12">
    <border>
      <left/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B0C4DE"/>
      </left>
      <right style="thin">
        <color rgb="FFB0C4DE"/>
      </right>
      <top style="thin">
        <color rgb="FFB0C4DE"/>
      </top>
      <bottom style="thin">
        <color rgb="FFB0C4DE"/>
      </bottom>
      <diagonal/>
    </border>
    <border>
      <left style="thin">
        <color rgb="FFB0C4DE"/>
      </left>
      <right style="thin">
        <color rgb="FFB0C4DE"/>
      </right>
      <top style="thin">
        <color rgb="FFD3D3D3"/>
      </top>
      <bottom style="thin">
        <color rgb="FFB0C4DE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B0C4DE"/>
      </left>
      <right style="thin">
        <color rgb="FFB0C4DE"/>
      </right>
      <top/>
      <bottom style="thin">
        <color rgb="FFB0C4D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1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/>
    <xf numFmtId="0" fontId="11" fillId="0" borderId="0">
      <alignment wrapText="1"/>
    </xf>
  </cellStyleXfs>
  <cellXfs count="44">
    <xf numFmtId="0" fontId="0" fillId="0" borderId="0" xfId="0"/>
    <xf numFmtId="0" fontId="2" fillId="0" borderId="0" xfId="2" applyAlignment="1">
      <alignment vertical="center"/>
    </xf>
    <xf numFmtId="0" fontId="3" fillId="0" borderId="0" xfId="2" applyFont="1" applyAlignment="1">
      <alignment vertical="center"/>
    </xf>
    <xf numFmtId="0" fontId="2" fillId="0" borderId="0" xfId="2" applyAlignment="1">
      <alignment horizontal="left" vertical="center"/>
    </xf>
    <xf numFmtId="0" fontId="0" fillId="0" borderId="0" xfId="0" quotePrefix="1"/>
    <xf numFmtId="0" fontId="0" fillId="0" borderId="0" xfId="0" quotePrefix="1" applyAlignment="1">
      <alignment horizontal="left" indent="2"/>
    </xf>
    <xf numFmtId="1" fontId="0" fillId="0" borderId="0" xfId="0" applyNumberFormat="1"/>
    <xf numFmtId="164" fontId="0" fillId="0" borderId="0" xfId="0" applyNumberFormat="1"/>
    <xf numFmtId="1" fontId="4" fillId="0" borderId="0" xfId="0" applyNumberFormat="1" applyFont="1"/>
    <xf numFmtId="164" fontId="4" fillId="0" borderId="0" xfId="0" applyNumberFormat="1" applyFont="1"/>
    <xf numFmtId="0" fontId="4" fillId="0" borderId="0" xfId="0" applyFont="1"/>
    <xf numFmtId="1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5" fillId="0" borderId="0" xfId="3" applyAlignment="1">
      <alignment horizontal="center"/>
    </xf>
    <xf numFmtId="0" fontId="5" fillId="0" borderId="0" xfId="3"/>
    <xf numFmtId="0" fontId="0" fillId="2" borderId="0" xfId="0" applyFill="1"/>
    <xf numFmtId="0" fontId="7" fillId="0" borderId="0" xfId="4" applyFont="1" applyFill="1" applyBorder="1"/>
    <xf numFmtId="0" fontId="9" fillId="3" borderId="4" xfId="4" applyNumberFormat="1" applyFont="1" applyFill="1" applyBorder="1" applyAlignment="1">
      <alignment horizontal="center" wrapText="1" readingOrder="1"/>
    </xf>
    <xf numFmtId="0" fontId="9" fillId="4" borderId="4" xfId="4" applyNumberFormat="1" applyFont="1" applyFill="1" applyBorder="1" applyAlignment="1">
      <alignment horizontal="center" wrapText="1" readingOrder="1"/>
    </xf>
    <xf numFmtId="0" fontId="10" fillId="5" borderId="5" xfId="4" applyNumberFormat="1" applyFont="1" applyFill="1" applyBorder="1" applyAlignment="1">
      <alignment vertical="center" wrapText="1" readingOrder="1"/>
    </xf>
    <xf numFmtId="165" fontId="12" fillId="0" borderId="6" xfId="5" applyNumberFormat="1" applyFont="1" applyFill="1" applyBorder="1" applyAlignment="1">
      <alignment horizontal="right" vertical="top" wrapText="1"/>
    </xf>
    <xf numFmtId="166" fontId="10" fillId="5" borderId="5" xfId="4" applyNumberFormat="1" applyFont="1" applyFill="1" applyBorder="1" applyAlignment="1">
      <alignment horizontal="right" vertical="center" wrapText="1" readingOrder="1"/>
    </xf>
    <xf numFmtId="10" fontId="13" fillId="0" borderId="7" xfId="4" applyNumberFormat="1" applyFont="1" applyBorder="1" applyAlignment="1"/>
    <xf numFmtId="0" fontId="14" fillId="6" borderId="5" xfId="4" applyNumberFormat="1" applyFont="1" applyFill="1" applyBorder="1" applyAlignment="1">
      <alignment vertical="center" wrapText="1" readingOrder="1"/>
    </xf>
    <xf numFmtId="165" fontId="15" fillId="6" borderId="8" xfId="4" applyNumberFormat="1" applyFont="1" applyFill="1" applyBorder="1" applyAlignment="1">
      <alignment vertical="center" wrapText="1" readingOrder="1"/>
    </xf>
    <xf numFmtId="166" fontId="14" fillId="6" borderId="5" xfId="4" applyNumberFormat="1" applyFont="1" applyFill="1" applyBorder="1" applyAlignment="1">
      <alignment horizontal="right" vertical="center" wrapText="1" readingOrder="1"/>
    </xf>
    <xf numFmtId="10" fontId="16" fillId="0" borderId="7" xfId="4" applyNumberFormat="1" applyFont="1" applyBorder="1" applyAlignment="1"/>
    <xf numFmtId="0" fontId="0" fillId="0" borderId="0" xfId="0" applyFill="1"/>
    <xf numFmtId="0" fontId="0" fillId="0" borderId="0" xfId="0" applyAlignment="1">
      <alignment vertical="center"/>
    </xf>
    <xf numFmtId="0" fontId="17" fillId="7" borderId="9" xfId="0" applyFont="1" applyFill="1" applyBorder="1" applyAlignment="1">
      <alignment vertical="center"/>
    </xf>
    <xf numFmtId="0" fontId="0" fillId="0" borderId="9" xfId="0" applyBorder="1"/>
    <xf numFmtId="0" fontId="18" fillId="2" borderId="10" xfId="0" applyFont="1" applyFill="1" applyBorder="1" applyAlignment="1">
      <alignment vertical="center"/>
    </xf>
    <xf numFmtId="167" fontId="0" fillId="0" borderId="0" xfId="0" applyNumberFormat="1"/>
    <xf numFmtId="4" fontId="0" fillId="0" borderId="0" xfId="0" applyNumberFormat="1"/>
    <xf numFmtId="0" fontId="18" fillId="2" borderId="11" xfId="0" quotePrefix="1" applyFont="1" applyFill="1" applyBorder="1" applyAlignment="1">
      <alignment vertical="center"/>
    </xf>
    <xf numFmtId="168" fontId="0" fillId="0" borderId="0" xfId="0" quotePrefix="1" applyNumberFormat="1"/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0" fontId="8" fillId="0" borderId="1" xfId="4" applyNumberFormat="1" applyFont="1" applyFill="1" applyBorder="1" applyAlignment="1">
      <alignment horizontal="center" wrapText="1" readingOrder="1"/>
    </xf>
    <xf numFmtId="0" fontId="8" fillId="0" borderId="2" xfId="4" applyNumberFormat="1" applyFont="1" applyFill="1" applyBorder="1" applyAlignment="1">
      <alignment horizontal="center" wrapText="1" readingOrder="1"/>
    </xf>
    <xf numFmtId="0" fontId="7" fillId="0" borderId="2" xfId="4" applyNumberFormat="1" applyFont="1" applyFill="1" applyBorder="1" applyAlignment="1">
      <alignment vertical="top" wrapText="1"/>
    </xf>
    <xf numFmtId="0" fontId="7" fillId="0" borderId="3" xfId="4" applyNumberFormat="1" applyFont="1" applyFill="1" applyBorder="1" applyAlignment="1">
      <alignment vertical="top" wrapText="1"/>
    </xf>
  </cellXfs>
  <cellStyles count="6">
    <cellStyle name="Hyperlink" xfId="3" builtinId="8"/>
    <cellStyle name="Normal" xfId="0" builtinId="0"/>
    <cellStyle name="Normal 2" xfId="1" xr:uid="{00000000-0005-0000-0000-000002000000}"/>
    <cellStyle name="Normal 2 2" xfId="5" xr:uid="{00000000-0005-0000-0000-000003000000}"/>
    <cellStyle name="Normal 3" xfId="2" xr:uid="{00000000-0005-0000-0000-000004000000}"/>
    <cellStyle name="Normal 4" xfId="4" xr:uid="{00000000-0005-0000-0000-000005000000}"/>
  </cellStyles>
  <dxfs count="3"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hdrinc-my.sharepoint.com/Users/WThaman/Desktop/HDR/JCW/ESS/JCW_ESS_v0.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hdrinc-my.sharepoint.com/personal/bthaman_hdrinc_com/Documents/Documents/PycharmProjects/TWDB_ASR/DB22_pop_county_percent_growth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YPES"/>
      <sheetName val="ATTRIBUTES"/>
      <sheetName val="DOMAINS"/>
      <sheetName val="GENERAL_LISTS"/>
      <sheetName val="LISTS"/>
      <sheetName val="Hierarchy"/>
      <sheetName val="Settings"/>
      <sheetName val="Equipment Summary"/>
      <sheetName val="Status"/>
      <sheetName val="ESS_1"/>
    </sheetNames>
    <sheetDataSet>
      <sheetData sheetId="0"/>
      <sheetData sheetId="1"/>
      <sheetData sheetId="2"/>
      <sheetData sheetId="3">
        <row r="2">
          <cell r="A2" t="str">
            <v>ADMIN/MAINT/UTIL/LAND/FENCE/PAVING</v>
          </cell>
          <cell r="B2" t="str">
            <v>ADMIN SECURITY</v>
          </cell>
          <cell r="C2" t="str">
            <v>55TH ST PUMP STATION FACILITY</v>
          </cell>
        </row>
        <row r="3">
          <cell r="A3" t="str">
            <v>BIOLOGICAL</v>
          </cell>
          <cell r="B3" t="str">
            <v>AERATION</v>
          </cell>
          <cell r="C3" t="str">
            <v>75TH ST HS FACILITY</v>
          </cell>
        </row>
        <row r="4">
          <cell r="A4" t="str">
            <v>DISINFECTION</v>
          </cell>
          <cell r="B4" t="str">
            <v>BIOLOGICAL ODOR CONTROL</v>
          </cell>
          <cell r="C4" t="str">
            <v>BELINDER HS FACILITY</v>
          </cell>
        </row>
        <row r="5">
          <cell r="A5" t="str">
            <v>EXTRANEOUS FLOW</v>
          </cell>
          <cell r="B5" t="str">
            <v>CARBON ODOR CONTROL</v>
          </cell>
          <cell r="C5" t="str">
            <v>BELINDER PS FACILITY</v>
          </cell>
        </row>
        <row r="6">
          <cell r="A6" t="str">
            <v>GRIT REMOVAL AND PROCESSING</v>
          </cell>
          <cell r="B6" t="str">
            <v>CAUSTIC SYSTEM</v>
          </cell>
          <cell r="C6" t="str">
            <v>BLUE RIVER</v>
          </cell>
        </row>
        <row r="7">
          <cell r="A7" t="str">
            <v>INFLUENT PUMPING</v>
          </cell>
          <cell r="B7" t="str">
            <v>CHANNEL PIPELINE</v>
          </cell>
          <cell r="C7" t="str">
            <v>BRUSH CREEK PS FACILITY</v>
          </cell>
        </row>
        <row r="8">
          <cell r="A8" t="str">
            <v>ODOR CONTROL</v>
          </cell>
          <cell r="B8" t="str">
            <v>CHEMICAL DISINFECTION</v>
          </cell>
          <cell r="C8" t="str">
            <v>BULL CREEK PS FACILITY</v>
          </cell>
        </row>
        <row r="9">
          <cell r="A9" t="str">
            <v>PRIMARY CLARIFICATION</v>
          </cell>
          <cell r="B9" t="str">
            <v>CHEMICAL ODOR CONTROL</v>
          </cell>
          <cell r="C9" t="str">
            <v>CEDAR CREEK 3 PS FACILITY</v>
          </cell>
        </row>
        <row r="10">
          <cell r="A10" t="str">
            <v>SECONDARY/FINAL CLARIFICATION</v>
          </cell>
          <cell r="B10" t="str">
            <v>CLARIFICATION</v>
          </cell>
          <cell r="C10" t="str">
            <v>CEDAR MILL PS FACILITY</v>
          </cell>
        </row>
        <row r="11">
          <cell r="A11" t="str">
            <v>SOLIDS PROCESSING</v>
          </cell>
          <cell r="B11" t="str">
            <v>ELECTRICAL</v>
          </cell>
          <cell r="C11" t="str">
            <v>COUNTY LINE PS FACILITY</v>
          </cell>
        </row>
        <row r="12">
          <cell r="B12" t="str">
            <v>EXTRANEOUS INSTRUMENTATION</v>
          </cell>
          <cell r="C12" t="str">
            <v>DAKOTA PS FACILITY</v>
          </cell>
        </row>
        <row r="13">
          <cell r="B13" t="str">
            <v>FENCING</v>
          </cell>
          <cell r="C13" t="str">
            <v>DANISCO PS FACILITY</v>
          </cell>
        </row>
        <row r="14">
          <cell r="B14" t="str">
            <v>GAS MONITORING</v>
          </cell>
          <cell r="C14" t="str">
            <v>DYKES BRANCH PS FACILITY</v>
          </cell>
        </row>
        <row r="15">
          <cell r="B15" t="str">
            <v>GAS STORAGE CLEANING</v>
          </cell>
          <cell r="C15" t="str">
            <v>FOXRIDGE HS FACILITY</v>
          </cell>
        </row>
        <row r="16">
          <cell r="B16" t="str">
            <v>GRIT REMOVAL</v>
          </cell>
          <cell r="C16" t="str">
            <v>FOXRIDGE PS FACILITY</v>
          </cell>
        </row>
        <row r="17">
          <cell r="B17" t="str">
            <v>HVAC</v>
          </cell>
          <cell r="C17" t="str">
            <v>GRANTHURST PS FACILITY</v>
          </cell>
        </row>
        <row r="18">
          <cell r="B18" t="str">
            <v>INSTRUMENTATION</v>
          </cell>
          <cell r="C18" t="str">
            <v>HAYES CREEK PS FACILITY</v>
          </cell>
        </row>
        <row r="19">
          <cell r="B19" t="str">
            <v>LANDSCAPING</v>
          </cell>
          <cell r="C19" t="str">
            <v>HOLIDAY DRIVE PS</v>
          </cell>
        </row>
        <row r="20">
          <cell r="B20" t="str">
            <v>MECHANICAL</v>
          </cell>
          <cell r="C20" t="str">
            <v>KILL CREEK PS</v>
          </cell>
        </row>
        <row r="21">
          <cell r="B21" t="str">
            <v>NUTRIENT FEED</v>
          </cell>
          <cell r="C21" t="str">
            <v>LAKESHORE EAST PS</v>
          </cell>
        </row>
        <row r="22">
          <cell r="B22" t="str">
            <v>POTABLE WATER</v>
          </cell>
          <cell r="C22" t="str">
            <v>LAKESHORE SOUTH PS</v>
          </cell>
        </row>
        <row r="23">
          <cell r="B23" t="str">
            <v>PROCESS STORM WATER</v>
          </cell>
          <cell r="C23" t="str">
            <v>LAKESHORE WEST PS</v>
          </cell>
        </row>
        <row r="24">
          <cell r="B24" t="str">
            <v>RECEIVING</v>
          </cell>
          <cell r="C24" t="str">
            <v>LAMAR PS</v>
          </cell>
        </row>
        <row r="25">
          <cell r="B25" t="str">
            <v>RECYCLE PUMPING</v>
          </cell>
          <cell r="C25" t="str">
            <v>LONE ELM PS</v>
          </cell>
        </row>
        <row r="26">
          <cell r="B26" t="str">
            <v>ROADS AND PARKING</v>
          </cell>
          <cell r="C26" t="str">
            <v>MARSHALL DR. PS</v>
          </cell>
        </row>
        <row r="27">
          <cell r="B27" t="str">
            <v>SCADA</v>
          </cell>
          <cell r="C27" t="str">
            <v>MARTWAY HOLDING</v>
          </cell>
        </row>
        <row r="28">
          <cell r="B28" t="str">
            <v>SCREENING</v>
          </cell>
          <cell r="C28" t="str">
            <v>MIDDLE BASIN TREATMENT</v>
          </cell>
        </row>
        <row r="29">
          <cell r="B29" t="str">
            <v>SCUM/PUMPING</v>
          </cell>
          <cell r="C29" t="str">
            <v>MILL CREEK 3 PS</v>
          </cell>
        </row>
        <row r="30">
          <cell r="B30" t="str">
            <v>SETTLING/COAGULATION</v>
          </cell>
          <cell r="C30" t="str">
            <v>MILL CREEK REGIONAL</v>
          </cell>
        </row>
        <row r="31">
          <cell r="B31" t="str">
            <v>SEWAGE PUMPING</v>
          </cell>
          <cell r="C31" t="str">
            <v>MISSION MAIN TREATMENT</v>
          </cell>
        </row>
        <row r="32">
          <cell r="B32" t="str">
            <v>SLUDGE PUMPING</v>
          </cell>
          <cell r="C32" t="str">
            <v>MISSION WOODS PS</v>
          </cell>
        </row>
        <row r="33">
          <cell r="B33" t="str">
            <v>THICKENING</v>
          </cell>
          <cell r="C33" t="str">
            <v>NEW CENTURY TREATMENT</v>
          </cell>
        </row>
        <row r="34">
          <cell r="B34" t="str">
            <v>TRUCK LOADING</v>
          </cell>
          <cell r="C34" t="str">
            <v>ROCK CREEK PS</v>
          </cell>
        </row>
        <row r="35">
          <cell r="B35" t="str">
            <v>ULTRAVIOLET</v>
          </cell>
          <cell r="C35" t="str">
            <v>ROE VILLAGE PS</v>
          </cell>
        </row>
        <row r="36">
          <cell r="C36" t="str">
            <v>SHAWNEE PARK PS</v>
          </cell>
        </row>
        <row r="37">
          <cell r="C37" t="str">
            <v>SWATZELL VIEW PS</v>
          </cell>
        </row>
        <row r="38">
          <cell r="C38" t="str">
            <v>TOMAHAWK TREATMENT</v>
          </cell>
        </row>
        <row r="39">
          <cell r="C39" t="str">
            <v>TOOLEY CREEK PS</v>
          </cell>
        </row>
        <row r="40">
          <cell r="C40" t="str">
            <v>TURKEY CREEK TREATMENT</v>
          </cell>
        </row>
      </sheetData>
      <sheetData sheetId="4">
        <row r="15">
          <cell r="B15" t="str">
            <v>COMMUNICATION</v>
          </cell>
        </row>
        <row r="185">
          <cell r="B185" t="str">
            <v>Weekly</v>
          </cell>
        </row>
        <row r="186">
          <cell r="B186" t="str">
            <v>Monthly</v>
          </cell>
        </row>
        <row r="187">
          <cell r="B187" t="str">
            <v>Quarterly</v>
          </cell>
        </row>
        <row r="188">
          <cell r="B188" t="str">
            <v>Semi-annually</v>
          </cell>
        </row>
        <row r="189">
          <cell r="B189" t="str">
            <v>Annually</v>
          </cell>
        </row>
        <row r="190">
          <cell r="B190" t="str">
            <v>Other</v>
          </cell>
        </row>
        <row r="300">
          <cell r="A300" t="str">
            <v>ALL UNITS</v>
          </cell>
          <cell r="B300" t="str">
            <v>PHA_LSH594A</v>
          </cell>
        </row>
        <row r="301">
          <cell r="A301" t="str">
            <v>ZINC/PHOSPHORIC ACID SYSTEM SWITCHES</v>
          </cell>
          <cell r="B301" t="str">
            <v>PHA_LSH597A</v>
          </cell>
        </row>
      </sheetData>
      <sheetData sheetId="5"/>
      <sheetData sheetId="6"/>
      <sheetData sheetId="7"/>
      <sheetData sheetId="8"/>
      <sheetData sheetId="9">
        <row r="4">
          <cell r="A4">
            <v>30</v>
          </cell>
        </row>
        <row r="5">
          <cell r="A5" t="str">
            <v>types!$AD$2:$AD$75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p_county"/>
      <sheetName val="Sheet1"/>
    </sheetNames>
    <sheetDataSet>
      <sheetData sheetId="0"/>
      <sheetData sheetId="1">
        <row r="3">
          <cell r="B3" t="str">
            <v>ANDERSON</v>
          </cell>
          <cell r="C3" t="str">
            <v>CENSUS</v>
          </cell>
          <cell r="D3">
            <v>1</v>
          </cell>
          <cell r="E3">
            <v>58458</v>
          </cell>
        </row>
        <row r="4">
          <cell r="B4" t="str">
            <v>ANDREWS</v>
          </cell>
          <cell r="C4" t="str">
            <v>CENSUS</v>
          </cell>
          <cell r="D4">
            <v>1</v>
          </cell>
          <cell r="E4">
            <v>14786</v>
          </cell>
        </row>
        <row r="5">
          <cell r="B5" t="str">
            <v>ANGELINA</v>
          </cell>
          <cell r="C5" t="str">
            <v>CENSUS</v>
          </cell>
          <cell r="D5">
            <v>1</v>
          </cell>
          <cell r="E5">
            <v>86771</v>
          </cell>
        </row>
        <row r="6">
          <cell r="B6" t="str">
            <v>ARANSAS</v>
          </cell>
          <cell r="C6" t="str">
            <v>CENSUS</v>
          </cell>
          <cell r="D6">
            <v>1</v>
          </cell>
          <cell r="E6">
            <v>23158</v>
          </cell>
        </row>
        <row r="7">
          <cell r="B7" t="str">
            <v>ARCHER</v>
          </cell>
          <cell r="C7" t="str">
            <v>CENSUS</v>
          </cell>
          <cell r="D7">
            <v>1</v>
          </cell>
          <cell r="E7">
            <v>9054</v>
          </cell>
        </row>
        <row r="8">
          <cell r="B8" t="str">
            <v>ARMSTRONG</v>
          </cell>
          <cell r="C8" t="str">
            <v>CENSUS</v>
          </cell>
          <cell r="D8">
            <v>1</v>
          </cell>
          <cell r="E8">
            <v>1901</v>
          </cell>
        </row>
        <row r="9">
          <cell r="B9" t="str">
            <v>ATASCOSA</v>
          </cell>
          <cell r="C9" t="str">
            <v>CENSUS</v>
          </cell>
          <cell r="D9">
            <v>1</v>
          </cell>
          <cell r="E9">
            <v>44911</v>
          </cell>
        </row>
        <row r="10">
          <cell r="B10" t="str">
            <v>AUSTIN</v>
          </cell>
          <cell r="C10" t="str">
            <v>CENSUS</v>
          </cell>
          <cell r="D10">
            <v>1</v>
          </cell>
          <cell r="E10">
            <v>28417</v>
          </cell>
        </row>
        <row r="11">
          <cell r="B11" t="str">
            <v>BAILEY</v>
          </cell>
          <cell r="C11" t="str">
            <v>CENSUS</v>
          </cell>
          <cell r="D11">
            <v>1</v>
          </cell>
          <cell r="E11">
            <v>7165</v>
          </cell>
        </row>
        <row r="12">
          <cell r="B12" t="str">
            <v>BANDERA</v>
          </cell>
          <cell r="C12" t="str">
            <v>CENSUS</v>
          </cell>
          <cell r="D12">
            <v>1</v>
          </cell>
          <cell r="E12">
            <v>20485</v>
          </cell>
        </row>
        <row r="13">
          <cell r="B13" t="str">
            <v>BASTROP</v>
          </cell>
          <cell r="C13" t="str">
            <v>CENSUS</v>
          </cell>
          <cell r="D13">
            <v>1</v>
          </cell>
          <cell r="E13">
            <v>74171</v>
          </cell>
        </row>
        <row r="14">
          <cell r="B14" t="str">
            <v>BAYLOR</v>
          </cell>
          <cell r="C14" t="str">
            <v>CENSUS</v>
          </cell>
          <cell r="D14">
            <v>1</v>
          </cell>
          <cell r="E14">
            <v>3726</v>
          </cell>
        </row>
        <row r="15">
          <cell r="B15" t="str">
            <v>BEE</v>
          </cell>
          <cell r="C15" t="str">
            <v>CENSUS</v>
          </cell>
          <cell r="D15">
            <v>1</v>
          </cell>
          <cell r="E15">
            <v>31861</v>
          </cell>
        </row>
        <row r="16">
          <cell r="B16" t="str">
            <v>BELL</v>
          </cell>
          <cell r="C16" t="str">
            <v>CENSUS</v>
          </cell>
          <cell r="D16">
            <v>1</v>
          </cell>
          <cell r="E16">
            <v>310235</v>
          </cell>
        </row>
        <row r="17">
          <cell r="B17" t="str">
            <v>BEXAR</v>
          </cell>
          <cell r="C17" t="str">
            <v>CENSUS</v>
          </cell>
          <cell r="D17">
            <v>1</v>
          </cell>
          <cell r="E17">
            <v>1714773</v>
          </cell>
        </row>
        <row r="18">
          <cell r="B18" t="str">
            <v>BLANCO</v>
          </cell>
          <cell r="C18" t="str">
            <v>CENSUS</v>
          </cell>
          <cell r="D18">
            <v>1</v>
          </cell>
          <cell r="E18">
            <v>10497</v>
          </cell>
        </row>
        <row r="19">
          <cell r="B19" t="str">
            <v>BORDEN</v>
          </cell>
          <cell r="C19" t="str">
            <v>CENSUS</v>
          </cell>
          <cell r="D19">
            <v>1</v>
          </cell>
          <cell r="E19">
            <v>641</v>
          </cell>
        </row>
        <row r="20">
          <cell r="B20" t="str">
            <v>BOSQUE</v>
          </cell>
          <cell r="C20" t="str">
            <v>CENSUS</v>
          </cell>
          <cell r="D20">
            <v>1</v>
          </cell>
          <cell r="E20">
            <v>18212</v>
          </cell>
        </row>
        <row r="21">
          <cell r="B21" t="str">
            <v>BOWIE</v>
          </cell>
          <cell r="C21" t="str">
            <v>CENSUS</v>
          </cell>
          <cell r="D21">
            <v>1</v>
          </cell>
          <cell r="E21">
            <v>92565</v>
          </cell>
        </row>
        <row r="22">
          <cell r="B22" t="str">
            <v>BRAZORIA</v>
          </cell>
          <cell r="C22" t="str">
            <v>CENSUS</v>
          </cell>
          <cell r="D22">
            <v>1</v>
          </cell>
          <cell r="E22">
            <v>313166</v>
          </cell>
        </row>
        <row r="23">
          <cell r="B23" t="str">
            <v>BRAZOS</v>
          </cell>
          <cell r="C23" t="str">
            <v>CENSUS</v>
          </cell>
          <cell r="D23">
            <v>1</v>
          </cell>
          <cell r="E23">
            <v>194851</v>
          </cell>
        </row>
        <row r="24">
          <cell r="B24" t="str">
            <v>BREWSTER</v>
          </cell>
          <cell r="C24" t="str">
            <v>CENSUS</v>
          </cell>
          <cell r="D24">
            <v>1</v>
          </cell>
          <cell r="E24">
            <v>9232</v>
          </cell>
        </row>
        <row r="25">
          <cell r="B25" t="str">
            <v>BRISCOE</v>
          </cell>
          <cell r="C25" t="str">
            <v>CENSUS</v>
          </cell>
          <cell r="D25">
            <v>1</v>
          </cell>
          <cell r="E25">
            <v>1637</v>
          </cell>
        </row>
        <row r="26">
          <cell r="B26" t="str">
            <v>BROOKS</v>
          </cell>
          <cell r="C26" t="str">
            <v>CENSUS</v>
          </cell>
          <cell r="D26">
            <v>1</v>
          </cell>
          <cell r="E26">
            <v>7223</v>
          </cell>
        </row>
        <row r="27">
          <cell r="B27" t="str">
            <v>BROWN</v>
          </cell>
          <cell r="C27" t="str">
            <v>CENSUS</v>
          </cell>
          <cell r="D27">
            <v>1</v>
          </cell>
          <cell r="E27">
            <v>38106</v>
          </cell>
        </row>
        <row r="28">
          <cell r="B28" t="str">
            <v>BURLESON</v>
          </cell>
          <cell r="C28" t="str">
            <v>CENSUS</v>
          </cell>
          <cell r="D28">
            <v>1</v>
          </cell>
          <cell r="E28">
            <v>17187</v>
          </cell>
        </row>
        <row r="29">
          <cell r="B29" t="str">
            <v>BURNET</v>
          </cell>
          <cell r="C29" t="str">
            <v>CENSUS</v>
          </cell>
          <cell r="D29">
            <v>1</v>
          </cell>
          <cell r="E29">
            <v>42750</v>
          </cell>
        </row>
        <row r="30">
          <cell r="B30" t="str">
            <v>CALDWELL</v>
          </cell>
          <cell r="C30" t="str">
            <v>CENSUS</v>
          </cell>
          <cell r="D30">
            <v>1</v>
          </cell>
          <cell r="E30">
            <v>38066</v>
          </cell>
        </row>
        <row r="31">
          <cell r="B31" t="str">
            <v>CALHOUN</v>
          </cell>
          <cell r="C31" t="str">
            <v>CENSUS</v>
          </cell>
          <cell r="D31">
            <v>1</v>
          </cell>
          <cell r="E31">
            <v>21381</v>
          </cell>
        </row>
        <row r="32">
          <cell r="B32" t="str">
            <v>CALLAHAN</v>
          </cell>
          <cell r="C32" t="str">
            <v>CENSUS</v>
          </cell>
          <cell r="D32">
            <v>1</v>
          </cell>
          <cell r="E32">
            <v>13544</v>
          </cell>
        </row>
        <row r="33">
          <cell r="B33" t="str">
            <v>CAMERON</v>
          </cell>
          <cell r="C33" t="str">
            <v>CENSUS</v>
          </cell>
          <cell r="D33">
            <v>1</v>
          </cell>
          <cell r="E33">
            <v>406220</v>
          </cell>
        </row>
        <row r="34">
          <cell r="B34" t="str">
            <v>CAMP</v>
          </cell>
          <cell r="C34" t="str">
            <v>CENSUS</v>
          </cell>
          <cell r="D34">
            <v>1</v>
          </cell>
          <cell r="E34">
            <v>12401</v>
          </cell>
        </row>
        <row r="35">
          <cell r="B35" t="str">
            <v>CARSON</v>
          </cell>
          <cell r="C35" t="str">
            <v>CENSUS</v>
          </cell>
          <cell r="D35">
            <v>1</v>
          </cell>
          <cell r="E35">
            <v>6182</v>
          </cell>
        </row>
        <row r="36">
          <cell r="B36" t="str">
            <v>CASS</v>
          </cell>
          <cell r="C36" t="str">
            <v>CENSUS</v>
          </cell>
          <cell r="D36">
            <v>1</v>
          </cell>
          <cell r="E36">
            <v>30464</v>
          </cell>
        </row>
        <row r="37">
          <cell r="B37" t="str">
            <v>CASTRO</v>
          </cell>
          <cell r="C37" t="str">
            <v>CENSUS</v>
          </cell>
          <cell r="D37">
            <v>1</v>
          </cell>
          <cell r="E37">
            <v>8062</v>
          </cell>
        </row>
        <row r="38">
          <cell r="B38" t="str">
            <v>CHAMBERS</v>
          </cell>
          <cell r="C38" t="str">
            <v>CENSUS</v>
          </cell>
          <cell r="D38">
            <v>1</v>
          </cell>
          <cell r="E38">
            <v>35096</v>
          </cell>
        </row>
        <row r="39">
          <cell r="B39" t="str">
            <v>CHEROKEE</v>
          </cell>
          <cell r="C39" t="str">
            <v>CENSUS</v>
          </cell>
          <cell r="D39">
            <v>1</v>
          </cell>
          <cell r="E39">
            <v>50845</v>
          </cell>
        </row>
        <row r="40">
          <cell r="B40" t="str">
            <v>CHILDRESS</v>
          </cell>
          <cell r="C40" t="str">
            <v>CENSUS</v>
          </cell>
          <cell r="D40">
            <v>1</v>
          </cell>
          <cell r="E40">
            <v>7041</v>
          </cell>
        </row>
        <row r="41">
          <cell r="B41" t="str">
            <v>CLAY</v>
          </cell>
          <cell r="C41" t="str">
            <v>CENSUS</v>
          </cell>
          <cell r="D41">
            <v>1</v>
          </cell>
          <cell r="E41">
            <v>10752</v>
          </cell>
        </row>
        <row r="42">
          <cell r="B42" t="str">
            <v>COCHRAN</v>
          </cell>
          <cell r="C42" t="str">
            <v>CENSUS</v>
          </cell>
          <cell r="D42">
            <v>1</v>
          </cell>
          <cell r="E42">
            <v>3127</v>
          </cell>
        </row>
        <row r="43">
          <cell r="B43" t="str">
            <v>COKE</v>
          </cell>
          <cell r="C43" t="str">
            <v>CENSUS</v>
          </cell>
          <cell r="D43">
            <v>1</v>
          </cell>
          <cell r="E43">
            <v>3320</v>
          </cell>
        </row>
        <row r="44">
          <cell r="B44" t="str">
            <v>COLEMAN</v>
          </cell>
          <cell r="C44" t="str">
            <v>CENSUS</v>
          </cell>
          <cell r="D44">
            <v>1</v>
          </cell>
          <cell r="E44">
            <v>8895</v>
          </cell>
        </row>
        <row r="45">
          <cell r="B45" t="str">
            <v>COLLIN</v>
          </cell>
          <cell r="C45" t="str">
            <v>CENSUS</v>
          </cell>
          <cell r="D45">
            <v>1</v>
          </cell>
          <cell r="E45">
            <v>782341</v>
          </cell>
        </row>
        <row r="46">
          <cell r="B46" t="str">
            <v>COLLINGSWORTH</v>
          </cell>
          <cell r="C46" t="str">
            <v>CENSUS</v>
          </cell>
          <cell r="D46">
            <v>1</v>
          </cell>
          <cell r="E46">
            <v>3057</v>
          </cell>
        </row>
        <row r="47">
          <cell r="B47" t="str">
            <v>COLORADO</v>
          </cell>
          <cell r="C47" t="str">
            <v>CENSUS</v>
          </cell>
          <cell r="D47">
            <v>1</v>
          </cell>
          <cell r="E47">
            <v>20874</v>
          </cell>
        </row>
        <row r="48">
          <cell r="B48" t="str">
            <v>COMAL</v>
          </cell>
          <cell r="C48" t="str">
            <v>CENSUS</v>
          </cell>
          <cell r="D48">
            <v>1</v>
          </cell>
          <cell r="E48">
            <v>108472</v>
          </cell>
        </row>
        <row r="49">
          <cell r="B49" t="str">
            <v>COMANCHE</v>
          </cell>
          <cell r="C49" t="str">
            <v>CENSUS</v>
          </cell>
          <cell r="D49">
            <v>1</v>
          </cell>
          <cell r="E49">
            <v>13974</v>
          </cell>
        </row>
        <row r="50">
          <cell r="B50" t="str">
            <v>CONCHO</v>
          </cell>
          <cell r="C50" t="str">
            <v>CENSUS</v>
          </cell>
          <cell r="D50">
            <v>1</v>
          </cell>
          <cell r="E50">
            <v>4087</v>
          </cell>
        </row>
        <row r="51">
          <cell r="B51" t="str">
            <v>COOKE</v>
          </cell>
          <cell r="C51" t="str">
            <v>CENSUS</v>
          </cell>
          <cell r="D51">
            <v>1</v>
          </cell>
          <cell r="E51">
            <v>38437</v>
          </cell>
        </row>
        <row r="52">
          <cell r="B52" t="str">
            <v>CORYELL</v>
          </cell>
          <cell r="C52" t="str">
            <v>CENSUS</v>
          </cell>
          <cell r="D52">
            <v>1</v>
          </cell>
          <cell r="E52">
            <v>75388</v>
          </cell>
        </row>
        <row r="53">
          <cell r="B53" t="str">
            <v>COTTLE</v>
          </cell>
          <cell r="C53" t="str">
            <v>CENSUS</v>
          </cell>
          <cell r="D53">
            <v>1</v>
          </cell>
          <cell r="E53">
            <v>1505</v>
          </cell>
        </row>
        <row r="54">
          <cell r="B54" t="str">
            <v>CRANE</v>
          </cell>
          <cell r="C54" t="str">
            <v>CENSUS</v>
          </cell>
          <cell r="D54">
            <v>1</v>
          </cell>
          <cell r="E54">
            <v>4375</v>
          </cell>
        </row>
        <row r="55">
          <cell r="B55" t="str">
            <v>CROCKETT</v>
          </cell>
          <cell r="C55" t="str">
            <v>CENSUS</v>
          </cell>
          <cell r="D55">
            <v>1</v>
          </cell>
          <cell r="E55">
            <v>3719</v>
          </cell>
        </row>
        <row r="56">
          <cell r="B56" t="str">
            <v>CROSBY</v>
          </cell>
          <cell r="C56" t="str">
            <v>CENSUS</v>
          </cell>
          <cell r="D56">
            <v>1</v>
          </cell>
          <cell r="E56">
            <v>6059</v>
          </cell>
        </row>
        <row r="57">
          <cell r="B57" t="str">
            <v>CULBERSON</v>
          </cell>
          <cell r="C57" t="str">
            <v>CENSUS</v>
          </cell>
          <cell r="D57">
            <v>1</v>
          </cell>
          <cell r="E57">
            <v>2398</v>
          </cell>
        </row>
        <row r="58">
          <cell r="B58" t="str">
            <v>DALLAM</v>
          </cell>
          <cell r="C58" t="str">
            <v>CENSUS</v>
          </cell>
          <cell r="D58">
            <v>1</v>
          </cell>
          <cell r="E58">
            <v>6703</v>
          </cell>
        </row>
        <row r="59">
          <cell r="B59" t="str">
            <v>DALLAS</v>
          </cell>
          <cell r="C59" t="str">
            <v>CENSUS</v>
          </cell>
          <cell r="D59">
            <v>1</v>
          </cell>
          <cell r="E59">
            <v>2368139</v>
          </cell>
        </row>
        <row r="60">
          <cell r="B60" t="str">
            <v>DAWSON</v>
          </cell>
          <cell r="C60" t="str">
            <v>CENSUS</v>
          </cell>
          <cell r="D60">
            <v>1</v>
          </cell>
          <cell r="E60">
            <v>13833</v>
          </cell>
        </row>
        <row r="61">
          <cell r="B61" t="str">
            <v>DEAF SMITH</v>
          </cell>
          <cell r="C61" t="str">
            <v>CENSUS</v>
          </cell>
          <cell r="D61">
            <v>1</v>
          </cell>
          <cell r="E61">
            <v>19372</v>
          </cell>
        </row>
        <row r="62">
          <cell r="B62" t="str">
            <v>DELTA</v>
          </cell>
          <cell r="C62" t="str">
            <v>CENSUS</v>
          </cell>
          <cell r="D62">
            <v>1</v>
          </cell>
          <cell r="E62">
            <v>5231</v>
          </cell>
        </row>
        <row r="63">
          <cell r="B63" t="str">
            <v>DENTON</v>
          </cell>
          <cell r="C63" t="str">
            <v>CENSUS</v>
          </cell>
          <cell r="D63">
            <v>1</v>
          </cell>
          <cell r="E63">
            <v>662614</v>
          </cell>
        </row>
        <row r="64">
          <cell r="B64" t="str">
            <v>DEWITT</v>
          </cell>
          <cell r="C64" t="str">
            <v>CENSUS</v>
          </cell>
          <cell r="D64">
            <v>1</v>
          </cell>
          <cell r="E64">
            <v>20097</v>
          </cell>
        </row>
        <row r="65">
          <cell r="B65" t="str">
            <v>DICKENS</v>
          </cell>
          <cell r="C65" t="str">
            <v>CENSUS</v>
          </cell>
          <cell r="D65">
            <v>1</v>
          </cell>
          <cell r="E65">
            <v>2444</v>
          </cell>
        </row>
        <row r="66">
          <cell r="B66" t="str">
            <v>DIMMIT</v>
          </cell>
          <cell r="C66" t="str">
            <v>CENSUS</v>
          </cell>
          <cell r="D66">
            <v>1</v>
          </cell>
          <cell r="E66">
            <v>9996</v>
          </cell>
        </row>
        <row r="67">
          <cell r="B67" t="str">
            <v>DONLEY</v>
          </cell>
          <cell r="C67" t="str">
            <v>CENSUS</v>
          </cell>
          <cell r="D67">
            <v>1</v>
          </cell>
          <cell r="E67">
            <v>3677</v>
          </cell>
        </row>
        <row r="68">
          <cell r="B68" t="str">
            <v>DUVAL</v>
          </cell>
          <cell r="C68" t="str">
            <v>CENSUS</v>
          </cell>
          <cell r="D68">
            <v>1</v>
          </cell>
          <cell r="E68">
            <v>11782</v>
          </cell>
        </row>
        <row r="69">
          <cell r="B69" t="str">
            <v>EASTLAND</v>
          </cell>
          <cell r="C69" t="str">
            <v>CENSUS</v>
          </cell>
          <cell r="D69">
            <v>1</v>
          </cell>
          <cell r="E69">
            <v>18583</v>
          </cell>
        </row>
        <row r="70">
          <cell r="B70" t="str">
            <v>ECTOR</v>
          </cell>
          <cell r="C70" t="str">
            <v>CENSUS</v>
          </cell>
          <cell r="D70">
            <v>1</v>
          </cell>
          <cell r="E70">
            <v>137130</v>
          </cell>
        </row>
        <row r="71">
          <cell r="B71" t="str">
            <v>EDWARDS</v>
          </cell>
          <cell r="C71" t="str">
            <v>CENSUS</v>
          </cell>
          <cell r="D71">
            <v>1</v>
          </cell>
          <cell r="E71">
            <v>2002</v>
          </cell>
        </row>
        <row r="72">
          <cell r="B72" t="str">
            <v>EL PASO</v>
          </cell>
          <cell r="C72" t="str">
            <v>CENSUS</v>
          </cell>
          <cell r="D72">
            <v>1</v>
          </cell>
          <cell r="E72">
            <v>800647</v>
          </cell>
        </row>
        <row r="73">
          <cell r="B73" t="str">
            <v>ELLIS</v>
          </cell>
          <cell r="C73" t="str">
            <v>CENSUS</v>
          </cell>
          <cell r="D73">
            <v>1</v>
          </cell>
          <cell r="E73">
            <v>149610</v>
          </cell>
        </row>
        <row r="74">
          <cell r="B74" t="str">
            <v>ERATH</v>
          </cell>
          <cell r="C74" t="str">
            <v>CENSUS</v>
          </cell>
          <cell r="D74">
            <v>1</v>
          </cell>
          <cell r="E74">
            <v>37890</v>
          </cell>
        </row>
        <row r="75">
          <cell r="B75" t="str">
            <v>FALLS</v>
          </cell>
          <cell r="C75" t="str">
            <v>CENSUS</v>
          </cell>
          <cell r="D75">
            <v>1</v>
          </cell>
          <cell r="E75">
            <v>17866</v>
          </cell>
        </row>
        <row r="76">
          <cell r="B76" t="str">
            <v>FANNIN</v>
          </cell>
          <cell r="C76" t="str">
            <v>CENSUS</v>
          </cell>
          <cell r="D76">
            <v>1</v>
          </cell>
          <cell r="E76">
            <v>33915</v>
          </cell>
        </row>
        <row r="77">
          <cell r="B77" t="str">
            <v>FAYETTE</v>
          </cell>
          <cell r="C77" t="str">
            <v>CENSUS</v>
          </cell>
          <cell r="D77">
            <v>1</v>
          </cell>
          <cell r="E77">
            <v>24554</v>
          </cell>
        </row>
        <row r="78">
          <cell r="B78" t="str">
            <v>FISHER</v>
          </cell>
          <cell r="C78" t="str">
            <v>CENSUS</v>
          </cell>
          <cell r="D78">
            <v>1</v>
          </cell>
          <cell r="E78">
            <v>3974</v>
          </cell>
        </row>
        <row r="79">
          <cell r="B79" t="str">
            <v>FLOYD</v>
          </cell>
          <cell r="C79" t="str">
            <v>CENSUS</v>
          </cell>
          <cell r="D79">
            <v>1</v>
          </cell>
          <cell r="E79">
            <v>6446</v>
          </cell>
        </row>
        <row r="80">
          <cell r="B80" t="str">
            <v>FOARD</v>
          </cell>
          <cell r="C80" t="str">
            <v>CENSUS</v>
          </cell>
          <cell r="D80">
            <v>1</v>
          </cell>
          <cell r="E80">
            <v>1336</v>
          </cell>
        </row>
        <row r="81">
          <cell r="B81" t="str">
            <v>FORT BEND</v>
          </cell>
          <cell r="C81" t="str">
            <v>CENSUS</v>
          </cell>
          <cell r="D81">
            <v>1</v>
          </cell>
          <cell r="E81">
            <v>585375</v>
          </cell>
        </row>
        <row r="82">
          <cell r="B82" t="str">
            <v>FRANKLIN</v>
          </cell>
          <cell r="C82" t="str">
            <v>CENSUS</v>
          </cell>
          <cell r="D82">
            <v>1</v>
          </cell>
          <cell r="E82">
            <v>10605</v>
          </cell>
        </row>
        <row r="83">
          <cell r="B83" t="str">
            <v>FREESTONE</v>
          </cell>
          <cell r="C83" t="str">
            <v>CENSUS</v>
          </cell>
          <cell r="D83">
            <v>1</v>
          </cell>
          <cell r="E83">
            <v>19816</v>
          </cell>
        </row>
        <row r="84">
          <cell r="B84" t="str">
            <v>FRIO</v>
          </cell>
          <cell r="C84" t="str">
            <v>CENSUS</v>
          </cell>
          <cell r="D84">
            <v>1</v>
          </cell>
          <cell r="E84">
            <v>17217</v>
          </cell>
        </row>
        <row r="85">
          <cell r="B85" t="str">
            <v>GAINES</v>
          </cell>
          <cell r="C85" t="str">
            <v>CENSUS</v>
          </cell>
          <cell r="D85">
            <v>1</v>
          </cell>
          <cell r="E85">
            <v>17526</v>
          </cell>
        </row>
        <row r="86">
          <cell r="B86" t="str">
            <v>GALVESTON</v>
          </cell>
          <cell r="C86" t="str">
            <v>CENSUS</v>
          </cell>
          <cell r="D86">
            <v>1</v>
          </cell>
          <cell r="E86">
            <v>291309</v>
          </cell>
        </row>
        <row r="87">
          <cell r="B87" t="str">
            <v>GARZA</v>
          </cell>
          <cell r="C87" t="str">
            <v>CENSUS</v>
          </cell>
          <cell r="D87">
            <v>1</v>
          </cell>
          <cell r="E87">
            <v>6461</v>
          </cell>
        </row>
        <row r="88">
          <cell r="B88" t="str">
            <v>GILLESPIE</v>
          </cell>
          <cell r="C88" t="str">
            <v>CENSUS</v>
          </cell>
          <cell r="D88">
            <v>1</v>
          </cell>
          <cell r="E88">
            <v>24837</v>
          </cell>
        </row>
        <row r="89">
          <cell r="B89" t="str">
            <v>GLASSCOCK</v>
          </cell>
          <cell r="C89" t="str">
            <v>CENSUS</v>
          </cell>
          <cell r="D89">
            <v>1</v>
          </cell>
          <cell r="E89">
            <v>1226</v>
          </cell>
        </row>
        <row r="90">
          <cell r="B90" t="str">
            <v>GOLIAD</v>
          </cell>
          <cell r="C90" t="str">
            <v>CENSUS</v>
          </cell>
          <cell r="D90">
            <v>1</v>
          </cell>
          <cell r="E90">
            <v>7210</v>
          </cell>
        </row>
        <row r="91">
          <cell r="B91" t="str">
            <v>GONZALES</v>
          </cell>
          <cell r="C91" t="str">
            <v>CENSUS</v>
          </cell>
          <cell r="D91">
            <v>1</v>
          </cell>
          <cell r="E91">
            <v>19807</v>
          </cell>
        </row>
        <row r="92">
          <cell r="B92" t="str">
            <v>GRAY</v>
          </cell>
          <cell r="C92" t="str">
            <v>CENSUS</v>
          </cell>
          <cell r="D92">
            <v>1</v>
          </cell>
          <cell r="E92">
            <v>22535</v>
          </cell>
        </row>
        <row r="93">
          <cell r="B93" t="str">
            <v>GRAYSON</v>
          </cell>
          <cell r="C93" t="str">
            <v>CENSUS</v>
          </cell>
          <cell r="D93">
            <v>1</v>
          </cell>
          <cell r="E93">
            <v>120877</v>
          </cell>
        </row>
        <row r="94">
          <cell r="B94" t="str">
            <v>GREGG</v>
          </cell>
          <cell r="C94" t="str">
            <v>CENSUS</v>
          </cell>
          <cell r="D94">
            <v>1</v>
          </cell>
          <cell r="E94">
            <v>121730</v>
          </cell>
        </row>
        <row r="95">
          <cell r="B95" t="str">
            <v>GRIMES</v>
          </cell>
          <cell r="C95" t="str">
            <v>CENSUS</v>
          </cell>
          <cell r="D95">
            <v>1</v>
          </cell>
          <cell r="E95">
            <v>26604</v>
          </cell>
        </row>
        <row r="96">
          <cell r="B96" t="str">
            <v>GUADALUPE</v>
          </cell>
          <cell r="C96" t="str">
            <v>CENSUS</v>
          </cell>
          <cell r="D96">
            <v>1</v>
          </cell>
          <cell r="E96">
            <v>131533</v>
          </cell>
        </row>
        <row r="97">
          <cell r="B97" t="str">
            <v>HALE</v>
          </cell>
          <cell r="C97" t="str">
            <v>CENSUS</v>
          </cell>
          <cell r="D97">
            <v>1</v>
          </cell>
          <cell r="E97">
            <v>36273</v>
          </cell>
        </row>
        <row r="98">
          <cell r="B98" t="str">
            <v>HALL</v>
          </cell>
          <cell r="C98" t="str">
            <v>CENSUS</v>
          </cell>
          <cell r="D98">
            <v>1</v>
          </cell>
          <cell r="E98">
            <v>3353</v>
          </cell>
        </row>
        <row r="99">
          <cell r="B99" t="str">
            <v>HAMILTON</v>
          </cell>
          <cell r="C99" t="str">
            <v>CENSUS</v>
          </cell>
          <cell r="D99">
            <v>1</v>
          </cell>
          <cell r="E99">
            <v>8517</v>
          </cell>
        </row>
        <row r="100">
          <cell r="B100" t="str">
            <v>HANSFORD</v>
          </cell>
          <cell r="C100" t="str">
            <v>CENSUS</v>
          </cell>
          <cell r="D100">
            <v>1</v>
          </cell>
          <cell r="E100">
            <v>5613</v>
          </cell>
        </row>
        <row r="101">
          <cell r="B101" t="str">
            <v>HARDEMAN</v>
          </cell>
          <cell r="C101" t="str">
            <v>CENSUS</v>
          </cell>
          <cell r="D101">
            <v>1</v>
          </cell>
          <cell r="E101">
            <v>4139</v>
          </cell>
        </row>
        <row r="102">
          <cell r="B102" t="str">
            <v>HARDIN</v>
          </cell>
          <cell r="C102" t="str">
            <v>CENSUS</v>
          </cell>
          <cell r="D102">
            <v>1</v>
          </cell>
          <cell r="E102">
            <v>54635</v>
          </cell>
        </row>
        <row r="103">
          <cell r="B103" t="str">
            <v>HARRIS</v>
          </cell>
          <cell r="C103" t="str">
            <v>CENSUS</v>
          </cell>
          <cell r="D103">
            <v>1</v>
          </cell>
          <cell r="E103">
            <v>4092459</v>
          </cell>
        </row>
        <row r="104">
          <cell r="B104" t="str">
            <v>HARRISON</v>
          </cell>
          <cell r="C104" t="str">
            <v>CENSUS</v>
          </cell>
          <cell r="D104">
            <v>1</v>
          </cell>
          <cell r="E104">
            <v>65631</v>
          </cell>
        </row>
        <row r="105">
          <cell r="B105" t="str">
            <v>HARTLEY</v>
          </cell>
          <cell r="C105" t="str">
            <v>CENSUS</v>
          </cell>
          <cell r="D105">
            <v>1</v>
          </cell>
          <cell r="E105">
            <v>6062</v>
          </cell>
        </row>
        <row r="106">
          <cell r="B106" t="str">
            <v>HASKELL</v>
          </cell>
          <cell r="C106" t="str">
            <v>CENSUS</v>
          </cell>
          <cell r="D106">
            <v>1</v>
          </cell>
          <cell r="E106">
            <v>5899</v>
          </cell>
        </row>
        <row r="107">
          <cell r="B107" t="str">
            <v>HAYS</v>
          </cell>
          <cell r="C107" t="str">
            <v>CENSUS</v>
          </cell>
          <cell r="D107">
            <v>0.23270340196431413</v>
          </cell>
          <cell r="E107">
            <v>36559.333372407498</v>
          </cell>
        </row>
        <row r="108">
          <cell r="B108" t="str">
            <v>HAYS</v>
          </cell>
          <cell r="C108" t="str">
            <v>CENSUS</v>
          </cell>
          <cell r="D108">
            <v>0.76729659803568584</v>
          </cell>
          <cell r="E108">
            <v>120547.66662759249</v>
          </cell>
        </row>
        <row r="109">
          <cell r="B109" t="str">
            <v>HEMPHILL</v>
          </cell>
          <cell r="C109" t="str">
            <v>CENSUS</v>
          </cell>
          <cell r="D109">
            <v>1</v>
          </cell>
          <cell r="E109">
            <v>3807</v>
          </cell>
        </row>
        <row r="110">
          <cell r="B110" t="str">
            <v>HENDERSON</v>
          </cell>
          <cell r="C110" t="str">
            <v>CENSUS</v>
          </cell>
          <cell r="D110">
            <v>0.70811612280681113</v>
          </cell>
          <cell r="E110">
            <v>55609.775356264494</v>
          </cell>
        </row>
        <row r="111">
          <cell r="B111" t="str">
            <v>HENDERSON</v>
          </cell>
          <cell r="C111" t="str">
            <v>CENSUS</v>
          </cell>
          <cell r="D111">
            <v>0.29188387719318892</v>
          </cell>
          <cell r="E111">
            <v>22922.224643735513</v>
          </cell>
        </row>
        <row r="112">
          <cell r="B112" t="str">
            <v>HIDALGO</v>
          </cell>
          <cell r="C112" t="str">
            <v>CENSUS</v>
          </cell>
          <cell r="D112">
            <v>1</v>
          </cell>
          <cell r="E112">
            <v>774769</v>
          </cell>
        </row>
        <row r="113">
          <cell r="B113" t="str">
            <v>HILL</v>
          </cell>
          <cell r="C113" t="str">
            <v>CENSUS</v>
          </cell>
          <cell r="D113">
            <v>1</v>
          </cell>
          <cell r="E113">
            <v>35089</v>
          </cell>
        </row>
        <row r="114">
          <cell r="B114" t="str">
            <v>HOCKLEY</v>
          </cell>
          <cell r="C114" t="str">
            <v>CENSUS</v>
          </cell>
          <cell r="D114">
            <v>1</v>
          </cell>
          <cell r="E114">
            <v>22935</v>
          </cell>
        </row>
        <row r="115">
          <cell r="B115" t="str">
            <v>HOOD</v>
          </cell>
          <cell r="C115" t="str">
            <v>CENSUS</v>
          </cell>
          <cell r="D115">
            <v>1</v>
          </cell>
          <cell r="E115">
            <v>51182</v>
          </cell>
        </row>
        <row r="116">
          <cell r="B116" t="str">
            <v>HOPKINS</v>
          </cell>
          <cell r="C116" t="str">
            <v>CENSUS</v>
          </cell>
          <cell r="D116">
            <v>1</v>
          </cell>
          <cell r="E116">
            <v>35161</v>
          </cell>
        </row>
        <row r="117">
          <cell r="B117" t="str">
            <v>HOUSTON</v>
          </cell>
          <cell r="C117" t="str">
            <v>CENSUS</v>
          </cell>
          <cell r="D117">
            <v>1</v>
          </cell>
          <cell r="E117">
            <v>23732</v>
          </cell>
        </row>
        <row r="118">
          <cell r="B118" t="str">
            <v>HOWARD</v>
          </cell>
          <cell r="C118" t="str">
            <v>CENSUS</v>
          </cell>
          <cell r="D118">
            <v>1</v>
          </cell>
          <cell r="E118">
            <v>35012</v>
          </cell>
        </row>
        <row r="119">
          <cell r="B119" t="str">
            <v>HUDSPETH</v>
          </cell>
          <cell r="C119" t="str">
            <v>CENSUS</v>
          </cell>
          <cell r="D119">
            <v>1</v>
          </cell>
          <cell r="E119">
            <v>3476</v>
          </cell>
        </row>
        <row r="120">
          <cell r="B120" t="str">
            <v>HUNT</v>
          </cell>
          <cell r="C120" t="str">
            <v>CENSUS</v>
          </cell>
          <cell r="D120">
            <v>1</v>
          </cell>
          <cell r="E120">
            <v>86129</v>
          </cell>
        </row>
        <row r="121">
          <cell r="B121" t="str">
            <v>HUTCHINSON</v>
          </cell>
          <cell r="C121" t="str">
            <v>CENSUS</v>
          </cell>
          <cell r="D121">
            <v>1</v>
          </cell>
          <cell r="E121">
            <v>22150</v>
          </cell>
        </row>
        <row r="122">
          <cell r="B122" t="str">
            <v>IRION</v>
          </cell>
          <cell r="C122" t="str">
            <v>CENSUS</v>
          </cell>
          <cell r="D122">
            <v>1</v>
          </cell>
          <cell r="E122">
            <v>1599</v>
          </cell>
        </row>
        <row r="123">
          <cell r="B123" t="str">
            <v>JACK</v>
          </cell>
          <cell r="C123" t="str">
            <v>CENSUS</v>
          </cell>
          <cell r="D123">
            <v>1</v>
          </cell>
          <cell r="E123">
            <v>9044</v>
          </cell>
        </row>
        <row r="124">
          <cell r="B124" t="str">
            <v>JACKSON</v>
          </cell>
          <cell r="C124" t="str">
            <v>CENSUS</v>
          </cell>
          <cell r="D124">
            <v>1</v>
          </cell>
          <cell r="E124">
            <v>14075</v>
          </cell>
        </row>
        <row r="125">
          <cell r="B125" t="str">
            <v>JASPER</v>
          </cell>
          <cell r="C125" t="str">
            <v>CENSUS</v>
          </cell>
          <cell r="D125">
            <v>1</v>
          </cell>
          <cell r="E125">
            <v>35710</v>
          </cell>
        </row>
        <row r="126">
          <cell r="B126" t="str">
            <v>JEFF DAVIS</v>
          </cell>
          <cell r="C126" t="str">
            <v>CENSUS</v>
          </cell>
          <cell r="D126">
            <v>1</v>
          </cell>
          <cell r="E126">
            <v>2342</v>
          </cell>
        </row>
        <row r="127">
          <cell r="B127" t="str">
            <v>JEFFERSON</v>
          </cell>
          <cell r="C127" t="str">
            <v>CENSUS</v>
          </cell>
          <cell r="D127">
            <v>1</v>
          </cell>
          <cell r="E127">
            <v>252273</v>
          </cell>
        </row>
        <row r="128">
          <cell r="B128" t="str">
            <v>JIM HOGG</v>
          </cell>
          <cell r="C128" t="str">
            <v>CENSUS</v>
          </cell>
          <cell r="D128">
            <v>1</v>
          </cell>
          <cell r="E128">
            <v>5300</v>
          </cell>
        </row>
        <row r="129">
          <cell r="B129" t="str">
            <v>JIM WELLS</v>
          </cell>
          <cell r="C129" t="str">
            <v>CENSUS</v>
          </cell>
          <cell r="D129">
            <v>1</v>
          </cell>
          <cell r="E129">
            <v>40838</v>
          </cell>
        </row>
        <row r="130">
          <cell r="B130" t="str">
            <v>JOHNSON</v>
          </cell>
          <cell r="C130" t="str">
            <v>CENSUS</v>
          </cell>
          <cell r="D130">
            <v>1</v>
          </cell>
          <cell r="E130">
            <v>150934</v>
          </cell>
        </row>
        <row r="131">
          <cell r="B131" t="str">
            <v>JONES</v>
          </cell>
          <cell r="C131" t="str">
            <v>CENSUS</v>
          </cell>
          <cell r="D131">
            <v>1</v>
          </cell>
          <cell r="E131">
            <v>20202</v>
          </cell>
        </row>
        <row r="132">
          <cell r="B132" t="str">
            <v>KARNES</v>
          </cell>
          <cell r="C132" t="str">
            <v>CENSUS</v>
          </cell>
          <cell r="D132">
            <v>1</v>
          </cell>
          <cell r="E132">
            <v>14824</v>
          </cell>
        </row>
        <row r="133">
          <cell r="B133" t="str">
            <v>KAUFMAN</v>
          </cell>
          <cell r="C133" t="str">
            <v>CENSUS</v>
          </cell>
          <cell r="D133">
            <v>1</v>
          </cell>
          <cell r="E133">
            <v>103350</v>
          </cell>
        </row>
        <row r="134">
          <cell r="B134" t="str">
            <v>KENDALL</v>
          </cell>
          <cell r="C134" t="str">
            <v>CENSUS</v>
          </cell>
          <cell r="D134">
            <v>1</v>
          </cell>
          <cell r="E134">
            <v>33410</v>
          </cell>
        </row>
        <row r="135">
          <cell r="B135" t="str">
            <v>KENEDY</v>
          </cell>
          <cell r="C135" t="str">
            <v>CENSUS</v>
          </cell>
          <cell r="D135">
            <v>1</v>
          </cell>
          <cell r="E135">
            <v>416</v>
          </cell>
        </row>
        <row r="136">
          <cell r="B136" t="str">
            <v>KENT</v>
          </cell>
          <cell r="C136" t="str">
            <v>CENSUS</v>
          </cell>
          <cell r="D136">
            <v>1</v>
          </cell>
          <cell r="E136">
            <v>808</v>
          </cell>
        </row>
        <row r="137">
          <cell r="B137" t="str">
            <v>KERR</v>
          </cell>
          <cell r="C137" t="str">
            <v>CENSUS</v>
          </cell>
          <cell r="D137">
            <v>1</v>
          </cell>
          <cell r="E137">
            <v>49625</v>
          </cell>
        </row>
        <row r="138">
          <cell r="B138" t="str">
            <v>KIMBLE</v>
          </cell>
          <cell r="C138" t="str">
            <v>CENSUS</v>
          </cell>
          <cell r="D138">
            <v>1</v>
          </cell>
          <cell r="E138">
            <v>4607</v>
          </cell>
        </row>
        <row r="139">
          <cell r="B139" t="str">
            <v>KING</v>
          </cell>
          <cell r="C139" t="str">
            <v>CENSUS</v>
          </cell>
          <cell r="D139">
            <v>1</v>
          </cell>
          <cell r="E139">
            <v>286</v>
          </cell>
        </row>
        <row r="140">
          <cell r="B140" t="str">
            <v>KINNEY</v>
          </cell>
          <cell r="C140" t="str">
            <v>CENSUS</v>
          </cell>
          <cell r="D140">
            <v>1</v>
          </cell>
          <cell r="E140">
            <v>3598</v>
          </cell>
        </row>
        <row r="141">
          <cell r="B141" t="str">
            <v>KLEBERG</v>
          </cell>
          <cell r="C141" t="str">
            <v>CENSUS</v>
          </cell>
          <cell r="D141">
            <v>1</v>
          </cell>
          <cell r="E141">
            <v>32061</v>
          </cell>
        </row>
        <row r="142">
          <cell r="B142" t="str">
            <v>KNOX</v>
          </cell>
          <cell r="C142" t="str">
            <v>CENSUS</v>
          </cell>
          <cell r="D142">
            <v>1</v>
          </cell>
          <cell r="E142">
            <v>3719</v>
          </cell>
        </row>
        <row r="143">
          <cell r="B143" t="str">
            <v>LA SALLE</v>
          </cell>
          <cell r="C143" t="str">
            <v>CENSUS</v>
          </cell>
          <cell r="D143">
            <v>1</v>
          </cell>
          <cell r="E143">
            <v>6886</v>
          </cell>
        </row>
        <row r="144">
          <cell r="B144" t="str">
            <v>LAMAR</v>
          </cell>
          <cell r="C144" t="str">
            <v>CENSUS</v>
          </cell>
          <cell r="D144">
            <v>1</v>
          </cell>
          <cell r="E144">
            <v>49793</v>
          </cell>
        </row>
        <row r="145">
          <cell r="B145" t="str">
            <v>LAMB</v>
          </cell>
          <cell r="C145" t="str">
            <v>CENSUS</v>
          </cell>
          <cell r="D145">
            <v>1</v>
          </cell>
          <cell r="E145">
            <v>13977</v>
          </cell>
        </row>
        <row r="146">
          <cell r="B146" t="str">
            <v>LAMPASAS</v>
          </cell>
          <cell r="C146" t="str">
            <v>CENSUS</v>
          </cell>
          <cell r="D146">
            <v>1</v>
          </cell>
          <cell r="E146">
            <v>19677</v>
          </cell>
        </row>
        <row r="147">
          <cell r="B147" t="str">
            <v>LAVACA</v>
          </cell>
          <cell r="C147" t="str">
            <v>CENSUS</v>
          </cell>
          <cell r="D147">
            <v>1</v>
          </cell>
          <cell r="E147">
            <v>19263</v>
          </cell>
        </row>
        <row r="148">
          <cell r="B148" t="str">
            <v>LEE</v>
          </cell>
          <cell r="C148" t="str">
            <v>CENSUS</v>
          </cell>
          <cell r="D148">
            <v>1</v>
          </cell>
          <cell r="E148">
            <v>16612</v>
          </cell>
        </row>
        <row r="149">
          <cell r="B149" t="str">
            <v>LEON</v>
          </cell>
          <cell r="C149" t="str">
            <v>CENSUS</v>
          </cell>
          <cell r="D149">
            <v>1</v>
          </cell>
          <cell r="E149">
            <v>16801</v>
          </cell>
        </row>
        <row r="150">
          <cell r="B150" t="str">
            <v>LIBERTY</v>
          </cell>
          <cell r="C150" t="str">
            <v>CENSUS</v>
          </cell>
          <cell r="D150">
            <v>1</v>
          </cell>
          <cell r="E150">
            <v>75643</v>
          </cell>
        </row>
        <row r="151">
          <cell r="B151" t="str">
            <v>LIMESTONE</v>
          </cell>
          <cell r="C151" t="str">
            <v>CENSUS</v>
          </cell>
          <cell r="D151">
            <v>1</v>
          </cell>
          <cell r="E151">
            <v>23384</v>
          </cell>
        </row>
        <row r="152">
          <cell r="B152" t="str">
            <v>LIPSCOMB</v>
          </cell>
          <cell r="C152" t="str">
            <v>CENSUS</v>
          </cell>
          <cell r="D152">
            <v>1</v>
          </cell>
          <cell r="E152">
            <v>3302</v>
          </cell>
        </row>
        <row r="153">
          <cell r="B153" t="str">
            <v>LIVE OAK</v>
          </cell>
          <cell r="C153" t="str">
            <v>CENSUS</v>
          </cell>
          <cell r="D153">
            <v>1</v>
          </cell>
          <cell r="E153">
            <v>11531</v>
          </cell>
        </row>
        <row r="154">
          <cell r="B154" t="str">
            <v>LLANO</v>
          </cell>
          <cell r="C154" t="str">
            <v>CENSUS</v>
          </cell>
          <cell r="D154">
            <v>1</v>
          </cell>
          <cell r="E154">
            <v>19301</v>
          </cell>
        </row>
        <row r="155">
          <cell r="B155" t="str">
            <v>LOVING</v>
          </cell>
          <cell r="C155" t="str">
            <v>CENSUS</v>
          </cell>
          <cell r="D155">
            <v>1</v>
          </cell>
          <cell r="E155">
            <v>82</v>
          </cell>
        </row>
        <row r="156">
          <cell r="B156" t="str">
            <v>LUBBOCK</v>
          </cell>
          <cell r="C156" t="str">
            <v>CENSUS</v>
          </cell>
          <cell r="D156">
            <v>1</v>
          </cell>
          <cell r="E156">
            <v>278831</v>
          </cell>
        </row>
        <row r="157">
          <cell r="B157" t="str">
            <v>LYNN</v>
          </cell>
          <cell r="C157" t="str">
            <v>CENSUS</v>
          </cell>
          <cell r="D157">
            <v>1</v>
          </cell>
          <cell r="E157">
            <v>5915</v>
          </cell>
        </row>
        <row r="158">
          <cell r="B158" t="str">
            <v>MADISON</v>
          </cell>
          <cell r="C158" t="str">
            <v>CENSUS</v>
          </cell>
          <cell r="D158">
            <v>1</v>
          </cell>
          <cell r="E158">
            <v>13664</v>
          </cell>
        </row>
        <row r="159">
          <cell r="B159" t="str">
            <v>MARION</v>
          </cell>
          <cell r="C159" t="str">
            <v>CENSUS</v>
          </cell>
          <cell r="D159">
            <v>1</v>
          </cell>
          <cell r="E159">
            <v>10546</v>
          </cell>
        </row>
        <row r="160">
          <cell r="B160" t="str">
            <v>MARTIN</v>
          </cell>
          <cell r="C160" t="str">
            <v>CENSUS</v>
          </cell>
          <cell r="D160">
            <v>1</v>
          </cell>
          <cell r="E160">
            <v>4799</v>
          </cell>
        </row>
        <row r="161">
          <cell r="B161" t="str">
            <v>MASON</v>
          </cell>
          <cell r="C161" t="str">
            <v>CENSUS</v>
          </cell>
          <cell r="D161">
            <v>1</v>
          </cell>
          <cell r="E161">
            <v>4012</v>
          </cell>
        </row>
        <row r="162">
          <cell r="B162" t="str">
            <v>MATAGORDA</v>
          </cell>
          <cell r="C162" t="str">
            <v>CENSUS</v>
          </cell>
          <cell r="D162">
            <v>1</v>
          </cell>
          <cell r="E162">
            <v>36702</v>
          </cell>
        </row>
        <row r="163">
          <cell r="B163" t="str">
            <v>MAVERICK</v>
          </cell>
          <cell r="C163" t="str">
            <v>CENSUS</v>
          </cell>
          <cell r="D163">
            <v>1</v>
          </cell>
          <cell r="E163">
            <v>54258</v>
          </cell>
        </row>
        <row r="164">
          <cell r="B164" t="str">
            <v>MCCULLOCH</v>
          </cell>
          <cell r="C164" t="str">
            <v>CENSUS</v>
          </cell>
          <cell r="D164">
            <v>1</v>
          </cell>
          <cell r="E164">
            <v>8283</v>
          </cell>
        </row>
        <row r="165">
          <cell r="B165" t="str">
            <v>MCLENNAN</v>
          </cell>
          <cell r="C165" t="str">
            <v>CENSUS</v>
          </cell>
          <cell r="D165">
            <v>1</v>
          </cell>
          <cell r="E165">
            <v>234906</v>
          </cell>
        </row>
        <row r="166">
          <cell r="B166" t="str">
            <v>MCMULLEN</v>
          </cell>
          <cell r="C166" t="str">
            <v>CENSUS</v>
          </cell>
          <cell r="D166">
            <v>1</v>
          </cell>
          <cell r="E166">
            <v>707</v>
          </cell>
        </row>
        <row r="167">
          <cell r="B167" t="str">
            <v>MEDINA</v>
          </cell>
          <cell r="C167" t="str">
            <v>CENSUS</v>
          </cell>
          <cell r="D167">
            <v>1</v>
          </cell>
          <cell r="E167">
            <v>46006</v>
          </cell>
        </row>
        <row r="168">
          <cell r="B168" t="str">
            <v>MENARD</v>
          </cell>
          <cell r="C168" t="str">
            <v>CENSUS</v>
          </cell>
          <cell r="D168">
            <v>1</v>
          </cell>
          <cell r="E168">
            <v>2242</v>
          </cell>
        </row>
        <row r="169">
          <cell r="B169" t="str">
            <v>MIDLAND</v>
          </cell>
          <cell r="C169" t="str">
            <v>CENSUS</v>
          </cell>
          <cell r="D169">
            <v>1</v>
          </cell>
          <cell r="E169">
            <v>136872</v>
          </cell>
        </row>
        <row r="170">
          <cell r="B170" t="str">
            <v>MILAM</v>
          </cell>
          <cell r="C170" t="str">
            <v>CENSUS</v>
          </cell>
          <cell r="D170">
            <v>1</v>
          </cell>
          <cell r="E170">
            <v>24757</v>
          </cell>
        </row>
        <row r="171">
          <cell r="B171" t="str">
            <v>MILLS</v>
          </cell>
          <cell r="C171" t="str">
            <v>CENSUS</v>
          </cell>
          <cell r="D171">
            <v>1</v>
          </cell>
          <cell r="E171">
            <v>4936</v>
          </cell>
        </row>
        <row r="172">
          <cell r="B172" t="str">
            <v>MITCHELL</v>
          </cell>
          <cell r="C172" t="str">
            <v>CENSUS</v>
          </cell>
          <cell r="D172">
            <v>1</v>
          </cell>
          <cell r="E172">
            <v>9403</v>
          </cell>
        </row>
        <row r="173">
          <cell r="B173" t="str">
            <v>MONTAGUE</v>
          </cell>
          <cell r="C173" t="str">
            <v>CENSUS</v>
          </cell>
          <cell r="D173">
            <v>1</v>
          </cell>
          <cell r="E173">
            <v>19719</v>
          </cell>
        </row>
        <row r="174">
          <cell r="B174" t="str">
            <v>MONTGOMERY</v>
          </cell>
          <cell r="C174" t="str">
            <v>CENSUS</v>
          </cell>
          <cell r="D174">
            <v>1</v>
          </cell>
          <cell r="E174">
            <v>455746</v>
          </cell>
        </row>
        <row r="175">
          <cell r="B175" t="str">
            <v>MOORE</v>
          </cell>
          <cell r="C175" t="str">
            <v>CENSUS</v>
          </cell>
          <cell r="D175">
            <v>1</v>
          </cell>
          <cell r="E175">
            <v>21904</v>
          </cell>
        </row>
        <row r="176">
          <cell r="B176" t="str">
            <v>MORRIS</v>
          </cell>
          <cell r="C176" t="str">
            <v>CENSUS</v>
          </cell>
          <cell r="D176">
            <v>1</v>
          </cell>
          <cell r="E176">
            <v>12934</v>
          </cell>
        </row>
        <row r="177">
          <cell r="B177" t="str">
            <v>MOTLEY</v>
          </cell>
          <cell r="C177" t="str">
            <v>CENSUS</v>
          </cell>
          <cell r="D177">
            <v>1</v>
          </cell>
          <cell r="E177">
            <v>1210</v>
          </cell>
        </row>
        <row r="178">
          <cell r="B178" t="str">
            <v>NACOGDOCHES</v>
          </cell>
          <cell r="C178" t="str">
            <v>CENSUS</v>
          </cell>
          <cell r="D178">
            <v>1</v>
          </cell>
          <cell r="E178">
            <v>64524</v>
          </cell>
        </row>
        <row r="179">
          <cell r="B179" t="str">
            <v>NAVARRO</v>
          </cell>
          <cell r="C179" t="str">
            <v>CENSUS</v>
          </cell>
          <cell r="D179">
            <v>1</v>
          </cell>
          <cell r="E179">
            <v>47735</v>
          </cell>
        </row>
        <row r="180">
          <cell r="B180" t="str">
            <v>NEWTON</v>
          </cell>
          <cell r="C180" t="str">
            <v>CENSUS</v>
          </cell>
          <cell r="D180">
            <v>1</v>
          </cell>
          <cell r="E180">
            <v>14445</v>
          </cell>
        </row>
        <row r="181">
          <cell r="B181" t="str">
            <v>NOLAN</v>
          </cell>
          <cell r="C181" t="str">
            <v>CENSUS</v>
          </cell>
          <cell r="D181">
            <v>1</v>
          </cell>
          <cell r="E181">
            <v>15216</v>
          </cell>
        </row>
        <row r="182">
          <cell r="B182" t="str">
            <v>NUECES</v>
          </cell>
          <cell r="C182" t="str">
            <v>CENSUS</v>
          </cell>
          <cell r="D182">
            <v>1</v>
          </cell>
          <cell r="E182">
            <v>340223</v>
          </cell>
        </row>
        <row r="183">
          <cell r="B183" t="str">
            <v>OCHILTREE</v>
          </cell>
          <cell r="C183" t="str">
            <v>CENSUS</v>
          </cell>
          <cell r="D183">
            <v>1</v>
          </cell>
          <cell r="E183">
            <v>10223</v>
          </cell>
        </row>
        <row r="184">
          <cell r="B184" t="str">
            <v>OLDHAM</v>
          </cell>
          <cell r="C184" t="str">
            <v>CENSUS</v>
          </cell>
          <cell r="D184">
            <v>1</v>
          </cell>
          <cell r="E184">
            <v>2052</v>
          </cell>
        </row>
        <row r="185">
          <cell r="B185" t="str">
            <v>ORANGE</v>
          </cell>
          <cell r="C185" t="str">
            <v>CENSUS</v>
          </cell>
          <cell r="D185">
            <v>1</v>
          </cell>
          <cell r="E185">
            <v>81837</v>
          </cell>
        </row>
        <row r="186">
          <cell r="B186" t="str">
            <v>PALO PINTO</v>
          </cell>
          <cell r="C186" t="str">
            <v>CENSUS</v>
          </cell>
          <cell r="D186">
            <v>1</v>
          </cell>
          <cell r="E186">
            <v>28111</v>
          </cell>
        </row>
        <row r="187">
          <cell r="B187" t="str">
            <v>PANOLA</v>
          </cell>
          <cell r="C187" t="str">
            <v>CENSUS</v>
          </cell>
          <cell r="D187">
            <v>1</v>
          </cell>
          <cell r="E187">
            <v>23796</v>
          </cell>
        </row>
        <row r="188">
          <cell r="B188" t="str">
            <v>PARKER</v>
          </cell>
          <cell r="C188" t="str">
            <v>CENSUS</v>
          </cell>
          <cell r="D188">
            <v>1</v>
          </cell>
          <cell r="E188">
            <v>116927</v>
          </cell>
        </row>
        <row r="189">
          <cell r="B189" t="str">
            <v>PARMER</v>
          </cell>
          <cell r="C189" t="str">
            <v>CENSUS</v>
          </cell>
          <cell r="D189">
            <v>1</v>
          </cell>
          <cell r="E189">
            <v>10269</v>
          </cell>
        </row>
        <row r="190">
          <cell r="B190" t="str">
            <v>PECOS</v>
          </cell>
          <cell r="C190" t="str">
            <v>CENSUS</v>
          </cell>
          <cell r="D190">
            <v>1</v>
          </cell>
          <cell r="E190">
            <v>15507</v>
          </cell>
        </row>
        <row r="191">
          <cell r="B191" t="str">
            <v>POLK</v>
          </cell>
          <cell r="C191" t="str">
            <v>CENSUS</v>
          </cell>
          <cell r="D191">
            <v>0.82727973780605357</v>
          </cell>
          <cell r="E191">
            <v>37569.254732986308</v>
          </cell>
        </row>
        <row r="192">
          <cell r="B192" t="str">
            <v>POLK</v>
          </cell>
          <cell r="C192" t="str">
            <v>CENSUS</v>
          </cell>
          <cell r="D192">
            <v>0.1727202621939464</v>
          </cell>
          <cell r="E192">
            <v>7843.7452670136881</v>
          </cell>
        </row>
        <row r="193">
          <cell r="B193" t="str">
            <v>POTTER</v>
          </cell>
          <cell r="C193" t="str">
            <v>CENSUS</v>
          </cell>
          <cell r="D193">
            <v>1</v>
          </cell>
          <cell r="E193">
            <v>121073</v>
          </cell>
        </row>
        <row r="194">
          <cell r="B194" t="str">
            <v>PRESIDIO</v>
          </cell>
          <cell r="C194" t="str">
            <v>CENSUS</v>
          </cell>
          <cell r="D194">
            <v>1</v>
          </cell>
          <cell r="E194">
            <v>7818</v>
          </cell>
        </row>
        <row r="195">
          <cell r="B195" t="str">
            <v>RAINS</v>
          </cell>
          <cell r="C195" t="str">
            <v>CENSUS</v>
          </cell>
          <cell r="D195">
            <v>1</v>
          </cell>
          <cell r="E195">
            <v>10914</v>
          </cell>
        </row>
        <row r="196">
          <cell r="B196" t="str">
            <v>RANDALL</v>
          </cell>
          <cell r="C196" t="str">
            <v>CENSUS</v>
          </cell>
          <cell r="D196">
            <v>1</v>
          </cell>
          <cell r="E196">
            <v>120725</v>
          </cell>
        </row>
        <row r="197">
          <cell r="B197" t="str">
            <v>REAGAN</v>
          </cell>
          <cell r="C197" t="str">
            <v>CENSUS</v>
          </cell>
          <cell r="D197">
            <v>1</v>
          </cell>
          <cell r="E197">
            <v>3367</v>
          </cell>
        </row>
        <row r="198">
          <cell r="B198" t="str">
            <v>REAL</v>
          </cell>
          <cell r="C198" t="str">
            <v>CENSUS</v>
          </cell>
          <cell r="D198">
            <v>1</v>
          </cell>
          <cell r="E198">
            <v>3309</v>
          </cell>
        </row>
        <row r="199">
          <cell r="B199" t="str">
            <v>RED RIVER</v>
          </cell>
          <cell r="C199" t="str">
            <v>CENSUS</v>
          </cell>
          <cell r="D199">
            <v>1</v>
          </cell>
          <cell r="E199">
            <v>12860</v>
          </cell>
        </row>
        <row r="200">
          <cell r="B200" t="str">
            <v>REEVES</v>
          </cell>
          <cell r="C200" t="str">
            <v>CENSUS</v>
          </cell>
          <cell r="D200">
            <v>1</v>
          </cell>
          <cell r="E200">
            <v>13783</v>
          </cell>
        </row>
        <row r="201">
          <cell r="B201" t="str">
            <v>REFUGIO</v>
          </cell>
          <cell r="C201" t="str">
            <v>CENSUS</v>
          </cell>
          <cell r="D201">
            <v>1</v>
          </cell>
          <cell r="E201">
            <v>7383</v>
          </cell>
        </row>
        <row r="202">
          <cell r="B202" t="str">
            <v>ROBERTS</v>
          </cell>
          <cell r="C202" t="str">
            <v>CENSUS</v>
          </cell>
          <cell r="D202">
            <v>1</v>
          </cell>
          <cell r="E202">
            <v>929</v>
          </cell>
        </row>
        <row r="203">
          <cell r="B203" t="str">
            <v>ROBERTSON</v>
          </cell>
          <cell r="C203" t="str">
            <v>CENSUS</v>
          </cell>
          <cell r="D203">
            <v>1</v>
          </cell>
          <cell r="E203">
            <v>16622</v>
          </cell>
        </row>
        <row r="204">
          <cell r="B204" t="str">
            <v>ROCKWALL</v>
          </cell>
          <cell r="C204" t="str">
            <v>CENSUS</v>
          </cell>
          <cell r="D204">
            <v>1</v>
          </cell>
          <cell r="E204">
            <v>78337</v>
          </cell>
        </row>
        <row r="205">
          <cell r="B205" t="str">
            <v>RUNNELS</v>
          </cell>
          <cell r="C205" t="str">
            <v>CENSUS</v>
          </cell>
          <cell r="D205">
            <v>1</v>
          </cell>
          <cell r="E205">
            <v>10501</v>
          </cell>
        </row>
        <row r="206">
          <cell r="B206" t="str">
            <v>RUSK</v>
          </cell>
          <cell r="C206" t="str">
            <v>CENSUS</v>
          </cell>
          <cell r="D206">
            <v>1</v>
          </cell>
          <cell r="E206">
            <v>53330</v>
          </cell>
        </row>
        <row r="207">
          <cell r="B207" t="str">
            <v>SABINE</v>
          </cell>
          <cell r="C207" t="str">
            <v>CENSUS</v>
          </cell>
          <cell r="D207">
            <v>1</v>
          </cell>
          <cell r="E207">
            <v>10834</v>
          </cell>
        </row>
        <row r="208">
          <cell r="B208" t="str">
            <v>SAN AUGUSTINE</v>
          </cell>
          <cell r="C208" t="str">
            <v>CENSUS</v>
          </cell>
          <cell r="D208">
            <v>1</v>
          </cell>
          <cell r="E208">
            <v>8865</v>
          </cell>
        </row>
        <row r="209">
          <cell r="B209" t="str">
            <v>SAN JACINTO</v>
          </cell>
          <cell r="C209" t="str">
            <v>CENSUS</v>
          </cell>
          <cell r="D209">
            <v>1</v>
          </cell>
          <cell r="E209">
            <v>26384</v>
          </cell>
        </row>
        <row r="210">
          <cell r="B210" t="str">
            <v>SAN PATRICIO</v>
          </cell>
          <cell r="C210" t="str">
            <v>CENSUS</v>
          </cell>
          <cell r="D210">
            <v>1</v>
          </cell>
          <cell r="E210">
            <v>64804</v>
          </cell>
        </row>
        <row r="211">
          <cell r="B211" t="str">
            <v>SAN SABA</v>
          </cell>
          <cell r="C211" t="str">
            <v>CENSUS</v>
          </cell>
          <cell r="D211">
            <v>1</v>
          </cell>
          <cell r="E211">
            <v>6131</v>
          </cell>
        </row>
        <row r="212">
          <cell r="B212" t="str">
            <v>SCHLEICHER</v>
          </cell>
          <cell r="C212" t="str">
            <v>CENSUS</v>
          </cell>
          <cell r="D212">
            <v>1</v>
          </cell>
          <cell r="E212">
            <v>3461</v>
          </cell>
        </row>
        <row r="213">
          <cell r="B213" t="str">
            <v>SCURRY</v>
          </cell>
          <cell r="C213" t="str">
            <v>CENSUS</v>
          </cell>
          <cell r="D213">
            <v>1</v>
          </cell>
          <cell r="E213">
            <v>16921</v>
          </cell>
        </row>
        <row r="214">
          <cell r="B214" t="str">
            <v>SHACKELFORD</v>
          </cell>
          <cell r="C214" t="str">
            <v>CENSUS</v>
          </cell>
          <cell r="D214">
            <v>1</v>
          </cell>
          <cell r="E214">
            <v>3378</v>
          </cell>
        </row>
        <row r="215">
          <cell r="B215" t="str">
            <v>SHELBY</v>
          </cell>
          <cell r="C215" t="str">
            <v>CENSUS</v>
          </cell>
          <cell r="D215">
            <v>1</v>
          </cell>
          <cell r="E215">
            <v>25448</v>
          </cell>
        </row>
        <row r="216">
          <cell r="B216" t="str">
            <v>SHERMAN</v>
          </cell>
          <cell r="C216" t="str">
            <v>CENSUS</v>
          </cell>
          <cell r="D216">
            <v>1</v>
          </cell>
          <cell r="E216">
            <v>3034</v>
          </cell>
        </row>
        <row r="217">
          <cell r="B217" t="str">
            <v>SMITH</v>
          </cell>
          <cell r="C217" t="str">
            <v>CENSUS</v>
          </cell>
          <cell r="D217">
            <v>0.19070046240794655</v>
          </cell>
          <cell r="E217">
            <v>39992.556773420103</v>
          </cell>
        </row>
        <row r="218">
          <cell r="B218" t="str">
            <v>SMITH</v>
          </cell>
          <cell r="C218" t="str">
            <v>CENSUS</v>
          </cell>
          <cell r="D218">
            <v>0.80929953759205342</v>
          </cell>
          <cell r="E218">
            <v>169721.4432265799</v>
          </cell>
        </row>
        <row r="219">
          <cell r="B219" t="str">
            <v>SOMERVELL</v>
          </cell>
          <cell r="C219" t="str">
            <v>CENSUS</v>
          </cell>
          <cell r="D219">
            <v>1</v>
          </cell>
          <cell r="E219">
            <v>8490</v>
          </cell>
        </row>
        <row r="220">
          <cell r="B220" t="str">
            <v>STARR</v>
          </cell>
          <cell r="C220" t="str">
            <v>CENSUS</v>
          </cell>
          <cell r="D220">
            <v>1</v>
          </cell>
          <cell r="E220">
            <v>60968</v>
          </cell>
        </row>
        <row r="221">
          <cell r="B221" t="str">
            <v>STEPHENS</v>
          </cell>
          <cell r="C221" t="str">
            <v>CENSUS</v>
          </cell>
          <cell r="D221">
            <v>1</v>
          </cell>
          <cell r="E221">
            <v>9630</v>
          </cell>
        </row>
        <row r="222">
          <cell r="B222" t="str">
            <v>STERLING</v>
          </cell>
          <cell r="C222" t="str">
            <v>CENSUS</v>
          </cell>
          <cell r="D222">
            <v>1</v>
          </cell>
          <cell r="E222">
            <v>1143</v>
          </cell>
        </row>
        <row r="223">
          <cell r="B223" t="str">
            <v>STONEWALL</v>
          </cell>
          <cell r="C223" t="str">
            <v>CENSUS</v>
          </cell>
          <cell r="D223">
            <v>1</v>
          </cell>
          <cell r="E223">
            <v>1490</v>
          </cell>
        </row>
        <row r="224">
          <cell r="B224" t="str">
            <v>SUTTON</v>
          </cell>
          <cell r="C224" t="str">
            <v>CENSUS</v>
          </cell>
          <cell r="D224">
            <v>1</v>
          </cell>
          <cell r="E224">
            <v>4128</v>
          </cell>
        </row>
        <row r="225">
          <cell r="B225" t="str">
            <v>SWISHER</v>
          </cell>
          <cell r="C225" t="str">
            <v>CENSUS</v>
          </cell>
          <cell r="D225">
            <v>1</v>
          </cell>
          <cell r="E225">
            <v>7854</v>
          </cell>
        </row>
        <row r="226">
          <cell r="B226" t="str">
            <v>TARRANT</v>
          </cell>
          <cell r="C226" t="str">
            <v>CENSUS</v>
          </cell>
          <cell r="D226">
            <v>1</v>
          </cell>
          <cell r="E226">
            <v>1809034</v>
          </cell>
        </row>
        <row r="227">
          <cell r="B227" t="str">
            <v>TAYLOR</v>
          </cell>
          <cell r="C227" t="str">
            <v>CENSUS</v>
          </cell>
          <cell r="D227">
            <v>1</v>
          </cell>
          <cell r="E227">
            <v>131506</v>
          </cell>
        </row>
        <row r="228">
          <cell r="B228" t="str">
            <v>TERRELL</v>
          </cell>
          <cell r="C228" t="str">
            <v>CENSUS</v>
          </cell>
          <cell r="D228">
            <v>1</v>
          </cell>
          <cell r="E228">
            <v>984</v>
          </cell>
        </row>
        <row r="229">
          <cell r="B229" t="str">
            <v>TERRY</v>
          </cell>
          <cell r="C229" t="str">
            <v>CENSUS</v>
          </cell>
          <cell r="D229">
            <v>1</v>
          </cell>
          <cell r="E229">
            <v>12651</v>
          </cell>
        </row>
        <row r="230">
          <cell r="B230" t="str">
            <v>THROCKMORTON</v>
          </cell>
          <cell r="C230" t="str">
            <v>CENSUS</v>
          </cell>
          <cell r="D230">
            <v>1</v>
          </cell>
          <cell r="E230">
            <v>1641</v>
          </cell>
        </row>
        <row r="231">
          <cell r="B231" t="str">
            <v>TITUS</v>
          </cell>
          <cell r="C231" t="str">
            <v>CENSUS</v>
          </cell>
          <cell r="D231">
            <v>1</v>
          </cell>
          <cell r="E231">
            <v>32334</v>
          </cell>
        </row>
        <row r="232">
          <cell r="B232" t="str">
            <v>TOM GREEN</v>
          </cell>
          <cell r="C232" t="str">
            <v>CENSUS</v>
          </cell>
          <cell r="D232">
            <v>1</v>
          </cell>
          <cell r="E232">
            <v>110224</v>
          </cell>
        </row>
        <row r="233">
          <cell r="B233" t="str">
            <v>TRAVIS</v>
          </cell>
          <cell r="C233" t="str">
            <v>CENSUS</v>
          </cell>
          <cell r="D233">
            <v>1</v>
          </cell>
          <cell r="E233">
            <v>1024266</v>
          </cell>
        </row>
        <row r="234">
          <cell r="B234" t="str">
            <v>TRINITY</v>
          </cell>
          <cell r="C234" t="str">
            <v>CENSUS</v>
          </cell>
          <cell r="D234">
            <v>0.77287601502848136</v>
          </cell>
          <cell r="E234">
            <v>11272.3966791904</v>
          </cell>
        </row>
        <row r="235">
          <cell r="B235" t="str">
            <v>TRINITY</v>
          </cell>
          <cell r="C235" t="str">
            <v>CENSUS</v>
          </cell>
          <cell r="D235">
            <v>0.22712398497151862</v>
          </cell>
          <cell r="E235">
            <v>3312.6033208095992</v>
          </cell>
        </row>
        <row r="236">
          <cell r="B236" t="str">
            <v>TYLER</v>
          </cell>
          <cell r="C236" t="str">
            <v>CENSUS</v>
          </cell>
          <cell r="D236">
            <v>1</v>
          </cell>
          <cell r="E236">
            <v>21766</v>
          </cell>
        </row>
        <row r="237">
          <cell r="B237" t="str">
            <v>UPSHUR</v>
          </cell>
          <cell r="C237" t="str">
            <v>CENSUS</v>
          </cell>
          <cell r="D237">
            <v>1</v>
          </cell>
          <cell r="E237">
            <v>39309</v>
          </cell>
        </row>
        <row r="238">
          <cell r="B238" t="str">
            <v>UPTON</v>
          </cell>
          <cell r="C238" t="str">
            <v>CENSUS</v>
          </cell>
          <cell r="D238">
            <v>1</v>
          </cell>
          <cell r="E238">
            <v>3355</v>
          </cell>
        </row>
        <row r="239">
          <cell r="B239" t="str">
            <v>UVALDE</v>
          </cell>
          <cell r="C239" t="str">
            <v>CENSUS</v>
          </cell>
          <cell r="D239">
            <v>1</v>
          </cell>
          <cell r="E239">
            <v>26405</v>
          </cell>
        </row>
        <row r="240">
          <cell r="B240" t="str">
            <v>VAL VERDE</v>
          </cell>
          <cell r="C240" t="str">
            <v>CENSUS</v>
          </cell>
          <cell r="D240">
            <v>1</v>
          </cell>
          <cell r="E240">
            <v>48879</v>
          </cell>
        </row>
        <row r="241">
          <cell r="B241" t="str">
            <v>VAN ZANDT</v>
          </cell>
          <cell r="C241" t="str">
            <v>CENSUS</v>
          </cell>
          <cell r="D241">
            <v>1</v>
          </cell>
          <cell r="E241">
            <v>52579</v>
          </cell>
        </row>
        <row r="242">
          <cell r="B242" t="str">
            <v>VICTORIA</v>
          </cell>
          <cell r="C242" t="str">
            <v>CENSUS</v>
          </cell>
          <cell r="D242">
            <v>1</v>
          </cell>
          <cell r="E242">
            <v>86793</v>
          </cell>
        </row>
        <row r="243">
          <cell r="B243" t="str">
            <v>WALKER</v>
          </cell>
          <cell r="C243" t="str">
            <v>CENSUS</v>
          </cell>
          <cell r="D243">
            <v>1</v>
          </cell>
          <cell r="E243">
            <v>67861</v>
          </cell>
        </row>
        <row r="244">
          <cell r="B244" t="str">
            <v>WALLER</v>
          </cell>
          <cell r="C244" t="str">
            <v>CENSUS</v>
          </cell>
          <cell r="D244">
            <v>1</v>
          </cell>
          <cell r="E244">
            <v>43205</v>
          </cell>
        </row>
        <row r="245">
          <cell r="B245" t="str">
            <v>WARD</v>
          </cell>
          <cell r="C245" t="str">
            <v>CENSUS</v>
          </cell>
          <cell r="D245">
            <v>1</v>
          </cell>
          <cell r="E245">
            <v>10658</v>
          </cell>
        </row>
        <row r="246">
          <cell r="B246" t="str">
            <v>WASHINGTON</v>
          </cell>
          <cell r="C246" t="str">
            <v>CENSUS</v>
          </cell>
          <cell r="D246">
            <v>1</v>
          </cell>
          <cell r="E246">
            <v>33718</v>
          </cell>
        </row>
        <row r="247">
          <cell r="B247" t="str">
            <v>WEBB</v>
          </cell>
          <cell r="C247" t="str">
            <v>CENSUS</v>
          </cell>
          <cell r="D247">
            <v>1</v>
          </cell>
          <cell r="E247">
            <v>250304</v>
          </cell>
        </row>
        <row r="248">
          <cell r="B248" t="str">
            <v>WHARTON</v>
          </cell>
          <cell r="C248" t="str">
            <v>CENSUS</v>
          </cell>
          <cell r="D248">
            <v>0.62058259519678571</v>
          </cell>
          <cell r="E248">
            <v>25617.649529723316</v>
          </cell>
        </row>
        <row r="249">
          <cell r="B249" t="str">
            <v>WHARTON</v>
          </cell>
          <cell r="C249" t="str">
            <v>CENSUS</v>
          </cell>
          <cell r="D249">
            <v>0.37941740480321434</v>
          </cell>
          <cell r="E249">
            <v>15662.350470276688</v>
          </cell>
        </row>
        <row r="250">
          <cell r="B250" t="str">
            <v>WHEELER</v>
          </cell>
          <cell r="C250" t="str">
            <v>CENSUS</v>
          </cell>
          <cell r="D250">
            <v>1</v>
          </cell>
          <cell r="E250">
            <v>5410</v>
          </cell>
        </row>
        <row r="251">
          <cell r="B251" t="str">
            <v>WICHITA</v>
          </cell>
          <cell r="C251" t="str">
            <v>CENSUS</v>
          </cell>
          <cell r="D251">
            <v>1</v>
          </cell>
          <cell r="E251">
            <v>131500</v>
          </cell>
        </row>
        <row r="252">
          <cell r="B252" t="str">
            <v>WILBARGER</v>
          </cell>
          <cell r="C252" t="str">
            <v>CENSUS</v>
          </cell>
          <cell r="D252">
            <v>1</v>
          </cell>
          <cell r="E252">
            <v>13535</v>
          </cell>
        </row>
        <row r="253">
          <cell r="B253" t="str">
            <v>WILLACY</v>
          </cell>
          <cell r="C253" t="str">
            <v>CENSUS</v>
          </cell>
          <cell r="D253">
            <v>1</v>
          </cell>
          <cell r="E253">
            <v>22134</v>
          </cell>
        </row>
        <row r="254">
          <cell r="B254" t="str">
            <v>WILLIAMSON</v>
          </cell>
          <cell r="C254" t="str">
            <v>CENSUS</v>
          </cell>
          <cell r="D254">
            <v>0.88824428832777547</v>
          </cell>
          <cell r="E254">
            <v>375442.20754609583</v>
          </cell>
        </row>
        <row r="255">
          <cell r="B255" t="str">
            <v>WILLIAMSON</v>
          </cell>
          <cell r="C255" t="str">
            <v>CENSUS</v>
          </cell>
          <cell r="D255">
            <v>0.11175571167222456</v>
          </cell>
          <cell r="E255">
            <v>47236.792453904207</v>
          </cell>
        </row>
        <row r="256">
          <cell r="B256" t="str">
            <v>WILSON</v>
          </cell>
          <cell r="C256" t="str">
            <v>CENSUS</v>
          </cell>
          <cell r="D256">
            <v>1</v>
          </cell>
          <cell r="E256">
            <v>42918</v>
          </cell>
        </row>
        <row r="257">
          <cell r="B257" t="str">
            <v>WINKLER</v>
          </cell>
          <cell r="C257" t="str">
            <v>CENSUS</v>
          </cell>
          <cell r="D257">
            <v>1</v>
          </cell>
          <cell r="E257">
            <v>7110</v>
          </cell>
        </row>
        <row r="258">
          <cell r="B258" t="str">
            <v>WISE</v>
          </cell>
          <cell r="C258" t="str">
            <v>CENSUS</v>
          </cell>
          <cell r="D258">
            <v>1</v>
          </cell>
          <cell r="E258">
            <v>59127</v>
          </cell>
        </row>
        <row r="259">
          <cell r="B259" t="str">
            <v>WOOD</v>
          </cell>
          <cell r="C259" t="str">
            <v>CENSUS</v>
          </cell>
          <cell r="D259">
            <v>1</v>
          </cell>
          <cell r="E259">
            <v>41964</v>
          </cell>
        </row>
        <row r="260">
          <cell r="B260" t="str">
            <v>YOAKUM</v>
          </cell>
          <cell r="C260" t="str">
            <v>CENSUS</v>
          </cell>
          <cell r="D260">
            <v>1</v>
          </cell>
          <cell r="E260">
            <v>7879</v>
          </cell>
        </row>
        <row r="261">
          <cell r="B261" t="str">
            <v>YOUNG</v>
          </cell>
          <cell r="C261" t="str">
            <v>CENSUS</v>
          </cell>
          <cell r="D261">
            <v>0.20190318576748034</v>
          </cell>
          <cell r="E261">
            <v>3745.3040959867603</v>
          </cell>
        </row>
        <row r="262">
          <cell r="B262" t="str">
            <v>YOUNG</v>
          </cell>
          <cell r="C262" t="str">
            <v>CENSUS</v>
          </cell>
          <cell r="D262">
            <v>0.79809681423251966</v>
          </cell>
          <cell r="E262">
            <v>14804.695904013239</v>
          </cell>
        </row>
        <row r="263">
          <cell r="B263" t="str">
            <v>ZAPATA</v>
          </cell>
          <cell r="C263" t="str">
            <v>CENSUS</v>
          </cell>
          <cell r="D263">
            <v>1</v>
          </cell>
          <cell r="E263">
            <v>14018</v>
          </cell>
        </row>
        <row r="264">
          <cell r="B264" t="str">
            <v>ZAVALA</v>
          </cell>
          <cell r="C264" t="str">
            <v>CENSUS</v>
          </cell>
          <cell r="D264">
            <v>1</v>
          </cell>
          <cell r="E264">
            <v>11677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B10"/>
  <sheetViews>
    <sheetView workbookViewId="0">
      <selection activeCell="B2" sqref="B2"/>
    </sheetView>
  </sheetViews>
  <sheetFormatPr defaultRowHeight="15" x14ac:dyDescent="0.25"/>
  <cols>
    <col min="1" max="1" width="27.140625" customWidth="1"/>
  </cols>
  <sheetData>
    <row r="1" spans="1:2" x14ac:dyDescent="0.25">
      <c r="A1" t="s">
        <v>12516</v>
      </c>
      <c r="B1" s="37" t="s">
        <v>17352</v>
      </c>
    </row>
    <row r="3" spans="1:2" x14ac:dyDescent="0.25">
      <c r="A3" s="5"/>
    </row>
    <row r="4" spans="1:2" x14ac:dyDescent="0.25">
      <c r="A4" s="5"/>
    </row>
    <row r="6" spans="1:2" x14ac:dyDescent="0.25">
      <c r="A6" s="4"/>
    </row>
    <row r="7" spans="1:2" x14ac:dyDescent="0.25">
      <c r="A7" s="5"/>
    </row>
    <row r="8" spans="1:2" x14ac:dyDescent="0.25">
      <c r="A8" s="5"/>
    </row>
    <row r="9" spans="1:2" x14ac:dyDescent="0.25">
      <c r="A9" s="5"/>
    </row>
    <row r="10" spans="1:2" x14ac:dyDescent="0.25">
      <c r="A10" s="5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I160"/>
  <sheetViews>
    <sheetView tabSelected="1" zoomScale="90" zoomScaleNormal="9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17" sqref="F17"/>
    </sheetView>
  </sheetViews>
  <sheetFormatPr defaultRowHeight="15" x14ac:dyDescent="0.25"/>
  <cols>
    <col min="1" max="1" width="20.28515625" customWidth="1"/>
    <col min="2" max="2" width="14" bestFit="1" customWidth="1"/>
    <col min="3" max="3" width="76.7109375" bestFit="1" customWidth="1"/>
    <col min="4" max="4" width="18.28515625" customWidth="1"/>
    <col min="5" max="5" width="8.7109375" style="39" bestFit="1" customWidth="1"/>
    <col min="6" max="6" width="22.42578125" bestFit="1" customWidth="1"/>
    <col min="7" max="7" width="48.28515625" customWidth="1"/>
    <col min="8" max="8" width="25.5703125" bestFit="1" customWidth="1"/>
    <col min="9" max="9" width="32.140625" customWidth="1"/>
  </cols>
  <sheetData>
    <row r="1" spans="1:9" x14ac:dyDescent="0.25">
      <c r="A1" s="10" t="s">
        <v>14893</v>
      </c>
      <c r="B1" s="10" t="s">
        <v>14894</v>
      </c>
      <c r="C1" s="10" t="s">
        <v>12509</v>
      </c>
      <c r="D1" s="10" t="s">
        <v>12505</v>
      </c>
      <c r="E1" s="38" t="s">
        <v>12501</v>
      </c>
      <c r="F1" s="11" t="s">
        <v>12517</v>
      </c>
      <c r="G1" s="12" t="s">
        <v>12515</v>
      </c>
      <c r="H1" s="10" t="s">
        <v>14927</v>
      </c>
      <c r="I1" s="10" t="s">
        <v>17326</v>
      </c>
    </row>
    <row r="2" spans="1:9" x14ac:dyDescent="0.25">
      <c r="A2" t="s">
        <v>13240</v>
      </c>
      <c r="B2" t="s">
        <v>436</v>
      </c>
      <c r="C2" t="s">
        <v>4817</v>
      </c>
      <c r="D2" t="str">
        <f t="shared" ref="D2:D33" si="0">VLOOKUP($C2,DATA,5,FALSE)</f>
        <v>BLANCO</v>
      </c>
      <c r="E2" s="39" t="str">
        <f t="shared" ref="E2:E33" si="1">VLOOKUP($C2,DATA,9,FALSE)</f>
        <v>18</v>
      </c>
      <c r="F2" t="b">
        <v>0</v>
      </c>
      <c r="G2" s="16" t="str">
        <f>HYPERLINK("C:\Users\BTHAMAN\Downloads\NPDESMonitoringData_TX0054623.xlsx", "NPDESMonitoringData_TX0054623.xlsx")</f>
        <v>NPDESMonitoringData_TX0054623.xlsx</v>
      </c>
      <c r="H2" t="str">
        <f t="shared" ref="H2:H33" si="2">VLOOKUP(E2*1,basins,2,FALSE)</f>
        <v>Guadalupe</v>
      </c>
      <c r="I2" t="b">
        <f t="shared" ref="I2:I33" si="3">_xlfn.IFNA(VLOOKUP(A2,suspect,1,FALSE),FALSE)</f>
        <v>0</v>
      </c>
    </row>
    <row r="3" spans="1:9" x14ac:dyDescent="0.25">
      <c r="A3" t="s">
        <v>14865</v>
      </c>
      <c r="B3" t="s">
        <v>31</v>
      </c>
      <c r="C3" t="s">
        <v>4817</v>
      </c>
      <c r="D3" t="str">
        <f t="shared" si="0"/>
        <v>BLANCO</v>
      </c>
      <c r="E3" s="39" t="str">
        <f t="shared" si="1"/>
        <v>18</v>
      </c>
      <c r="F3" t="b">
        <v>0</v>
      </c>
      <c r="G3" s="16" t="str">
        <f>HYPERLINK("C:\Users\BTHAMAN\Downloads\NPDESMonitoringData_TX0137545.xlsx", "NPDESMonitoringData_TX0137545.xlsx")</f>
        <v>NPDESMonitoringData_TX0137545.xlsx</v>
      </c>
      <c r="H3" t="str">
        <f t="shared" si="2"/>
        <v>Guadalupe</v>
      </c>
      <c r="I3" t="b">
        <f t="shared" si="3"/>
        <v>0</v>
      </c>
    </row>
    <row r="4" spans="1:9" x14ac:dyDescent="0.25">
      <c r="A4" t="s">
        <v>12770</v>
      </c>
      <c r="B4" t="s">
        <v>31</v>
      </c>
      <c r="C4" t="s">
        <v>3617</v>
      </c>
      <c r="D4" t="str">
        <f t="shared" si="0"/>
        <v>CALDWELL</v>
      </c>
      <c r="E4" s="39" t="str">
        <f t="shared" si="1"/>
        <v>18</v>
      </c>
      <c r="F4" t="b">
        <v>0</v>
      </c>
      <c r="G4" s="16" t="str">
        <f>HYPERLINK("C:\Users\BTHAMAN\Downloads\NPDESMonitoringData_TX0022764.xlsx", "NPDESMonitoringData_TX0022764.xlsx")</f>
        <v>NPDESMonitoringData_TX0022764.xlsx</v>
      </c>
      <c r="H4" t="str">
        <f t="shared" si="2"/>
        <v>Guadalupe</v>
      </c>
      <c r="I4" t="b">
        <f t="shared" si="3"/>
        <v>0</v>
      </c>
    </row>
    <row r="5" spans="1:9" x14ac:dyDescent="0.25">
      <c r="A5" t="s">
        <v>12771</v>
      </c>
      <c r="B5" t="s">
        <v>31</v>
      </c>
      <c r="C5" t="s">
        <v>3617</v>
      </c>
      <c r="D5" t="str">
        <f t="shared" si="0"/>
        <v>CALDWELL</v>
      </c>
      <c r="E5" s="39" t="str">
        <f t="shared" si="1"/>
        <v>18</v>
      </c>
      <c r="F5" t="b">
        <v>0</v>
      </c>
      <c r="G5" s="16" t="str">
        <f>HYPERLINK("C:\Users\BTHAMAN\Downloads\NPDESMonitoringData_TX0022772.xlsx", "NPDESMonitoringData_TX0022772.xlsx")</f>
        <v>NPDESMonitoringData_TX0022772.xlsx</v>
      </c>
      <c r="H5" t="str">
        <f t="shared" si="2"/>
        <v>Guadalupe</v>
      </c>
      <c r="I5" t="b">
        <f t="shared" si="3"/>
        <v>0</v>
      </c>
    </row>
    <row r="6" spans="1:9" x14ac:dyDescent="0.25">
      <c r="A6" t="s">
        <v>12832</v>
      </c>
      <c r="B6" t="s">
        <v>31</v>
      </c>
      <c r="C6" t="s">
        <v>7022</v>
      </c>
      <c r="D6" t="str">
        <f t="shared" si="0"/>
        <v>CALDWELL</v>
      </c>
      <c r="E6" s="39" t="str">
        <f t="shared" si="1"/>
        <v>18</v>
      </c>
      <c r="F6" t="b">
        <v>0</v>
      </c>
      <c r="G6" s="16" t="str">
        <f>HYPERLINK("C:\Users\BTHAMAN\Downloads\NPDESMonitoringData_TX0023868.xlsx", "NPDESMonitoringData_TX0023868.xlsx")</f>
        <v>NPDESMonitoringData_TX0023868.xlsx</v>
      </c>
      <c r="H6" t="str">
        <f t="shared" si="2"/>
        <v>Guadalupe</v>
      </c>
      <c r="I6" t="b">
        <f t="shared" si="3"/>
        <v>0</v>
      </c>
    </row>
    <row r="7" spans="1:9" x14ac:dyDescent="0.25">
      <c r="A7" t="s">
        <v>13026</v>
      </c>
      <c r="B7" t="s">
        <v>31</v>
      </c>
      <c r="C7" t="s">
        <v>3617</v>
      </c>
      <c r="D7" t="str">
        <f t="shared" si="0"/>
        <v>CALDWELL</v>
      </c>
      <c r="E7" s="39" t="str">
        <f t="shared" si="1"/>
        <v>18</v>
      </c>
      <c r="F7" t="b">
        <v>0</v>
      </c>
      <c r="G7" s="16" t="str">
        <f>HYPERLINK("C:\Users\BTHAMAN\Downloads\NPDESMonitoringData_TX0030970.xlsx", "NPDESMonitoringData_TX0030970.xlsx")</f>
        <v>NPDESMonitoringData_TX0030970.xlsx</v>
      </c>
      <c r="H7" t="str">
        <f t="shared" si="2"/>
        <v>Guadalupe</v>
      </c>
      <c r="I7" t="b">
        <f t="shared" si="3"/>
        <v>0</v>
      </c>
    </row>
    <row r="8" spans="1:9" x14ac:dyDescent="0.25">
      <c r="A8" t="s">
        <v>14121</v>
      </c>
      <c r="B8" t="s">
        <v>31</v>
      </c>
      <c r="C8" t="s">
        <v>7022</v>
      </c>
      <c r="D8" t="str">
        <f t="shared" si="0"/>
        <v>CALDWELL</v>
      </c>
      <c r="E8" s="39" t="str">
        <f t="shared" si="1"/>
        <v>18</v>
      </c>
      <c r="F8" t="b">
        <v>0</v>
      </c>
      <c r="G8" s="16" t="str">
        <f>HYPERLINK("C:\Users\BTHAMAN\Downloads\NPDESMonitoringData_TX0113565.xlsx", "NPDESMonitoringData_TX0113565.xlsx")</f>
        <v>NPDESMonitoringData_TX0113565.xlsx</v>
      </c>
      <c r="H8" t="str">
        <f t="shared" si="2"/>
        <v>Guadalupe</v>
      </c>
      <c r="I8" t="b">
        <f t="shared" si="3"/>
        <v>0</v>
      </c>
    </row>
    <row r="9" spans="1:9" x14ac:dyDescent="0.25">
      <c r="A9" t="s">
        <v>14182</v>
      </c>
      <c r="B9" t="s">
        <v>31</v>
      </c>
      <c r="C9" t="s">
        <v>2138</v>
      </c>
      <c r="D9" t="str">
        <f t="shared" si="0"/>
        <v>CALDWELL</v>
      </c>
      <c r="E9" s="39" t="str">
        <f t="shared" si="1"/>
        <v>18</v>
      </c>
      <c r="F9" t="b">
        <v>0</v>
      </c>
      <c r="G9" s="16" t="str">
        <f>HYPERLINK("C:\Users\BTHAMAN\Downloads\NPDESMonitoringData_TX0117170.xlsx", "NPDESMonitoringData_TX0117170.xlsx")</f>
        <v>NPDESMonitoringData_TX0117170.xlsx</v>
      </c>
      <c r="H9" t="str">
        <f t="shared" si="2"/>
        <v>Guadalupe</v>
      </c>
      <c r="I9" t="b">
        <f t="shared" si="3"/>
        <v>0</v>
      </c>
    </row>
    <row r="10" spans="1:9" x14ac:dyDescent="0.25">
      <c r="A10" t="s">
        <v>14183</v>
      </c>
      <c r="B10" t="s">
        <v>31</v>
      </c>
      <c r="C10" t="s">
        <v>2138</v>
      </c>
      <c r="D10" t="str">
        <f t="shared" si="0"/>
        <v>CALDWELL</v>
      </c>
      <c r="E10" s="39" t="str">
        <f t="shared" si="1"/>
        <v>18</v>
      </c>
      <c r="F10" t="b">
        <v>0</v>
      </c>
      <c r="G10" s="16" t="str">
        <f>HYPERLINK("C:\Users\BTHAMAN\Downloads\NPDESMonitoringData_TX0117188.xlsx", "NPDESMonitoringData_TX0117188.xlsx")</f>
        <v>NPDESMonitoringData_TX0117188.xlsx</v>
      </c>
      <c r="H10" t="str">
        <f t="shared" si="2"/>
        <v>Guadalupe</v>
      </c>
      <c r="I10" t="b">
        <f t="shared" si="3"/>
        <v>0</v>
      </c>
    </row>
    <row r="11" spans="1:9" x14ac:dyDescent="0.25">
      <c r="A11" t="s">
        <v>14437</v>
      </c>
      <c r="B11" t="s">
        <v>31</v>
      </c>
      <c r="C11" t="s">
        <v>1104</v>
      </c>
      <c r="D11" t="str">
        <f t="shared" si="0"/>
        <v>CALDWELL</v>
      </c>
      <c r="E11" s="39" t="str">
        <f t="shared" si="1"/>
        <v>18</v>
      </c>
      <c r="F11" t="b">
        <v>0</v>
      </c>
      <c r="G11" s="16" t="str">
        <f>HYPERLINK("C:\Users\BTHAMAN\Downloads\NPDESMonitoringData_TX0125865.xlsx", "NPDESMonitoringData_TX0125865.xlsx")</f>
        <v>NPDESMonitoringData_TX0125865.xlsx</v>
      </c>
      <c r="H11" t="str">
        <f t="shared" si="2"/>
        <v>Guadalupe</v>
      </c>
      <c r="I11" t="b">
        <f t="shared" si="3"/>
        <v>0</v>
      </c>
    </row>
    <row r="12" spans="1:9" x14ac:dyDescent="0.25">
      <c r="A12" t="s">
        <v>14602</v>
      </c>
      <c r="B12" t="s">
        <v>31</v>
      </c>
      <c r="C12" t="s">
        <v>2150</v>
      </c>
      <c r="D12" t="str">
        <f t="shared" si="0"/>
        <v>CALDWELL</v>
      </c>
      <c r="E12" s="39" t="str">
        <f t="shared" si="1"/>
        <v>18</v>
      </c>
      <c r="F12" t="b">
        <v>0</v>
      </c>
      <c r="G12" s="16" t="str">
        <f>HYPERLINK("C:\Users\BTHAMAN\Downloads\NPDESMonitoringData_TX0129810.xlsx", "NPDESMonitoringData_TX0129810.xlsx")</f>
        <v>NPDESMonitoringData_TX0129810.xlsx</v>
      </c>
      <c r="H12" t="str">
        <f t="shared" si="2"/>
        <v>Guadalupe</v>
      </c>
      <c r="I12" t="b">
        <f t="shared" si="3"/>
        <v>0</v>
      </c>
    </row>
    <row r="13" spans="1:9" x14ac:dyDescent="0.25">
      <c r="A13" t="s">
        <v>14604</v>
      </c>
      <c r="B13" t="s">
        <v>31</v>
      </c>
      <c r="C13" t="s">
        <v>1104</v>
      </c>
      <c r="D13" t="str">
        <f t="shared" si="0"/>
        <v>CALDWELL</v>
      </c>
      <c r="E13" s="39" t="str">
        <f t="shared" si="1"/>
        <v>18</v>
      </c>
      <c r="F13" t="b">
        <v>0</v>
      </c>
      <c r="G13" s="16" t="str">
        <f>HYPERLINK("C:\Users\BTHAMAN\Downloads\NPDESMonitoringData_TX0129879.xlsx", "NPDESMonitoringData_TX0129879.xlsx")</f>
        <v>NPDESMonitoringData_TX0129879.xlsx</v>
      </c>
      <c r="H13" t="str">
        <f t="shared" si="2"/>
        <v>Guadalupe</v>
      </c>
      <c r="I13" t="b">
        <f t="shared" si="3"/>
        <v>0</v>
      </c>
    </row>
    <row r="14" spans="1:9" x14ac:dyDescent="0.25">
      <c r="A14" t="s">
        <v>14710</v>
      </c>
      <c r="B14" t="s">
        <v>31</v>
      </c>
      <c r="C14" t="s">
        <v>9531</v>
      </c>
      <c r="D14" t="str">
        <f t="shared" si="0"/>
        <v>CALDWELL</v>
      </c>
      <c r="E14" s="39" t="str">
        <f t="shared" si="1"/>
        <v>18</v>
      </c>
      <c r="F14" t="b">
        <v>0</v>
      </c>
      <c r="G14" s="16"/>
      <c r="H14" t="str">
        <f t="shared" si="2"/>
        <v>Guadalupe</v>
      </c>
      <c r="I14" t="b">
        <f t="shared" si="3"/>
        <v>0</v>
      </c>
    </row>
    <row r="15" spans="1:9" x14ac:dyDescent="0.25">
      <c r="A15" t="s">
        <v>14726</v>
      </c>
      <c r="B15" t="s">
        <v>31</v>
      </c>
      <c r="C15" t="s">
        <v>1104</v>
      </c>
      <c r="D15" t="str">
        <f t="shared" si="0"/>
        <v>CALDWELL</v>
      </c>
      <c r="E15" s="39" t="str">
        <f t="shared" si="1"/>
        <v>18</v>
      </c>
      <c r="F15" t="b">
        <v>0</v>
      </c>
      <c r="G15" s="16"/>
      <c r="H15" t="str">
        <f t="shared" si="2"/>
        <v>Guadalupe</v>
      </c>
      <c r="I15" t="b">
        <f t="shared" si="3"/>
        <v>0</v>
      </c>
    </row>
    <row r="16" spans="1:9" x14ac:dyDescent="0.25">
      <c r="A16" t="s">
        <v>14736</v>
      </c>
      <c r="B16" t="s">
        <v>31</v>
      </c>
      <c r="C16" t="s">
        <v>1104</v>
      </c>
      <c r="D16" t="str">
        <f t="shared" si="0"/>
        <v>CALDWELL</v>
      </c>
      <c r="E16" s="39" t="str">
        <f t="shared" si="1"/>
        <v>18</v>
      </c>
      <c r="F16" t="b">
        <v>0</v>
      </c>
      <c r="G16" s="16"/>
      <c r="H16" t="str">
        <f t="shared" si="2"/>
        <v>Guadalupe</v>
      </c>
      <c r="I16" t="b">
        <f t="shared" si="3"/>
        <v>0</v>
      </c>
    </row>
    <row r="17" spans="1:9" x14ac:dyDescent="0.25">
      <c r="A17" t="s">
        <v>14741</v>
      </c>
      <c r="B17" t="s">
        <v>31</v>
      </c>
      <c r="C17" t="s">
        <v>2138</v>
      </c>
      <c r="D17" t="str">
        <f t="shared" si="0"/>
        <v>CALDWELL</v>
      </c>
      <c r="E17" s="39" t="str">
        <f t="shared" si="1"/>
        <v>18</v>
      </c>
      <c r="F17" t="b">
        <v>0</v>
      </c>
      <c r="G17" s="16"/>
      <c r="H17" t="str">
        <f t="shared" si="2"/>
        <v>Guadalupe</v>
      </c>
      <c r="I17" t="b">
        <f t="shared" si="3"/>
        <v>0</v>
      </c>
    </row>
    <row r="18" spans="1:9" x14ac:dyDescent="0.25">
      <c r="A18" t="s">
        <v>14757</v>
      </c>
      <c r="B18" t="s">
        <v>31</v>
      </c>
      <c r="C18" t="s">
        <v>1104</v>
      </c>
      <c r="D18" t="str">
        <f t="shared" si="0"/>
        <v>CALDWELL</v>
      </c>
      <c r="E18" s="39" t="str">
        <f t="shared" si="1"/>
        <v>18</v>
      </c>
      <c r="F18" t="b">
        <v>0</v>
      </c>
      <c r="G18" s="16"/>
      <c r="H18" t="str">
        <f t="shared" si="2"/>
        <v>Guadalupe</v>
      </c>
      <c r="I18" t="b">
        <f t="shared" si="3"/>
        <v>0</v>
      </c>
    </row>
    <row r="19" spans="1:9" x14ac:dyDescent="0.25">
      <c r="A19" t="s">
        <v>14818</v>
      </c>
      <c r="B19" t="s">
        <v>31</v>
      </c>
      <c r="C19" t="s">
        <v>1104</v>
      </c>
      <c r="D19" t="str">
        <f t="shared" si="0"/>
        <v>CALDWELL</v>
      </c>
      <c r="E19" s="39" t="str">
        <f t="shared" si="1"/>
        <v>18</v>
      </c>
      <c r="F19" t="b">
        <v>0</v>
      </c>
      <c r="G19" s="16"/>
      <c r="H19" t="str">
        <f t="shared" si="2"/>
        <v>Guadalupe</v>
      </c>
      <c r="I19" t="b">
        <f t="shared" si="3"/>
        <v>0</v>
      </c>
    </row>
    <row r="20" spans="1:9" x14ac:dyDescent="0.25">
      <c r="A20" t="s">
        <v>14833</v>
      </c>
      <c r="B20" t="s">
        <v>31</v>
      </c>
      <c r="C20" t="s">
        <v>1104</v>
      </c>
      <c r="D20" t="str">
        <f t="shared" si="0"/>
        <v>CALDWELL</v>
      </c>
      <c r="E20" s="39" t="str">
        <f t="shared" si="1"/>
        <v>18</v>
      </c>
      <c r="F20" t="b">
        <v>0</v>
      </c>
      <c r="G20" s="16"/>
      <c r="H20" t="str">
        <f t="shared" si="2"/>
        <v>Guadalupe</v>
      </c>
      <c r="I20" t="b">
        <f t="shared" si="3"/>
        <v>0</v>
      </c>
    </row>
    <row r="21" spans="1:9" x14ac:dyDescent="0.25">
      <c r="A21" t="s">
        <v>14885</v>
      </c>
      <c r="B21" t="s">
        <v>31</v>
      </c>
      <c r="C21" t="s">
        <v>6431</v>
      </c>
      <c r="D21" t="str">
        <f t="shared" si="0"/>
        <v>CALDWELL</v>
      </c>
      <c r="E21" s="39" t="str">
        <f t="shared" si="1"/>
        <v>18</v>
      </c>
      <c r="F21" t="b">
        <v>0</v>
      </c>
      <c r="G21" s="16"/>
      <c r="H21" t="str">
        <f t="shared" si="2"/>
        <v>Guadalupe</v>
      </c>
      <c r="I21" t="b">
        <f t="shared" si="3"/>
        <v>0</v>
      </c>
    </row>
    <row r="22" spans="1:9" x14ac:dyDescent="0.25">
      <c r="A22" t="s">
        <v>14887</v>
      </c>
      <c r="B22" t="s">
        <v>31</v>
      </c>
      <c r="C22" t="s">
        <v>4977</v>
      </c>
      <c r="D22" t="str">
        <f t="shared" si="0"/>
        <v>CALDWELL</v>
      </c>
      <c r="E22" s="39" t="str">
        <f t="shared" si="1"/>
        <v>18</v>
      </c>
      <c r="F22" t="b">
        <v>0</v>
      </c>
      <c r="G22" s="16"/>
      <c r="H22" t="str">
        <f t="shared" si="2"/>
        <v>Guadalupe</v>
      </c>
      <c r="I22" t="b">
        <f t="shared" si="3"/>
        <v>0</v>
      </c>
    </row>
    <row r="23" spans="1:9" x14ac:dyDescent="0.25">
      <c r="A23" t="s">
        <v>13399</v>
      </c>
      <c r="B23" t="s">
        <v>31</v>
      </c>
      <c r="C23" t="s">
        <v>1033</v>
      </c>
      <c r="D23" t="str">
        <f t="shared" si="0"/>
        <v>COMAL</v>
      </c>
      <c r="E23" s="39" t="str">
        <f t="shared" si="1"/>
        <v>18</v>
      </c>
      <c r="F23" t="b">
        <v>0</v>
      </c>
      <c r="G23" s="16"/>
      <c r="H23" t="str">
        <f t="shared" si="2"/>
        <v>Guadalupe</v>
      </c>
      <c r="I23" t="b">
        <f t="shared" si="3"/>
        <v>0</v>
      </c>
    </row>
    <row r="24" spans="1:9" x14ac:dyDescent="0.25">
      <c r="A24" t="s">
        <v>13446</v>
      </c>
      <c r="B24" t="s">
        <v>31</v>
      </c>
      <c r="C24" t="s">
        <v>1033</v>
      </c>
      <c r="D24" t="str">
        <f t="shared" si="0"/>
        <v>COMAL</v>
      </c>
      <c r="E24" s="39" t="str">
        <f t="shared" si="1"/>
        <v>18</v>
      </c>
      <c r="F24" t="b">
        <v>0</v>
      </c>
      <c r="G24" s="16"/>
      <c r="H24" t="str">
        <f t="shared" si="2"/>
        <v>Guadalupe</v>
      </c>
      <c r="I24" t="b">
        <f t="shared" si="3"/>
        <v>0</v>
      </c>
    </row>
    <row r="25" spans="1:9" x14ac:dyDescent="0.25">
      <c r="A25" t="s">
        <v>13737</v>
      </c>
      <c r="B25" t="s">
        <v>31</v>
      </c>
      <c r="C25" t="s">
        <v>1033</v>
      </c>
      <c r="D25" t="str">
        <f t="shared" si="0"/>
        <v>COMAL</v>
      </c>
      <c r="E25" s="39" t="str">
        <f t="shared" si="1"/>
        <v>18</v>
      </c>
      <c r="F25" t="b">
        <v>0</v>
      </c>
      <c r="G25" s="16"/>
      <c r="H25" t="str">
        <f t="shared" si="2"/>
        <v>Guadalupe</v>
      </c>
      <c r="I25" t="b">
        <f t="shared" si="3"/>
        <v>0</v>
      </c>
    </row>
    <row r="26" spans="1:9" x14ac:dyDescent="0.25">
      <c r="A26" t="s">
        <v>14691</v>
      </c>
      <c r="B26" t="s">
        <v>19</v>
      </c>
      <c r="C26" t="s">
        <v>1033</v>
      </c>
      <c r="D26" t="str">
        <f t="shared" si="0"/>
        <v>COMAL</v>
      </c>
      <c r="E26" s="39" t="str">
        <f t="shared" si="1"/>
        <v>18</v>
      </c>
      <c r="F26" t="b">
        <v>0</v>
      </c>
      <c r="G26" s="16"/>
      <c r="H26" t="str">
        <f t="shared" si="2"/>
        <v>Guadalupe</v>
      </c>
      <c r="I26" t="b">
        <f t="shared" si="3"/>
        <v>0</v>
      </c>
    </row>
    <row r="27" spans="1:9" x14ac:dyDescent="0.25">
      <c r="A27" t="s">
        <v>14702</v>
      </c>
      <c r="B27" t="s">
        <v>31</v>
      </c>
      <c r="C27" t="s">
        <v>2496</v>
      </c>
      <c r="D27" t="str">
        <f t="shared" si="0"/>
        <v>COMAL</v>
      </c>
      <c r="E27" s="39" t="str">
        <f t="shared" si="1"/>
        <v>18</v>
      </c>
      <c r="F27" t="b">
        <v>0</v>
      </c>
      <c r="G27" s="16"/>
      <c r="H27" t="str">
        <f t="shared" si="2"/>
        <v>Guadalupe</v>
      </c>
      <c r="I27" t="b">
        <f t="shared" si="3"/>
        <v>0</v>
      </c>
    </row>
    <row r="28" spans="1:9" x14ac:dyDescent="0.25">
      <c r="A28" t="s">
        <v>14728</v>
      </c>
      <c r="B28" t="s">
        <v>31</v>
      </c>
      <c r="C28" t="s">
        <v>5080</v>
      </c>
      <c r="D28" t="str">
        <f t="shared" si="0"/>
        <v>COMAL</v>
      </c>
      <c r="E28" s="39" t="str">
        <f t="shared" si="1"/>
        <v>18</v>
      </c>
      <c r="F28" t="b">
        <v>0</v>
      </c>
      <c r="G28" s="16"/>
      <c r="H28" t="str">
        <f t="shared" si="2"/>
        <v>Guadalupe</v>
      </c>
      <c r="I28" t="b">
        <f t="shared" si="3"/>
        <v>0</v>
      </c>
    </row>
    <row r="29" spans="1:9" x14ac:dyDescent="0.25">
      <c r="A29" t="s">
        <v>14791</v>
      </c>
      <c r="B29" t="s">
        <v>31</v>
      </c>
      <c r="C29" t="s">
        <v>2375</v>
      </c>
      <c r="D29" t="str">
        <f t="shared" si="0"/>
        <v>COMAL</v>
      </c>
      <c r="E29" s="39" t="str">
        <f t="shared" si="1"/>
        <v>18</v>
      </c>
      <c r="F29" t="b">
        <v>0</v>
      </c>
      <c r="G29" s="16"/>
      <c r="H29" t="str">
        <f t="shared" si="2"/>
        <v>Guadalupe</v>
      </c>
      <c r="I29" t="b">
        <f t="shared" si="3"/>
        <v>0</v>
      </c>
    </row>
    <row r="30" spans="1:9" x14ac:dyDescent="0.25">
      <c r="A30" t="s">
        <v>14812</v>
      </c>
      <c r="B30" t="s">
        <v>31</v>
      </c>
      <c r="C30" t="s">
        <v>6109</v>
      </c>
      <c r="D30" t="str">
        <f t="shared" si="0"/>
        <v>COMAL</v>
      </c>
      <c r="E30" s="39" t="str">
        <f t="shared" si="1"/>
        <v>18</v>
      </c>
      <c r="F30" t="b">
        <v>0</v>
      </c>
      <c r="G30" s="16"/>
      <c r="H30" t="str">
        <f t="shared" si="2"/>
        <v>Guadalupe</v>
      </c>
      <c r="I30" t="b">
        <f t="shared" si="3"/>
        <v>0</v>
      </c>
    </row>
    <row r="31" spans="1:9" x14ac:dyDescent="0.25">
      <c r="A31" t="s">
        <v>12853</v>
      </c>
      <c r="B31" t="s">
        <v>31</v>
      </c>
      <c r="C31" t="s">
        <v>8446</v>
      </c>
      <c r="D31" t="str">
        <f t="shared" si="0"/>
        <v>DEWITT</v>
      </c>
      <c r="E31" s="39" t="str">
        <f t="shared" si="1"/>
        <v>18</v>
      </c>
      <c r="F31" t="b">
        <v>0</v>
      </c>
      <c r="G31" s="16"/>
      <c r="H31" t="str">
        <f t="shared" si="2"/>
        <v>Guadalupe</v>
      </c>
      <c r="I31" t="b">
        <f t="shared" si="3"/>
        <v>0</v>
      </c>
    </row>
    <row r="32" spans="1:9" x14ac:dyDescent="0.25">
      <c r="A32" t="s">
        <v>13241</v>
      </c>
      <c r="B32" t="s">
        <v>31</v>
      </c>
      <c r="C32" t="s">
        <v>7845</v>
      </c>
      <c r="D32" t="str">
        <f t="shared" si="0"/>
        <v>DEWITT</v>
      </c>
      <c r="E32" s="39" t="str">
        <f t="shared" si="1"/>
        <v>18</v>
      </c>
      <c r="F32" t="b">
        <v>0</v>
      </c>
      <c r="G32" s="16"/>
      <c r="H32" t="str">
        <f t="shared" si="2"/>
        <v>Guadalupe</v>
      </c>
      <c r="I32" t="b">
        <f t="shared" si="3"/>
        <v>0</v>
      </c>
    </row>
    <row r="33" spans="1:9" x14ac:dyDescent="0.25">
      <c r="A33" t="s">
        <v>12795</v>
      </c>
      <c r="B33" t="s">
        <v>31</v>
      </c>
      <c r="C33" t="s">
        <v>10436</v>
      </c>
      <c r="D33" t="str">
        <f t="shared" si="0"/>
        <v>FAYETTE</v>
      </c>
      <c r="E33" s="39" t="str">
        <f t="shared" si="1"/>
        <v>18</v>
      </c>
      <c r="F33" t="b">
        <v>0</v>
      </c>
      <c r="G33" s="16"/>
      <c r="H33" t="str">
        <f t="shared" si="2"/>
        <v>Guadalupe</v>
      </c>
      <c r="I33" t="b">
        <f t="shared" si="3"/>
        <v>0</v>
      </c>
    </row>
    <row r="34" spans="1:9" x14ac:dyDescent="0.25">
      <c r="A34" t="s">
        <v>13436</v>
      </c>
      <c r="B34" t="s">
        <v>436</v>
      </c>
      <c r="C34" t="s">
        <v>3864</v>
      </c>
      <c r="D34" t="str">
        <f t="shared" ref="D34:D65" si="4">VLOOKUP($C34,DATA,5,FALSE)</f>
        <v>GOLIAD</v>
      </c>
      <c r="E34" s="39" t="str">
        <f t="shared" ref="E34:E65" si="5">VLOOKUP($C34,DATA,9,FALSE)</f>
        <v>18</v>
      </c>
      <c r="F34" t="b">
        <v>0</v>
      </c>
      <c r="G34" s="16"/>
      <c r="H34" t="str">
        <f t="shared" ref="H34:H65" si="6">VLOOKUP(E34*1,basins,2,FALSE)</f>
        <v>Guadalupe</v>
      </c>
      <c r="I34" t="b">
        <v>1</v>
      </c>
    </row>
    <row r="35" spans="1:9" x14ac:dyDescent="0.25">
      <c r="A35" t="s">
        <v>12985</v>
      </c>
      <c r="B35" t="s">
        <v>31</v>
      </c>
      <c r="C35" t="s">
        <v>9899</v>
      </c>
      <c r="D35" t="str">
        <f t="shared" si="4"/>
        <v>GONZALES</v>
      </c>
      <c r="E35" s="39" t="str">
        <f t="shared" si="5"/>
        <v>18</v>
      </c>
      <c r="F35" t="b">
        <v>0</v>
      </c>
      <c r="G35" s="16"/>
      <c r="H35" t="str">
        <f t="shared" si="6"/>
        <v>Guadalupe</v>
      </c>
      <c r="I35" t="b">
        <f t="shared" ref="I35:I66" si="7">_xlfn.IFNA(VLOOKUP(A35,suspect,1,FALSE),FALSE)</f>
        <v>0</v>
      </c>
    </row>
    <row r="36" spans="1:9" x14ac:dyDescent="0.25">
      <c r="A36" t="s">
        <v>13086</v>
      </c>
      <c r="B36" t="s">
        <v>31</v>
      </c>
      <c r="C36" t="s">
        <v>9848</v>
      </c>
      <c r="D36" t="str">
        <f t="shared" si="4"/>
        <v>GONZALES</v>
      </c>
      <c r="E36" s="39" t="str">
        <f t="shared" si="5"/>
        <v>18</v>
      </c>
      <c r="F36" t="b">
        <v>0</v>
      </c>
      <c r="G36" s="16"/>
      <c r="H36" t="str">
        <f t="shared" si="6"/>
        <v>Guadalupe</v>
      </c>
      <c r="I36" t="b">
        <f t="shared" si="7"/>
        <v>0</v>
      </c>
    </row>
    <row r="37" spans="1:9" x14ac:dyDescent="0.25">
      <c r="A37" t="s">
        <v>13295</v>
      </c>
      <c r="B37" t="s">
        <v>436</v>
      </c>
      <c r="C37" t="s">
        <v>5232</v>
      </c>
      <c r="D37" t="str">
        <f t="shared" si="4"/>
        <v>GONZALES</v>
      </c>
      <c r="E37" s="39" t="str">
        <f t="shared" si="5"/>
        <v>18</v>
      </c>
      <c r="F37" t="b">
        <v>0</v>
      </c>
      <c r="G37" s="16"/>
      <c r="H37" t="str">
        <f t="shared" si="6"/>
        <v>Guadalupe</v>
      </c>
      <c r="I37" t="b">
        <f t="shared" si="7"/>
        <v>0</v>
      </c>
    </row>
    <row r="38" spans="1:9" x14ac:dyDescent="0.25">
      <c r="A38" t="s">
        <v>13430</v>
      </c>
      <c r="B38" t="s">
        <v>31</v>
      </c>
      <c r="C38" t="s">
        <v>5539</v>
      </c>
      <c r="D38" t="str">
        <f t="shared" si="4"/>
        <v>GONZALES</v>
      </c>
      <c r="E38" s="39" t="str">
        <f t="shared" si="5"/>
        <v>18</v>
      </c>
      <c r="F38" t="b">
        <v>0</v>
      </c>
      <c r="G38" s="16"/>
      <c r="H38" t="str">
        <f t="shared" si="6"/>
        <v>Guadalupe</v>
      </c>
      <c r="I38" t="b">
        <f t="shared" si="7"/>
        <v>0</v>
      </c>
    </row>
    <row r="39" spans="1:9" x14ac:dyDescent="0.25">
      <c r="A39" t="s">
        <v>13444</v>
      </c>
      <c r="B39" t="s">
        <v>31</v>
      </c>
      <c r="C39" t="s">
        <v>6960</v>
      </c>
      <c r="D39" t="str">
        <f t="shared" si="4"/>
        <v>GONZALES</v>
      </c>
      <c r="E39" s="39" t="str">
        <f t="shared" si="5"/>
        <v>18</v>
      </c>
      <c r="F39" t="b">
        <v>0</v>
      </c>
      <c r="G39" s="16"/>
      <c r="H39" t="str">
        <f t="shared" si="6"/>
        <v>Guadalupe</v>
      </c>
      <c r="I39" t="b">
        <f t="shared" si="7"/>
        <v>0</v>
      </c>
    </row>
    <row r="40" spans="1:9" x14ac:dyDescent="0.25">
      <c r="A40" t="s">
        <v>14353</v>
      </c>
      <c r="B40" t="s">
        <v>31</v>
      </c>
      <c r="C40" t="s">
        <v>5232</v>
      </c>
      <c r="D40" t="str">
        <f t="shared" si="4"/>
        <v>GONZALES</v>
      </c>
      <c r="E40" s="39" t="str">
        <f t="shared" si="5"/>
        <v>18</v>
      </c>
      <c r="F40" t="b">
        <v>0</v>
      </c>
      <c r="G40" s="16"/>
      <c r="H40" t="str">
        <f t="shared" si="6"/>
        <v>Guadalupe</v>
      </c>
      <c r="I40" t="b">
        <f t="shared" si="7"/>
        <v>0</v>
      </c>
    </row>
    <row r="41" spans="1:9" x14ac:dyDescent="0.25">
      <c r="A41" t="s">
        <v>14444</v>
      </c>
      <c r="B41" t="s">
        <v>31</v>
      </c>
      <c r="C41" t="s">
        <v>5621</v>
      </c>
      <c r="D41" t="str">
        <f t="shared" si="4"/>
        <v>GONZALES</v>
      </c>
      <c r="E41" s="39" t="str">
        <f t="shared" si="5"/>
        <v>18</v>
      </c>
      <c r="F41" t="b">
        <v>0</v>
      </c>
      <c r="G41" s="16"/>
      <c r="H41" t="str">
        <f t="shared" si="6"/>
        <v>Guadalupe</v>
      </c>
      <c r="I41" t="b">
        <f t="shared" si="7"/>
        <v>0</v>
      </c>
    </row>
    <row r="42" spans="1:9" x14ac:dyDescent="0.25">
      <c r="A42" t="s">
        <v>14563</v>
      </c>
      <c r="B42" t="s">
        <v>31</v>
      </c>
      <c r="C42" t="s">
        <v>4589</v>
      </c>
      <c r="D42" t="str">
        <f t="shared" si="4"/>
        <v>GONZALES</v>
      </c>
      <c r="E42" s="39" t="str">
        <f t="shared" si="5"/>
        <v>18</v>
      </c>
      <c r="F42" t="b">
        <v>0</v>
      </c>
      <c r="G42" s="16"/>
      <c r="H42" t="str">
        <f t="shared" si="6"/>
        <v>Guadalupe</v>
      </c>
      <c r="I42" t="b">
        <f t="shared" si="7"/>
        <v>0</v>
      </c>
    </row>
    <row r="43" spans="1:9" x14ac:dyDescent="0.25">
      <c r="A43" t="s">
        <v>14879</v>
      </c>
      <c r="B43" t="s">
        <v>31</v>
      </c>
      <c r="C43" t="s">
        <v>3080</v>
      </c>
      <c r="D43" t="str">
        <f t="shared" si="4"/>
        <v>GONZALES</v>
      </c>
      <c r="E43" s="39" t="str">
        <f t="shared" si="5"/>
        <v>18</v>
      </c>
      <c r="F43" t="b">
        <v>0</v>
      </c>
      <c r="G43" s="16"/>
      <c r="H43" t="str">
        <f t="shared" si="6"/>
        <v>Guadalupe</v>
      </c>
      <c r="I43" t="b">
        <f t="shared" si="7"/>
        <v>0</v>
      </c>
    </row>
    <row r="44" spans="1:9" x14ac:dyDescent="0.25">
      <c r="A44" t="s">
        <v>14880</v>
      </c>
      <c r="B44" t="s">
        <v>31</v>
      </c>
      <c r="C44" t="s">
        <v>3080</v>
      </c>
      <c r="D44" t="str">
        <f t="shared" si="4"/>
        <v>GONZALES</v>
      </c>
      <c r="E44" s="39" t="str">
        <f t="shared" si="5"/>
        <v>18</v>
      </c>
      <c r="F44" t="b">
        <v>0</v>
      </c>
      <c r="G44" s="16"/>
      <c r="H44" t="str">
        <f t="shared" si="6"/>
        <v>Guadalupe</v>
      </c>
      <c r="I44" t="b">
        <f t="shared" si="7"/>
        <v>0</v>
      </c>
    </row>
    <row r="45" spans="1:9" x14ac:dyDescent="0.25">
      <c r="A45" t="s">
        <v>12742</v>
      </c>
      <c r="B45" t="s">
        <v>31</v>
      </c>
      <c r="C45" t="s">
        <v>7973</v>
      </c>
      <c r="D45" t="str">
        <f t="shared" si="4"/>
        <v>GUADALUPE</v>
      </c>
      <c r="E45" s="39" t="str">
        <f t="shared" si="5"/>
        <v>18</v>
      </c>
      <c r="F45" t="b">
        <v>0</v>
      </c>
      <c r="G45" s="16"/>
      <c r="H45" t="str">
        <f t="shared" si="6"/>
        <v>Guadalupe</v>
      </c>
      <c r="I45" t="b">
        <f t="shared" si="7"/>
        <v>0</v>
      </c>
    </row>
    <row r="46" spans="1:9" x14ac:dyDescent="0.25">
      <c r="A46" t="s">
        <v>12899</v>
      </c>
      <c r="B46" t="s">
        <v>19</v>
      </c>
      <c r="C46" t="s">
        <v>4639</v>
      </c>
      <c r="D46" t="str">
        <f t="shared" si="4"/>
        <v>GUADALUPE</v>
      </c>
      <c r="E46" s="39" t="str">
        <f t="shared" si="5"/>
        <v>18</v>
      </c>
      <c r="F46" t="b">
        <v>0</v>
      </c>
      <c r="G46" s="16"/>
      <c r="H46" t="str">
        <f t="shared" si="6"/>
        <v>Guadalupe</v>
      </c>
      <c r="I46" t="b">
        <f t="shared" si="7"/>
        <v>0</v>
      </c>
    </row>
    <row r="47" spans="1:9" x14ac:dyDescent="0.25">
      <c r="A47" t="s">
        <v>12900</v>
      </c>
      <c r="B47" t="s">
        <v>31</v>
      </c>
      <c r="C47" t="s">
        <v>4639</v>
      </c>
      <c r="D47" t="str">
        <f t="shared" si="4"/>
        <v>GUADALUPE</v>
      </c>
      <c r="E47" s="39" t="str">
        <f t="shared" si="5"/>
        <v>18</v>
      </c>
      <c r="F47" t="b">
        <v>0</v>
      </c>
      <c r="G47" s="16"/>
      <c r="H47" t="str">
        <f t="shared" si="6"/>
        <v>Guadalupe</v>
      </c>
      <c r="I47" t="b">
        <f t="shared" si="7"/>
        <v>0</v>
      </c>
    </row>
    <row r="48" spans="1:9" x14ac:dyDescent="0.25">
      <c r="A48" t="s">
        <v>13649</v>
      </c>
      <c r="B48" t="s">
        <v>31</v>
      </c>
      <c r="C48" t="s">
        <v>1568</v>
      </c>
      <c r="D48" t="str">
        <f t="shared" si="4"/>
        <v>GUADALUPE</v>
      </c>
      <c r="E48" s="39" t="str">
        <f t="shared" si="5"/>
        <v>18</v>
      </c>
      <c r="F48" t="b">
        <v>0</v>
      </c>
      <c r="G48" s="16"/>
      <c r="H48" t="str">
        <f t="shared" si="6"/>
        <v>Guadalupe</v>
      </c>
      <c r="I48" t="b">
        <f t="shared" si="7"/>
        <v>0</v>
      </c>
    </row>
    <row r="49" spans="1:9" x14ac:dyDescent="0.25">
      <c r="A49" t="s">
        <v>13997</v>
      </c>
      <c r="B49" t="s">
        <v>31</v>
      </c>
      <c r="C49" t="s">
        <v>7973</v>
      </c>
      <c r="D49" t="str">
        <f t="shared" si="4"/>
        <v>GUADALUPE</v>
      </c>
      <c r="E49" s="39" t="str">
        <f t="shared" si="5"/>
        <v>18</v>
      </c>
      <c r="F49" t="b">
        <v>0</v>
      </c>
      <c r="G49" s="16"/>
      <c r="H49" t="str">
        <f t="shared" si="6"/>
        <v>Guadalupe</v>
      </c>
      <c r="I49" t="b">
        <f t="shared" si="7"/>
        <v>0</v>
      </c>
    </row>
    <row r="50" spans="1:9" x14ac:dyDescent="0.25">
      <c r="A50" t="s">
        <v>14260</v>
      </c>
      <c r="B50" t="s">
        <v>31</v>
      </c>
      <c r="C50" t="s">
        <v>4639</v>
      </c>
      <c r="D50" t="str">
        <f t="shared" si="4"/>
        <v>GUADALUPE</v>
      </c>
      <c r="E50" s="39" t="str">
        <f t="shared" si="5"/>
        <v>18</v>
      </c>
      <c r="F50" t="b">
        <v>0</v>
      </c>
      <c r="G50" s="16"/>
      <c r="H50" t="str">
        <f t="shared" si="6"/>
        <v>Guadalupe</v>
      </c>
      <c r="I50" t="b">
        <f t="shared" si="7"/>
        <v>0</v>
      </c>
    </row>
    <row r="51" spans="1:9" x14ac:dyDescent="0.25">
      <c r="A51" t="s">
        <v>14618</v>
      </c>
      <c r="B51" t="s">
        <v>31</v>
      </c>
      <c r="C51" t="s">
        <v>1740</v>
      </c>
      <c r="D51" t="str">
        <f t="shared" si="4"/>
        <v>GUADALUPE</v>
      </c>
      <c r="E51" s="39" t="str">
        <f t="shared" si="5"/>
        <v>18</v>
      </c>
      <c r="F51" t="b">
        <v>0</v>
      </c>
      <c r="G51" s="16"/>
      <c r="H51" t="str">
        <f t="shared" si="6"/>
        <v>Guadalupe</v>
      </c>
      <c r="I51" t="b">
        <f t="shared" si="7"/>
        <v>0</v>
      </c>
    </row>
    <row r="52" spans="1:9" x14ac:dyDescent="0.25">
      <c r="A52" t="s">
        <v>14891</v>
      </c>
      <c r="B52" t="s">
        <v>31</v>
      </c>
      <c r="C52" t="s">
        <v>4673</v>
      </c>
      <c r="D52" t="str">
        <f t="shared" si="4"/>
        <v>GUADALUPE</v>
      </c>
      <c r="E52" s="39" t="str">
        <f t="shared" si="5"/>
        <v>18</v>
      </c>
      <c r="F52" t="b">
        <v>0</v>
      </c>
      <c r="G52" s="16"/>
      <c r="H52" t="str">
        <f t="shared" si="6"/>
        <v>Guadalupe</v>
      </c>
      <c r="I52" t="b">
        <f t="shared" si="7"/>
        <v>0</v>
      </c>
    </row>
    <row r="53" spans="1:9" x14ac:dyDescent="0.25">
      <c r="A53" t="s">
        <v>14892</v>
      </c>
      <c r="B53" t="s">
        <v>31</v>
      </c>
      <c r="C53" t="s">
        <v>4673</v>
      </c>
      <c r="D53" t="str">
        <f t="shared" si="4"/>
        <v>GUADALUPE</v>
      </c>
      <c r="E53" s="39" t="str">
        <f t="shared" si="5"/>
        <v>18</v>
      </c>
      <c r="F53" t="b">
        <v>0</v>
      </c>
      <c r="G53" s="16"/>
      <c r="H53" t="str">
        <f t="shared" si="6"/>
        <v>Guadalupe</v>
      </c>
      <c r="I53" t="b">
        <f t="shared" si="7"/>
        <v>0</v>
      </c>
    </row>
    <row r="54" spans="1:9" x14ac:dyDescent="0.25">
      <c r="A54" t="s">
        <v>13164</v>
      </c>
      <c r="B54" t="s">
        <v>31</v>
      </c>
      <c r="C54" t="s">
        <v>7985</v>
      </c>
      <c r="D54" t="str">
        <f t="shared" si="4"/>
        <v>HAYS</v>
      </c>
      <c r="E54" s="39" t="str">
        <f t="shared" si="5"/>
        <v>18</v>
      </c>
      <c r="F54" t="b">
        <v>0</v>
      </c>
      <c r="G54" s="16"/>
      <c r="H54" t="str">
        <f t="shared" si="6"/>
        <v>Guadalupe</v>
      </c>
      <c r="I54" t="b">
        <f t="shared" si="7"/>
        <v>0</v>
      </c>
    </row>
    <row r="55" spans="1:9" x14ac:dyDescent="0.25">
      <c r="A55" t="s">
        <v>13299</v>
      </c>
      <c r="B55" t="s">
        <v>19</v>
      </c>
      <c r="C55" t="s">
        <v>754</v>
      </c>
      <c r="D55" t="str">
        <f t="shared" si="4"/>
        <v>HAYS</v>
      </c>
      <c r="E55" s="39" t="str">
        <f t="shared" si="5"/>
        <v>18</v>
      </c>
      <c r="F55" t="b">
        <v>0</v>
      </c>
      <c r="G55" s="16"/>
      <c r="H55" t="str">
        <f t="shared" si="6"/>
        <v>Guadalupe</v>
      </c>
      <c r="I55" t="b">
        <f t="shared" si="7"/>
        <v>0</v>
      </c>
    </row>
    <row r="56" spans="1:9" x14ac:dyDescent="0.25">
      <c r="A56" t="s">
        <v>14207</v>
      </c>
      <c r="B56" t="s">
        <v>31</v>
      </c>
      <c r="C56" t="s">
        <v>2969</v>
      </c>
      <c r="D56" t="str">
        <f t="shared" si="4"/>
        <v>HAYS</v>
      </c>
      <c r="E56" s="39" t="str">
        <f t="shared" si="5"/>
        <v>18</v>
      </c>
      <c r="F56" t="b">
        <v>0</v>
      </c>
      <c r="G56" s="16"/>
      <c r="H56" t="str">
        <f t="shared" si="6"/>
        <v>Guadalupe</v>
      </c>
      <c r="I56" t="b">
        <f t="shared" si="7"/>
        <v>0</v>
      </c>
    </row>
    <row r="57" spans="1:9" x14ac:dyDescent="0.25">
      <c r="A57" t="s">
        <v>14288</v>
      </c>
      <c r="B57" t="s">
        <v>31</v>
      </c>
      <c r="C57" t="s">
        <v>6068</v>
      </c>
      <c r="D57" t="str">
        <f t="shared" si="4"/>
        <v>HAYS</v>
      </c>
      <c r="E57" s="39" t="str">
        <f t="shared" si="5"/>
        <v>18</v>
      </c>
      <c r="F57" t="b">
        <v>0</v>
      </c>
      <c r="G57" s="16"/>
      <c r="H57" t="str">
        <f t="shared" si="6"/>
        <v>Guadalupe</v>
      </c>
      <c r="I57" t="b">
        <f t="shared" si="7"/>
        <v>0</v>
      </c>
    </row>
    <row r="58" spans="1:9" x14ac:dyDescent="0.25">
      <c r="A58" t="s">
        <v>14415</v>
      </c>
      <c r="B58" t="s">
        <v>436</v>
      </c>
      <c r="C58" t="s">
        <v>2659</v>
      </c>
      <c r="D58" t="str">
        <f t="shared" si="4"/>
        <v>HAYS</v>
      </c>
      <c r="E58" s="39" t="str">
        <f t="shared" si="5"/>
        <v>18</v>
      </c>
      <c r="F58" t="b">
        <v>0</v>
      </c>
      <c r="G58" s="16"/>
      <c r="H58" t="str">
        <f t="shared" si="6"/>
        <v>Guadalupe</v>
      </c>
      <c r="I58" t="b">
        <f t="shared" si="7"/>
        <v>0</v>
      </c>
    </row>
    <row r="59" spans="1:9" x14ac:dyDescent="0.25">
      <c r="A59" t="s">
        <v>14534</v>
      </c>
      <c r="B59" t="s">
        <v>31</v>
      </c>
      <c r="C59" t="s">
        <v>8048</v>
      </c>
      <c r="D59" t="str">
        <f t="shared" si="4"/>
        <v>HAYS</v>
      </c>
      <c r="E59" s="39" t="str">
        <f t="shared" si="5"/>
        <v>18</v>
      </c>
      <c r="F59" t="b">
        <v>0</v>
      </c>
      <c r="G59" s="16"/>
      <c r="H59" t="str">
        <f t="shared" si="6"/>
        <v>Guadalupe</v>
      </c>
      <c r="I59" t="b">
        <f t="shared" si="7"/>
        <v>0</v>
      </c>
    </row>
    <row r="60" spans="1:9" x14ac:dyDescent="0.25">
      <c r="A60" t="s">
        <v>14684</v>
      </c>
      <c r="B60" t="s">
        <v>31</v>
      </c>
      <c r="C60" t="s">
        <v>3543</v>
      </c>
      <c r="D60" t="str">
        <f t="shared" si="4"/>
        <v>HAYS</v>
      </c>
      <c r="E60" s="39" t="str">
        <f t="shared" si="5"/>
        <v>18</v>
      </c>
      <c r="F60" t="b">
        <v>0</v>
      </c>
      <c r="G60" s="16"/>
      <c r="H60" t="str">
        <f t="shared" si="6"/>
        <v>Guadalupe</v>
      </c>
      <c r="I60" t="b">
        <f t="shared" si="7"/>
        <v>0</v>
      </c>
    </row>
    <row r="61" spans="1:9" x14ac:dyDescent="0.25">
      <c r="A61" t="s">
        <v>14787</v>
      </c>
      <c r="B61" t="s">
        <v>31</v>
      </c>
      <c r="C61" t="s">
        <v>3451</v>
      </c>
      <c r="D61" t="str">
        <f t="shared" si="4"/>
        <v>HAYS</v>
      </c>
      <c r="E61" s="39" t="str">
        <f t="shared" si="5"/>
        <v>18</v>
      </c>
      <c r="F61" t="b">
        <v>0</v>
      </c>
      <c r="G61" s="16"/>
      <c r="H61" t="str">
        <f t="shared" si="6"/>
        <v>Guadalupe</v>
      </c>
      <c r="I61" t="b">
        <f t="shared" si="7"/>
        <v>0</v>
      </c>
    </row>
    <row r="62" spans="1:9" x14ac:dyDescent="0.25">
      <c r="A62" t="s">
        <v>14802</v>
      </c>
      <c r="B62" t="s">
        <v>31</v>
      </c>
      <c r="C62" t="s">
        <v>2593</v>
      </c>
      <c r="D62" t="str">
        <f t="shared" si="4"/>
        <v>HAYS</v>
      </c>
      <c r="E62" s="39" t="str">
        <f t="shared" si="5"/>
        <v>18</v>
      </c>
      <c r="F62" t="b">
        <v>0</v>
      </c>
      <c r="G62" s="16"/>
      <c r="H62" t="str">
        <f t="shared" si="6"/>
        <v>Guadalupe</v>
      </c>
      <c r="I62" t="b">
        <f t="shared" si="7"/>
        <v>0</v>
      </c>
    </row>
    <row r="63" spans="1:9" x14ac:dyDescent="0.25">
      <c r="A63" t="s">
        <v>14855</v>
      </c>
      <c r="B63" t="s">
        <v>31</v>
      </c>
      <c r="C63" t="s">
        <v>4255</v>
      </c>
      <c r="D63" t="str">
        <f t="shared" si="4"/>
        <v>HAYS</v>
      </c>
      <c r="E63" s="39" t="str">
        <f t="shared" si="5"/>
        <v>18</v>
      </c>
      <c r="F63" t="b">
        <v>0</v>
      </c>
      <c r="G63" s="16"/>
      <c r="H63" t="str">
        <f t="shared" si="6"/>
        <v>Guadalupe</v>
      </c>
      <c r="I63" t="b">
        <f t="shared" si="7"/>
        <v>0</v>
      </c>
    </row>
    <row r="64" spans="1:9" x14ac:dyDescent="0.25">
      <c r="A64" t="s">
        <v>14877</v>
      </c>
      <c r="B64" t="s">
        <v>31</v>
      </c>
      <c r="C64" t="s">
        <v>5018</v>
      </c>
      <c r="D64" t="str">
        <f t="shared" si="4"/>
        <v>HAYS</v>
      </c>
      <c r="E64" s="39" t="str">
        <f t="shared" si="5"/>
        <v>18</v>
      </c>
      <c r="F64" t="b">
        <v>0</v>
      </c>
      <c r="G64" s="16"/>
      <c r="H64" t="str">
        <f t="shared" si="6"/>
        <v>Guadalupe</v>
      </c>
      <c r="I64" t="b">
        <f t="shared" si="7"/>
        <v>0</v>
      </c>
    </row>
    <row r="65" spans="1:9" x14ac:dyDescent="0.25">
      <c r="A65" t="s">
        <v>14888</v>
      </c>
      <c r="B65" t="s">
        <v>31</v>
      </c>
      <c r="C65" t="s">
        <v>4938</v>
      </c>
      <c r="D65" t="str">
        <f t="shared" si="4"/>
        <v>HAYS</v>
      </c>
      <c r="E65" s="39" t="str">
        <f t="shared" si="5"/>
        <v>18</v>
      </c>
      <c r="F65" t="b">
        <v>0</v>
      </c>
      <c r="G65" s="16"/>
      <c r="H65" t="str">
        <f t="shared" si="6"/>
        <v>Guadalupe</v>
      </c>
      <c r="I65" t="b">
        <f t="shared" si="7"/>
        <v>0</v>
      </c>
    </row>
    <row r="66" spans="1:9" x14ac:dyDescent="0.25">
      <c r="A66" t="s">
        <v>14889</v>
      </c>
      <c r="B66" t="s">
        <v>31</v>
      </c>
      <c r="C66" t="s">
        <v>4851</v>
      </c>
      <c r="D66" t="str">
        <f t="shared" ref="D66:D97" si="8">VLOOKUP($C66,DATA,5,FALSE)</f>
        <v>HAYS</v>
      </c>
      <c r="E66" s="39" t="str">
        <f t="shared" ref="E66:E97" si="9">VLOOKUP($C66,DATA,9,FALSE)</f>
        <v>18</v>
      </c>
      <c r="F66" t="b">
        <v>0</v>
      </c>
      <c r="G66" s="16"/>
      <c r="H66" t="str">
        <f t="shared" ref="H66:H97" si="10">VLOOKUP(E66*1,basins,2,FALSE)</f>
        <v>Guadalupe</v>
      </c>
      <c r="I66" t="b">
        <f t="shared" si="7"/>
        <v>0</v>
      </c>
    </row>
    <row r="67" spans="1:9" x14ac:dyDescent="0.25">
      <c r="A67" t="s">
        <v>14169</v>
      </c>
      <c r="B67" t="s">
        <v>31</v>
      </c>
      <c r="C67" t="s">
        <v>8409</v>
      </c>
      <c r="D67" t="str">
        <f t="shared" si="8"/>
        <v>KENDALL</v>
      </c>
      <c r="E67" s="39" t="str">
        <f t="shared" si="9"/>
        <v>18</v>
      </c>
      <c r="F67" t="b">
        <v>0</v>
      </c>
      <c r="G67" s="16"/>
      <c r="H67" t="str">
        <f t="shared" si="10"/>
        <v>Guadalupe</v>
      </c>
      <c r="I67" t="b">
        <f t="shared" ref="I67:I85" si="11">_xlfn.IFNA(VLOOKUP(A67,suspect,1,FALSE),FALSE)</f>
        <v>0</v>
      </c>
    </row>
    <row r="68" spans="1:9" x14ac:dyDescent="0.25">
      <c r="A68" t="s">
        <v>13146</v>
      </c>
      <c r="B68" t="s">
        <v>31</v>
      </c>
      <c r="C68" t="s">
        <v>4218</v>
      </c>
      <c r="D68" t="str">
        <f t="shared" si="8"/>
        <v>KERR</v>
      </c>
      <c r="E68" s="39" t="str">
        <f t="shared" si="9"/>
        <v>18</v>
      </c>
      <c r="F68" t="b">
        <v>0</v>
      </c>
      <c r="G68" s="16"/>
      <c r="H68" t="str">
        <f t="shared" si="10"/>
        <v>Guadalupe</v>
      </c>
      <c r="I68" t="b">
        <f t="shared" si="11"/>
        <v>0</v>
      </c>
    </row>
    <row r="69" spans="1:9" x14ac:dyDescent="0.25">
      <c r="A69" t="s">
        <v>14827</v>
      </c>
      <c r="B69" t="s">
        <v>31</v>
      </c>
      <c r="C69" t="s">
        <v>562</v>
      </c>
      <c r="D69" t="str">
        <f t="shared" si="8"/>
        <v>KERR</v>
      </c>
      <c r="E69" s="39" t="str">
        <f t="shared" si="9"/>
        <v>18</v>
      </c>
      <c r="F69" t="b">
        <v>0</v>
      </c>
      <c r="G69" s="16"/>
      <c r="H69" t="str">
        <f t="shared" si="10"/>
        <v>Guadalupe</v>
      </c>
      <c r="I69" t="b">
        <f t="shared" si="11"/>
        <v>0</v>
      </c>
    </row>
    <row r="70" spans="1:9" x14ac:dyDescent="0.25">
      <c r="A70" t="s">
        <v>14884</v>
      </c>
      <c r="B70" t="s">
        <v>31</v>
      </c>
      <c r="C70" t="s">
        <v>5936</v>
      </c>
      <c r="D70" t="str">
        <f t="shared" si="8"/>
        <v>KERR</v>
      </c>
      <c r="E70" s="39" t="str">
        <f t="shared" si="9"/>
        <v>18</v>
      </c>
      <c r="F70" t="b">
        <v>0</v>
      </c>
      <c r="G70" s="16"/>
      <c r="H70" t="str">
        <f t="shared" si="10"/>
        <v>Guadalupe</v>
      </c>
      <c r="I70" t="b">
        <f t="shared" si="11"/>
        <v>0</v>
      </c>
    </row>
    <row r="71" spans="1:9" x14ac:dyDescent="0.25">
      <c r="A71" t="s">
        <v>12564</v>
      </c>
      <c r="B71" t="s">
        <v>19</v>
      </c>
      <c r="C71" t="s">
        <v>10661</v>
      </c>
      <c r="D71" t="str">
        <f t="shared" si="8"/>
        <v>VICTORIA</v>
      </c>
      <c r="E71" s="39" t="str">
        <f t="shared" si="9"/>
        <v>18</v>
      </c>
      <c r="F71" t="b">
        <v>0</v>
      </c>
      <c r="G71" s="16"/>
      <c r="H71" t="str">
        <f t="shared" si="10"/>
        <v>Guadalupe</v>
      </c>
      <c r="I71" t="b">
        <f t="shared" si="11"/>
        <v>0</v>
      </c>
    </row>
    <row r="72" spans="1:9" x14ac:dyDescent="0.25">
      <c r="A72" t="s">
        <v>12593</v>
      </c>
      <c r="B72" t="s">
        <v>31</v>
      </c>
      <c r="C72" t="s">
        <v>1835</v>
      </c>
      <c r="D72" t="str">
        <f t="shared" si="8"/>
        <v>VICTORIA</v>
      </c>
      <c r="E72" s="39" t="str">
        <f t="shared" si="9"/>
        <v>18</v>
      </c>
      <c r="F72" t="b">
        <v>0</v>
      </c>
      <c r="G72" s="16"/>
      <c r="H72" t="str">
        <f t="shared" si="10"/>
        <v>Guadalupe</v>
      </c>
      <c r="I72" t="b">
        <f t="shared" si="11"/>
        <v>0</v>
      </c>
    </row>
    <row r="73" spans="1:9" x14ac:dyDescent="0.25">
      <c r="A73" t="s">
        <v>12610</v>
      </c>
      <c r="B73" t="s">
        <v>433</v>
      </c>
      <c r="C73" t="s">
        <v>1241</v>
      </c>
      <c r="D73" t="str">
        <f t="shared" si="8"/>
        <v>VICTORIA</v>
      </c>
      <c r="E73" s="39" t="str">
        <f t="shared" si="9"/>
        <v>18</v>
      </c>
      <c r="F73" t="b">
        <v>0</v>
      </c>
      <c r="G73" s="16"/>
      <c r="H73" t="str">
        <f t="shared" si="10"/>
        <v>Guadalupe</v>
      </c>
      <c r="I73" t="b">
        <f t="shared" si="11"/>
        <v>0</v>
      </c>
    </row>
    <row r="74" spans="1:9" x14ac:dyDescent="0.25">
      <c r="A74" t="s">
        <v>12809</v>
      </c>
      <c r="B74" t="s">
        <v>31</v>
      </c>
      <c r="C74" t="s">
        <v>11003</v>
      </c>
      <c r="D74" t="str">
        <f t="shared" si="8"/>
        <v>VICTORIA</v>
      </c>
      <c r="E74" s="39" t="str">
        <f t="shared" si="9"/>
        <v>18</v>
      </c>
      <c r="F74" t="b">
        <v>0</v>
      </c>
      <c r="G74" s="16"/>
      <c r="H74" t="str">
        <f t="shared" si="10"/>
        <v>Guadalupe</v>
      </c>
      <c r="I74" t="b">
        <f t="shared" si="11"/>
        <v>0</v>
      </c>
    </row>
    <row r="75" spans="1:9" x14ac:dyDescent="0.25">
      <c r="A75" t="s">
        <v>12898</v>
      </c>
      <c r="B75" t="s">
        <v>31</v>
      </c>
      <c r="C75" t="s">
        <v>5443</v>
      </c>
      <c r="D75" t="str">
        <f t="shared" si="8"/>
        <v>VICTORIA</v>
      </c>
      <c r="E75" s="39" t="str">
        <f t="shared" si="9"/>
        <v>18</v>
      </c>
      <c r="F75" t="b">
        <v>0</v>
      </c>
      <c r="G75" s="16"/>
      <c r="H75" t="str">
        <f t="shared" si="10"/>
        <v>Guadalupe</v>
      </c>
      <c r="I75" t="b">
        <f t="shared" si="11"/>
        <v>0</v>
      </c>
    </row>
    <row r="76" spans="1:9" x14ac:dyDescent="0.25">
      <c r="A76" t="s">
        <v>14641</v>
      </c>
      <c r="B76" t="s">
        <v>31</v>
      </c>
      <c r="C76" t="s">
        <v>9803</v>
      </c>
      <c r="D76" t="str">
        <f t="shared" si="8"/>
        <v>VICTORIA</v>
      </c>
      <c r="E76" s="39" t="str">
        <f t="shared" si="9"/>
        <v>18</v>
      </c>
      <c r="F76" t="b">
        <v>0</v>
      </c>
      <c r="G76" s="16"/>
      <c r="H76" t="str">
        <f t="shared" si="10"/>
        <v>Guadalupe</v>
      </c>
      <c r="I76" t="b">
        <f t="shared" si="11"/>
        <v>0</v>
      </c>
    </row>
    <row r="77" spans="1:9" x14ac:dyDescent="0.25">
      <c r="A77" t="s">
        <v>14669</v>
      </c>
      <c r="B77" t="s">
        <v>31</v>
      </c>
      <c r="C77" t="s">
        <v>5443</v>
      </c>
      <c r="D77" t="str">
        <f t="shared" si="8"/>
        <v>VICTORIA</v>
      </c>
      <c r="E77" s="39" t="str">
        <f t="shared" si="9"/>
        <v>18</v>
      </c>
      <c r="F77" t="b">
        <v>0</v>
      </c>
      <c r="G77" s="16"/>
      <c r="H77" t="str">
        <f t="shared" si="10"/>
        <v>Guadalupe</v>
      </c>
      <c r="I77" t="b">
        <f t="shared" si="11"/>
        <v>0</v>
      </c>
    </row>
    <row r="78" spans="1:9" x14ac:dyDescent="0.25">
      <c r="A78" t="s">
        <v>14730</v>
      </c>
      <c r="B78" t="s">
        <v>31</v>
      </c>
      <c r="C78" t="s">
        <v>4465</v>
      </c>
      <c r="D78" t="str">
        <f t="shared" si="8"/>
        <v>VICTORIA</v>
      </c>
      <c r="E78" s="39" t="str">
        <f t="shared" si="9"/>
        <v>18</v>
      </c>
      <c r="F78" t="b">
        <v>0</v>
      </c>
      <c r="G78" s="16"/>
      <c r="H78" t="str">
        <f t="shared" si="10"/>
        <v>Guadalupe</v>
      </c>
      <c r="I78" t="b">
        <f t="shared" si="11"/>
        <v>0</v>
      </c>
    </row>
    <row r="79" spans="1:9" x14ac:dyDescent="0.25">
      <c r="A79" t="s">
        <v>12745</v>
      </c>
      <c r="B79" t="s">
        <v>31</v>
      </c>
      <c r="C79" t="s">
        <v>10737</v>
      </c>
      <c r="D79" t="str">
        <f t="shared" si="8"/>
        <v>BANDERA</v>
      </c>
      <c r="E79" s="39" t="str">
        <f t="shared" si="9"/>
        <v>19</v>
      </c>
      <c r="F79" t="b">
        <v>0</v>
      </c>
      <c r="G79" s="16"/>
      <c r="H79" t="str">
        <f t="shared" si="10"/>
        <v>San Antonio</v>
      </c>
      <c r="I79" t="b">
        <f t="shared" si="11"/>
        <v>0</v>
      </c>
    </row>
    <row r="80" spans="1:9" x14ac:dyDescent="0.25">
      <c r="A80" t="s">
        <v>12842</v>
      </c>
      <c r="B80" t="s">
        <v>31</v>
      </c>
      <c r="C80" t="s">
        <v>5388</v>
      </c>
      <c r="D80" t="str">
        <f t="shared" si="8"/>
        <v>BEXAR</v>
      </c>
      <c r="E80" s="39" t="str">
        <f t="shared" si="9"/>
        <v>19</v>
      </c>
      <c r="F80" t="b">
        <v>0</v>
      </c>
      <c r="G80" s="16"/>
      <c r="H80" t="str">
        <f t="shared" si="10"/>
        <v>San Antonio</v>
      </c>
      <c r="I80" t="b">
        <f t="shared" si="11"/>
        <v>0</v>
      </c>
    </row>
    <row r="81" spans="1:9" x14ac:dyDescent="0.25">
      <c r="A81" t="s">
        <v>13016</v>
      </c>
      <c r="B81" t="s">
        <v>19</v>
      </c>
      <c r="C81" t="s">
        <v>9382</v>
      </c>
      <c r="D81" t="str">
        <f t="shared" si="8"/>
        <v>BEXAR</v>
      </c>
      <c r="E81" s="39" t="str">
        <f t="shared" si="9"/>
        <v>19</v>
      </c>
      <c r="F81" t="b">
        <v>0</v>
      </c>
      <c r="G81" s="16"/>
      <c r="H81" t="str">
        <f t="shared" si="10"/>
        <v>San Antonio</v>
      </c>
      <c r="I81" t="b">
        <f t="shared" si="11"/>
        <v>0</v>
      </c>
    </row>
    <row r="82" spans="1:9" x14ac:dyDescent="0.25">
      <c r="A82" t="s">
        <v>13169</v>
      </c>
      <c r="B82" t="s">
        <v>19</v>
      </c>
      <c r="C82" t="s">
        <v>6631</v>
      </c>
      <c r="D82" t="str">
        <f t="shared" si="8"/>
        <v>BEXAR</v>
      </c>
      <c r="E82" s="39" t="str">
        <f t="shared" si="9"/>
        <v>19</v>
      </c>
      <c r="F82" t="b">
        <v>0</v>
      </c>
      <c r="G82" s="16"/>
      <c r="H82" t="str">
        <f t="shared" si="10"/>
        <v>San Antonio</v>
      </c>
      <c r="I82" t="b">
        <f t="shared" si="11"/>
        <v>0</v>
      </c>
    </row>
    <row r="83" spans="1:9" x14ac:dyDescent="0.25">
      <c r="A83" t="s">
        <v>13170</v>
      </c>
      <c r="B83" t="s">
        <v>31</v>
      </c>
      <c r="C83" t="s">
        <v>6631</v>
      </c>
      <c r="D83" t="str">
        <f t="shared" si="8"/>
        <v>BEXAR</v>
      </c>
      <c r="E83" s="39" t="str">
        <f t="shared" si="9"/>
        <v>19</v>
      </c>
      <c r="F83" t="b">
        <v>0</v>
      </c>
      <c r="G83" s="16"/>
      <c r="H83" t="str">
        <f t="shared" si="10"/>
        <v>San Antonio</v>
      </c>
      <c r="I83" t="b">
        <f t="shared" si="11"/>
        <v>0</v>
      </c>
    </row>
    <row r="84" spans="1:9" x14ac:dyDescent="0.25">
      <c r="A84" t="s">
        <v>13187</v>
      </c>
      <c r="B84" t="s">
        <v>31</v>
      </c>
      <c r="C84" t="s">
        <v>5388</v>
      </c>
      <c r="D84" t="str">
        <f t="shared" si="8"/>
        <v>BEXAR</v>
      </c>
      <c r="E84" s="39" t="str">
        <f t="shared" si="9"/>
        <v>19</v>
      </c>
      <c r="F84" t="b">
        <v>0</v>
      </c>
      <c r="G84" s="16"/>
      <c r="H84" t="str">
        <f t="shared" si="10"/>
        <v>San Antonio</v>
      </c>
      <c r="I84" t="b">
        <f t="shared" si="11"/>
        <v>0</v>
      </c>
    </row>
    <row r="85" spans="1:9" x14ac:dyDescent="0.25">
      <c r="A85" t="s">
        <v>13264</v>
      </c>
      <c r="B85" t="s">
        <v>31</v>
      </c>
      <c r="C85" t="s">
        <v>6631</v>
      </c>
      <c r="D85" t="str">
        <f t="shared" si="8"/>
        <v>BEXAR</v>
      </c>
      <c r="E85" s="39" t="str">
        <f t="shared" si="9"/>
        <v>19</v>
      </c>
      <c r="F85" t="b">
        <v>0</v>
      </c>
      <c r="G85" s="16"/>
      <c r="H85" t="str">
        <f t="shared" si="10"/>
        <v>San Antonio</v>
      </c>
      <c r="I85" t="b">
        <f t="shared" si="11"/>
        <v>0</v>
      </c>
    </row>
    <row r="86" spans="1:9" x14ac:dyDescent="0.25">
      <c r="A86" t="s">
        <v>13362</v>
      </c>
      <c r="B86" t="s">
        <v>4803</v>
      </c>
      <c r="C86" t="s">
        <v>1839</v>
      </c>
      <c r="D86" t="str">
        <f t="shared" si="8"/>
        <v>BEXAR</v>
      </c>
      <c r="E86" s="39" t="str">
        <f t="shared" si="9"/>
        <v>19</v>
      </c>
      <c r="F86" t="b">
        <v>0</v>
      </c>
      <c r="G86" s="16"/>
      <c r="H86" t="str">
        <f t="shared" si="10"/>
        <v>San Antonio</v>
      </c>
      <c r="I86" t="b">
        <v>1</v>
      </c>
    </row>
    <row r="87" spans="1:9" x14ac:dyDescent="0.25">
      <c r="A87" t="s">
        <v>13363</v>
      </c>
      <c r="B87" t="s">
        <v>4792</v>
      </c>
      <c r="C87" t="s">
        <v>1839</v>
      </c>
      <c r="D87" t="str">
        <f t="shared" si="8"/>
        <v>BEXAR</v>
      </c>
      <c r="E87" s="39" t="str">
        <f t="shared" si="9"/>
        <v>19</v>
      </c>
      <c r="F87" t="b">
        <v>0</v>
      </c>
      <c r="G87" s="16"/>
      <c r="H87" t="str">
        <f t="shared" si="10"/>
        <v>San Antonio</v>
      </c>
      <c r="I87" t="b">
        <v>1</v>
      </c>
    </row>
    <row r="88" spans="1:9" x14ac:dyDescent="0.25">
      <c r="A88" t="s">
        <v>13364</v>
      </c>
      <c r="B88" t="s">
        <v>4657</v>
      </c>
      <c r="C88" t="s">
        <v>1839</v>
      </c>
      <c r="D88" t="str">
        <f t="shared" si="8"/>
        <v>BEXAR</v>
      </c>
      <c r="E88" s="39" t="str">
        <f t="shared" si="9"/>
        <v>19</v>
      </c>
      <c r="F88" t="b">
        <v>0</v>
      </c>
      <c r="G88" s="16"/>
      <c r="H88" t="str">
        <f t="shared" si="10"/>
        <v>San Antonio</v>
      </c>
      <c r="I88" t="b">
        <f>_xlfn.IFNA(VLOOKUP(A88,suspect,1,FALSE),FALSE)</f>
        <v>0</v>
      </c>
    </row>
    <row r="89" spans="1:9" x14ac:dyDescent="0.25">
      <c r="A89" t="s">
        <v>13377</v>
      </c>
      <c r="B89" t="s">
        <v>31</v>
      </c>
      <c r="C89" t="s">
        <v>6631</v>
      </c>
      <c r="D89" t="str">
        <f t="shared" si="8"/>
        <v>BEXAR</v>
      </c>
      <c r="E89" s="39" t="str">
        <f t="shared" si="9"/>
        <v>19</v>
      </c>
      <c r="F89" t="b">
        <v>0</v>
      </c>
      <c r="G89" s="16"/>
      <c r="H89" t="str">
        <f t="shared" si="10"/>
        <v>San Antonio</v>
      </c>
      <c r="I89" t="b">
        <f>_xlfn.IFNA(VLOOKUP(A89,suspect,1,FALSE),FALSE)</f>
        <v>0</v>
      </c>
    </row>
    <row r="90" spans="1:9" x14ac:dyDescent="0.25">
      <c r="A90" t="s">
        <v>13519</v>
      </c>
      <c r="B90" t="s">
        <v>31</v>
      </c>
      <c r="C90" t="s">
        <v>11925</v>
      </c>
      <c r="D90" t="str">
        <f t="shared" si="8"/>
        <v>BEXAR</v>
      </c>
      <c r="E90" s="39" t="str">
        <f t="shared" si="9"/>
        <v>19</v>
      </c>
      <c r="F90" t="b">
        <v>0</v>
      </c>
      <c r="G90" s="16"/>
      <c r="H90" t="str">
        <f t="shared" si="10"/>
        <v>San Antonio</v>
      </c>
      <c r="I90" t="b">
        <f>_xlfn.IFNA(VLOOKUP(A90,suspect,1,FALSE),FALSE)</f>
        <v>0</v>
      </c>
    </row>
    <row r="91" spans="1:9" x14ac:dyDescent="0.25">
      <c r="A91" t="s">
        <v>13525</v>
      </c>
      <c r="B91" t="s">
        <v>31</v>
      </c>
      <c r="C91" t="s">
        <v>8738</v>
      </c>
      <c r="D91" t="str">
        <f t="shared" si="8"/>
        <v>BEXAR</v>
      </c>
      <c r="E91" s="39" t="str">
        <f t="shared" si="9"/>
        <v>19</v>
      </c>
      <c r="F91" t="b">
        <v>0</v>
      </c>
      <c r="G91" s="16"/>
      <c r="H91" t="str">
        <f t="shared" si="10"/>
        <v>San Antonio</v>
      </c>
      <c r="I91" t="b">
        <f>_xlfn.IFNA(VLOOKUP(A91,suspect,1,FALSE),FALSE)</f>
        <v>0</v>
      </c>
    </row>
    <row r="92" spans="1:9" x14ac:dyDescent="0.25">
      <c r="A92" t="s">
        <v>13583</v>
      </c>
      <c r="B92" t="s">
        <v>19</v>
      </c>
      <c r="C92" t="s">
        <v>874</v>
      </c>
      <c r="D92" t="str">
        <f t="shared" si="8"/>
        <v>BEXAR</v>
      </c>
      <c r="E92" s="39" t="str">
        <f t="shared" si="9"/>
        <v>19</v>
      </c>
      <c r="F92" t="b">
        <v>0</v>
      </c>
      <c r="G92" s="16"/>
      <c r="H92" t="str">
        <f t="shared" si="10"/>
        <v>San Antonio</v>
      </c>
      <c r="I92" t="b">
        <f>_xlfn.IFNA(VLOOKUP(A92,suspect,1,FALSE),FALSE)</f>
        <v>0</v>
      </c>
    </row>
    <row r="93" spans="1:9" x14ac:dyDescent="0.25">
      <c r="A93" t="s">
        <v>13594</v>
      </c>
      <c r="B93" t="s">
        <v>433</v>
      </c>
      <c r="C93" t="s">
        <v>6631</v>
      </c>
      <c r="D93" t="str">
        <f t="shared" si="8"/>
        <v>BEXAR</v>
      </c>
      <c r="E93" s="39" t="str">
        <f t="shared" si="9"/>
        <v>19</v>
      </c>
      <c r="F93" t="b">
        <v>0</v>
      </c>
      <c r="G93" s="16"/>
      <c r="H93" t="str">
        <f t="shared" si="10"/>
        <v>San Antonio</v>
      </c>
      <c r="I93" t="b">
        <v>1</v>
      </c>
    </row>
    <row r="94" spans="1:9" x14ac:dyDescent="0.25">
      <c r="A94" t="s">
        <v>13781</v>
      </c>
      <c r="B94" t="s">
        <v>31</v>
      </c>
      <c r="C94" t="s">
        <v>2862</v>
      </c>
      <c r="D94" t="str">
        <f t="shared" si="8"/>
        <v>BEXAR</v>
      </c>
      <c r="E94" s="39" t="str">
        <f t="shared" si="9"/>
        <v>19</v>
      </c>
      <c r="F94" t="b">
        <v>0</v>
      </c>
      <c r="G94" s="16"/>
      <c r="H94" t="str">
        <f t="shared" si="10"/>
        <v>San Antonio</v>
      </c>
      <c r="I94" t="b">
        <f t="shared" ref="I94:I100" si="12">_xlfn.IFNA(VLOOKUP(A94,suspect,1,FALSE),FALSE)</f>
        <v>0</v>
      </c>
    </row>
    <row r="95" spans="1:9" x14ac:dyDescent="0.25">
      <c r="A95" t="s">
        <v>13877</v>
      </c>
      <c r="B95" t="s">
        <v>31</v>
      </c>
      <c r="C95" t="s">
        <v>5388</v>
      </c>
      <c r="D95" t="str">
        <f t="shared" si="8"/>
        <v>BEXAR</v>
      </c>
      <c r="E95" s="39" t="str">
        <f t="shared" si="9"/>
        <v>19</v>
      </c>
      <c r="F95" t="b">
        <v>0</v>
      </c>
      <c r="G95" s="16"/>
      <c r="H95" t="str">
        <f t="shared" si="10"/>
        <v>San Antonio</v>
      </c>
      <c r="I95" t="b">
        <f t="shared" si="12"/>
        <v>0</v>
      </c>
    </row>
    <row r="96" spans="1:9" x14ac:dyDescent="0.25">
      <c r="A96" t="s">
        <v>14199</v>
      </c>
      <c r="B96" t="s">
        <v>31</v>
      </c>
      <c r="C96" t="s">
        <v>5388</v>
      </c>
      <c r="D96" t="str">
        <f t="shared" si="8"/>
        <v>BEXAR</v>
      </c>
      <c r="E96" s="39" t="str">
        <f t="shared" si="9"/>
        <v>19</v>
      </c>
      <c r="F96" t="b">
        <v>0</v>
      </c>
      <c r="G96" s="16"/>
      <c r="H96" t="str">
        <f t="shared" si="10"/>
        <v>San Antonio</v>
      </c>
      <c r="I96" t="b">
        <f t="shared" si="12"/>
        <v>0</v>
      </c>
    </row>
    <row r="97" spans="1:9" x14ac:dyDescent="0.25">
      <c r="A97" t="s">
        <v>14407</v>
      </c>
      <c r="B97" t="s">
        <v>31</v>
      </c>
      <c r="C97" t="s">
        <v>6631</v>
      </c>
      <c r="D97" t="str">
        <f t="shared" si="8"/>
        <v>BEXAR</v>
      </c>
      <c r="E97" s="39" t="str">
        <f t="shared" si="9"/>
        <v>19</v>
      </c>
      <c r="F97" t="b">
        <v>0</v>
      </c>
      <c r="G97" s="16"/>
      <c r="H97" t="str">
        <f t="shared" si="10"/>
        <v>San Antonio</v>
      </c>
      <c r="I97" t="b">
        <f t="shared" si="12"/>
        <v>0</v>
      </c>
    </row>
    <row r="98" spans="1:9" x14ac:dyDescent="0.25">
      <c r="A98" t="s">
        <v>14488</v>
      </c>
      <c r="B98" t="s">
        <v>31</v>
      </c>
      <c r="C98" t="s">
        <v>5388</v>
      </c>
      <c r="D98" t="str">
        <f t="shared" ref="D98:D125" si="13">VLOOKUP($C98,DATA,5,FALSE)</f>
        <v>BEXAR</v>
      </c>
      <c r="E98" s="39" t="str">
        <f t="shared" ref="E98:E125" si="14">VLOOKUP($C98,DATA,9,FALSE)</f>
        <v>19</v>
      </c>
      <c r="F98" t="b">
        <v>0</v>
      </c>
      <c r="G98" s="16"/>
      <c r="H98" t="str">
        <f t="shared" ref="H98:H125" si="15">VLOOKUP(E98*1,basins,2,FALSE)</f>
        <v>San Antonio</v>
      </c>
      <c r="I98" t="b">
        <f t="shared" si="12"/>
        <v>0</v>
      </c>
    </row>
    <row r="99" spans="1:9" x14ac:dyDescent="0.25">
      <c r="A99" t="s">
        <v>14603</v>
      </c>
      <c r="B99" t="s">
        <v>31</v>
      </c>
      <c r="C99" t="s">
        <v>5388</v>
      </c>
      <c r="D99" t="str">
        <f t="shared" si="13"/>
        <v>BEXAR</v>
      </c>
      <c r="E99" s="39" t="str">
        <f t="shared" si="14"/>
        <v>19</v>
      </c>
      <c r="F99" t="b">
        <v>0</v>
      </c>
      <c r="G99" s="16"/>
      <c r="H99" t="str">
        <f t="shared" si="15"/>
        <v>San Antonio</v>
      </c>
      <c r="I99" t="b">
        <f t="shared" si="12"/>
        <v>0</v>
      </c>
    </row>
    <row r="100" spans="1:9" x14ac:dyDescent="0.25">
      <c r="A100" t="s">
        <v>14682</v>
      </c>
      <c r="B100" t="s">
        <v>31</v>
      </c>
      <c r="C100" t="s">
        <v>5388</v>
      </c>
      <c r="D100" t="str">
        <f t="shared" si="13"/>
        <v>BEXAR</v>
      </c>
      <c r="E100" s="39" t="str">
        <f t="shared" si="14"/>
        <v>19</v>
      </c>
      <c r="F100" t="b">
        <v>0</v>
      </c>
      <c r="G100" s="16"/>
      <c r="H100" t="str">
        <f t="shared" si="15"/>
        <v>San Antonio</v>
      </c>
      <c r="I100" t="b">
        <f t="shared" si="12"/>
        <v>0</v>
      </c>
    </row>
    <row r="101" spans="1:9" x14ac:dyDescent="0.25">
      <c r="A101" t="s">
        <v>14756</v>
      </c>
      <c r="B101" t="s">
        <v>31</v>
      </c>
      <c r="C101" t="s">
        <v>3402</v>
      </c>
      <c r="D101" t="str">
        <f t="shared" si="13"/>
        <v>BEXAR</v>
      </c>
      <c r="E101" s="39" t="str">
        <f t="shared" si="14"/>
        <v>19</v>
      </c>
      <c r="F101" t="b">
        <v>0</v>
      </c>
      <c r="G101" s="16"/>
      <c r="H101" t="str">
        <f t="shared" si="15"/>
        <v>San Antonio</v>
      </c>
      <c r="I101" t="b">
        <v>1</v>
      </c>
    </row>
    <row r="102" spans="1:9" x14ac:dyDescent="0.25">
      <c r="A102" t="s">
        <v>14820</v>
      </c>
      <c r="B102" t="s">
        <v>31</v>
      </c>
      <c r="C102" t="s">
        <v>874</v>
      </c>
      <c r="D102" t="str">
        <f t="shared" si="13"/>
        <v>BEXAR</v>
      </c>
      <c r="E102" s="39" t="str">
        <f t="shared" si="14"/>
        <v>19</v>
      </c>
      <c r="F102" t="b">
        <v>0</v>
      </c>
      <c r="G102" s="16"/>
      <c r="H102" t="str">
        <f t="shared" si="15"/>
        <v>San Antonio</v>
      </c>
      <c r="I102" t="b">
        <f t="shared" ref="I102:I160" si="16">_xlfn.IFNA(VLOOKUP(A102,suspect,1,FALSE),FALSE)</f>
        <v>0</v>
      </c>
    </row>
    <row r="103" spans="1:9" x14ac:dyDescent="0.25">
      <c r="A103" t="s">
        <v>14830</v>
      </c>
      <c r="B103" t="s">
        <v>31</v>
      </c>
      <c r="C103" t="s">
        <v>5044</v>
      </c>
      <c r="D103" t="str">
        <f t="shared" si="13"/>
        <v>BEXAR</v>
      </c>
      <c r="E103" s="39" t="str">
        <f t="shared" si="14"/>
        <v>19</v>
      </c>
      <c r="F103" t="b">
        <v>0</v>
      </c>
      <c r="G103" s="16"/>
      <c r="H103" t="str">
        <f t="shared" si="15"/>
        <v>San Antonio</v>
      </c>
      <c r="I103" t="b">
        <f t="shared" si="16"/>
        <v>0</v>
      </c>
    </row>
    <row r="104" spans="1:9" x14ac:dyDescent="0.25">
      <c r="A104" t="s">
        <v>14837</v>
      </c>
      <c r="B104" t="s">
        <v>31</v>
      </c>
      <c r="C104" t="s">
        <v>1793</v>
      </c>
      <c r="D104" t="str">
        <f t="shared" si="13"/>
        <v>BEXAR</v>
      </c>
      <c r="E104" s="39" t="str">
        <f t="shared" si="14"/>
        <v>19</v>
      </c>
      <c r="F104" t="b">
        <v>0</v>
      </c>
      <c r="G104" s="16"/>
      <c r="H104" t="str">
        <f t="shared" si="15"/>
        <v>San Antonio</v>
      </c>
      <c r="I104" t="b">
        <f t="shared" si="16"/>
        <v>0</v>
      </c>
    </row>
    <row r="105" spans="1:9" x14ac:dyDescent="0.25">
      <c r="A105" t="s">
        <v>14723</v>
      </c>
      <c r="B105" t="s">
        <v>31</v>
      </c>
      <c r="C105" t="s">
        <v>4901</v>
      </c>
      <c r="D105" t="str">
        <f t="shared" si="13"/>
        <v>COMAL</v>
      </c>
      <c r="E105" s="39" t="str">
        <f t="shared" si="14"/>
        <v>19</v>
      </c>
      <c r="F105" t="b">
        <v>0</v>
      </c>
      <c r="G105" s="16"/>
      <c r="H105" t="str">
        <f t="shared" si="15"/>
        <v>San Antonio</v>
      </c>
      <c r="I105" t="b">
        <f t="shared" si="16"/>
        <v>0</v>
      </c>
    </row>
    <row r="106" spans="1:9" x14ac:dyDescent="0.25">
      <c r="A106" t="s">
        <v>14776</v>
      </c>
      <c r="B106" t="s">
        <v>31</v>
      </c>
      <c r="C106" t="s">
        <v>275</v>
      </c>
      <c r="D106" t="str">
        <f t="shared" si="13"/>
        <v>COMAL</v>
      </c>
      <c r="E106" s="39" t="str">
        <f t="shared" si="14"/>
        <v>19</v>
      </c>
      <c r="F106" t="b">
        <v>0</v>
      </c>
      <c r="G106" s="16"/>
      <c r="H106" t="str">
        <f t="shared" si="15"/>
        <v>San Antonio</v>
      </c>
      <c r="I106" t="b">
        <f t="shared" si="16"/>
        <v>0</v>
      </c>
    </row>
    <row r="107" spans="1:9" x14ac:dyDescent="0.25">
      <c r="A107" t="s">
        <v>14800</v>
      </c>
      <c r="B107" t="s">
        <v>31</v>
      </c>
      <c r="C107" t="s">
        <v>3100</v>
      </c>
      <c r="D107" t="str">
        <f t="shared" si="13"/>
        <v>COMAL</v>
      </c>
      <c r="E107" s="39" t="str">
        <f t="shared" si="14"/>
        <v>19</v>
      </c>
      <c r="F107" t="b">
        <v>0</v>
      </c>
      <c r="G107" s="16"/>
      <c r="H107" t="str">
        <f t="shared" si="15"/>
        <v>San Antonio</v>
      </c>
      <c r="I107" t="b">
        <f t="shared" si="16"/>
        <v>0</v>
      </c>
    </row>
    <row r="108" spans="1:9" x14ac:dyDescent="0.25">
      <c r="A108" t="s">
        <v>14883</v>
      </c>
      <c r="B108" t="s">
        <v>31</v>
      </c>
      <c r="C108" t="s">
        <v>6796</v>
      </c>
      <c r="D108" t="str">
        <f t="shared" si="13"/>
        <v>COMAL</v>
      </c>
      <c r="E108" s="39" t="str">
        <f t="shared" si="14"/>
        <v>19</v>
      </c>
      <c r="F108" t="b">
        <v>0</v>
      </c>
      <c r="G108" s="16"/>
      <c r="H108" t="str">
        <f t="shared" si="15"/>
        <v>San Antonio</v>
      </c>
      <c r="I108" t="b">
        <f t="shared" si="16"/>
        <v>0</v>
      </c>
    </row>
    <row r="109" spans="1:9" x14ac:dyDescent="0.25">
      <c r="A109" t="s">
        <v>12747</v>
      </c>
      <c r="B109" t="s">
        <v>31</v>
      </c>
      <c r="C109" t="s">
        <v>8560</v>
      </c>
      <c r="D109" t="str">
        <f t="shared" si="13"/>
        <v>GOLIAD</v>
      </c>
      <c r="E109" s="39" t="str">
        <f t="shared" si="14"/>
        <v>19</v>
      </c>
      <c r="F109" t="b">
        <v>0</v>
      </c>
      <c r="G109" s="16"/>
      <c r="H109" t="str">
        <f t="shared" si="15"/>
        <v>San Antonio</v>
      </c>
      <c r="I109" t="b">
        <f t="shared" si="16"/>
        <v>0</v>
      </c>
    </row>
    <row r="110" spans="1:9" x14ac:dyDescent="0.25">
      <c r="A110" t="s">
        <v>12765</v>
      </c>
      <c r="B110" t="s">
        <v>31</v>
      </c>
      <c r="C110" t="s">
        <v>11815</v>
      </c>
      <c r="D110" t="str">
        <f t="shared" si="13"/>
        <v>GUADALUPE</v>
      </c>
      <c r="E110" s="39" t="str">
        <f t="shared" si="14"/>
        <v>19</v>
      </c>
      <c r="F110" t="b">
        <v>0</v>
      </c>
      <c r="G110" s="16"/>
      <c r="H110" t="str">
        <f t="shared" si="15"/>
        <v>San Antonio</v>
      </c>
      <c r="I110" t="b">
        <f t="shared" si="16"/>
        <v>0</v>
      </c>
    </row>
    <row r="111" spans="1:9" x14ac:dyDescent="0.25">
      <c r="A111" t="s">
        <v>14829</v>
      </c>
      <c r="B111" t="s">
        <v>31</v>
      </c>
      <c r="C111" t="s">
        <v>3583</v>
      </c>
      <c r="D111" t="str">
        <f t="shared" si="13"/>
        <v>GUADALUPE</v>
      </c>
      <c r="E111" s="39" t="str">
        <f t="shared" si="14"/>
        <v>19</v>
      </c>
      <c r="F111" t="b">
        <v>0</v>
      </c>
      <c r="G111" s="16"/>
      <c r="H111" t="str">
        <f t="shared" si="15"/>
        <v>San Antonio</v>
      </c>
      <c r="I111" t="b">
        <f t="shared" si="16"/>
        <v>0</v>
      </c>
    </row>
    <row r="112" spans="1:9" x14ac:dyDescent="0.25">
      <c r="A112" t="s">
        <v>13007</v>
      </c>
      <c r="B112" t="s">
        <v>31</v>
      </c>
      <c r="C112" t="s">
        <v>4474</v>
      </c>
      <c r="D112" t="str">
        <f t="shared" si="13"/>
        <v>KARNES</v>
      </c>
      <c r="E112" s="39" t="str">
        <f t="shared" si="14"/>
        <v>19</v>
      </c>
      <c r="F112" t="b">
        <v>0</v>
      </c>
      <c r="G112" s="16"/>
      <c r="H112" t="str">
        <f t="shared" si="15"/>
        <v>San Antonio</v>
      </c>
      <c r="I112" t="b">
        <f t="shared" si="16"/>
        <v>0</v>
      </c>
    </row>
    <row r="113" spans="1:9" x14ac:dyDescent="0.25">
      <c r="A113" t="s">
        <v>13244</v>
      </c>
      <c r="B113" t="s">
        <v>31</v>
      </c>
      <c r="C113" t="s">
        <v>9676</v>
      </c>
      <c r="D113" t="str">
        <f t="shared" si="13"/>
        <v>KARNES</v>
      </c>
      <c r="E113" s="39" t="str">
        <f t="shared" si="14"/>
        <v>19</v>
      </c>
      <c r="F113" t="b">
        <v>0</v>
      </c>
      <c r="G113" s="16"/>
      <c r="H113" t="str">
        <f t="shared" si="15"/>
        <v>San Antonio</v>
      </c>
      <c r="I113" t="b">
        <f t="shared" si="16"/>
        <v>0</v>
      </c>
    </row>
    <row r="114" spans="1:9" x14ac:dyDescent="0.25">
      <c r="A114" t="s">
        <v>14206</v>
      </c>
      <c r="B114" t="s">
        <v>31</v>
      </c>
      <c r="C114" t="s">
        <v>4474</v>
      </c>
      <c r="D114" t="str">
        <f t="shared" si="13"/>
        <v>KARNES</v>
      </c>
      <c r="E114" s="39" t="str">
        <f t="shared" si="14"/>
        <v>19</v>
      </c>
      <c r="F114" t="b">
        <v>0</v>
      </c>
      <c r="G114" s="16"/>
      <c r="H114" t="str">
        <f t="shared" si="15"/>
        <v>San Antonio</v>
      </c>
      <c r="I114" t="b">
        <f t="shared" si="16"/>
        <v>0</v>
      </c>
    </row>
    <row r="115" spans="1:9" x14ac:dyDescent="0.25">
      <c r="A115" t="s">
        <v>14611</v>
      </c>
      <c r="B115" t="s">
        <v>31</v>
      </c>
      <c r="C115" t="s">
        <v>4909</v>
      </c>
      <c r="D115" t="str">
        <f t="shared" si="13"/>
        <v>KARNES</v>
      </c>
      <c r="E115" s="39" t="str">
        <f t="shared" si="14"/>
        <v>19</v>
      </c>
      <c r="F115" t="b">
        <v>0</v>
      </c>
      <c r="G115" s="16"/>
      <c r="H115" t="str">
        <f t="shared" si="15"/>
        <v>San Antonio</v>
      </c>
      <c r="I115" t="b">
        <f t="shared" si="16"/>
        <v>0</v>
      </c>
    </row>
    <row r="116" spans="1:9" x14ac:dyDescent="0.25">
      <c r="A116" t="s">
        <v>12863</v>
      </c>
      <c r="B116" t="s">
        <v>31</v>
      </c>
      <c r="C116" t="s">
        <v>2501</v>
      </c>
      <c r="D116" t="str">
        <f t="shared" si="13"/>
        <v>KENDALL</v>
      </c>
      <c r="E116" s="39" t="str">
        <f t="shared" si="14"/>
        <v>19</v>
      </c>
      <c r="F116" t="b">
        <v>0</v>
      </c>
      <c r="G116" s="16"/>
      <c r="H116" t="str">
        <f t="shared" si="15"/>
        <v>San Antonio</v>
      </c>
      <c r="I116" t="b">
        <f t="shared" si="16"/>
        <v>0</v>
      </c>
    </row>
    <row r="117" spans="1:9" x14ac:dyDescent="0.25">
      <c r="A117" t="s">
        <v>14564</v>
      </c>
      <c r="B117" t="s">
        <v>31</v>
      </c>
      <c r="C117" t="s">
        <v>11552</v>
      </c>
      <c r="D117" t="str">
        <f t="shared" si="13"/>
        <v>KENDALL</v>
      </c>
      <c r="E117" s="39" t="str">
        <f t="shared" si="14"/>
        <v>19</v>
      </c>
      <c r="F117" t="b">
        <v>0</v>
      </c>
      <c r="G117" s="16"/>
      <c r="H117" t="str">
        <f t="shared" si="15"/>
        <v>San Antonio</v>
      </c>
      <c r="I117" t="b">
        <f t="shared" si="16"/>
        <v>0</v>
      </c>
    </row>
    <row r="118" spans="1:9" x14ac:dyDescent="0.25">
      <c r="A118" t="s">
        <v>14632</v>
      </c>
      <c r="B118" t="s">
        <v>31</v>
      </c>
      <c r="C118" t="s">
        <v>2501</v>
      </c>
      <c r="D118" t="str">
        <f t="shared" si="13"/>
        <v>KENDALL</v>
      </c>
      <c r="E118" s="39" t="str">
        <f t="shared" si="14"/>
        <v>19</v>
      </c>
      <c r="F118" t="b">
        <v>0</v>
      </c>
      <c r="G118" s="16"/>
      <c r="H118" t="str">
        <f t="shared" si="15"/>
        <v>San Antonio</v>
      </c>
      <c r="I118" t="b">
        <f t="shared" si="16"/>
        <v>0</v>
      </c>
    </row>
    <row r="119" spans="1:9" x14ac:dyDescent="0.25">
      <c r="A119" t="s">
        <v>14890</v>
      </c>
      <c r="B119" t="s">
        <v>19</v>
      </c>
      <c r="C119" t="s">
        <v>5176</v>
      </c>
      <c r="D119" t="str">
        <f t="shared" si="13"/>
        <v>KENDALL</v>
      </c>
      <c r="E119" s="39" t="str">
        <f t="shared" si="14"/>
        <v>19</v>
      </c>
      <c r="F119" t="b">
        <v>0</v>
      </c>
      <c r="G119" s="16"/>
      <c r="H119" t="str">
        <f t="shared" si="15"/>
        <v>San Antonio</v>
      </c>
      <c r="I119" t="b">
        <f t="shared" si="16"/>
        <v>0</v>
      </c>
    </row>
    <row r="120" spans="1:9" x14ac:dyDescent="0.25">
      <c r="A120" t="s">
        <v>14068</v>
      </c>
      <c r="B120" t="s">
        <v>31</v>
      </c>
      <c r="C120" t="s">
        <v>235</v>
      </c>
      <c r="D120" t="str">
        <f t="shared" si="13"/>
        <v>MEDINA</v>
      </c>
      <c r="E120" s="39" t="str">
        <f t="shared" si="14"/>
        <v>19</v>
      </c>
      <c r="F120" t="b">
        <v>0</v>
      </c>
      <c r="G120" s="16"/>
      <c r="H120" t="str">
        <f t="shared" si="15"/>
        <v>San Antonio</v>
      </c>
      <c r="I120" t="b">
        <f t="shared" si="16"/>
        <v>0</v>
      </c>
    </row>
    <row r="121" spans="1:9" x14ac:dyDescent="0.25">
      <c r="A121" t="s">
        <v>14590</v>
      </c>
      <c r="B121" t="s">
        <v>31</v>
      </c>
      <c r="C121" t="s">
        <v>4494</v>
      </c>
      <c r="D121" t="str">
        <f t="shared" si="13"/>
        <v>MEDINA</v>
      </c>
      <c r="E121" s="39" t="str">
        <f t="shared" si="14"/>
        <v>19</v>
      </c>
      <c r="F121" t="b">
        <v>0</v>
      </c>
      <c r="G121" s="16"/>
      <c r="H121" t="str">
        <f t="shared" si="15"/>
        <v>San Antonio</v>
      </c>
      <c r="I121" t="b">
        <f t="shared" si="16"/>
        <v>0</v>
      </c>
    </row>
    <row r="122" spans="1:9" x14ac:dyDescent="0.25">
      <c r="A122" t="s">
        <v>14700</v>
      </c>
      <c r="B122" t="s">
        <v>31</v>
      </c>
      <c r="C122" t="s">
        <v>1640</v>
      </c>
      <c r="D122" t="str">
        <f t="shared" si="13"/>
        <v>MEDINA</v>
      </c>
      <c r="E122" s="39" t="str">
        <f t="shared" si="14"/>
        <v>19</v>
      </c>
      <c r="F122" t="b">
        <v>0</v>
      </c>
      <c r="G122" s="16"/>
      <c r="H122" t="str">
        <f t="shared" si="15"/>
        <v>San Antonio</v>
      </c>
      <c r="I122" t="b">
        <f t="shared" si="16"/>
        <v>0</v>
      </c>
    </row>
    <row r="123" spans="1:9" x14ac:dyDescent="0.25">
      <c r="A123" t="s">
        <v>13175</v>
      </c>
      <c r="B123" t="s">
        <v>31</v>
      </c>
      <c r="C123" t="s">
        <v>5408</v>
      </c>
      <c r="D123" t="str">
        <f t="shared" si="13"/>
        <v>WILSON</v>
      </c>
      <c r="E123" s="39" t="str">
        <f t="shared" si="14"/>
        <v>19</v>
      </c>
      <c r="F123" t="b">
        <v>0</v>
      </c>
      <c r="G123" s="16"/>
      <c r="H123" t="str">
        <f t="shared" si="15"/>
        <v>San Antonio</v>
      </c>
      <c r="I123" t="b">
        <f t="shared" si="16"/>
        <v>0</v>
      </c>
    </row>
    <row r="124" spans="1:9" x14ac:dyDescent="0.25">
      <c r="A124" t="s">
        <v>13230</v>
      </c>
      <c r="B124" t="s">
        <v>31</v>
      </c>
      <c r="C124" t="s">
        <v>7899</v>
      </c>
      <c r="D124" t="str">
        <f t="shared" si="13"/>
        <v>WILSON</v>
      </c>
      <c r="E124" s="39" t="str">
        <f t="shared" si="14"/>
        <v>19</v>
      </c>
      <c r="F124" t="b">
        <v>0</v>
      </c>
      <c r="G124" s="16"/>
      <c r="H124" t="str">
        <f t="shared" si="15"/>
        <v>San Antonio</v>
      </c>
      <c r="I124" t="b">
        <f t="shared" si="16"/>
        <v>0</v>
      </c>
    </row>
    <row r="125" spans="1:9" x14ac:dyDescent="0.25">
      <c r="A125" t="s">
        <v>13269</v>
      </c>
      <c r="B125" t="s">
        <v>31</v>
      </c>
      <c r="C125" t="s">
        <v>10280</v>
      </c>
      <c r="D125" t="str">
        <f t="shared" si="13"/>
        <v>WILSON</v>
      </c>
      <c r="E125" s="39" t="str">
        <f t="shared" si="14"/>
        <v>19</v>
      </c>
      <c r="F125" t="b">
        <v>0</v>
      </c>
      <c r="G125" s="16"/>
      <c r="H125" t="str">
        <f t="shared" si="15"/>
        <v>San Antonio</v>
      </c>
      <c r="I125" t="b">
        <f t="shared" si="16"/>
        <v>0</v>
      </c>
    </row>
    <row r="126" spans="1:9" x14ac:dyDescent="0.25">
      <c r="A126" t="s">
        <v>13028</v>
      </c>
      <c r="B126" t="s">
        <v>31</v>
      </c>
      <c r="C126" t="s">
        <v>5689</v>
      </c>
      <c r="D126" t="s">
        <v>274</v>
      </c>
      <c r="E126" s="39">
        <v>18</v>
      </c>
      <c r="F126" t="b">
        <v>0</v>
      </c>
      <c r="G126" s="16"/>
      <c r="H126" t="str">
        <f>IF(E126=18,"Guadalupe","San Antonio")</f>
        <v>Guadalupe</v>
      </c>
      <c r="I126" t="b">
        <f t="shared" si="16"/>
        <v>0</v>
      </c>
    </row>
    <row r="127" spans="1:9" x14ac:dyDescent="0.25">
      <c r="A127" t="s">
        <v>17450</v>
      </c>
      <c r="B127" t="s">
        <v>31</v>
      </c>
      <c r="C127" t="s">
        <v>17382</v>
      </c>
      <c r="D127" t="s">
        <v>2137</v>
      </c>
      <c r="E127" s="39">
        <v>18</v>
      </c>
      <c r="F127" t="b">
        <v>0</v>
      </c>
      <c r="G127" s="16"/>
      <c r="H127" t="str">
        <f t="shared" ref="H127:H160" si="17">IF(E127=18,"Guadalupe","San Antonio")</f>
        <v>Guadalupe</v>
      </c>
      <c r="I127" t="b">
        <f t="shared" si="16"/>
        <v>0</v>
      </c>
    </row>
    <row r="128" spans="1:9" x14ac:dyDescent="0.25">
      <c r="A128" t="s">
        <v>17451</v>
      </c>
      <c r="B128" t="s">
        <v>31</v>
      </c>
      <c r="C128" t="s">
        <v>17382</v>
      </c>
      <c r="D128" t="s">
        <v>1032</v>
      </c>
      <c r="E128" s="39">
        <v>18</v>
      </c>
      <c r="F128" t="b">
        <v>0</v>
      </c>
      <c r="G128" s="16"/>
      <c r="H128" t="str">
        <f t="shared" si="17"/>
        <v>Guadalupe</v>
      </c>
      <c r="I128" t="b">
        <f t="shared" si="16"/>
        <v>0</v>
      </c>
    </row>
    <row r="129" spans="1:9" x14ac:dyDescent="0.25">
      <c r="A129" t="s">
        <v>13941</v>
      </c>
      <c r="B129" t="s">
        <v>31</v>
      </c>
      <c r="C129" t="s">
        <v>895</v>
      </c>
      <c r="D129" t="s">
        <v>753</v>
      </c>
      <c r="E129" s="39">
        <v>18</v>
      </c>
      <c r="F129" t="b">
        <v>0</v>
      </c>
      <c r="G129" s="16"/>
      <c r="H129" t="str">
        <f t="shared" si="17"/>
        <v>Guadalupe</v>
      </c>
      <c r="I129" t="b">
        <f t="shared" si="16"/>
        <v>0</v>
      </c>
    </row>
    <row r="130" spans="1:9" x14ac:dyDescent="0.25">
      <c r="A130" t="s">
        <v>17452</v>
      </c>
      <c r="B130" t="s">
        <v>31</v>
      </c>
      <c r="C130" t="s">
        <v>606</v>
      </c>
      <c r="D130" t="s">
        <v>1853</v>
      </c>
      <c r="E130" s="39">
        <v>18</v>
      </c>
      <c r="F130" t="b">
        <v>0</v>
      </c>
      <c r="G130" s="16"/>
      <c r="H130" t="str">
        <f t="shared" si="17"/>
        <v>Guadalupe</v>
      </c>
      <c r="I130" t="b">
        <f t="shared" si="16"/>
        <v>0</v>
      </c>
    </row>
    <row r="131" spans="1:9" x14ac:dyDescent="0.25">
      <c r="A131" t="s">
        <v>14404</v>
      </c>
      <c r="B131" t="s">
        <v>31</v>
      </c>
      <c r="C131" t="s">
        <v>457</v>
      </c>
      <c r="D131" t="s">
        <v>2137</v>
      </c>
      <c r="E131" s="39">
        <v>18</v>
      </c>
      <c r="F131" t="b">
        <v>0</v>
      </c>
      <c r="G131" s="16"/>
      <c r="H131" t="str">
        <f t="shared" si="17"/>
        <v>Guadalupe</v>
      </c>
      <c r="I131" t="b">
        <f t="shared" si="16"/>
        <v>0</v>
      </c>
    </row>
    <row r="132" spans="1:9" x14ac:dyDescent="0.25">
      <c r="A132" t="s">
        <v>13590</v>
      </c>
      <c r="B132" t="s">
        <v>31</v>
      </c>
      <c r="C132" t="s">
        <v>1809</v>
      </c>
      <c r="D132" t="s">
        <v>274</v>
      </c>
      <c r="E132" s="39">
        <v>18</v>
      </c>
      <c r="F132" t="b">
        <v>0</v>
      </c>
      <c r="G132" s="16"/>
      <c r="H132" t="str">
        <f t="shared" si="17"/>
        <v>Guadalupe</v>
      </c>
      <c r="I132" t="b">
        <f t="shared" si="16"/>
        <v>0</v>
      </c>
    </row>
    <row r="133" spans="1:9" x14ac:dyDescent="0.25">
      <c r="A133" t="s">
        <v>17453</v>
      </c>
      <c r="B133" t="s">
        <v>31</v>
      </c>
      <c r="C133" t="s">
        <v>17389</v>
      </c>
      <c r="D133" t="s">
        <v>753</v>
      </c>
      <c r="E133" s="39">
        <v>18</v>
      </c>
      <c r="F133" t="b">
        <v>0</v>
      </c>
      <c r="G133" s="16"/>
      <c r="H133" t="str">
        <f t="shared" si="17"/>
        <v>Guadalupe</v>
      </c>
      <c r="I133" t="b">
        <f t="shared" si="16"/>
        <v>0</v>
      </c>
    </row>
    <row r="134" spans="1:9" x14ac:dyDescent="0.25">
      <c r="A134" t="s">
        <v>17454</v>
      </c>
      <c r="B134" t="s">
        <v>31</v>
      </c>
      <c r="C134" t="s">
        <v>17395</v>
      </c>
      <c r="D134" t="s">
        <v>274</v>
      </c>
      <c r="E134" s="39">
        <v>18</v>
      </c>
      <c r="F134" t="b">
        <v>0</v>
      </c>
      <c r="G134" s="16"/>
      <c r="H134" t="str">
        <f t="shared" si="17"/>
        <v>Guadalupe</v>
      </c>
      <c r="I134" t="b">
        <f t="shared" si="16"/>
        <v>0</v>
      </c>
    </row>
    <row r="135" spans="1:9" x14ac:dyDescent="0.25">
      <c r="A135" t="s">
        <v>17455</v>
      </c>
      <c r="B135" t="s">
        <v>31</v>
      </c>
      <c r="C135" t="s">
        <v>17401</v>
      </c>
      <c r="D135" t="s">
        <v>274</v>
      </c>
      <c r="E135" s="39">
        <v>18</v>
      </c>
      <c r="F135" t="b">
        <v>0</v>
      </c>
      <c r="G135" s="16"/>
      <c r="H135" t="str">
        <f t="shared" si="17"/>
        <v>Guadalupe</v>
      </c>
      <c r="I135" t="b">
        <f t="shared" si="16"/>
        <v>0</v>
      </c>
    </row>
    <row r="136" spans="1:9" x14ac:dyDescent="0.25">
      <c r="A136" t="s">
        <v>17456</v>
      </c>
      <c r="B136" t="s">
        <v>31</v>
      </c>
      <c r="C136" t="s">
        <v>2375</v>
      </c>
      <c r="D136" t="s">
        <v>274</v>
      </c>
      <c r="E136" s="39">
        <v>18</v>
      </c>
      <c r="F136" t="b">
        <v>0</v>
      </c>
      <c r="G136" s="16"/>
      <c r="H136" t="str">
        <f t="shared" si="17"/>
        <v>Guadalupe</v>
      </c>
      <c r="I136" t="b">
        <f t="shared" si="16"/>
        <v>0</v>
      </c>
    </row>
    <row r="137" spans="1:9" x14ac:dyDescent="0.25">
      <c r="A137" t="s">
        <v>17457</v>
      </c>
      <c r="B137" t="s">
        <v>31</v>
      </c>
      <c r="C137" t="s">
        <v>17406</v>
      </c>
      <c r="D137" t="s">
        <v>1032</v>
      </c>
      <c r="E137" s="39">
        <v>18</v>
      </c>
      <c r="F137" t="b">
        <v>0</v>
      </c>
      <c r="G137" s="16"/>
      <c r="H137" t="str">
        <f t="shared" si="17"/>
        <v>Guadalupe</v>
      </c>
      <c r="I137" t="b">
        <f t="shared" si="16"/>
        <v>0</v>
      </c>
    </row>
    <row r="138" spans="1:9" x14ac:dyDescent="0.25">
      <c r="A138" t="s">
        <v>17458</v>
      </c>
      <c r="B138" t="s">
        <v>31</v>
      </c>
      <c r="C138" t="s">
        <v>17409</v>
      </c>
      <c r="D138" t="s">
        <v>2137</v>
      </c>
      <c r="E138" s="39">
        <v>18</v>
      </c>
      <c r="F138" t="b">
        <v>0</v>
      </c>
      <c r="G138" s="16"/>
      <c r="H138" t="str">
        <f t="shared" si="17"/>
        <v>Guadalupe</v>
      </c>
      <c r="I138" t="b">
        <f t="shared" si="16"/>
        <v>0</v>
      </c>
    </row>
    <row r="139" spans="1:9" x14ac:dyDescent="0.25">
      <c r="A139" t="s">
        <v>17459</v>
      </c>
      <c r="B139" t="s">
        <v>31</v>
      </c>
      <c r="C139" t="s">
        <v>4218</v>
      </c>
      <c r="D139" t="s">
        <v>561</v>
      </c>
      <c r="E139" s="39">
        <v>18</v>
      </c>
      <c r="F139" t="b">
        <v>0</v>
      </c>
      <c r="G139" s="16"/>
      <c r="H139" t="str">
        <f t="shared" si="17"/>
        <v>Guadalupe</v>
      </c>
      <c r="I139" t="b">
        <f t="shared" si="16"/>
        <v>0</v>
      </c>
    </row>
    <row r="140" spans="1:9" x14ac:dyDescent="0.25">
      <c r="A140" t="s">
        <v>17460</v>
      </c>
      <c r="B140" t="s">
        <v>31</v>
      </c>
      <c r="C140" t="s">
        <v>17415</v>
      </c>
      <c r="D140" t="s">
        <v>753</v>
      </c>
      <c r="E140" s="39">
        <v>18</v>
      </c>
      <c r="F140" t="b">
        <v>0</v>
      </c>
      <c r="G140" s="16"/>
      <c r="H140" t="str">
        <f t="shared" si="17"/>
        <v>Guadalupe</v>
      </c>
      <c r="I140" t="b">
        <f t="shared" si="16"/>
        <v>0</v>
      </c>
    </row>
    <row r="141" spans="1:9" x14ac:dyDescent="0.25">
      <c r="A141" t="s">
        <v>17461</v>
      </c>
      <c r="B141" t="s">
        <v>31</v>
      </c>
      <c r="C141" t="s">
        <v>17418</v>
      </c>
      <c r="D141" t="s">
        <v>274</v>
      </c>
      <c r="E141" s="39">
        <v>18</v>
      </c>
      <c r="F141" t="b">
        <v>0</v>
      </c>
      <c r="G141" s="16"/>
      <c r="H141" t="str">
        <f t="shared" si="17"/>
        <v>Guadalupe</v>
      </c>
      <c r="I141" t="b">
        <f t="shared" si="16"/>
        <v>0</v>
      </c>
    </row>
    <row r="142" spans="1:9" x14ac:dyDescent="0.25">
      <c r="A142" t="s">
        <v>17462</v>
      </c>
      <c r="B142" t="s">
        <v>31</v>
      </c>
      <c r="C142" t="s">
        <v>17421</v>
      </c>
      <c r="D142" t="s">
        <v>753</v>
      </c>
      <c r="E142" s="39">
        <v>18</v>
      </c>
      <c r="F142" t="b">
        <v>0</v>
      </c>
      <c r="G142" s="16"/>
      <c r="H142" t="str">
        <f t="shared" si="17"/>
        <v>Guadalupe</v>
      </c>
      <c r="I142" t="b">
        <f t="shared" si="16"/>
        <v>0</v>
      </c>
    </row>
    <row r="143" spans="1:9" x14ac:dyDescent="0.25">
      <c r="A143" t="s">
        <v>17463</v>
      </c>
      <c r="B143" t="s">
        <v>31</v>
      </c>
      <c r="C143" t="s">
        <v>1104</v>
      </c>
      <c r="D143" t="s">
        <v>2137</v>
      </c>
      <c r="E143" s="39">
        <v>18</v>
      </c>
      <c r="F143" t="b">
        <v>0</v>
      </c>
      <c r="G143" s="16"/>
      <c r="H143" t="str">
        <f t="shared" si="17"/>
        <v>Guadalupe</v>
      </c>
      <c r="I143" t="b">
        <f t="shared" si="16"/>
        <v>0</v>
      </c>
    </row>
    <row r="144" spans="1:9" x14ac:dyDescent="0.25">
      <c r="A144" t="s">
        <v>17464</v>
      </c>
      <c r="B144" t="s">
        <v>31</v>
      </c>
      <c r="C144" t="s">
        <v>17432</v>
      </c>
      <c r="D144" t="s">
        <v>753</v>
      </c>
      <c r="E144" s="39">
        <v>18</v>
      </c>
      <c r="F144" t="b">
        <v>0</v>
      </c>
      <c r="G144" s="16"/>
      <c r="H144" t="str">
        <f t="shared" si="17"/>
        <v>Guadalupe</v>
      </c>
      <c r="I144" t="b">
        <f t="shared" si="16"/>
        <v>0</v>
      </c>
    </row>
    <row r="145" spans="1:9" x14ac:dyDescent="0.25">
      <c r="A145" t="s">
        <v>17465</v>
      </c>
      <c r="B145" t="s">
        <v>31</v>
      </c>
      <c r="C145" t="s">
        <v>17435</v>
      </c>
      <c r="D145" t="s">
        <v>1032</v>
      </c>
      <c r="E145" s="39">
        <v>18</v>
      </c>
      <c r="F145" t="b">
        <v>0</v>
      </c>
      <c r="G145" s="16"/>
      <c r="H145" t="str">
        <f t="shared" si="17"/>
        <v>Guadalupe</v>
      </c>
      <c r="I145" t="b">
        <f t="shared" si="16"/>
        <v>0</v>
      </c>
    </row>
    <row r="146" spans="1:9" x14ac:dyDescent="0.25">
      <c r="A146" t="s">
        <v>17466</v>
      </c>
      <c r="B146" t="s">
        <v>31</v>
      </c>
      <c r="C146" t="s">
        <v>17438</v>
      </c>
      <c r="D146" t="s">
        <v>274</v>
      </c>
      <c r="E146" s="39">
        <v>18</v>
      </c>
      <c r="F146" t="b">
        <v>0</v>
      </c>
      <c r="G146" s="16"/>
      <c r="H146" t="str">
        <f t="shared" si="17"/>
        <v>Guadalupe</v>
      </c>
      <c r="I146" t="b">
        <f t="shared" si="16"/>
        <v>0</v>
      </c>
    </row>
    <row r="147" spans="1:9" x14ac:dyDescent="0.25">
      <c r="A147" t="s">
        <v>17467</v>
      </c>
      <c r="B147" t="s">
        <v>31</v>
      </c>
      <c r="C147" t="s">
        <v>17444</v>
      </c>
      <c r="D147" t="s">
        <v>2137</v>
      </c>
      <c r="E147" s="39">
        <v>18</v>
      </c>
      <c r="F147" t="b">
        <v>0</v>
      </c>
      <c r="G147" s="16"/>
      <c r="H147" t="str">
        <f t="shared" si="17"/>
        <v>Guadalupe</v>
      </c>
      <c r="I147" t="b">
        <f t="shared" si="16"/>
        <v>0</v>
      </c>
    </row>
    <row r="148" spans="1:9" x14ac:dyDescent="0.25">
      <c r="A148" t="s">
        <v>17468</v>
      </c>
      <c r="B148" t="s">
        <v>31</v>
      </c>
      <c r="C148" t="s">
        <v>3080</v>
      </c>
      <c r="D148" t="s">
        <v>3079</v>
      </c>
      <c r="E148" s="39">
        <v>18</v>
      </c>
      <c r="F148" t="b">
        <v>0</v>
      </c>
      <c r="G148" s="16"/>
      <c r="H148" t="str">
        <f t="shared" si="17"/>
        <v>Guadalupe</v>
      </c>
      <c r="I148" t="b">
        <f t="shared" si="16"/>
        <v>0</v>
      </c>
    </row>
    <row r="149" spans="1:9" x14ac:dyDescent="0.25">
      <c r="A149" t="s">
        <v>17469</v>
      </c>
      <c r="B149" t="s">
        <v>31</v>
      </c>
      <c r="C149" t="s">
        <v>17438</v>
      </c>
      <c r="D149" t="s">
        <v>274</v>
      </c>
      <c r="E149" s="39">
        <v>18</v>
      </c>
      <c r="F149" t="b">
        <v>0</v>
      </c>
      <c r="G149" s="16"/>
      <c r="H149" t="str">
        <f t="shared" si="17"/>
        <v>Guadalupe</v>
      </c>
      <c r="I149" t="b">
        <f t="shared" si="16"/>
        <v>0</v>
      </c>
    </row>
    <row r="150" spans="1:9" x14ac:dyDescent="0.25">
      <c r="A150" t="s">
        <v>17470</v>
      </c>
      <c r="B150" t="s">
        <v>31</v>
      </c>
      <c r="C150" t="s">
        <v>4851</v>
      </c>
      <c r="D150" t="s">
        <v>3688</v>
      </c>
      <c r="E150" s="39">
        <v>19</v>
      </c>
      <c r="F150" t="b">
        <v>0</v>
      </c>
      <c r="G150" s="16"/>
      <c r="H150" t="str">
        <f t="shared" si="17"/>
        <v>San Antonio</v>
      </c>
      <c r="I150" t="b">
        <f t="shared" si="16"/>
        <v>0</v>
      </c>
    </row>
    <row r="151" spans="1:9" x14ac:dyDescent="0.25">
      <c r="A151" t="s">
        <v>14670</v>
      </c>
      <c r="B151" t="s">
        <v>31</v>
      </c>
      <c r="C151" t="s">
        <v>2072</v>
      </c>
      <c r="D151" t="s">
        <v>274</v>
      </c>
      <c r="E151" s="39">
        <v>19</v>
      </c>
      <c r="F151" t="b">
        <v>0</v>
      </c>
      <c r="G151" s="16"/>
      <c r="H151" t="str">
        <f t="shared" si="17"/>
        <v>San Antonio</v>
      </c>
      <c r="I151" t="b">
        <f t="shared" si="16"/>
        <v>0</v>
      </c>
    </row>
    <row r="152" spans="1:9" x14ac:dyDescent="0.25">
      <c r="A152" t="s">
        <v>14549</v>
      </c>
      <c r="B152" t="s">
        <v>31</v>
      </c>
      <c r="C152" t="s">
        <v>2072</v>
      </c>
      <c r="D152" t="s">
        <v>3688</v>
      </c>
      <c r="E152" s="39">
        <v>19</v>
      </c>
      <c r="F152" t="b">
        <v>0</v>
      </c>
      <c r="G152" s="16"/>
      <c r="H152" t="str">
        <f t="shared" si="17"/>
        <v>San Antonio</v>
      </c>
      <c r="I152" t="b">
        <f t="shared" si="16"/>
        <v>0</v>
      </c>
    </row>
    <row r="153" spans="1:9" x14ac:dyDescent="0.25">
      <c r="A153" t="s">
        <v>14525</v>
      </c>
      <c r="B153" t="s">
        <v>31</v>
      </c>
      <c r="C153" t="s">
        <v>199</v>
      </c>
      <c r="D153" t="s">
        <v>3688</v>
      </c>
      <c r="E153" s="39">
        <v>19</v>
      </c>
      <c r="F153" t="b">
        <v>0</v>
      </c>
      <c r="G153" s="16"/>
      <c r="H153" t="str">
        <f t="shared" si="17"/>
        <v>San Antonio</v>
      </c>
      <c r="I153" t="b">
        <f t="shared" si="16"/>
        <v>0</v>
      </c>
    </row>
    <row r="154" spans="1:9" x14ac:dyDescent="0.25">
      <c r="A154" t="s">
        <v>14154</v>
      </c>
      <c r="B154" t="s">
        <v>31</v>
      </c>
      <c r="C154" t="s">
        <v>5689</v>
      </c>
      <c r="D154" t="s">
        <v>873</v>
      </c>
      <c r="E154" s="39">
        <v>19</v>
      </c>
      <c r="F154" t="b">
        <v>0</v>
      </c>
      <c r="G154" s="16"/>
      <c r="H154" t="str">
        <f t="shared" si="17"/>
        <v>San Antonio</v>
      </c>
      <c r="I154" t="b">
        <f t="shared" si="16"/>
        <v>0</v>
      </c>
    </row>
    <row r="155" spans="1:9" x14ac:dyDescent="0.25">
      <c r="A155" t="s">
        <v>17471</v>
      </c>
      <c r="B155" t="s">
        <v>31</v>
      </c>
      <c r="C155" t="s">
        <v>17392</v>
      </c>
      <c r="D155" t="s">
        <v>274</v>
      </c>
      <c r="E155" s="39">
        <v>19</v>
      </c>
      <c r="F155" t="b">
        <v>0</v>
      </c>
      <c r="G155" s="16"/>
      <c r="H155" t="str">
        <f t="shared" si="17"/>
        <v>San Antonio</v>
      </c>
      <c r="I155" t="b">
        <f t="shared" si="16"/>
        <v>0</v>
      </c>
    </row>
    <row r="156" spans="1:9" x14ac:dyDescent="0.25">
      <c r="A156" t="s">
        <v>17472</v>
      </c>
      <c r="B156" t="s">
        <v>31</v>
      </c>
      <c r="C156" t="s">
        <v>17398</v>
      </c>
      <c r="D156" t="s">
        <v>873</v>
      </c>
      <c r="E156" s="39">
        <v>19</v>
      </c>
      <c r="F156" t="b">
        <v>0</v>
      </c>
      <c r="G156" s="16"/>
      <c r="H156" t="str">
        <f t="shared" si="17"/>
        <v>San Antonio</v>
      </c>
      <c r="I156" t="b">
        <f t="shared" si="16"/>
        <v>0</v>
      </c>
    </row>
    <row r="157" spans="1:9" x14ac:dyDescent="0.25">
      <c r="A157" t="s">
        <v>17473</v>
      </c>
      <c r="B157" t="s">
        <v>31</v>
      </c>
      <c r="C157" t="s">
        <v>199</v>
      </c>
      <c r="D157" t="s">
        <v>234</v>
      </c>
      <c r="E157" s="39">
        <v>19</v>
      </c>
      <c r="F157" t="b">
        <v>0</v>
      </c>
      <c r="G157" s="16"/>
      <c r="H157" t="str">
        <f t="shared" si="17"/>
        <v>San Antonio</v>
      </c>
      <c r="I157" t="b">
        <f t="shared" si="16"/>
        <v>0</v>
      </c>
    </row>
    <row r="158" spans="1:9" x14ac:dyDescent="0.25">
      <c r="A158" t="s">
        <v>17474</v>
      </c>
      <c r="B158" t="s">
        <v>31</v>
      </c>
      <c r="C158" t="s">
        <v>17426</v>
      </c>
      <c r="D158" t="s">
        <v>873</v>
      </c>
      <c r="E158" s="39">
        <v>19</v>
      </c>
      <c r="F158" t="b">
        <v>0</v>
      </c>
      <c r="G158" s="16"/>
      <c r="H158" t="str">
        <f t="shared" si="17"/>
        <v>San Antonio</v>
      </c>
      <c r="I158" t="b">
        <f t="shared" si="16"/>
        <v>0</v>
      </c>
    </row>
    <row r="159" spans="1:9" x14ac:dyDescent="0.25">
      <c r="A159" t="s">
        <v>17475</v>
      </c>
      <c r="B159" t="s">
        <v>31</v>
      </c>
      <c r="C159" t="s">
        <v>17429</v>
      </c>
      <c r="D159" t="s">
        <v>873</v>
      </c>
      <c r="E159" s="39">
        <v>19</v>
      </c>
      <c r="F159" t="b">
        <v>0</v>
      </c>
      <c r="G159" s="16"/>
      <c r="H159" t="str">
        <f t="shared" si="17"/>
        <v>San Antonio</v>
      </c>
      <c r="I159" t="b">
        <f t="shared" si="16"/>
        <v>0</v>
      </c>
    </row>
    <row r="160" spans="1:9" x14ac:dyDescent="0.25">
      <c r="A160" t="s">
        <v>17476</v>
      </c>
      <c r="B160" t="s">
        <v>31</v>
      </c>
      <c r="C160" t="s">
        <v>11488</v>
      </c>
      <c r="D160" t="s">
        <v>274</v>
      </c>
      <c r="E160" s="39">
        <v>19</v>
      </c>
      <c r="F160" t="b">
        <v>0</v>
      </c>
      <c r="G160" s="16"/>
      <c r="H160" t="str">
        <f t="shared" si="17"/>
        <v>San Antonio</v>
      </c>
      <c r="I160" t="b">
        <f t="shared" si="16"/>
        <v>0</v>
      </c>
    </row>
  </sheetData>
  <autoFilter ref="A1:I125" xr:uid="{00000000-0009-0000-0000-000001000000}">
    <sortState xmlns:xlrd2="http://schemas.microsoft.com/office/spreadsheetml/2017/richdata2" ref="A2:I125">
      <sortCondition ref="H1:H125"/>
    </sortState>
  </autoFilter>
  <phoneticPr fontId="19" type="noConversion"/>
  <conditionalFormatting sqref="A2:I200">
    <cfRule type="expression" dxfId="2" priority="1">
      <formula>$F2=TRUE</formula>
    </cfRule>
  </conditionalFormatting>
  <pageMargins left="0.7" right="0.7" top="0.75" bottom="0.75" header="0.3" footer="0.3"/>
  <pageSetup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8E6D3-6868-4916-8F9B-31175A5728C1}">
  <sheetPr codeName="Sheet11"/>
  <dimension ref="A1:AC191"/>
  <sheetViews>
    <sheetView topLeftCell="A11" workbookViewId="0">
      <selection activeCell="S2" sqref="S2:S36"/>
    </sheetView>
  </sheetViews>
  <sheetFormatPr defaultRowHeight="15" x14ac:dyDescent="0.25"/>
  <cols>
    <col min="3" max="3" width="12.5703125" customWidth="1"/>
    <col min="4" max="4" width="18.28515625" customWidth="1"/>
    <col min="5" max="5" width="20.28515625" customWidth="1"/>
    <col min="8" max="9" width="13.42578125" customWidth="1"/>
    <col min="10" max="10" width="22" customWidth="1"/>
    <col min="11" max="11" width="39.42578125" customWidth="1"/>
    <col min="24" max="24" width="18.140625" customWidth="1"/>
  </cols>
  <sheetData>
    <row r="1" spans="1:29" x14ac:dyDescent="0.25">
      <c r="A1" t="s">
        <v>17353</v>
      </c>
      <c r="B1" t="s">
        <v>17354</v>
      </c>
      <c r="C1" t="s">
        <v>17355</v>
      </c>
      <c r="D1" t="s">
        <v>12514</v>
      </c>
      <c r="E1" t="s">
        <v>12513</v>
      </c>
      <c r="F1" t="s">
        <v>12512</v>
      </c>
      <c r="G1" t="s">
        <v>12511</v>
      </c>
      <c r="H1" t="s">
        <v>12510</v>
      </c>
      <c r="I1" t="s">
        <v>14893</v>
      </c>
      <c r="J1" t="s">
        <v>17449</v>
      </c>
      <c r="K1" t="s">
        <v>12509</v>
      </c>
      <c r="L1" t="s">
        <v>12508</v>
      </c>
      <c r="M1" t="s">
        <v>12507</v>
      </c>
      <c r="N1" t="s">
        <v>12506</v>
      </c>
      <c r="O1" t="s">
        <v>12505</v>
      </c>
      <c r="P1" t="s">
        <v>12504</v>
      </c>
      <c r="Q1" t="s">
        <v>12503</v>
      </c>
      <c r="R1" t="s">
        <v>12502</v>
      </c>
      <c r="S1" t="s">
        <v>12501</v>
      </c>
      <c r="T1" t="s">
        <v>12500</v>
      </c>
      <c r="U1" t="s">
        <v>17356</v>
      </c>
      <c r="V1" t="s">
        <v>17357</v>
      </c>
      <c r="W1" t="s">
        <v>17358</v>
      </c>
      <c r="X1" t="s">
        <v>17359</v>
      </c>
      <c r="Y1" t="s">
        <v>17360</v>
      </c>
      <c r="Z1" t="s">
        <v>17361</v>
      </c>
      <c r="AA1" t="s">
        <v>17362</v>
      </c>
      <c r="AB1" t="s">
        <v>17363</v>
      </c>
      <c r="AC1" t="s">
        <v>17364</v>
      </c>
    </row>
    <row r="2" spans="1:29" x14ac:dyDescent="0.25">
      <c r="A2">
        <v>-98.221919167999999</v>
      </c>
      <c r="B2">
        <v>29.889579772000001</v>
      </c>
      <c r="C2">
        <v>7506839</v>
      </c>
      <c r="D2" t="s">
        <v>11451</v>
      </c>
      <c r="E2" t="s">
        <v>11450</v>
      </c>
      <c r="F2">
        <v>1</v>
      </c>
      <c r="G2" t="s">
        <v>17372</v>
      </c>
      <c r="H2">
        <v>31232</v>
      </c>
      <c r="I2" t="str">
        <f t="shared" ref="I2:I33" si="0">IF(LEN(H2)=4,"TX000" &amp; H2,IF(LEN(H2)=5,"TX00" &amp; H2,"TX0" &amp; H2))</f>
        <v>TX0031232</v>
      </c>
      <c r="J2" t="str">
        <f>_xlfn.XLOOKUP(I2,TCEQ_Outfalls!A:A,TCEQ_Outfalls!A:A,"",0)</f>
        <v>TX0031232</v>
      </c>
      <c r="K2" t="s">
        <v>5689</v>
      </c>
      <c r="L2" t="s">
        <v>16</v>
      </c>
      <c r="M2" t="s">
        <v>28</v>
      </c>
      <c r="N2" t="s">
        <v>14</v>
      </c>
      <c r="O2" t="s">
        <v>274</v>
      </c>
      <c r="P2">
        <v>29.889579770000001</v>
      </c>
      <c r="Q2">
        <v>-98.221919170000007</v>
      </c>
      <c r="R2">
        <v>1805</v>
      </c>
      <c r="S2">
        <v>18</v>
      </c>
      <c r="T2">
        <v>13</v>
      </c>
      <c r="U2" t="s">
        <v>17365</v>
      </c>
      <c r="V2">
        <v>12</v>
      </c>
      <c r="W2" t="s">
        <v>17366</v>
      </c>
      <c r="X2">
        <v>20181008</v>
      </c>
      <c r="Y2" t="s">
        <v>17367</v>
      </c>
      <c r="Z2" t="s">
        <v>17368</v>
      </c>
      <c r="AA2" t="s">
        <v>17369</v>
      </c>
      <c r="AB2">
        <v>14</v>
      </c>
      <c r="AC2" t="s">
        <v>17372</v>
      </c>
    </row>
    <row r="3" spans="1:29" x14ac:dyDescent="0.25">
      <c r="A3">
        <v>-97.748611667000006</v>
      </c>
      <c r="B3">
        <v>29.878332622999999</v>
      </c>
      <c r="C3">
        <v>7507271</v>
      </c>
      <c r="D3" t="s">
        <v>17380</v>
      </c>
      <c r="E3" t="s">
        <v>17381</v>
      </c>
      <c r="F3">
        <v>1</v>
      </c>
      <c r="H3">
        <v>139947</v>
      </c>
      <c r="I3" t="str">
        <f t="shared" si="0"/>
        <v>TX0139947</v>
      </c>
      <c r="J3" t="str">
        <f>_xlfn.XLOOKUP(I3,TCEQ_Outfalls!A:A,TCEQ_Outfalls!A:A,"",0)</f>
        <v>TX0139947</v>
      </c>
      <c r="K3" t="s">
        <v>17382</v>
      </c>
      <c r="L3" t="s">
        <v>284</v>
      </c>
      <c r="M3" t="s">
        <v>28</v>
      </c>
      <c r="N3" t="s">
        <v>14</v>
      </c>
      <c r="O3" t="s">
        <v>2137</v>
      </c>
      <c r="P3">
        <v>29.878332619999998</v>
      </c>
      <c r="Q3">
        <v>-97.748611670000003</v>
      </c>
      <c r="R3">
        <v>1810</v>
      </c>
      <c r="S3">
        <v>18</v>
      </c>
      <c r="T3">
        <v>11</v>
      </c>
      <c r="U3" t="s">
        <v>17365</v>
      </c>
      <c r="V3">
        <v>12</v>
      </c>
      <c r="W3" t="s">
        <v>17366</v>
      </c>
      <c r="X3">
        <v>20200522</v>
      </c>
      <c r="Y3" t="s">
        <v>17367</v>
      </c>
      <c r="Z3" t="s">
        <v>17368</v>
      </c>
      <c r="AA3" t="s">
        <v>17369</v>
      </c>
      <c r="AB3">
        <v>14</v>
      </c>
    </row>
    <row r="4" spans="1:29" x14ac:dyDescent="0.25">
      <c r="A4">
        <v>-97.957783496000005</v>
      </c>
      <c r="B4">
        <v>29.770974437</v>
      </c>
      <c r="C4">
        <v>7507273</v>
      </c>
      <c r="D4" t="s">
        <v>17383</v>
      </c>
      <c r="E4" t="s">
        <v>17384</v>
      </c>
      <c r="F4">
        <v>1</v>
      </c>
      <c r="H4">
        <v>139955</v>
      </c>
      <c r="I4" t="str">
        <f t="shared" si="0"/>
        <v>TX0139955</v>
      </c>
      <c r="J4" t="str">
        <f>_xlfn.XLOOKUP(I4,TCEQ_Outfalls!A:A,TCEQ_Outfalls!A:A,"",0)</f>
        <v>TX0139955</v>
      </c>
      <c r="K4" t="s">
        <v>17382</v>
      </c>
      <c r="L4" t="s">
        <v>16</v>
      </c>
      <c r="M4" t="s">
        <v>28</v>
      </c>
      <c r="N4" t="s">
        <v>14</v>
      </c>
      <c r="O4" t="s">
        <v>1032</v>
      </c>
      <c r="P4">
        <v>29.77097444</v>
      </c>
      <c r="Q4">
        <v>-97.957783500000005</v>
      </c>
      <c r="R4">
        <v>1808</v>
      </c>
      <c r="S4">
        <v>18</v>
      </c>
      <c r="T4">
        <v>13</v>
      </c>
      <c r="U4" t="s">
        <v>17365</v>
      </c>
      <c r="V4">
        <v>12</v>
      </c>
      <c r="W4" t="s">
        <v>17366</v>
      </c>
      <c r="X4">
        <v>20200601</v>
      </c>
      <c r="Y4" t="s">
        <v>17367</v>
      </c>
      <c r="Z4" t="s">
        <v>17368</v>
      </c>
      <c r="AA4" t="s">
        <v>17369</v>
      </c>
      <c r="AB4">
        <v>14</v>
      </c>
    </row>
    <row r="5" spans="1:29" x14ac:dyDescent="0.25">
      <c r="A5">
        <v>-97.808307041999996</v>
      </c>
      <c r="B5">
        <v>30.024132455</v>
      </c>
      <c r="C5">
        <v>7507846</v>
      </c>
      <c r="D5" t="s">
        <v>8304</v>
      </c>
      <c r="E5" t="s">
        <v>8303</v>
      </c>
      <c r="F5">
        <v>1</v>
      </c>
      <c r="G5" t="s">
        <v>17372</v>
      </c>
      <c r="H5">
        <v>100684</v>
      </c>
      <c r="I5" t="str">
        <f t="shared" si="0"/>
        <v>TX0100684</v>
      </c>
      <c r="J5" t="str">
        <f>_xlfn.XLOOKUP(I5,TCEQ_Outfalls!A:A,TCEQ_Outfalls!A:A,"",0)</f>
        <v>TX0100684</v>
      </c>
      <c r="K5" t="s">
        <v>895</v>
      </c>
      <c r="L5" t="s">
        <v>16</v>
      </c>
      <c r="M5" t="s">
        <v>28</v>
      </c>
      <c r="N5" t="s">
        <v>14</v>
      </c>
      <c r="O5" t="s">
        <v>753</v>
      </c>
      <c r="P5">
        <v>30.024132460000001</v>
      </c>
      <c r="Q5">
        <v>-97.808307040000003</v>
      </c>
      <c r="R5">
        <v>1810</v>
      </c>
      <c r="S5">
        <v>18</v>
      </c>
      <c r="T5">
        <v>11</v>
      </c>
      <c r="U5" t="s">
        <v>17365</v>
      </c>
      <c r="V5">
        <v>12</v>
      </c>
      <c r="W5" t="s">
        <v>17366</v>
      </c>
      <c r="X5">
        <v>20190905</v>
      </c>
      <c r="Y5" t="s">
        <v>17367</v>
      </c>
      <c r="Z5" t="s">
        <v>17368</v>
      </c>
      <c r="AA5" t="s">
        <v>17369</v>
      </c>
      <c r="AB5">
        <v>14</v>
      </c>
      <c r="AC5" t="s">
        <v>17372</v>
      </c>
    </row>
    <row r="6" spans="1:29" x14ac:dyDescent="0.25">
      <c r="A6">
        <v>-97.745458502999995</v>
      </c>
      <c r="B6">
        <v>29.200480284000001</v>
      </c>
      <c r="C6">
        <v>7509003</v>
      </c>
      <c r="D6" t="s">
        <v>1856</v>
      </c>
      <c r="E6" t="s">
        <v>1855</v>
      </c>
      <c r="F6">
        <v>1</v>
      </c>
      <c r="H6">
        <v>138657</v>
      </c>
      <c r="I6" t="str">
        <f t="shared" si="0"/>
        <v>TX0138657</v>
      </c>
      <c r="J6" t="str">
        <f>_xlfn.XLOOKUP(I6,TCEQ_Outfalls!A:A,TCEQ_Outfalls!A:A,"",0)</f>
        <v>TX0138657</v>
      </c>
      <c r="K6" t="s">
        <v>606</v>
      </c>
      <c r="L6" t="s">
        <v>16</v>
      </c>
      <c r="M6" t="s">
        <v>28</v>
      </c>
      <c r="N6" t="s">
        <v>14</v>
      </c>
      <c r="O6" t="s">
        <v>1853</v>
      </c>
      <c r="P6">
        <v>29.200480280000001</v>
      </c>
      <c r="Q6">
        <v>-97.745458499999998</v>
      </c>
      <c r="R6">
        <v>1803</v>
      </c>
      <c r="S6">
        <v>18</v>
      </c>
      <c r="T6">
        <v>13</v>
      </c>
      <c r="U6" t="s">
        <v>17365</v>
      </c>
      <c r="V6">
        <v>12</v>
      </c>
      <c r="W6" t="s">
        <v>17366</v>
      </c>
      <c r="X6">
        <v>20190110</v>
      </c>
      <c r="Y6" t="s">
        <v>17367</v>
      </c>
      <c r="Z6" t="s">
        <v>17368</v>
      </c>
      <c r="AA6" t="s">
        <v>17369</v>
      </c>
      <c r="AB6">
        <v>14</v>
      </c>
    </row>
    <row r="7" spans="1:29" x14ac:dyDescent="0.25">
      <c r="A7">
        <v>-97.381618982999996</v>
      </c>
      <c r="B7">
        <v>29.841239421000001</v>
      </c>
      <c r="C7">
        <v>7509221</v>
      </c>
      <c r="D7" t="s">
        <v>2798</v>
      </c>
      <c r="E7" t="s">
        <v>2797</v>
      </c>
      <c r="F7">
        <v>1</v>
      </c>
      <c r="G7" t="s">
        <v>17372</v>
      </c>
      <c r="H7">
        <v>124958</v>
      </c>
      <c r="I7" t="str">
        <f t="shared" si="0"/>
        <v>TX0124958</v>
      </c>
      <c r="J7" t="str">
        <f>_xlfn.XLOOKUP(I7,TCEQ_Outfalls!A:A,TCEQ_Outfalls!A:A,"",0)</f>
        <v>TX0124958</v>
      </c>
      <c r="K7" t="s">
        <v>457</v>
      </c>
      <c r="L7" t="s">
        <v>16</v>
      </c>
      <c r="M7" t="s">
        <v>28</v>
      </c>
      <c r="N7" t="s">
        <v>73</v>
      </c>
      <c r="O7" t="s">
        <v>2137</v>
      </c>
      <c r="P7">
        <v>29.841239420000001</v>
      </c>
      <c r="Q7">
        <v>-97.381618979999999</v>
      </c>
      <c r="R7">
        <v>1803</v>
      </c>
      <c r="S7">
        <v>18</v>
      </c>
      <c r="T7">
        <v>11</v>
      </c>
      <c r="U7" t="s">
        <v>17365</v>
      </c>
      <c r="V7">
        <v>12</v>
      </c>
      <c r="W7" t="s">
        <v>17366</v>
      </c>
      <c r="X7">
        <v>20100914</v>
      </c>
      <c r="Y7" t="s">
        <v>17367</v>
      </c>
      <c r="Z7" t="s">
        <v>17368</v>
      </c>
      <c r="AA7" t="s">
        <v>17369</v>
      </c>
      <c r="AB7">
        <v>14</v>
      </c>
      <c r="AC7" t="s">
        <v>17372</v>
      </c>
    </row>
    <row r="8" spans="1:29" x14ac:dyDescent="0.25">
      <c r="A8">
        <v>-98.175734134999999</v>
      </c>
      <c r="B8">
        <v>29.671170274000001</v>
      </c>
      <c r="C8">
        <v>7509491</v>
      </c>
      <c r="D8" t="s">
        <v>2751</v>
      </c>
      <c r="E8" t="s">
        <v>2750</v>
      </c>
      <c r="F8">
        <v>1</v>
      </c>
      <c r="G8" t="s">
        <v>17372</v>
      </c>
      <c r="H8">
        <v>77534</v>
      </c>
      <c r="I8" t="str">
        <f t="shared" si="0"/>
        <v>TX0077534</v>
      </c>
      <c r="J8" t="str">
        <f>_xlfn.XLOOKUP(I8,TCEQ_Outfalls!A:A,TCEQ_Outfalls!A:A,"",0)</f>
        <v>TX0077534</v>
      </c>
      <c r="K8" t="s">
        <v>1809</v>
      </c>
      <c r="L8" t="s">
        <v>16</v>
      </c>
      <c r="M8" t="s">
        <v>15</v>
      </c>
      <c r="N8" t="s">
        <v>14</v>
      </c>
      <c r="O8" t="s">
        <v>274</v>
      </c>
      <c r="P8">
        <v>29.671170270000001</v>
      </c>
      <c r="Q8">
        <v>-98.175734140000003</v>
      </c>
      <c r="R8">
        <v>1811</v>
      </c>
      <c r="S8">
        <v>18</v>
      </c>
      <c r="T8">
        <v>13</v>
      </c>
      <c r="U8" t="s">
        <v>17365</v>
      </c>
      <c r="V8">
        <v>12</v>
      </c>
      <c r="W8" t="s">
        <v>17366</v>
      </c>
      <c r="X8">
        <v>20190930</v>
      </c>
      <c r="Y8" t="s">
        <v>17367</v>
      </c>
      <c r="Z8" t="s">
        <v>17368</v>
      </c>
      <c r="AA8" t="s">
        <v>17369</v>
      </c>
      <c r="AB8">
        <v>14</v>
      </c>
      <c r="AC8" t="s">
        <v>17372</v>
      </c>
    </row>
    <row r="9" spans="1:29" x14ac:dyDescent="0.25">
      <c r="A9">
        <v>-97.770046289999996</v>
      </c>
      <c r="B9">
        <v>30.020634014999999</v>
      </c>
      <c r="C9">
        <v>7510017</v>
      </c>
      <c r="D9" t="s">
        <v>17387</v>
      </c>
      <c r="E9" t="s">
        <v>17388</v>
      </c>
      <c r="F9">
        <v>1</v>
      </c>
      <c r="H9">
        <v>140686</v>
      </c>
      <c r="I9" t="str">
        <f t="shared" si="0"/>
        <v>TX0140686</v>
      </c>
      <c r="J9" t="str">
        <f>_xlfn.XLOOKUP(I9,TCEQ_Outfalls!A:A,TCEQ_Outfalls!A:A,"",0)</f>
        <v>TX0140686</v>
      </c>
      <c r="K9" t="s">
        <v>17389</v>
      </c>
      <c r="L9" t="s">
        <v>284</v>
      </c>
      <c r="M9" t="s">
        <v>28</v>
      </c>
      <c r="N9" t="s">
        <v>14</v>
      </c>
      <c r="O9" t="s">
        <v>753</v>
      </c>
      <c r="P9">
        <v>30.020634019999999</v>
      </c>
      <c r="Q9">
        <v>-97.770046289999996</v>
      </c>
      <c r="R9">
        <v>1810</v>
      </c>
      <c r="S9">
        <v>18</v>
      </c>
      <c r="T9">
        <v>11</v>
      </c>
      <c r="U9" t="s">
        <v>17365</v>
      </c>
      <c r="V9">
        <v>12</v>
      </c>
      <c r="W9" t="s">
        <v>17366</v>
      </c>
      <c r="X9">
        <v>20210107</v>
      </c>
      <c r="Y9" t="s">
        <v>17367</v>
      </c>
      <c r="Z9" t="s">
        <v>17368</v>
      </c>
      <c r="AA9" t="s">
        <v>17369</v>
      </c>
      <c r="AB9">
        <v>14</v>
      </c>
    </row>
    <row r="10" spans="1:29" x14ac:dyDescent="0.25">
      <c r="A10">
        <v>-98.413367837999999</v>
      </c>
      <c r="B10">
        <v>29.925067596000002</v>
      </c>
      <c r="C10">
        <v>7510058</v>
      </c>
      <c r="D10" t="s">
        <v>17393</v>
      </c>
      <c r="E10" t="s">
        <v>17394</v>
      </c>
      <c r="F10">
        <v>1</v>
      </c>
      <c r="H10">
        <v>141828</v>
      </c>
      <c r="I10" t="str">
        <f t="shared" si="0"/>
        <v>TX0141828</v>
      </c>
      <c r="J10" t="str">
        <f>_xlfn.XLOOKUP(I10,TCEQ_Outfalls!A:A,TCEQ_Outfalls!A:A,"",0)</f>
        <v>TX0141828</v>
      </c>
      <c r="K10" t="s">
        <v>17395</v>
      </c>
      <c r="L10" t="s">
        <v>284</v>
      </c>
      <c r="M10" t="s">
        <v>28</v>
      </c>
      <c r="N10" t="s">
        <v>17375</v>
      </c>
      <c r="O10" t="s">
        <v>274</v>
      </c>
      <c r="P10">
        <v>29.925066999999999</v>
      </c>
      <c r="Q10">
        <v>-98.413366999999994</v>
      </c>
      <c r="R10">
        <v>1806</v>
      </c>
      <c r="S10">
        <v>18</v>
      </c>
      <c r="T10">
        <v>13</v>
      </c>
      <c r="U10" t="s">
        <v>17365</v>
      </c>
      <c r="V10">
        <v>12</v>
      </c>
      <c r="W10" t="s">
        <v>17366</v>
      </c>
      <c r="X10">
        <v>20211221</v>
      </c>
      <c r="Y10" t="s">
        <v>17367</v>
      </c>
      <c r="Z10" t="s">
        <v>17368</v>
      </c>
      <c r="AA10" t="s">
        <v>17369</v>
      </c>
      <c r="AB10">
        <v>14</v>
      </c>
    </row>
    <row r="11" spans="1:29" x14ac:dyDescent="0.25">
      <c r="A11">
        <v>-98.053068284000005</v>
      </c>
      <c r="B11">
        <v>29.786408478999999</v>
      </c>
      <c r="C11">
        <v>7510071</v>
      </c>
      <c r="D11" t="s">
        <v>17399</v>
      </c>
      <c r="E11" t="s">
        <v>17400</v>
      </c>
      <c r="F11">
        <v>1</v>
      </c>
      <c r="H11">
        <v>139785</v>
      </c>
      <c r="I11" t="str">
        <f t="shared" si="0"/>
        <v>TX0139785</v>
      </c>
      <c r="J11" t="str">
        <f>_xlfn.XLOOKUP(I11,TCEQ_Outfalls!A:A,TCEQ_Outfalls!A:A,"",0)</f>
        <v>TX0139785</v>
      </c>
      <c r="K11" t="s">
        <v>17401</v>
      </c>
      <c r="L11" t="s">
        <v>16</v>
      </c>
      <c r="M11" t="s">
        <v>28</v>
      </c>
      <c r="N11" t="s">
        <v>14</v>
      </c>
      <c r="O11" t="s">
        <v>274</v>
      </c>
      <c r="P11">
        <v>29.786408479999999</v>
      </c>
      <c r="Q11">
        <v>-98.053068280000005</v>
      </c>
      <c r="R11">
        <v>1808</v>
      </c>
      <c r="S11">
        <v>18</v>
      </c>
      <c r="T11">
        <v>13</v>
      </c>
      <c r="U11" t="s">
        <v>17365</v>
      </c>
      <c r="V11">
        <v>12</v>
      </c>
      <c r="W11" t="s">
        <v>17366</v>
      </c>
      <c r="X11">
        <v>20200212</v>
      </c>
      <c r="Y11" t="s">
        <v>17367</v>
      </c>
      <c r="Z11" t="s">
        <v>17368</v>
      </c>
      <c r="AA11" t="s">
        <v>17369</v>
      </c>
      <c r="AB11">
        <v>14</v>
      </c>
    </row>
    <row r="12" spans="1:29" x14ac:dyDescent="0.25">
      <c r="A12">
        <v>-98.057312905000003</v>
      </c>
      <c r="B12">
        <v>29.766496914000001</v>
      </c>
      <c r="C12">
        <v>7510074</v>
      </c>
      <c r="D12" t="s">
        <v>17402</v>
      </c>
      <c r="E12" t="s">
        <v>17403</v>
      </c>
      <c r="F12">
        <v>1</v>
      </c>
      <c r="H12">
        <v>141054</v>
      </c>
      <c r="I12" t="str">
        <f t="shared" si="0"/>
        <v>TX0141054</v>
      </c>
      <c r="J12" t="str">
        <f>_xlfn.XLOOKUP(I12,TCEQ_Outfalls!A:A,TCEQ_Outfalls!A:A,"",0)</f>
        <v>TX0141054</v>
      </c>
      <c r="K12" t="s">
        <v>2375</v>
      </c>
      <c r="L12" t="s">
        <v>16</v>
      </c>
      <c r="M12" t="s">
        <v>28</v>
      </c>
      <c r="N12" t="s">
        <v>14</v>
      </c>
      <c r="O12" t="s">
        <v>274</v>
      </c>
      <c r="P12">
        <v>29.766496910000001</v>
      </c>
      <c r="Q12">
        <v>-98.057312909999993</v>
      </c>
      <c r="R12">
        <v>1808</v>
      </c>
      <c r="S12">
        <v>18</v>
      </c>
      <c r="T12">
        <v>13</v>
      </c>
      <c r="U12" t="s">
        <v>17365</v>
      </c>
      <c r="V12">
        <v>12</v>
      </c>
      <c r="W12" t="s">
        <v>17366</v>
      </c>
      <c r="X12">
        <v>20210415</v>
      </c>
      <c r="Y12" t="s">
        <v>17367</v>
      </c>
      <c r="Z12" t="s">
        <v>17368</v>
      </c>
      <c r="AA12" t="s">
        <v>17369</v>
      </c>
      <c r="AB12">
        <v>14</v>
      </c>
    </row>
    <row r="13" spans="1:29" x14ac:dyDescent="0.25">
      <c r="A13">
        <v>-97.923341722999993</v>
      </c>
      <c r="B13">
        <v>29.787290045999999</v>
      </c>
      <c r="C13">
        <v>7510076</v>
      </c>
      <c r="D13" t="s">
        <v>17404</v>
      </c>
      <c r="E13" t="s">
        <v>17405</v>
      </c>
      <c r="F13">
        <v>1</v>
      </c>
      <c r="H13">
        <v>141798</v>
      </c>
      <c r="I13" t="str">
        <f t="shared" si="0"/>
        <v>TX0141798</v>
      </c>
      <c r="J13" t="str">
        <f>_xlfn.XLOOKUP(I13,TCEQ_Outfalls!A:A,TCEQ_Outfalls!A:A,"",0)</f>
        <v>TX0141798</v>
      </c>
      <c r="K13" t="s">
        <v>17406</v>
      </c>
      <c r="L13" t="s">
        <v>284</v>
      </c>
      <c r="M13" t="s">
        <v>28</v>
      </c>
      <c r="N13" t="s">
        <v>17373</v>
      </c>
      <c r="O13" t="s">
        <v>1032</v>
      </c>
      <c r="P13">
        <v>29.787289999999999</v>
      </c>
      <c r="Q13">
        <v>-97.923339999999996</v>
      </c>
      <c r="R13">
        <v>1808</v>
      </c>
      <c r="S13">
        <v>18</v>
      </c>
      <c r="T13">
        <v>13</v>
      </c>
      <c r="U13" t="s">
        <v>17365</v>
      </c>
      <c r="V13">
        <v>12</v>
      </c>
      <c r="W13" t="s">
        <v>17366</v>
      </c>
      <c r="X13">
        <v>20220114</v>
      </c>
      <c r="Y13" t="s">
        <v>17367</v>
      </c>
      <c r="Z13" t="s">
        <v>17368</v>
      </c>
      <c r="AA13" t="s">
        <v>17369</v>
      </c>
      <c r="AB13">
        <v>14</v>
      </c>
    </row>
    <row r="14" spans="1:29" x14ac:dyDescent="0.25">
      <c r="A14">
        <v>-97.737018493999997</v>
      </c>
      <c r="B14">
        <v>29.876649746999998</v>
      </c>
      <c r="C14">
        <v>7510088</v>
      </c>
      <c r="D14" t="s">
        <v>17407</v>
      </c>
      <c r="E14" t="s">
        <v>17408</v>
      </c>
      <c r="F14">
        <v>1</v>
      </c>
      <c r="H14">
        <v>142409</v>
      </c>
      <c r="I14" t="str">
        <f t="shared" si="0"/>
        <v>TX0142409</v>
      </c>
      <c r="J14" t="str">
        <f>_xlfn.XLOOKUP(I14,TCEQ_Outfalls!A:A,TCEQ_Outfalls!A:A,"",0)</f>
        <v>TX0142409</v>
      </c>
      <c r="K14" t="s">
        <v>17409</v>
      </c>
      <c r="L14" t="s">
        <v>284</v>
      </c>
      <c r="M14" t="s">
        <v>28</v>
      </c>
      <c r="N14" t="s">
        <v>17373</v>
      </c>
      <c r="O14" t="s">
        <v>2137</v>
      </c>
      <c r="P14">
        <v>29.876663000000001</v>
      </c>
      <c r="Q14">
        <v>-97.737002000000004</v>
      </c>
      <c r="R14">
        <v>1810</v>
      </c>
      <c r="S14">
        <v>18</v>
      </c>
      <c r="T14">
        <v>11</v>
      </c>
      <c r="U14" t="s">
        <v>17365</v>
      </c>
      <c r="V14">
        <v>12</v>
      </c>
      <c r="W14" t="s">
        <v>17366</v>
      </c>
      <c r="X14">
        <v>20220406</v>
      </c>
      <c r="Y14" t="s">
        <v>17367</v>
      </c>
      <c r="Z14" t="s">
        <v>17368</v>
      </c>
      <c r="AA14" t="s">
        <v>17369</v>
      </c>
      <c r="AB14">
        <v>14</v>
      </c>
    </row>
    <row r="15" spans="1:29" x14ac:dyDescent="0.25">
      <c r="A15">
        <v>-99.111105221000003</v>
      </c>
      <c r="B15">
        <v>30.025621452999999</v>
      </c>
      <c r="C15">
        <v>7510173</v>
      </c>
      <c r="D15" t="s">
        <v>17410</v>
      </c>
      <c r="E15" t="s">
        <v>17411</v>
      </c>
      <c r="F15">
        <v>1</v>
      </c>
      <c r="H15">
        <v>140481</v>
      </c>
      <c r="I15" t="str">
        <f t="shared" si="0"/>
        <v>TX0140481</v>
      </c>
      <c r="J15" t="str">
        <f>_xlfn.XLOOKUP(I15,TCEQ_Outfalls!A:A,TCEQ_Outfalls!A:A,"",0)</f>
        <v>TX0140481</v>
      </c>
      <c r="K15" t="s">
        <v>4218</v>
      </c>
      <c r="L15" t="s">
        <v>16</v>
      </c>
      <c r="M15" t="s">
        <v>15</v>
      </c>
      <c r="N15" t="s">
        <v>14</v>
      </c>
      <c r="O15" t="s">
        <v>561</v>
      </c>
      <c r="P15">
        <v>30.025621449999999</v>
      </c>
      <c r="Q15">
        <v>-99.111105219999999</v>
      </c>
      <c r="R15">
        <v>1806</v>
      </c>
      <c r="S15">
        <v>18</v>
      </c>
      <c r="T15">
        <v>13</v>
      </c>
      <c r="U15" t="s">
        <v>17365</v>
      </c>
      <c r="V15">
        <v>12</v>
      </c>
      <c r="W15" t="s">
        <v>17366</v>
      </c>
      <c r="X15">
        <v>20201221</v>
      </c>
      <c r="Y15" t="s">
        <v>17367</v>
      </c>
      <c r="Z15" t="s">
        <v>17368</v>
      </c>
      <c r="AA15" t="s">
        <v>17369</v>
      </c>
      <c r="AB15">
        <v>14</v>
      </c>
    </row>
    <row r="16" spans="1:29" x14ac:dyDescent="0.25">
      <c r="A16">
        <v>-97.953646980000002</v>
      </c>
      <c r="B16">
        <v>29.800653050000001</v>
      </c>
      <c r="C16">
        <v>7510180</v>
      </c>
      <c r="D16" t="s">
        <v>17413</v>
      </c>
      <c r="E16" t="s">
        <v>17414</v>
      </c>
      <c r="F16">
        <v>1</v>
      </c>
      <c r="H16">
        <v>142905</v>
      </c>
      <c r="I16" t="str">
        <f t="shared" si="0"/>
        <v>TX0142905</v>
      </c>
      <c r="J16" t="str">
        <f>_xlfn.XLOOKUP(I16,TCEQ_Outfalls!A:A,TCEQ_Outfalls!A:A,"",0)</f>
        <v>TX0142905</v>
      </c>
      <c r="K16" t="s">
        <v>17415</v>
      </c>
      <c r="L16" t="s">
        <v>284</v>
      </c>
      <c r="M16" t="s">
        <v>28</v>
      </c>
      <c r="N16" t="s">
        <v>17370</v>
      </c>
      <c r="O16" t="s">
        <v>753</v>
      </c>
      <c r="P16">
        <v>29.800653000000001</v>
      </c>
      <c r="Q16">
        <v>-97.953647000000004</v>
      </c>
      <c r="R16">
        <v>1808</v>
      </c>
      <c r="S16">
        <v>18</v>
      </c>
      <c r="T16">
        <v>11</v>
      </c>
      <c r="U16" t="s">
        <v>17365</v>
      </c>
      <c r="V16">
        <v>12</v>
      </c>
      <c r="W16" t="s">
        <v>17366</v>
      </c>
      <c r="X16">
        <v>20220726</v>
      </c>
      <c r="Y16" t="s">
        <v>17367</v>
      </c>
      <c r="Z16" t="s">
        <v>17368</v>
      </c>
      <c r="AA16" t="s">
        <v>17369</v>
      </c>
      <c r="AB16">
        <v>14</v>
      </c>
    </row>
    <row r="17" spans="1:29" x14ac:dyDescent="0.25">
      <c r="A17">
        <v>-98.033447953999996</v>
      </c>
      <c r="B17">
        <v>29.7463981</v>
      </c>
      <c r="C17">
        <v>7510185</v>
      </c>
      <c r="D17" t="s">
        <v>17416</v>
      </c>
      <c r="E17" t="s">
        <v>17417</v>
      </c>
      <c r="F17">
        <v>1</v>
      </c>
      <c r="H17">
        <v>141186</v>
      </c>
      <c r="I17" t="str">
        <f t="shared" si="0"/>
        <v>TX0141186</v>
      </c>
      <c r="J17" t="str">
        <f>_xlfn.XLOOKUP(I17,TCEQ_Outfalls!A:A,TCEQ_Outfalls!A:A,"",0)</f>
        <v>TX0141186</v>
      </c>
      <c r="K17" t="s">
        <v>17418</v>
      </c>
      <c r="L17" t="s">
        <v>16</v>
      </c>
      <c r="M17" t="s">
        <v>28</v>
      </c>
      <c r="N17" t="s">
        <v>17373</v>
      </c>
      <c r="O17" t="s">
        <v>274</v>
      </c>
      <c r="P17">
        <v>29.746395</v>
      </c>
      <c r="Q17">
        <v>-98.033460000000005</v>
      </c>
      <c r="R17">
        <v>1808</v>
      </c>
      <c r="S17">
        <v>18</v>
      </c>
      <c r="T17">
        <v>13</v>
      </c>
      <c r="U17" t="s">
        <v>17365</v>
      </c>
      <c r="V17">
        <v>12</v>
      </c>
      <c r="W17" t="s">
        <v>17366</v>
      </c>
      <c r="X17">
        <v>20210728</v>
      </c>
      <c r="Y17" t="s">
        <v>17367</v>
      </c>
      <c r="Z17" t="s">
        <v>17368</v>
      </c>
      <c r="AA17" t="s">
        <v>17369</v>
      </c>
      <c r="AB17">
        <v>14</v>
      </c>
    </row>
    <row r="18" spans="1:29" x14ac:dyDescent="0.25">
      <c r="A18">
        <v>-97.773744256000001</v>
      </c>
      <c r="B18">
        <v>30.045866862</v>
      </c>
      <c r="C18">
        <v>7510248</v>
      </c>
      <c r="D18" t="s">
        <v>17419</v>
      </c>
      <c r="E18" t="s">
        <v>17420</v>
      </c>
      <c r="F18">
        <v>1</v>
      </c>
      <c r="H18">
        <v>140741</v>
      </c>
      <c r="I18" t="str">
        <f t="shared" si="0"/>
        <v>TX0140741</v>
      </c>
      <c r="J18" t="str">
        <f>_xlfn.XLOOKUP(I18,TCEQ_Outfalls!A:A,TCEQ_Outfalls!A:A,"",0)</f>
        <v>TX0140741</v>
      </c>
      <c r="K18" t="s">
        <v>17421</v>
      </c>
      <c r="L18" t="s">
        <v>16</v>
      </c>
      <c r="M18" t="s">
        <v>28</v>
      </c>
      <c r="N18" t="s">
        <v>17373</v>
      </c>
      <c r="O18" t="s">
        <v>753</v>
      </c>
      <c r="P18">
        <v>30.04588</v>
      </c>
      <c r="Q18">
        <v>-97.773750000000007</v>
      </c>
      <c r="R18">
        <v>1810</v>
      </c>
      <c r="S18">
        <v>18</v>
      </c>
      <c r="T18">
        <v>11</v>
      </c>
      <c r="U18" t="s">
        <v>17365</v>
      </c>
      <c r="V18">
        <v>12</v>
      </c>
      <c r="W18" t="s">
        <v>17366</v>
      </c>
      <c r="X18">
        <v>20210324</v>
      </c>
      <c r="Y18" t="s">
        <v>17367</v>
      </c>
      <c r="Z18" t="s">
        <v>17368</v>
      </c>
      <c r="AA18" t="s">
        <v>17369</v>
      </c>
      <c r="AB18">
        <v>14</v>
      </c>
    </row>
    <row r="19" spans="1:29" x14ac:dyDescent="0.25">
      <c r="A19">
        <v>-97.836942817999997</v>
      </c>
      <c r="B19">
        <v>29.849999490999998</v>
      </c>
      <c r="C19">
        <v>7510252</v>
      </c>
      <c r="D19" t="s">
        <v>17422</v>
      </c>
      <c r="E19" t="s">
        <v>17423</v>
      </c>
      <c r="F19">
        <v>1</v>
      </c>
      <c r="H19">
        <v>140554</v>
      </c>
      <c r="I19" t="str">
        <f t="shared" si="0"/>
        <v>TX0140554</v>
      </c>
      <c r="J19" t="str">
        <f>_xlfn.XLOOKUP(I19,TCEQ_Outfalls!A:A,TCEQ_Outfalls!A:A,"",0)</f>
        <v>TX0140554</v>
      </c>
      <c r="K19" t="s">
        <v>1104</v>
      </c>
      <c r="L19" t="s">
        <v>284</v>
      </c>
      <c r="M19" t="s">
        <v>28</v>
      </c>
      <c r="N19" t="s">
        <v>14</v>
      </c>
      <c r="O19" t="s">
        <v>2137</v>
      </c>
      <c r="P19">
        <v>29.849999489999998</v>
      </c>
      <c r="Q19">
        <v>-97.836942820000004</v>
      </c>
      <c r="R19">
        <v>1808</v>
      </c>
      <c r="S19">
        <v>18</v>
      </c>
      <c r="T19">
        <v>11</v>
      </c>
      <c r="U19" t="s">
        <v>17365</v>
      </c>
      <c r="V19">
        <v>12</v>
      </c>
      <c r="W19" t="s">
        <v>17366</v>
      </c>
      <c r="X19">
        <v>20210121</v>
      </c>
      <c r="Y19" t="s">
        <v>17367</v>
      </c>
      <c r="Z19" t="s">
        <v>17368</v>
      </c>
      <c r="AA19" t="s">
        <v>17369</v>
      </c>
      <c r="AB19">
        <v>14</v>
      </c>
    </row>
    <row r="20" spans="1:29" x14ac:dyDescent="0.25">
      <c r="A20">
        <v>-97.753690980000002</v>
      </c>
      <c r="B20">
        <v>30.05369705</v>
      </c>
      <c r="C20">
        <v>7510327</v>
      </c>
      <c r="D20" t="s">
        <v>17430</v>
      </c>
      <c r="E20" t="s">
        <v>17431</v>
      </c>
      <c r="F20">
        <v>1</v>
      </c>
      <c r="H20">
        <v>142832</v>
      </c>
      <c r="I20" t="str">
        <f t="shared" si="0"/>
        <v>TX0142832</v>
      </c>
      <c r="J20" t="str">
        <f>_xlfn.XLOOKUP(I20,TCEQ_Outfalls!A:A,TCEQ_Outfalls!A:A,"",0)</f>
        <v>TX0142832</v>
      </c>
      <c r="K20" t="s">
        <v>17432</v>
      </c>
      <c r="L20" t="s">
        <v>284</v>
      </c>
      <c r="M20" t="s">
        <v>28</v>
      </c>
      <c r="N20" t="s">
        <v>17370</v>
      </c>
      <c r="O20" t="s">
        <v>753</v>
      </c>
      <c r="P20">
        <v>30.053697</v>
      </c>
      <c r="Q20">
        <v>-97.753691000000003</v>
      </c>
      <c r="R20">
        <v>1810</v>
      </c>
      <c r="S20">
        <v>18</v>
      </c>
      <c r="T20">
        <v>11</v>
      </c>
      <c r="U20" t="s">
        <v>17365</v>
      </c>
      <c r="V20">
        <v>12</v>
      </c>
      <c r="W20" t="s">
        <v>17366</v>
      </c>
      <c r="X20">
        <v>20220701</v>
      </c>
      <c r="Y20" t="s">
        <v>17367</v>
      </c>
      <c r="Z20" t="s">
        <v>17368</v>
      </c>
      <c r="AA20" t="s">
        <v>17369</v>
      </c>
      <c r="AB20">
        <v>14</v>
      </c>
    </row>
    <row r="21" spans="1:29" x14ac:dyDescent="0.25">
      <c r="A21">
        <v>-97.849972980000004</v>
      </c>
      <c r="B21">
        <v>29.787319050000001</v>
      </c>
      <c r="C21">
        <v>7510328</v>
      </c>
      <c r="D21" t="s">
        <v>17433</v>
      </c>
      <c r="E21" t="s">
        <v>17434</v>
      </c>
      <c r="F21">
        <v>1</v>
      </c>
      <c r="H21">
        <v>142808</v>
      </c>
      <c r="I21" t="str">
        <f t="shared" si="0"/>
        <v>TX0142808</v>
      </c>
      <c r="J21" t="str">
        <f>_xlfn.XLOOKUP(I21,TCEQ_Outfalls!A:A,TCEQ_Outfalls!A:A,"",0)</f>
        <v>TX0142808</v>
      </c>
      <c r="K21" t="s">
        <v>17435</v>
      </c>
      <c r="L21" t="s">
        <v>284</v>
      </c>
      <c r="M21" t="s">
        <v>28</v>
      </c>
      <c r="N21" t="s">
        <v>17370</v>
      </c>
      <c r="O21" t="s">
        <v>1032</v>
      </c>
      <c r="P21">
        <v>29.787318899999999</v>
      </c>
      <c r="Q21">
        <v>-97.849972899999997</v>
      </c>
      <c r="R21">
        <v>1808</v>
      </c>
      <c r="S21">
        <v>18</v>
      </c>
      <c r="T21">
        <v>13</v>
      </c>
      <c r="U21" t="s">
        <v>17365</v>
      </c>
      <c r="V21">
        <v>12</v>
      </c>
      <c r="W21" t="s">
        <v>17366</v>
      </c>
      <c r="X21">
        <v>20220701</v>
      </c>
      <c r="Y21" t="s">
        <v>17367</v>
      </c>
      <c r="Z21" t="s">
        <v>17368</v>
      </c>
      <c r="AA21" t="s">
        <v>17369</v>
      </c>
      <c r="AB21">
        <v>14</v>
      </c>
    </row>
    <row r="22" spans="1:29" x14ac:dyDescent="0.25">
      <c r="A22">
        <v>-98.005831092999998</v>
      </c>
      <c r="B22">
        <v>29.744447090000001</v>
      </c>
      <c r="C22">
        <v>7510334</v>
      </c>
      <c r="D22" t="s">
        <v>17436</v>
      </c>
      <c r="E22" t="s">
        <v>17437</v>
      </c>
      <c r="F22">
        <v>1</v>
      </c>
      <c r="H22">
        <v>141283</v>
      </c>
      <c r="I22" t="str">
        <f t="shared" si="0"/>
        <v>TX0141283</v>
      </c>
      <c r="J22" t="str">
        <f>_xlfn.XLOOKUP(I22,TCEQ_Outfalls!A:A,TCEQ_Outfalls!A:A,"",0)</f>
        <v>TX0141283</v>
      </c>
      <c r="K22" t="s">
        <v>17438</v>
      </c>
      <c r="L22" t="s">
        <v>284</v>
      </c>
      <c r="M22" t="s">
        <v>28</v>
      </c>
      <c r="N22" t="s">
        <v>17373</v>
      </c>
      <c r="O22" t="s">
        <v>274</v>
      </c>
      <c r="P22">
        <v>29.744444000000001</v>
      </c>
      <c r="Q22">
        <v>-98.005832999999996</v>
      </c>
      <c r="R22">
        <v>1808</v>
      </c>
      <c r="S22">
        <v>18</v>
      </c>
      <c r="T22">
        <v>13</v>
      </c>
      <c r="U22" t="s">
        <v>17365</v>
      </c>
      <c r="V22">
        <v>12</v>
      </c>
      <c r="W22" t="s">
        <v>17366</v>
      </c>
      <c r="X22">
        <v>20210825</v>
      </c>
      <c r="Y22" t="s">
        <v>17367</v>
      </c>
      <c r="Z22" t="s">
        <v>17368</v>
      </c>
      <c r="AA22" t="s">
        <v>17369</v>
      </c>
      <c r="AB22">
        <v>14</v>
      </c>
    </row>
    <row r="23" spans="1:29" x14ac:dyDescent="0.25">
      <c r="A23">
        <v>-97.835199979999999</v>
      </c>
      <c r="B23">
        <v>29.909300049999999</v>
      </c>
      <c r="C23">
        <v>7510409</v>
      </c>
      <c r="D23" t="s">
        <v>17442</v>
      </c>
      <c r="E23" t="s">
        <v>17443</v>
      </c>
      <c r="F23">
        <v>1</v>
      </c>
      <c r="H23">
        <v>142441</v>
      </c>
      <c r="I23" t="str">
        <f t="shared" si="0"/>
        <v>TX0142441</v>
      </c>
      <c r="J23" t="str">
        <f>_xlfn.XLOOKUP(I23,TCEQ_Outfalls!A:A,TCEQ_Outfalls!A:A,"",0)</f>
        <v>TX0142441</v>
      </c>
      <c r="K23" t="s">
        <v>17444</v>
      </c>
      <c r="L23" t="s">
        <v>284</v>
      </c>
      <c r="M23" t="s">
        <v>28</v>
      </c>
      <c r="N23" t="s">
        <v>17370</v>
      </c>
      <c r="O23" t="s">
        <v>2137</v>
      </c>
      <c r="P23">
        <v>29.909300000000002</v>
      </c>
      <c r="Q23">
        <v>-97.8352</v>
      </c>
      <c r="R23">
        <v>1808</v>
      </c>
      <c r="S23">
        <v>18</v>
      </c>
      <c r="T23">
        <v>11</v>
      </c>
      <c r="U23" t="s">
        <v>17365</v>
      </c>
      <c r="V23">
        <v>12</v>
      </c>
      <c r="W23" t="s">
        <v>17366</v>
      </c>
      <c r="X23">
        <v>20220412</v>
      </c>
      <c r="Y23" t="s">
        <v>17367</v>
      </c>
      <c r="Z23" t="s">
        <v>17368</v>
      </c>
      <c r="AA23" t="s">
        <v>17369</v>
      </c>
      <c r="AB23">
        <v>14</v>
      </c>
    </row>
    <row r="24" spans="1:29" x14ac:dyDescent="0.25">
      <c r="A24">
        <v>-97.598941233999994</v>
      </c>
      <c r="B24">
        <v>29.509453901000001</v>
      </c>
      <c r="C24">
        <v>7510435</v>
      </c>
      <c r="D24" t="s">
        <v>17445</v>
      </c>
      <c r="E24" t="s">
        <v>17446</v>
      </c>
      <c r="F24">
        <v>1</v>
      </c>
      <c r="H24">
        <v>139904</v>
      </c>
      <c r="I24" t="str">
        <f t="shared" si="0"/>
        <v>TX0139904</v>
      </c>
      <c r="J24" t="str">
        <f>_xlfn.XLOOKUP(I24,TCEQ_Outfalls!A:A,TCEQ_Outfalls!A:A,"",0)</f>
        <v>TX0139904</v>
      </c>
      <c r="K24" t="s">
        <v>3080</v>
      </c>
      <c r="L24" t="s">
        <v>16</v>
      </c>
      <c r="M24" t="s">
        <v>15</v>
      </c>
      <c r="N24" t="s">
        <v>14</v>
      </c>
      <c r="O24" t="s">
        <v>3079</v>
      </c>
      <c r="P24">
        <v>29.5094539</v>
      </c>
      <c r="Q24">
        <v>-97.598941229999994</v>
      </c>
      <c r="R24">
        <v>1804</v>
      </c>
      <c r="S24">
        <v>18</v>
      </c>
      <c r="T24">
        <v>14</v>
      </c>
      <c r="U24" t="s">
        <v>17365</v>
      </c>
      <c r="V24">
        <v>12</v>
      </c>
      <c r="W24" t="s">
        <v>17366</v>
      </c>
      <c r="X24">
        <v>20200602</v>
      </c>
      <c r="Y24" t="s">
        <v>17367</v>
      </c>
      <c r="Z24" t="s">
        <v>17368</v>
      </c>
      <c r="AA24" t="s">
        <v>17369</v>
      </c>
      <c r="AB24">
        <v>14</v>
      </c>
    </row>
    <row r="25" spans="1:29" x14ac:dyDescent="0.25">
      <c r="A25">
        <v>-98.355270128000001</v>
      </c>
      <c r="B25">
        <v>29.953330015999999</v>
      </c>
      <c r="C25">
        <v>7510441</v>
      </c>
      <c r="D25" t="s">
        <v>17447</v>
      </c>
      <c r="E25" t="s">
        <v>17448</v>
      </c>
      <c r="F25">
        <v>1</v>
      </c>
      <c r="H25">
        <v>140155</v>
      </c>
      <c r="I25" t="str">
        <f t="shared" si="0"/>
        <v>TX0140155</v>
      </c>
      <c r="J25" t="str">
        <f>_xlfn.XLOOKUP(I25,TCEQ_Outfalls!A:A,TCEQ_Outfalls!A:A,"",0)</f>
        <v>TX0140155</v>
      </c>
      <c r="K25" t="s">
        <v>17438</v>
      </c>
      <c r="L25" t="s">
        <v>16</v>
      </c>
      <c r="M25" t="s">
        <v>28</v>
      </c>
      <c r="N25" t="s">
        <v>17373</v>
      </c>
      <c r="O25" t="s">
        <v>274</v>
      </c>
      <c r="P25">
        <v>29.953330019999999</v>
      </c>
      <c r="Q25">
        <v>-98.355270129999994</v>
      </c>
      <c r="R25">
        <v>1805</v>
      </c>
      <c r="S25">
        <v>18</v>
      </c>
      <c r="T25">
        <v>13</v>
      </c>
      <c r="U25" t="s">
        <v>17365</v>
      </c>
      <c r="V25">
        <v>12</v>
      </c>
      <c r="W25" t="s">
        <v>17366</v>
      </c>
      <c r="X25">
        <v>20200610</v>
      </c>
      <c r="Y25" t="s">
        <v>17367</v>
      </c>
      <c r="Z25" t="s">
        <v>17368</v>
      </c>
      <c r="AA25" t="s">
        <v>17369</v>
      </c>
      <c r="AB25">
        <v>14</v>
      </c>
    </row>
    <row r="26" spans="1:29" x14ac:dyDescent="0.25">
      <c r="A26">
        <v>-98.210880564999997</v>
      </c>
      <c r="B26">
        <v>29.206225077999999</v>
      </c>
      <c r="C26">
        <v>7506717</v>
      </c>
      <c r="D26" t="s">
        <v>17377</v>
      </c>
      <c r="E26" t="s">
        <v>17378</v>
      </c>
      <c r="F26">
        <v>1</v>
      </c>
      <c r="H26">
        <v>142816</v>
      </c>
      <c r="I26" t="str">
        <f t="shared" si="0"/>
        <v>TX0142816</v>
      </c>
      <c r="J26" t="str">
        <f>_xlfn.XLOOKUP(I26,TCEQ_Outfalls!A:A,TCEQ_Outfalls!A:A,"",0)</f>
        <v>TX0142816</v>
      </c>
      <c r="K26" t="s">
        <v>4851</v>
      </c>
      <c r="L26" t="s">
        <v>284</v>
      </c>
      <c r="M26" t="s">
        <v>28</v>
      </c>
      <c r="N26" t="s">
        <v>17370</v>
      </c>
      <c r="O26" t="s">
        <v>3688</v>
      </c>
      <c r="P26">
        <v>29.206225029999999</v>
      </c>
      <c r="Q26">
        <v>-98.210880579999994</v>
      </c>
      <c r="R26">
        <v>1911</v>
      </c>
      <c r="S26">
        <v>19</v>
      </c>
      <c r="T26">
        <v>13</v>
      </c>
      <c r="U26" t="s">
        <v>17365</v>
      </c>
      <c r="V26">
        <v>12</v>
      </c>
      <c r="W26" t="s">
        <v>17366</v>
      </c>
      <c r="X26">
        <v>20220712</v>
      </c>
      <c r="Y26" t="s">
        <v>17367</v>
      </c>
      <c r="Z26" t="s">
        <v>17368</v>
      </c>
      <c r="AA26" t="s">
        <v>17369</v>
      </c>
      <c r="AB26">
        <v>14</v>
      </c>
    </row>
    <row r="27" spans="1:29" x14ac:dyDescent="0.25">
      <c r="A27">
        <v>-98.430161816999998</v>
      </c>
      <c r="B27">
        <v>29.737778236</v>
      </c>
      <c r="C27">
        <v>7507280</v>
      </c>
      <c r="D27" t="s">
        <v>9734</v>
      </c>
      <c r="E27" t="s">
        <v>9733</v>
      </c>
      <c r="F27">
        <v>1</v>
      </c>
      <c r="H27">
        <v>132837</v>
      </c>
      <c r="I27" t="str">
        <f t="shared" si="0"/>
        <v>TX0132837</v>
      </c>
      <c r="J27" t="str">
        <f>_xlfn.XLOOKUP(I27,TCEQ_Outfalls!A:A,TCEQ_Outfalls!A:A,"",0)</f>
        <v>TX0132837</v>
      </c>
      <c r="K27" t="s">
        <v>2072</v>
      </c>
      <c r="L27" t="s">
        <v>16</v>
      </c>
      <c r="M27" t="s">
        <v>28</v>
      </c>
      <c r="N27" t="s">
        <v>14</v>
      </c>
      <c r="O27" t="s">
        <v>274</v>
      </c>
      <c r="P27">
        <v>29.737778240000001</v>
      </c>
      <c r="Q27">
        <v>-98.430161819999995</v>
      </c>
      <c r="R27">
        <v>1908</v>
      </c>
      <c r="S27">
        <v>19</v>
      </c>
      <c r="T27">
        <v>13</v>
      </c>
      <c r="U27" t="s">
        <v>17365</v>
      </c>
      <c r="V27">
        <v>12</v>
      </c>
      <c r="W27" t="s">
        <v>17366</v>
      </c>
      <c r="X27">
        <v>20181119</v>
      </c>
      <c r="Y27" t="s">
        <v>17367</v>
      </c>
      <c r="Z27" t="s">
        <v>17368</v>
      </c>
      <c r="AA27" t="s">
        <v>17369</v>
      </c>
      <c r="AB27">
        <v>14</v>
      </c>
    </row>
    <row r="28" spans="1:29" x14ac:dyDescent="0.25">
      <c r="A28">
        <v>-98.050167001000005</v>
      </c>
      <c r="B28">
        <v>29.327065000000001</v>
      </c>
      <c r="C28">
        <v>7508883</v>
      </c>
      <c r="D28" t="s">
        <v>3691</v>
      </c>
      <c r="E28" t="s">
        <v>3690</v>
      </c>
      <c r="F28">
        <v>1</v>
      </c>
      <c r="G28" t="s">
        <v>17372</v>
      </c>
      <c r="H28">
        <v>128449</v>
      </c>
      <c r="I28" t="str">
        <f t="shared" si="0"/>
        <v>TX0128449</v>
      </c>
      <c r="J28" t="str">
        <f>_xlfn.XLOOKUP(I28,TCEQ_Outfalls!A:A,TCEQ_Outfalls!A:A,"",0)</f>
        <v>TX0128449</v>
      </c>
      <c r="K28" t="s">
        <v>2072</v>
      </c>
      <c r="L28" t="s">
        <v>16</v>
      </c>
      <c r="M28" t="s">
        <v>28</v>
      </c>
      <c r="N28" t="s">
        <v>73</v>
      </c>
      <c r="O28" t="s">
        <v>3688</v>
      </c>
      <c r="P28">
        <v>29.327065000000001</v>
      </c>
      <c r="Q28">
        <v>-98.050167000000002</v>
      </c>
      <c r="R28">
        <v>1902</v>
      </c>
      <c r="S28">
        <v>19</v>
      </c>
      <c r="T28">
        <v>13</v>
      </c>
      <c r="U28" t="s">
        <v>17365</v>
      </c>
      <c r="V28">
        <v>12</v>
      </c>
      <c r="W28" t="s">
        <v>17366</v>
      </c>
      <c r="X28">
        <v>20100427</v>
      </c>
      <c r="Y28" t="s">
        <v>17367</v>
      </c>
      <c r="Z28" t="s">
        <v>17368</v>
      </c>
      <c r="AA28" t="s">
        <v>17369</v>
      </c>
      <c r="AB28">
        <v>14</v>
      </c>
      <c r="AC28" t="s">
        <v>17372</v>
      </c>
    </row>
    <row r="29" spans="1:29" x14ac:dyDescent="0.25">
      <c r="A29">
        <v>-98.243202753000006</v>
      </c>
      <c r="B29">
        <v>29.241425603</v>
      </c>
      <c r="C29">
        <v>7509550</v>
      </c>
      <c r="D29" t="s">
        <v>4622</v>
      </c>
      <c r="E29" t="s">
        <v>4621</v>
      </c>
      <c r="F29">
        <v>1</v>
      </c>
      <c r="G29" t="s">
        <v>17372</v>
      </c>
      <c r="H29">
        <v>128007</v>
      </c>
      <c r="I29" t="str">
        <f t="shared" si="0"/>
        <v>TX0128007</v>
      </c>
      <c r="J29" t="str">
        <f>_xlfn.XLOOKUP(I29,TCEQ_Outfalls!A:A,TCEQ_Outfalls!A:A,"",0)</f>
        <v>TX0128007</v>
      </c>
      <c r="K29" t="s">
        <v>199</v>
      </c>
      <c r="L29" t="s">
        <v>16</v>
      </c>
      <c r="M29" t="s">
        <v>28</v>
      </c>
      <c r="N29" t="s">
        <v>27</v>
      </c>
      <c r="O29" t="s">
        <v>3688</v>
      </c>
      <c r="P29">
        <v>29.241425599999999</v>
      </c>
      <c r="Q29">
        <v>-98.243202749999995</v>
      </c>
      <c r="R29">
        <v>1911</v>
      </c>
      <c r="S29">
        <v>19</v>
      </c>
      <c r="T29">
        <v>13</v>
      </c>
      <c r="U29" t="s">
        <v>17365</v>
      </c>
      <c r="V29">
        <v>12</v>
      </c>
      <c r="W29" t="s">
        <v>17366</v>
      </c>
      <c r="X29">
        <v>20090930</v>
      </c>
      <c r="Y29" t="s">
        <v>17367</v>
      </c>
      <c r="Z29" t="s">
        <v>17368</v>
      </c>
      <c r="AA29" t="s">
        <v>17369</v>
      </c>
      <c r="AB29">
        <v>14</v>
      </c>
      <c r="AC29" t="s">
        <v>17372</v>
      </c>
    </row>
    <row r="30" spans="1:29" x14ac:dyDescent="0.25">
      <c r="A30">
        <v>-98.579045785999995</v>
      </c>
      <c r="B30">
        <v>29.361176442000001</v>
      </c>
      <c r="C30">
        <v>7509939</v>
      </c>
      <c r="D30" t="s">
        <v>5692</v>
      </c>
      <c r="E30" t="s">
        <v>5691</v>
      </c>
      <c r="F30">
        <v>1</v>
      </c>
      <c r="G30" t="s">
        <v>17372</v>
      </c>
      <c r="H30">
        <v>116114</v>
      </c>
      <c r="I30" t="str">
        <f t="shared" si="0"/>
        <v>TX0116114</v>
      </c>
      <c r="J30" t="str">
        <f>_xlfn.XLOOKUP(I30,TCEQ_Outfalls!A:A,TCEQ_Outfalls!A:A,"",0)</f>
        <v>TX0116114</v>
      </c>
      <c r="K30" t="s">
        <v>5689</v>
      </c>
      <c r="L30" t="s">
        <v>16</v>
      </c>
      <c r="M30" t="s">
        <v>3460</v>
      </c>
      <c r="N30" t="s">
        <v>14</v>
      </c>
      <c r="O30" t="s">
        <v>873</v>
      </c>
      <c r="P30">
        <v>29.361176440000001</v>
      </c>
      <c r="Q30">
        <v>-98.579045789999995</v>
      </c>
      <c r="R30">
        <v>1906</v>
      </c>
      <c r="S30">
        <v>19</v>
      </c>
      <c r="T30">
        <v>13</v>
      </c>
      <c r="U30" t="s">
        <v>17365</v>
      </c>
      <c r="V30">
        <v>12</v>
      </c>
      <c r="W30" t="s">
        <v>17366</v>
      </c>
      <c r="X30">
        <v>20191113</v>
      </c>
      <c r="Y30" t="s">
        <v>17367</v>
      </c>
      <c r="Z30" t="s">
        <v>17368</v>
      </c>
      <c r="AA30" t="s">
        <v>17369</v>
      </c>
      <c r="AB30">
        <v>14</v>
      </c>
      <c r="AC30" t="s">
        <v>17372</v>
      </c>
    </row>
    <row r="31" spans="1:29" x14ac:dyDescent="0.25">
      <c r="A31">
        <v>-98.384013173</v>
      </c>
      <c r="B31">
        <v>29.797361889000001</v>
      </c>
      <c r="C31">
        <v>7510029</v>
      </c>
      <c r="D31" t="s">
        <v>17390</v>
      </c>
      <c r="E31" t="s">
        <v>17391</v>
      </c>
      <c r="F31">
        <v>1</v>
      </c>
      <c r="H31">
        <v>140881</v>
      </c>
      <c r="I31" t="str">
        <f t="shared" si="0"/>
        <v>TX0140881</v>
      </c>
      <c r="J31" t="str">
        <f>_xlfn.XLOOKUP(I31,TCEQ_Outfalls!A:A,TCEQ_Outfalls!A:A,"",0)</f>
        <v>TX0140881</v>
      </c>
      <c r="K31" t="s">
        <v>17392</v>
      </c>
      <c r="L31" t="s">
        <v>16</v>
      </c>
      <c r="M31" t="s">
        <v>28</v>
      </c>
      <c r="N31" t="s">
        <v>14</v>
      </c>
      <c r="O31" t="s">
        <v>274</v>
      </c>
      <c r="P31">
        <v>29.797361890000001</v>
      </c>
      <c r="Q31">
        <v>-98.384013170000003</v>
      </c>
      <c r="R31">
        <v>1908</v>
      </c>
      <c r="S31">
        <v>19</v>
      </c>
      <c r="T31">
        <v>13</v>
      </c>
      <c r="U31" t="s">
        <v>17365</v>
      </c>
      <c r="V31">
        <v>12</v>
      </c>
      <c r="W31" t="s">
        <v>17366</v>
      </c>
      <c r="X31">
        <v>20210311</v>
      </c>
      <c r="Y31" t="s">
        <v>17367</v>
      </c>
      <c r="Z31" t="s">
        <v>17368</v>
      </c>
      <c r="AA31" t="s">
        <v>17369</v>
      </c>
      <c r="AB31">
        <v>14</v>
      </c>
    </row>
    <row r="32" spans="1:29" x14ac:dyDescent="0.25">
      <c r="A32">
        <v>-98.189955717999993</v>
      </c>
      <c r="B32">
        <v>29.470455459</v>
      </c>
      <c r="C32">
        <v>7510068</v>
      </c>
      <c r="D32" t="s">
        <v>17396</v>
      </c>
      <c r="E32" t="s">
        <v>17397</v>
      </c>
      <c r="F32">
        <v>1</v>
      </c>
      <c r="H32">
        <v>140546</v>
      </c>
      <c r="I32" t="str">
        <f t="shared" si="0"/>
        <v>TX0140546</v>
      </c>
      <c r="J32" t="str">
        <f>_xlfn.XLOOKUP(I32,TCEQ_Outfalls!A:A,TCEQ_Outfalls!A:A,"",0)</f>
        <v>TX0140546</v>
      </c>
      <c r="K32" t="s">
        <v>17398</v>
      </c>
      <c r="L32" t="s">
        <v>284</v>
      </c>
      <c r="M32" t="s">
        <v>28</v>
      </c>
      <c r="N32" t="s">
        <v>17373</v>
      </c>
      <c r="O32" t="s">
        <v>873</v>
      </c>
      <c r="P32">
        <v>29.470471</v>
      </c>
      <c r="Q32">
        <v>-98.189946000000006</v>
      </c>
      <c r="R32">
        <v>1902</v>
      </c>
      <c r="S32">
        <v>19</v>
      </c>
      <c r="T32">
        <v>13</v>
      </c>
      <c r="U32" t="s">
        <v>17365</v>
      </c>
      <c r="V32">
        <v>12</v>
      </c>
      <c r="W32" t="s">
        <v>17366</v>
      </c>
      <c r="X32">
        <v>20210317</v>
      </c>
      <c r="Y32" t="s">
        <v>17367</v>
      </c>
      <c r="Z32" t="s">
        <v>17368</v>
      </c>
      <c r="AA32" t="s">
        <v>17369</v>
      </c>
      <c r="AB32">
        <v>14</v>
      </c>
    </row>
    <row r="33" spans="1:29" x14ac:dyDescent="0.25">
      <c r="A33">
        <v>-98.847384008000006</v>
      </c>
      <c r="B33">
        <v>29.635801387000001</v>
      </c>
      <c r="C33">
        <v>7510261</v>
      </c>
      <c r="D33" t="s">
        <v>4869</v>
      </c>
      <c r="E33" t="s">
        <v>4868</v>
      </c>
      <c r="F33">
        <v>1</v>
      </c>
      <c r="H33">
        <v>137294</v>
      </c>
      <c r="I33" t="str">
        <f t="shared" si="0"/>
        <v>TX0137294</v>
      </c>
      <c r="J33" t="str">
        <f>_xlfn.XLOOKUP(I33,TCEQ_Outfalls!A:A,TCEQ_Outfalls!A:A,"",0)</f>
        <v>TX0137294</v>
      </c>
      <c r="K33" t="s">
        <v>199</v>
      </c>
      <c r="L33" t="s">
        <v>284</v>
      </c>
      <c r="M33" t="s">
        <v>15</v>
      </c>
      <c r="N33" t="s">
        <v>14</v>
      </c>
      <c r="O33" t="s">
        <v>234</v>
      </c>
      <c r="P33">
        <v>29.635801390000001</v>
      </c>
      <c r="Q33">
        <v>-98.847384009999999</v>
      </c>
      <c r="R33">
        <v>1903</v>
      </c>
      <c r="S33">
        <v>19</v>
      </c>
      <c r="T33">
        <v>13</v>
      </c>
      <c r="U33" t="s">
        <v>17365</v>
      </c>
      <c r="V33">
        <v>12</v>
      </c>
      <c r="W33" t="s">
        <v>17366</v>
      </c>
      <c r="X33">
        <v>20190930</v>
      </c>
      <c r="Y33" t="s">
        <v>17367</v>
      </c>
      <c r="Z33" t="s">
        <v>17368</v>
      </c>
      <c r="AA33" t="s">
        <v>17369</v>
      </c>
      <c r="AB33">
        <v>14</v>
      </c>
    </row>
    <row r="34" spans="1:29" x14ac:dyDescent="0.25">
      <c r="A34">
        <v>-98.345008859999993</v>
      </c>
      <c r="B34">
        <v>29.213905142000002</v>
      </c>
      <c r="C34">
        <v>7510263</v>
      </c>
      <c r="D34" t="s">
        <v>17424</v>
      </c>
      <c r="E34" t="s">
        <v>17425</v>
      </c>
      <c r="F34">
        <v>1</v>
      </c>
      <c r="H34">
        <v>140732</v>
      </c>
      <c r="I34" t="str">
        <f t="shared" ref="I34:I65" si="1">IF(LEN(H34)=4,"TX000" &amp; H34,IF(LEN(H34)=5,"TX00" &amp; H34,"TX0" &amp; H34))</f>
        <v>TX0140732</v>
      </c>
      <c r="J34" t="str">
        <f>_xlfn.XLOOKUP(I34,TCEQ_Outfalls!A:A,TCEQ_Outfalls!A:A,"",0)</f>
        <v>TX0140732</v>
      </c>
      <c r="K34" t="s">
        <v>17426</v>
      </c>
      <c r="L34" t="s">
        <v>16</v>
      </c>
      <c r="M34" t="s">
        <v>28</v>
      </c>
      <c r="N34" t="s">
        <v>14</v>
      </c>
      <c r="O34" t="s">
        <v>873</v>
      </c>
      <c r="P34">
        <v>29.213905140000001</v>
      </c>
      <c r="Q34">
        <v>-98.345008859999993</v>
      </c>
      <c r="R34">
        <v>1911</v>
      </c>
      <c r="S34">
        <v>19</v>
      </c>
      <c r="T34">
        <v>13</v>
      </c>
      <c r="U34" t="s">
        <v>17365</v>
      </c>
      <c r="V34">
        <v>12</v>
      </c>
      <c r="W34" t="s">
        <v>17366</v>
      </c>
      <c r="X34">
        <v>20210401</v>
      </c>
      <c r="Y34" t="s">
        <v>17367</v>
      </c>
      <c r="Z34" t="s">
        <v>17368</v>
      </c>
      <c r="AA34" t="s">
        <v>17369</v>
      </c>
      <c r="AB34">
        <v>14</v>
      </c>
    </row>
    <row r="35" spans="1:29" x14ac:dyDescent="0.25">
      <c r="A35">
        <v>-98.297677476000004</v>
      </c>
      <c r="B35">
        <v>29.254902296000001</v>
      </c>
      <c r="C35">
        <v>7510322</v>
      </c>
      <c r="D35" t="s">
        <v>17427</v>
      </c>
      <c r="E35" t="s">
        <v>17428</v>
      </c>
      <c r="F35">
        <v>1</v>
      </c>
      <c r="H35">
        <v>140996</v>
      </c>
      <c r="I35" t="str">
        <f t="shared" si="1"/>
        <v>TX0140996</v>
      </c>
      <c r="J35" t="str">
        <f>_xlfn.XLOOKUP(I35,TCEQ_Outfalls!A:A,TCEQ_Outfalls!A:A,"",0)</f>
        <v>TX0140996</v>
      </c>
      <c r="K35" t="s">
        <v>17429</v>
      </c>
      <c r="L35" t="s">
        <v>16</v>
      </c>
      <c r="M35" t="s">
        <v>28</v>
      </c>
      <c r="N35" t="s">
        <v>17373</v>
      </c>
      <c r="O35" t="s">
        <v>873</v>
      </c>
      <c r="P35">
        <v>29.254912300000001</v>
      </c>
      <c r="Q35">
        <v>-98.297677500000006</v>
      </c>
      <c r="R35">
        <v>1911</v>
      </c>
      <c r="S35">
        <v>19</v>
      </c>
      <c r="T35">
        <v>13</v>
      </c>
      <c r="U35" t="s">
        <v>17365</v>
      </c>
      <c r="V35">
        <v>12</v>
      </c>
      <c r="W35" t="s">
        <v>17366</v>
      </c>
      <c r="X35">
        <v>20210415</v>
      </c>
      <c r="Y35" t="s">
        <v>17367</v>
      </c>
      <c r="Z35" t="s">
        <v>17368</v>
      </c>
      <c r="AA35" t="s">
        <v>17369</v>
      </c>
      <c r="AB35">
        <v>14</v>
      </c>
    </row>
    <row r="36" spans="1:29" x14ac:dyDescent="0.25">
      <c r="A36">
        <v>-98.410998856999996</v>
      </c>
      <c r="B36">
        <v>29.75300434</v>
      </c>
      <c r="C36">
        <v>7510395</v>
      </c>
      <c r="D36" t="s">
        <v>17440</v>
      </c>
      <c r="E36" t="s">
        <v>17441</v>
      </c>
      <c r="F36">
        <v>1</v>
      </c>
      <c r="H36">
        <v>141909</v>
      </c>
      <c r="I36" t="str">
        <f t="shared" si="1"/>
        <v>TX0141909</v>
      </c>
      <c r="J36" t="str">
        <f>_xlfn.XLOOKUP(I36,TCEQ_Outfalls!A:A,TCEQ_Outfalls!A:A,"",0)</f>
        <v>TX0141909</v>
      </c>
      <c r="K36" t="s">
        <v>11488</v>
      </c>
      <c r="L36" t="s">
        <v>284</v>
      </c>
      <c r="M36" t="s">
        <v>28</v>
      </c>
      <c r="N36" t="s">
        <v>17373</v>
      </c>
      <c r="O36" t="s">
        <v>274</v>
      </c>
      <c r="P36">
        <v>29.753</v>
      </c>
      <c r="Q36">
        <v>-98.411000000000001</v>
      </c>
      <c r="R36">
        <v>1908</v>
      </c>
      <c r="S36">
        <v>19</v>
      </c>
      <c r="T36">
        <v>13</v>
      </c>
      <c r="U36" t="s">
        <v>17365</v>
      </c>
      <c r="V36">
        <v>12</v>
      </c>
      <c r="W36" t="s">
        <v>17366</v>
      </c>
      <c r="X36">
        <v>20220126</v>
      </c>
      <c r="Y36" t="s">
        <v>17367</v>
      </c>
      <c r="Z36" t="s">
        <v>17368</v>
      </c>
      <c r="AA36" t="s">
        <v>17369</v>
      </c>
      <c r="AB36">
        <v>14</v>
      </c>
    </row>
    <row r="37" spans="1:29" x14ac:dyDescent="0.25">
      <c r="A37">
        <v>-97.011111382999999</v>
      </c>
      <c r="B37">
        <v>28.787500047000002</v>
      </c>
      <c r="C37">
        <v>7507092</v>
      </c>
      <c r="D37" t="s">
        <v>10665</v>
      </c>
      <c r="E37" t="s">
        <v>10663</v>
      </c>
      <c r="F37">
        <v>1</v>
      </c>
      <c r="G37" t="s">
        <v>17372</v>
      </c>
      <c r="H37">
        <v>3603</v>
      </c>
      <c r="I37" t="str">
        <f t="shared" si="1"/>
        <v>TX0003603</v>
      </c>
      <c r="J37" t="str">
        <f>_xlfn.XLOOKUP(I37,TCEQ_Outfalls!A:A,TCEQ_Outfalls!A:A,"",0)</f>
        <v>TX0003603</v>
      </c>
      <c r="K37" t="s">
        <v>10661</v>
      </c>
      <c r="L37" t="s">
        <v>16</v>
      </c>
      <c r="M37" t="s">
        <v>15</v>
      </c>
      <c r="N37" t="s">
        <v>14</v>
      </c>
      <c r="O37" t="s">
        <v>1240</v>
      </c>
      <c r="P37">
        <v>28.787500049999998</v>
      </c>
      <c r="Q37">
        <v>-97.011111380000003</v>
      </c>
      <c r="R37">
        <v>1803</v>
      </c>
      <c r="S37">
        <v>18</v>
      </c>
      <c r="T37">
        <v>14</v>
      </c>
      <c r="U37" t="s">
        <v>17365</v>
      </c>
      <c r="V37">
        <v>12</v>
      </c>
      <c r="W37" t="s">
        <v>17366</v>
      </c>
      <c r="X37">
        <v>20191008</v>
      </c>
      <c r="Y37" t="s">
        <v>17367</v>
      </c>
      <c r="Z37" t="s">
        <v>17368</v>
      </c>
      <c r="AA37" t="s">
        <v>17369</v>
      </c>
      <c r="AB37">
        <v>14</v>
      </c>
      <c r="AC37" t="s">
        <v>17372</v>
      </c>
    </row>
    <row r="38" spans="1:29" x14ac:dyDescent="0.25">
      <c r="A38">
        <v>-97.010735591</v>
      </c>
      <c r="B38">
        <v>28.788622908000001</v>
      </c>
      <c r="C38">
        <v>7507093</v>
      </c>
      <c r="D38" t="s">
        <v>10664</v>
      </c>
      <c r="E38" t="s">
        <v>10663</v>
      </c>
      <c r="F38">
        <v>2</v>
      </c>
      <c r="G38" t="s">
        <v>17372</v>
      </c>
      <c r="H38">
        <v>3603</v>
      </c>
      <c r="I38" t="str">
        <f t="shared" si="1"/>
        <v>TX0003603</v>
      </c>
      <c r="J38" t="str">
        <f>_xlfn.XLOOKUP(I38,TCEQ_Outfalls!A:A,TCEQ_Outfalls!A:A,"",0)</f>
        <v>TX0003603</v>
      </c>
      <c r="K38" t="s">
        <v>10661</v>
      </c>
      <c r="L38" t="s">
        <v>16</v>
      </c>
      <c r="M38" t="s">
        <v>15</v>
      </c>
      <c r="N38" t="s">
        <v>14</v>
      </c>
      <c r="O38" t="s">
        <v>1240</v>
      </c>
      <c r="P38">
        <v>28.788622910000001</v>
      </c>
      <c r="Q38">
        <v>-97.010735589999996</v>
      </c>
      <c r="R38">
        <v>1803</v>
      </c>
      <c r="S38">
        <v>18</v>
      </c>
      <c r="T38">
        <v>14</v>
      </c>
      <c r="U38" t="s">
        <v>17365</v>
      </c>
      <c r="V38">
        <v>12</v>
      </c>
      <c r="W38" t="s">
        <v>17366</v>
      </c>
      <c r="X38">
        <v>20191008</v>
      </c>
      <c r="Y38" t="s">
        <v>17367</v>
      </c>
      <c r="Z38" t="s">
        <v>17368</v>
      </c>
      <c r="AA38" t="s">
        <v>17369</v>
      </c>
      <c r="AB38">
        <v>14</v>
      </c>
      <c r="AC38" t="s">
        <v>17372</v>
      </c>
    </row>
    <row r="39" spans="1:29" x14ac:dyDescent="0.25">
      <c r="A39">
        <v>-97.135903178000007</v>
      </c>
      <c r="B39">
        <v>28.89234647</v>
      </c>
      <c r="C39">
        <v>7509010</v>
      </c>
      <c r="D39" t="s">
        <v>1838</v>
      </c>
      <c r="E39" t="s">
        <v>1837</v>
      </c>
      <c r="F39">
        <v>1</v>
      </c>
      <c r="G39" t="s">
        <v>17372</v>
      </c>
      <c r="H39">
        <v>5118</v>
      </c>
      <c r="I39" t="str">
        <f t="shared" si="1"/>
        <v>TX0005118</v>
      </c>
      <c r="J39" t="str">
        <f>_xlfn.XLOOKUP(I39,TCEQ_Outfalls!A:A,TCEQ_Outfalls!A:A,"",0)</f>
        <v>TX0005118</v>
      </c>
      <c r="K39" t="s">
        <v>1835</v>
      </c>
      <c r="L39" t="s">
        <v>16</v>
      </c>
      <c r="M39" t="s">
        <v>15</v>
      </c>
      <c r="N39" t="s">
        <v>14</v>
      </c>
      <c r="O39" t="s">
        <v>1240</v>
      </c>
      <c r="P39">
        <v>28.89234647</v>
      </c>
      <c r="Q39">
        <v>-97.13590318</v>
      </c>
      <c r="R39">
        <v>1803</v>
      </c>
      <c r="S39">
        <v>18</v>
      </c>
      <c r="T39">
        <v>14</v>
      </c>
      <c r="U39" t="s">
        <v>17365</v>
      </c>
      <c r="V39">
        <v>12</v>
      </c>
      <c r="W39" t="s">
        <v>17366</v>
      </c>
      <c r="X39">
        <v>20190822</v>
      </c>
      <c r="Y39" t="s">
        <v>17367</v>
      </c>
      <c r="Z39" t="s">
        <v>17368</v>
      </c>
      <c r="AA39" t="s">
        <v>17369</v>
      </c>
      <c r="AB39">
        <v>14</v>
      </c>
      <c r="AC39" t="s">
        <v>17372</v>
      </c>
    </row>
    <row r="40" spans="1:29" x14ac:dyDescent="0.25">
      <c r="A40">
        <v>-96.964499420999999</v>
      </c>
      <c r="B40">
        <v>28.660311361000002</v>
      </c>
      <c r="C40">
        <v>7506827</v>
      </c>
      <c r="D40" t="s">
        <v>11479</v>
      </c>
      <c r="E40" t="s">
        <v>1243</v>
      </c>
      <c r="F40">
        <v>1</v>
      </c>
      <c r="G40" t="s">
        <v>17372</v>
      </c>
      <c r="H40">
        <v>6050</v>
      </c>
      <c r="I40" t="str">
        <f t="shared" si="1"/>
        <v>TX0006050</v>
      </c>
      <c r="J40" t="str">
        <f>_xlfn.XLOOKUP(I40,TCEQ_Outfalls!A:A,TCEQ_Outfalls!A:A,"",0)</f>
        <v>TX0006050</v>
      </c>
      <c r="K40" t="s">
        <v>17379</v>
      </c>
      <c r="L40" t="s">
        <v>16</v>
      </c>
      <c r="M40" t="s">
        <v>15</v>
      </c>
      <c r="N40" t="s">
        <v>17373</v>
      </c>
      <c r="O40" t="s">
        <v>1240</v>
      </c>
      <c r="P40">
        <v>28.660311360000001</v>
      </c>
      <c r="Q40">
        <v>-96.964499419999996</v>
      </c>
      <c r="R40">
        <v>1803</v>
      </c>
      <c r="S40">
        <v>18</v>
      </c>
      <c r="T40">
        <v>14</v>
      </c>
      <c r="U40" t="s">
        <v>17365</v>
      </c>
      <c r="V40">
        <v>12</v>
      </c>
      <c r="W40" t="s">
        <v>17366</v>
      </c>
      <c r="X40">
        <v>20220112</v>
      </c>
      <c r="Y40" t="s">
        <v>17367</v>
      </c>
      <c r="Z40" t="s">
        <v>17368</v>
      </c>
      <c r="AA40" t="s">
        <v>17369</v>
      </c>
      <c r="AB40">
        <v>14</v>
      </c>
      <c r="AC40" t="s">
        <v>17372</v>
      </c>
    </row>
    <row r="41" spans="1:29" x14ac:dyDescent="0.25">
      <c r="A41">
        <v>-97.960839090999997</v>
      </c>
      <c r="B41">
        <v>29.559251325000002</v>
      </c>
      <c r="C41">
        <v>7507963</v>
      </c>
      <c r="D41" t="s">
        <v>7979</v>
      </c>
      <c r="E41" t="s">
        <v>7978</v>
      </c>
      <c r="F41">
        <v>1</v>
      </c>
      <c r="G41" t="s">
        <v>17372</v>
      </c>
      <c r="H41">
        <v>22365</v>
      </c>
      <c r="I41" t="str">
        <f t="shared" si="1"/>
        <v>TX0022365</v>
      </c>
      <c r="J41" t="str">
        <f>_xlfn.XLOOKUP(I41,TCEQ_Outfalls!A:A,TCEQ_Outfalls!A:A,"",0)</f>
        <v>TX0022365</v>
      </c>
      <c r="K41" t="s">
        <v>7973</v>
      </c>
      <c r="L41" t="s">
        <v>16</v>
      </c>
      <c r="M41" t="s">
        <v>15</v>
      </c>
      <c r="N41" t="s">
        <v>14</v>
      </c>
      <c r="O41" t="s">
        <v>1032</v>
      </c>
      <c r="P41">
        <v>29.559251320000001</v>
      </c>
      <c r="Q41">
        <v>-97.960839089999993</v>
      </c>
      <c r="R41">
        <v>1804</v>
      </c>
      <c r="S41">
        <v>18</v>
      </c>
      <c r="T41">
        <v>13</v>
      </c>
      <c r="U41" t="s">
        <v>17365</v>
      </c>
      <c r="V41">
        <v>12</v>
      </c>
      <c r="W41" t="s">
        <v>17366</v>
      </c>
      <c r="X41">
        <v>20190913</v>
      </c>
      <c r="Y41" t="s">
        <v>17367</v>
      </c>
      <c r="Z41" t="s">
        <v>17368</v>
      </c>
      <c r="AA41" t="s">
        <v>17369</v>
      </c>
      <c r="AB41">
        <v>14</v>
      </c>
      <c r="AC41" t="s">
        <v>17372</v>
      </c>
    </row>
    <row r="42" spans="1:29" x14ac:dyDescent="0.25">
      <c r="A42">
        <v>-99.065335997000005</v>
      </c>
      <c r="B42">
        <v>29.726927002</v>
      </c>
      <c r="C42">
        <v>7507065</v>
      </c>
      <c r="D42" t="s">
        <v>10740</v>
      </c>
      <c r="E42" t="s">
        <v>10739</v>
      </c>
      <c r="F42">
        <v>1</v>
      </c>
      <c r="G42" t="s">
        <v>17372</v>
      </c>
      <c r="H42">
        <v>22390</v>
      </c>
      <c r="I42" t="str">
        <f t="shared" si="1"/>
        <v>TX0022390</v>
      </c>
      <c r="J42" t="str">
        <f>_xlfn.XLOOKUP(I42,TCEQ_Outfalls!A:A,TCEQ_Outfalls!A:A,"",0)</f>
        <v>TX0022390</v>
      </c>
      <c r="K42" t="s">
        <v>10737</v>
      </c>
      <c r="L42" t="s">
        <v>16</v>
      </c>
      <c r="M42" t="s">
        <v>28</v>
      </c>
      <c r="N42" t="s">
        <v>73</v>
      </c>
      <c r="O42" t="s">
        <v>526</v>
      </c>
      <c r="P42">
        <v>29.726927</v>
      </c>
      <c r="Q42">
        <v>-99.065336000000002</v>
      </c>
      <c r="R42">
        <v>1905</v>
      </c>
      <c r="S42">
        <v>19</v>
      </c>
      <c r="T42">
        <v>13</v>
      </c>
      <c r="U42" t="s">
        <v>17365</v>
      </c>
      <c r="V42">
        <v>12</v>
      </c>
      <c r="W42" t="s">
        <v>17366</v>
      </c>
      <c r="X42">
        <v>20090924</v>
      </c>
      <c r="Y42" t="s">
        <v>17367</v>
      </c>
      <c r="Z42" t="s">
        <v>17368</v>
      </c>
      <c r="AA42" t="s">
        <v>17369</v>
      </c>
      <c r="AB42">
        <v>14</v>
      </c>
      <c r="AC42" t="s">
        <v>17372</v>
      </c>
    </row>
    <row r="43" spans="1:29" x14ac:dyDescent="0.25">
      <c r="A43">
        <v>-97.395804479999995</v>
      </c>
      <c r="B43">
        <v>28.662692790000001</v>
      </c>
      <c r="C43">
        <v>7507754</v>
      </c>
      <c r="D43" t="s">
        <v>8563</v>
      </c>
      <c r="E43" t="s">
        <v>8562</v>
      </c>
      <c r="F43">
        <v>1</v>
      </c>
      <c r="G43" t="s">
        <v>17372</v>
      </c>
      <c r="H43">
        <v>22411</v>
      </c>
      <c r="I43" t="str">
        <f t="shared" si="1"/>
        <v>TX0022411</v>
      </c>
      <c r="J43" t="str">
        <f>_xlfn.XLOOKUP(I43,TCEQ_Outfalls!A:A,TCEQ_Outfalls!A:A,"",0)</f>
        <v>TX0022411</v>
      </c>
      <c r="K43" t="s">
        <v>8560</v>
      </c>
      <c r="L43" t="s">
        <v>16</v>
      </c>
      <c r="M43" t="s">
        <v>28</v>
      </c>
      <c r="N43" t="s">
        <v>14</v>
      </c>
      <c r="O43" t="s">
        <v>3863</v>
      </c>
      <c r="P43">
        <v>28.662692790000001</v>
      </c>
      <c r="Q43">
        <v>-97.395804479999995</v>
      </c>
      <c r="R43">
        <v>1901</v>
      </c>
      <c r="S43">
        <v>19</v>
      </c>
      <c r="T43">
        <v>14</v>
      </c>
      <c r="U43" t="s">
        <v>17365</v>
      </c>
      <c r="V43">
        <v>12</v>
      </c>
      <c r="W43" t="s">
        <v>17366</v>
      </c>
      <c r="X43">
        <v>20191205</v>
      </c>
      <c r="Y43" t="s">
        <v>17367</v>
      </c>
      <c r="Z43" t="s">
        <v>17368</v>
      </c>
      <c r="AA43" t="s">
        <v>17369</v>
      </c>
      <c r="AB43">
        <v>14</v>
      </c>
      <c r="AC43" t="s">
        <v>17372</v>
      </c>
    </row>
    <row r="44" spans="1:29" x14ac:dyDescent="0.25">
      <c r="A44">
        <v>-98.143612872999995</v>
      </c>
      <c r="B44">
        <v>29.565227784000001</v>
      </c>
      <c r="C44">
        <v>7506697</v>
      </c>
      <c r="D44" t="s">
        <v>11818</v>
      </c>
      <c r="E44" t="s">
        <v>11817</v>
      </c>
      <c r="F44">
        <v>1</v>
      </c>
      <c r="G44" t="s">
        <v>17372</v>
      </c>
      <c r="H44">
        <v>22675</v>
      </c>
      <c r="I44" t="str">
        <f t="shared" si="1"/>
        <v>TX0022675</v>
      </c>
      <c r="J44" t="str">
        <f>_xlfn.XLOOKUP(I44,TCEQ_Outfalls!A:A,TCEQ_Outfalls!A:A,"",0)</f>
        <v>TX0022675</v>
      </c>
      <c r="K44" t="s">
        <v>11815</v>
      </c>
      <c r="L44" t="s">
        <v>16</v>
      </c>
      <c r="M44" t="s">
        <v>28</v>
      </c>
      <c r="N44" t="s">
        <v>14</v>
      </c>
      <c r="O44" t="s">
        <v>1032</v>
      </c>
      <c r="P44">
        <v>29.565227780000001</v>
      </c>
      <c r="Q44">
        <v>-98.143612869999998</v>
      </c>
      <c r="R44">
        <v>1902</v>
      </c>
      <c r="S44">
        <v>19</v>
      </c>
      <c r="T44">
        <v>13</v>
      </c>
      <c r="U44" t="s">
        <v>17365</v>
      </c>
      <c r="V44">
        <v>12</v>
      </c>
      <c r="W44" t="s">
        <v>17366</v>
      </c>
      <c r="X44">
        <v>20190520</v>
      </c>
      <c r="Y44" t="s">
        <v>17367</v>
      </c>
      <c r="Z44" t="s">
        <v>17368</v>
      </c>
      <c r="AA44" t="s">
        <v>17369</v>
      </c>
      <c r="AB44">
        <v>14</v>
      </c>
      <c r="AC44" t="s">
        <v>17372</v>
      </c>
    </row>
    <row r="45" spans="1:29" x14ac:dyDescent="0.25">
      <c r="A45">
        <v>-97.628252997999994</v>
      </c>
      <c r="B45">
        <v>29.685852999000002</v>
      </c>
      <c r="C45">
        <v>7508581</v>
      </c>
      <c r="D45" t="s">
        <v>4203</v>
      </c>
      <c r="E45" t="s">
        <v>4202</v>
      </c>
      <c r="F45">
        <v>1</v>
      </c>
      <c r="G45" t="s">
        <v>17372</v>
      </c>
      <c r="H45">
        <v>22764</v>
      </c>
      <c r="I45" t="str">
        <f t="shared" si="1"/>
        <v>TX0022764</v>
      </c>
      <c r="J45" t="str">
        <f>_xlfn.XLOOKUP(I45,TCEQ_Outfalls!A:A,TCEQ_Outfalls!A:A,"",0)</f>
        <v>TX0022764</v>
      </c>
      <c r="K45" t="s">
        <v>3617</v>
      </c>
      <c r="L45" t="s">
        <v>16</v>
      </c>
      <c r="M45" t="s">
        <v>28</v>
      </c>
      <c r="N45" t="s">
        <v>60</v>
      </c>
      <c r="O45" t="s">
        <v>2137</v>
      </c>
      <c r="P45">
        <v>29.685853000000002</v>
      </c>
      <c r="Q45">
        <v>-97.628253000000001</v>
      </c>
      <c r="R45">
        <v>1810</v>
      </c>
      <c r="S45">
        <v>18</v>
      </c>
      <c r="T45">
        <v>11</v>
      </c>
      <c r="U45" t="s">
        <v>17365</v>
      </c>
      <c r="V45">
        <v>12</v>
      </c>
      <c r="W45" t="s">
        <v>17366</v>
      </c>
      <c r="X45">
        <v>20080923</v>
      </c>
      <c r="Y45" t="s">
        <v>17367</v>
      </c>
      <c r="Z45" t="s">
        <v>17368</v>
      </c>
      <c r="AA45" t="s">
        <v>17369</v>
      </c>
      <c r="AB45">
        <v>14</v>
      </c>
      <c r="AC45" t="s">
        <v>17372</v>
      </c>
    </row>
    <row r="46" spans="1:29" x14ac:dyDescent="0.25">
      <c r="A46">
        <v>-97.647572001</v>
      </c>
      <c r="B46">
        <v>29.659465998000002</v>
      </c>
      <c r="C46">
        <v>7508580</v>
      </c>
      <c r="D46" t="s">
        <v>4206</v>
      </c>
      <c r="E46" t="s">
        <v>4205</v>
      </c>
      <c r="F46">
        <v>1</v>
      </c>
      <c r="G46" t="s">
        <v>17372</v>
      </c>
      <c r="H46">
        <v>22772</v>
      </c>
      <c r="I46" t="str">
        <f t="shared" si="1"/>
        <v>TX0022772</v>
      </c>
      <c r="J46" t="str">
        <f>_xlfn.XLOOKUP(I46,TCEQ_Outfalls!A:A,TCEQ_Outfalls!A:A,"",0)</f>
        <v>TX0022772</v>
      </c>
      <c r="K46" t="s">
        <v>3617</v>
      </c>
      <c r="L46" t="s">
        <v>16</v>
      </c>
      <c r="M46" t="s">
        <v>28</v>
      </c>
      <c r="N46" t="s">
        <v>60</v>
      </c>
      <c r="O46" t="s">
        <v>2137</v>
      </c>
      <c r="P46">
        <v>29.659465999999998</v>
      </c>
      <c r="Q46">
        <v>-97.647571999999997</v>
      </c>
      <c r="R46">
        <v>1808</v>
      </c>
      <c r="S46">
        <v>18</v>
      </c>
      <c r="T46">
        <v>11</v>
      </c>
      <c r="U46" t="s">
        <v>17365</v>
      </c>
      <c r="V46">
        <v>12</v>
      </c>
      <c r="W46" t="s">
        <v>17366</v>
      </c>
      <c r="X46">
        <v>20080923</v>
      </c>
      <c r="Y46" t="s">
        <v>17367</v>
      </c>
      <c r="Z46" t="s">
        <v>17368</v>
      </c>
      <c r="AA46" t="s">
        <v>17369</v>
      </c>
      <c r="AB46">
        <v>14</v>
      </c>
      <c r="AC46" t="s">
        <v>17372</v>
      </c>
    </row>
    <row r="47" spans="1:29" x14ac:dyDescent="0.25">
      <c r="A47">
        <v>-97.104053961000005</v>
      </c>
      <c r="B47">
        <v>29.701145931999999</v>
      </c>
      <c r="C47">
        <v>7507055</v>
      </c>
      <c r="D47" t="s">
        <v>10439</v>
      </c>
      <c r="E47" t="s">
        <v>10438</v>
      </c>
      <c r="F47">
        <v>1</v>
      </c>
      <c r="G47" t="s">
        <v>17372</v>
      </c>
      <c r="H47">
        <v>23183</v>
      </c>
      <c r="I47" t="str">
        <f t="shared" si="1"/>
        <v>TX0023183</v>
      </c>
      <c r="J47" t="str">
        <f>_xlfn.XLOOKUP(I47,TCEQ_Outfalls!A:A,TCEQ_Outfalls!A:A,"",0)</f>
        <v>TX0023183</v>
      </c>
      <c r="K47" t="s">
        <v>10436</v>
      </c>
      <c r="L47" t="s">
        <v>16</v>
      </c>
      <c r="M47" t="s">
        <v>28</v>
      </c>
      <c r="N47" t="s">
        <v>36</v>
      </c>
      <c r="O47" t="s">
        <v>296</v>
      </c>
      <c r="P47">
        <v>29.701145929999999</v>
      </c>
      <c r="Q47">
        <v>-97.104053960000002</v>
      </c>
      <c r="R47">
        <v>1803</v>
      </c>
      <c r="S47">
        <v>18</v>
      </c>
      <c r="T47">
        <v>11</v>
      </c>
      <c r="U47" t="s">
        <v>17365</v>
      </c>
      <c r="V47">
        <v>12</v>
      </c>
      <c r="W47" t="s">
        <v>17366</v>
      </c>
      <c r="X47">
        <v>20170602</v>
      </c>
      <c r="Y47" t="s">
        <v>17367</v>
      </c>
      <c r="Z47" t="s">
        <v>17368</v>
      </c>
      <c r="AA47" t="s">
        <v>17369</v>
      </c>
      <c r="AB47">
        <v>14</v>
      </c>
      <c r="AC47" t="s">
        <v>17372</v>
      </c>
    </row>
    <row r="48" spans="1:29" x14ac:dyDescent="0.25">
      <c r="A48">
        <v>-97.071309002000007</v>
      </c>
      <c r="B48">
        <v>28.776994001999999</v>
      </c>
      <c r="C48">
        <v>7506980</v>
      </c>
      <c r="D48" t="s">
        <v>11006</v>
      </c>
      <c r="E48" t="s">
        <v>11005</v>
      </c>
      <c r="F48">
        <v>1</v>
      </c>
      <c r="G48" t="s">
        <v>17372</v>
      </c>
      <c r="H48">
        <v>23477</v>
      </c>
      <c r="I48" t="str">
        <f t="shared" si="1"/>
        <v>TX0023477</v>
      </c>
      <c r="J48" t="str">
        <f>_xlfn.XLOOKUP(I48,TCEQ_Outfalls!A:A,TCEQ_Outfalls!A:A,"",0)</f>
        <v>TX0023477</v>
      </c>
      <c r="K48" t="s">
        <v>11003</v>
      </c>
      <c r="L48" t="s">
        <v>16</v>
      </c>
      <c r="M48" t="s">
        <v>28</v>
      </c>
      <c r="N48" t="s">
        <v>27</v>
      </c>
      <c r="O48" t="s">
        <v>1240</v>
      </c>
      <c r="P48">
        <v>28.776993999999998</v>
      </c>
      <c r="Q48">
        <v>-97.071308999999999</v>
      </c>
      <c r="R48">
        <v>1803</v>
      </c>
      <c r="S48">
        <v>18</v>
      </c>
      <c r="T48">
        <v>14</v>
      </c>
      <c r="U48" t="s">
        <v>17365</v>
      </c>
      <c r="V48">
        <v>12</v>
      </c>
      <c r="W48" t="s">
        <v>17366</v>
      </c>
      <c r="X48">
        <v>20100330</v>
      </c>
      <c r="Y48" t="s">
        <v>17367</v>
      </c>
      <c r="Z48" t="s">
        <v>17368</v>
      </c>
      <c r="AA48" t="s">
        <v>17369</v>
      </c>
      <c r="AB48">
        <v>14</v>
      </c>
      <c r="AC48" t="s">
        <v>17372</v>
      </c>
    </row>
    <row r="49" spans="1:29" x14ac:dyDescent="0.25">
      <c r="A49">
        <v>-97.662543534999998</v>
      </c>
      <c r="B49">
        <v>29.884544293000001</v>
      </c>
      <c r="C49">
        <v>7508232</v>
      </c>
      <c r="D49" t="s">
        <v>7028</v>
      </c>
      <c r="E49" t="s">
        <v>7027</v>
      </c>
      <c r="F49">
        <v>1</v>
      </c>
      <c r="G49" t="s">
        <v>17372</v>
      </c>
      <c r="H49">
        <v>23868</v>
      </c>
      <c r="I49" t="str">
        <f t="shared" si="1"/>
        <v>TX0023868</v>
      </c>
      <c r="J49" t="str">
        <f>_xlfn.XLOOKUP(I49,TCEQ_Outfalls!A:A,TCEQ_Outfalls!A:A,"",0)</f>
        <v>TX0023868</v>
      </c>
      <c r="K49" t="s">
        <v>7022</v>
      </c>
      <c r="L49" t="s">
        <v>16</v>
      </c>
      <c r="M49" t="s">
        <v>15</v>
      </c>
      <c r="N49" t="s">
        <v>14</v>
      </c>
      <c r="O49" t="s">
        <v>2137</v>
      </c>
      <c r="P49">
        <v>29.884544290000001</v>
      </c>
      <c r="Q49">
        <v>-97.662543540000001</v>
      </c>
      <c r="R49">
        <v>1810</v>
      </c>
      <c r="S49">
        <v>18</v>
      </c>
      <c r="T49">
        <v>11</v>
      </c>
      <c r="U49" t="s">
        <v>17365</v>
      </c>
      <c r="V49">
        <v>12</v>
      </c>
      <c r="W49" t="s">
        <v>17366</v>
      </c>
      <c r="X49">
        <v>20190702</v>
      </c>
      <c r="Y49" t="s">
        <v>17367</v>
      </c>
      <c r="Z49" t="s">
        <v>17368</v>
      </c>
      <c r="AA49" t="s">
        <v>17369</v>
      </c>
      <c r="AB49">
        <v>14</v>
      </c>
      <c r="AC49" t="s">
        <v>17372</v>
      </c>
    </row>
    <row r="50" spans="1:29" x14ac:dyDescent="0.25">
      <c r="A50">
        <v>-98.327796457999995</v>
      </c>
      <c r="B50">
        <v>29.469015588000001</v>
      </c>
      <c r="C50">
        <v>7509986</v>
      </c>
      <c r="D50" t="s">
        <v>5397</v>
      </c>
      <c r="E50" t="s">
        <v>5396</v>
      </c>
      <c r="F50">
        <v>1</v>
      </c>
      <c r="G50" t="s">
        <v>17372</v>
      </c>
      <c r="H50">
        <v>24082</v>
      </c>
      <c r="I50" t="str">
        <f t="shared" si="1"/>
        <v>TX0024082</v>
      </c>
      <c r="J50" t="str">
        <f>_xlfn.XLOOKUP(I50,TCEQ_Outfalls!A:A,TCEQ_Outfalls!A:A,"",0)</f>
        <v>TX0024082</v>
      </c>
      <c r="K50" t="s">
        <v>5388</v>
      </c>
      <c r="L50" t="s">
        <v>16</v>
      </c>
      <c r="M50" t="s">
        <v>15</v>
      </c>
      <c r="N50" t="s">
        <v>14</v>
      </c>
      <c r="O50" t="s">
        <v>873</v>
      </c>
      <c r="P50">
        <v>29.469015590000001</v>
      </c>
      <c r="Q50">
        <v>-98.327796460000002</v>
      </c>
      <c r="R50">
        <v>1902</v>
      </c>
      <c r="S50">
        <v>19</v>
      </c>
      <c r="T50">
        <v>13</v>
      </c>
      <c r="U50" t="s">
        <v>17365</v>
      </c>
      <c r="V50">
        <v>12</v>
      </c>
      <c r="W50" t="s">
        <v>17366</v>
      </c>
      <c r="X50">
        <v>20190822</v>
      </c>
      <c r="Y50" t="s">
        <v>17367</v>
      </c>
      <c r="Z50" t="s">
        <v>17368</v>
      </c>
      <c r="AA50" t="s">
        <v>17369</v>
      </c>
      <c r="AB50">
        <v>14</v>
      </c>
      <c r="AC50" t="s">
        <v>17372</v>
      </c>
    </row>
    <row r="51" spans="1:29" x14ac:dyDescent="0.25">
      <c r="A51">
        <v>-97.291453134999998</v>
      </c>
      <c r="B51">
        <v>29.068496828000001</v>
      </c>
      <c r="C51">
        <v>7507678</v>
      </c>
      <c r="D51" t="s">
        <v>8449</v>
      </c>
      <c r="E51" t="s">
        <v>8448</v>
      </c>
      <c r="F51">
        <v>1</v>
      </c>
      <c r="G51" t="s">
        <v>17372</v>
      </c>
      <c r="H51">
        <v>24244</v>
      </c>
      <c r="I51" t="str">
        <f t="shared" si="1"/>
        <v>TX0024244</v>
      </c>
      <c r="J51" t="str">
        <f>_xlfn.XLOOKUP(I51,TCEQ_Outfalls!A:A,TCEQ_Outfalls!A:A,"",0)</f>
        <v>TX0024244</v>
      </c>
      <c r="K51" t="s">
        <v>8446</v>
      </c>
      <c r="L51" t="s">
        <v>16</v>
      </c>
      <c r="M51" t="s">
        <v>15</v>
      </c>
      <c r="N51" t="s">
        <v>14</v>
      </c>
      <c r="O51" t="s">
        <v>7844</v>
      </c>
      <c r="P51">
        <v>29.068496830000001</v>
      </c>
      <c r="Q51">
        <v>-97.291453140000002</v>
      </c>
      <c r="R51">
        <v>1803</v>
      </c>
      <c r="S51">
        <v>18</v>
      </c>
      <c r="T51">
        <v>14</v>
      </c>
      <c r="U51" t="s">
        <v>17365</v>
      </c>
      <c r="V51">
        <v>12</v>
      </c>
      <c r="W51" t="s">
        <v>17366</v>
      </c>
      <c r="X51">
        <v>20190925</v>
      </c>
      <c r="Y51" t="s">
        <v>17367</v>
      </c>
      <c r="Z51" t="s">
        <v>17368</v>
      </c>
      <c r="AA51" t="s">
        <v>17369</v>
      </c>
      <c r="AB51">
        <v>14</v>
      </c>
      <c r="AC51" t="s">
        <v>17372</v>
      </c>
    </row>
    <row r="52" spans="1:29" x14ac:dyDescent="0.25">
      <c r="A52">
        <v>-98.713809527999999</v>
      </c>
      <c r="B52">
        <v>29.788422762</v>
      </c>
      <c r="C52">
        <v>7506594</v>
      </c>
      <c r="D52" t="s">
        <v>12421</v>
      </c>
      <c r="E52" t="s">
        <v>12420</v>
      </c>
      <c r="F52">
        <v>1</v>
      </c>
      <c r="G52" t="s">
        <v>17372</v>
      </c>
      <c r="H52">
        <v>24465</v>
      </c>
      <c r="I52" t="str">
        <f t="shared" si="1"/>
        <v>TX0024465</v>
      </c>
      <c r="J52" t="str">
        <f>_xlfn.XLOOKUP(I52,TCEQ_Outfalls!A:A,TCEQ_Outfalls!A:A,"",0)</f>
        <v>TX0024465</v>
      </c>
      <c r="K52" t="s">
        <v>2501</v>
      </c>
      <c r="L52" t="s">
        <v>16</v>
      </c>
      <c r="M52" t="s">
        <v>15</v>
      </c>
      <c r="N52" t="s">
        <v>14</v>
      </c>
      <c r="O52" t="s">
        <v>2500</v>
      </c>
      <c r="P52">
        <v>29.78842276</v>
      </c>
      <c r="Q52">
        <v>-98.713809530000006</v>
      </c>
      <c r="R52">
        <v>1908</v>
      </c>
      <c r="S52">
        <v>19</v>
      </c>
      <c r="T52">
        <v>13</v>
      </c>
      <c r="U52" t="s">
        <v>17365</v>
      </c>
      <c r="V52">
        <v>12</v>
      </c>
      <c r="W52" t="s">
        <v>17366</v>
      </c>
      <c r="X52">
        <v>20191030</v>
      </c>
      <c r="Y52" t="s">
        <v>17367</v>
      </c>
      <c r="Z52" t="s">
        <v>17368</v>
      </c>
      <c r="AA52" t="s">
        <v>17369</v>
      </c>
      <c r="AB52">
        <v>14</v>
      </c>
      <c r="AC52" t="s">
        <v>17374</v>
      </c>
    </row>
    <row r="53" spans="1:29" x14ac:dyDescent="0.25">
      <c r="A53">
        <v>-97.006329289999996</v>
      </c>
      <c r="B53">
        <v>28.753600925000001</v>
      </c>
      <c r="C53">
        <v>7509719</v>
      </c>
      <c r="D53" t="s">
        <v>5446</v>
      </c>
      <c r="E53" t="s">
        <v>5445</v>
      </c>
      <c r="F53">
        <v>1</v>
      </c>
      <c r="G53" t="s">
        <v>17372</v>
      </c>
      <c r="H53">
        <v>25186</v>
      </c>
      <c r="I53" t="str">
        <f t="shared" si="1"/>
        <v>TX0025186</v>
      </c>
      <c r="J53" t="str">
        <f>_xlfn.XLOOKUP(I53,TCEQ_Outfalls!A:A,TCEQ_Outfalls!A:A,"",0)</f>
        <v>TX0025186</v>
      </c>
      <c r="K53" t="s">
        <v>5443</v>
      </c>
      <c r="L53" t="s">
        <v>16</v>
      </c>
      <c r="M53" t="s">
        <v>15</v>
      </c>
      <c r="N53" t="s">
        <v>14</v>
      </c>
      <c r="O53" t="s">
        <v>1240</v>
      </c>
      <c r="P53">
        <v>28.753600930000001</v>
      </c>
      <c r="Q53">
        <v>-97.006329289999996</v>
      </c>
      <c r="R53">
        <v>1803</v>
      </c>
      <c r="S53">
        <v>18</v>
      </c>
      <c r="T53">
        <v>14</v>
      </c>
      <c r="U53" t="s">
        <v>17365</v>
      </c>
      <c r="V53">
        <v>12</v>
      </c>
      <c r="W53" t="s">
        <v>17366</v>
      </c>
      <c r="X53">
        <v>20190903</v>
      </c>
      <c r="Y53" t="s">
        <v>17367</v>
      </c>
      <c r="Z53" t="s">
        <v>17368</v>
      </c>
      <c r="AA53" t="s">
        <v>17369</v>
      </c>
      <c r="AB53">
        <v>14</v>
      </c>
      <c r="AC53" t="s">
        <v>17372</v>
      </c>
    </row>
    <row r="54" spans="1:29" x14ac:dyDescent="0.25">
      <c r="A54">
        <v>-98.072458264000005</v>
      </c>
      <c r="B54">
        <v>29.662794246000001</v>
      </c>
      <c r="C54">
        <v>7507822</v>
      </c>
      <c r="D54" t="s">
        <v>8047</v>
      </c>
      <c r="E54" t="s">
        <v>4641</v>
      </c>
      <c r="F54">
        <v>2</v>
      </c>
      <c r="G54" t="s">
        <v>17372</v>
      </c>
      <c r="H54">
        <v>25208</v>
      </c>
      <c r="I54" t="str">
        <f t="shared" si="1"/>
        <v>TX0025208</v>
      </c>
      <c r="J54" t="str">
        <f>_xlfn.XLOOKUP(I54,TCEQ_Outfalls!A:A,TCEQ_Outfalls!A:A,"",0)</f>
        <v>TX0025208</v>
      </c>
      <c r="K54" t="s">
        <v>4639</v>
      </c>
      <c r="L54" t="s">
        <v>16</v>
      </c>
      <c r="M54" t="s">
        <v>15</v>
      </c>
      <c r="N54" t="s">
        <v>14</v>
      </c>
      <c r="O54" t="s">
        <v>1032</v>
      </c>
      <c r="P54">
        <v>29.662794250000001</v>
      </c>
      <c r="Q54">
        <v>-98.072458260000005</v>
      </c>
      <c r="R54">
        <v>1804</v>
      </c>
      <c r="S54">
        <v>18</v>
      </c>
      <c r="T54">
        <v>13</v>
      </c>
      <c r="U54" t="s">
        <v>17365</v>
      </c>
      <c r="V54">
        <v>12</v>
      </c>
      <c r="W54" t="s">
        <v>17366</v>
      </c>
      <c r="X54">
        <v>20191018</v>
      </c>
      <c r="Y54" t="s">
        <v>17367</v>
      </c>
      <c r="Z54" t="s">
        <v>17368</v>
      </c>
      <c r="AA54" t="s">
        <v>17369</v>
      </c>
      <c r="AB54">
        <v>14</v>
      </c>
      <c r="AC54" t="s">
        <v>17372</v>
      </c>
    </row>
    <row r="55" spans="1:29" x14ac:dyDescent="0.25">
      <c r="A55">
        <v>-98.072189741000003</v>
      </c>
      <c r="B55">
        <v>29.662995282000001</v>
      </c>
      <c r="C55">
        <v>7509545</v>
      </c>
      <c r="D55" t="s">
        <v>4642</v>
      </c>
      <c r="E55" t="s">
        <v>4641</v>
      </c>
      <c r="F55">
        <v>1</v>
      </c>
      <c r="G55" t="s">
        <v>17372</v>
      </c>
      <c r="H55">
        <v>25208</v>
      </c>
      <c r="I55" t="str">
        <f t="shared" si="1"/>
        <v>TX0025208</v>
      </c>
      <c r="J55" t="str">
        <f>_xlfn.XLOOKUP(I55,TCEQ_Outfalls!A:A,TCEQ_Outfalls!A:A,"",0)</f>
        <v>TX0025208</v>
      </c>
      <c r="K55" t="s">
        <v>4639</v>
      </c>
      <c r="L55" t="s">
        <v>16</v>
      </c>
      <c r="M55" t="s">
        <v>15</v>
      </c>
      <c r="N55" t="s">
        <v>14</v>
      </c>
      <c r="O55" t="s">
        <v>1032</v>
      </c>
      <c r="P55">
        <v>29.662995280000001</v>
      </c>
      <c r="Q55">
        <v>-98.072189739999999</v>
      </c>
      <c r="R55">
        <v>1804</v>
      </c>
      <c r="S55">
        <v>18</v>
      </c>
      <c r="T55">
        <v>13</v>
      </c>
      <c r="U55" t="s">
        <v>17365</v>
      </c>
      <c r="V55">
        <v>12</v>
      </c>
      <c r="W55" t="s">
        <v>17366</v>
      </c>
      <c r="X55">
        <v>20191018</v>
      </c>
      <c r="Y55" t="s">
        <v>17367</v>
      </c>
      <c r="Z55" t="s">
        <v>17368</v>
      </c>
      <c r="AA55" t="s">
        <v>17369</v>
      </c>
      <c r="AB55">
        <v>14</v>
      </c>
      <c r="AC55" t="s">
        <v>17372</v>
      </c>
    </row>
    <row r="56" spans="1:29" x14ac:dyDescent="0.25">
      <c r="A56">
        <v>-98.213215998999999</v>
      </c>
      <c r="B56">
        <v>29.909009997999998</v>
      </c>
      <c r="C56">
        <v>7508432</v>
      </c>
      <c r="D56" t="s">
        <v>6350</v>
      </c>
      <c r="E56" t="s">
        <v>6349</v>
      </c>
      <c r="F56">
        <v>1</v>
      </c>
      <c r="G56" t="s">
        <v>17372</v>
      </c>
      <c r="H56">
        <v>25224</v>
      </c>
      <c r="I56" t="str">
        <f t="shared" si="1"/>
        <v>TX0025224</v>
      </c>
      <c r="J56" t="str">
        <f>_xlfn.XLOOKUP(I56,TCEQ_Outfalls!A:A,TCEQ_Outfalls!A:A,"",0)</f>
        <v>TX0025224</v>
      </c>
      <c r="K56" t="s">
        <v>4639</v>
      </c>
      <c r="L56" t="s">
        <v>16</v>
      </c>
      <c r="M56" t="s">
        <v>28</v>
      </c>
      <c r="N56" t="s">
        <v>60</v>
      </c>
      <c r="O56" t="s">
        <v>274</v>
      </c>
      <c r="P56">
        <v>29.909009999999999</v>
      </c>
      <c r="Q56">
        <v>-98.213216000000003</v>
      </c>
      <c r="R56">
        <v>1805</v>
      </c>
      <c r="S56">
        <v>18</v>
      </c>
      <c r="T56">
        <v>13</v>
      </c>
      <c r="U56" t="s">
        <v>17365</v>
      </c>
      <c r="V56">
        <v>12</v>
      </c>
      <c r="W56" t="s">
        <v>17366</v>
      </c>
      <c r="X56">
        <v>20040825</v>
      </c>
      <c r="Y56" t="s">
        <v>17367</v>
      </c>
      <c r="Z56" t="s">
        <v>17368</v>
      </c>
      <c r="AA56" t="s">
        <v>17369</v>
      </c>
      <c r="AB56">
        <v>14</v>
      </c>
      <c r="AC56" t="s">
        <v>17372</v>
      </c>
    </row>
    <row r="57" spans="1:29" x14ac:dyDescent="0.25">
      <c r="A57">
        <v>-97.435587717999994</v>
      </c>
      <c r="B57">
        <v>29.488558319999999</v>
      </c>
      <c r="C57">
        <v>7507352</v>
      </c>
      <c r="D57" t="s">
        <v>9902</v>
      </c>
      <c r="E57" t="s">
        <v>9901</v>
      </c>
      <c r="F57">
        <v>1</v>
      </c>
      <c r="G57" t="s">
        <v>17372</v>
      </c>
      <c r="H57">
        <v>27243</v>
      </c>
      <c r="I57" t="str">
        <f t="shared" si="1"/>
        <v>TX0027243</v>
      </c>
      <c r="J57" t="str">
        <f>_xlfn.XLOOKUP(I57,TCEQ_Outfalls!A:A,TCEQ_Outfalls!A:A,"",0)</f>
        <v>TX0027243</v>
      </c>
      <c r="K57" t="s">
        <v>9899</v>
      </c>
      <c r="L57" t="s">
        <v>16</v>
      </c>
      <c r="M57" t="s">
        <v>15</v>
      </c>
      <c r="N57" t="s">
        <v>14</v>
      </c>
      <c r="O57" t="s">
        <v>3079</v>
      </c>
      <c r="P57">
        <v>29.488558319999999</v>
      </c>
      <c r="Q57">
        <v>-97.435587720000001</v>
      </c>
      <c r="R57">
        <v>1803</v>
      </c>
      <c r="S57">
        <v>18</v>
      </c>
      <c r="T57">
        <v>14</v>
      </c>
      <c r="U57" t="s">
        <v>17365</v>
      </c>
      <c r="V57">
        <v>12</v>
      </c>
      <c r="W57" t="s">
        <v>17366</v>
      </c>
      <c r="X57">
        <v>20191105</v>
      </c>
      <c r="Y57" t="s">
        <v>17367</v>
      </c>
      <c r="Z57" t="s">
        <v>17368</v>
      </c>
      <c r="AA57" t="s">
        <v>17369</v>
      </c>
      <c r="AB57">
        <v>14</v>
      </c>
      <c r="AC57" t="s">
        <v>17372</v>
      </c>
    </row>
    <row r="58" spans="1:29" x14ac:dyDescent="0.25">
      <c r="A58">
        <v>-97.841925067999995</v>
      </c>
      <c r="B58">
        <v>28.822985073000002</v>
      </c>
      <c r="C58">
        <v>7509573</v>
      </c>
      <c r="D58" t="s">
        <v>4477</v>
      </c>
      <c r="E58" t="s">
        <v>4476</v>
      </c>
      <c r="F58">
        <v>1</v>
      </c>
      <c r="G58" t="s">
        <v>17372</v>
      </c>
      <c r="H58">
        <v>27774</v>
      </c>
      <c r="I58" t="str">
        <f t="shared" si="1"/>
        <v>TX0027774</v>
      </c>
      <c r="J58" t="str">
        <f>_xlfn.XLOOKUP(I58,TCEQ_Outfalls!A:A,TCEQ_Outfalls!A:A,"",0)</f>
        <v>TX0027774</v>
      </c>
      <c r="K58" t="s">
        <v>4474</v>
      </c>
      <c r="L58" t="s">
        <v>16</v>
      </c>
      <c r="M58" t="s">
        <v>15</v>
      </c>
      <c r="N58" t="s">
        <v>14</v>
      </c>
      <c r="O58" t="s">
        <v>1853</v>
      </c>
      <c r="P58">
        <v>28.822985070000001</v>
      </c>
      <c r="Q58">
        <v>-97.841925070000002</v>
      </c>
      <c r="R58">
        <v>1901</v>
      </c>
      <c r="S58">
        <v>19</v>
      </c>
      <c r="T58">
        <v>13</v>
      </c>
      <c r="U58" t="s">
        <v>17365</v>
      </c>
      <c r="V58">
        <v>12</v>
      </c>
      <c r="W58" t="s">
        <v>17366</v>
      </c>
      <c r="X58">
        <v>20191004</v>
      </c>
      <c r="Y58" t="s">
        <v>17367</v>
      </c>
      <c r="Z58" t="s">
        <v>17368</v>
      </c>
      <c r="AA58" t="s">
        <v>17369</v>
      </c>
      <c r="AB58">
        <v>14</v>
      </c>
      <c r="AC58" t="s">
        <v>17372</v>
      </c>
    </row>
    <row r="59" spans="1:29" x14ac:dyDescent="0.25">
      <c r="A59">
        <v>-98.421866268000002</v>
      </c>
      <c r="B59">
        <v>29.541963571</v>
      </c>
      <c r="C59">
        <v>7507509</v>
      </c>
      <c r="D59" t="s">
        <v>9386</v>
      </c>
      <c r="E59" t="s">
        <v>9384</v>
      </c>
      <c r="F59">
        <v>1</v>
      </c>
      <c r="G59" t="s">
        <v>17372</v>
      </c>
      <c r="H59">
        <v>30040</v>
      </c>
      <c r="I59" t="str">
        <f t="shared" si="1"/>
        <v>TX0030040</v>
      </c>
      <c r="J59" t="str">
        <f>_xlfn.XLOOKUP(I59,TCEQ_Outfalls!A:A,TCEQ_Outfalls!A:A,"",0)</f>
        <v>TX0030040</v>
      </c>
      <c r="K59" t="s">
        <v>9382</v>
      </c>
      <c r="L59" t="s">
        <v>16</v>
      </c>
      <c r="M59" t="s">
        <v>15</v>
      </c>
      <c r="N59" t="s">
        <v>14</v>
      </c>
      <c r="O59" t="s">
        <v>873</v>
      </c>
      <c r="P59">
        <v>29.54196357</v>
      </c>
      <c r="Q59">
        <v>-98.421866269999995</v>
      </c>
      <c r="R59">
        <v>1910</v>
      </c>
      <c r="S59">
        <v>19</v>
      </c>
      <c r="T59">
        <v>13</v>
      </c>
      <c r="U59" t="s">
        <v>17365</v>
      </c>
      <c r="V59">
        <v>12</v>
      </c>
      <c r="W59" t="s">
        <v>17366</v>
      </c>
      <c r="X59">
        <v>20191008</v>
      </c>
      <c r="Y59" t="s">
        <v>17367</v>
      </c>
      <c r="Z59" t="s">
        <v>17368</v>
      </c>
      <c r="AA59" t="s">
        <v>17369</v>
      </c>
      <c r="AB59">
        <v>14</v>
      </c>
      <c r="AC59" t="s">
        <v>17372</v>
      </c>
    </row>
    <row r="60" spans="1:29" x14ac:dyDescent="0.25">
      <c r="A60">
        <v>-98.428399756999994</v>
      </c>
      <c r="B60">
        <v>29.545365439000001</v>
      </c>
      <c r="C60">
        <v>7507510</v>
      </c>
      <c r="D60" t="s">
        <v>9385</v>
      </c>
      <c r="E60" t="s">
        <v>9384</v>
      </c>
      <c r="F60">
        <v>2</v>
      </c>
      <c r="G60" t="s">
        <v>17372</v>
      </c>
      <c r="H60">
        <v>30040</v>
      </c>
      <c r="I60" t="str">
        <f t="shared" si="1"/>
        <v>TX0030040</v>
      </c>
      <c r="J60" t="str">
        <f>_xlfn.XLOOKUP(I60,TCEQ_Outfalls!A:A,TCEQ_Outfalls!A:A,"",0)</f>
        <v>TX0030040</v>
      </c>
      <c r="K60" t="s">
        <v>9382</v>
      </c>
      <c r="L60" t="s">
        <v>16</v>
      </c>
      <c r="M60" t="s">
        <v>15</v>
      </c>
      <c r="N60" t="s">
        <v>14</v>
      </c>
      <c r="O60" t="s">
        <v>873</v>
      </c>
      <c r="P60">
        <v>29.545365440000001</v>
      </c>
      <c r="Q60">
        <v>-98.428399760000005</v>
      </c>
      <c r="R60">
        <v>1910</v>
      </c>
      <c r="S60">
        <v>19</v>
      </c>
      <c r="T60">
        <v>13</v>
      </c>
      <c r="U60" t="s">
        <v>17365</v>
      </c>
      <c r="V60">
        <v>12</v>
      </c>
      <c r="W60" t="s">
        <v>17366</v>
      </c>
      <c r="X60">
        <v>20191008</v>
      </c>
      <c r="Y60" t="s">
        <v>17367</v>
      </c>
      <c r="Z60" t="s">
        <v>17368</v>
      </c>
      <c r="AA60" t="s">
        <v>17369</v>
      </c>
      <c r="AB60">
        <v>14</v>
      </c>
      <c r="AC60" t="s">
        <v>17372</v>
      </c>
    </row>
    <row r="61" spans="1:29" x14ac:dyDescent="0.25">
      <c r="A61">
        <v>-97.583559613000006</v>
      </c>
      <c r="B61">
        <v>29.593272468999999</v>
      </c>
      <c r="C61">
        <v>7509154</v>
      </c>
      <c r="D61" t="s">
        <v>3620</v>
      </c>
      <c r="E61" t="s">
        <v>3619</v>
      </c>
      <c r="F61">
        <v>1</v>
      </c>
      <c r="G61" t="s">
        <v>17372</v>
      </c>
      <c r="H61">
        <v>30970</v>
      </c>
      <c r="I61" t="str">
        <f t="shared" si="1"/>
        <v>TX0030970</v>
      </c>
      <c r="J61" t="str">
        <f>_xlfn.XLOOKUP(I61,TCEQ_Outfalls!A:A,TCEQ_Outfalls!A:A,"",0)</f>
        <v>TX0030970</v>
      </c>
      <c r="K61" t="s">
        <v>3617</v>
      </c>
      <c r="L61" t="s">
        <v>16</v>
      </c>
      <c r="M61" t="s">
        <v>28</v>
      </c>
      <c r="N61" t="s">
        <v>14</v>
      </c>
      <c r="O61" t="s">
        <v>3079</v>
      </c>
      <c r="P61">
        <v>29.593272469999999</v>
      </c>
      <c r="Q61">
        <v>-97.583559609999995</v>
      </c>
      <c r="R61">
        <v>1808</v>
      </c>
      <c r="S61">
        <v>18</v>
      </c>
      <c r="T61">
        <v>14</v>
      </c>
      <c r="U61" t="s">
        <v>17365</v>
      </c>
      <c r="V61">
        <v>12</v>
      </c>
      <c r="W61" t="s">
        <v>17366</v>
      </c>
      <c r="X61">
        <v>20191108</v>
      </c>
      <c r="Y61" t="s">
        <v>17367</v>
      </c>
      <c r="Z61" t="s">
        <v>17368</v>
      </c>
      <c r="AA61" t="s">
        <v>17369</v>
      </c>
      <c r="AB61">
        <v>14</v>
      </c>
      <c r="AC61" t="s">
        <v>17372</v>
      </c>
    </row>
    <row r="62" spans="1:29" x14ac:dyDescent="0.25">
      <c r="A62">
        <v>-97.292490000000001</v>
      </c>
      <c r="B62">
        <v>29.684141998000001</v>
      </c>
      <c r="C62">
        <v>7507368</v>
      </c>
      <c r="D62" t="s">
        <v>9851</v>
      </c>
      <c r="E62" t="s">
        <v>9850</v>
      </c>
      <c r="F62">
        <v>1</v>
      </c>
      <c r="G62" t="s">
        <v>17372</v>
      </c>
      <c r="H62">
        <v>34452</v>
      </c>
      <c r="I62" t="str">
        <f t="shared" si="1"/>
        <v>TX0034452</v>
      </c>
      <c r="J62" t="str">
        <f>_xlfn.XLOOKUP(I62,TCEQ_Outfalls!A:A,TCEQ_Outfalls!A:A,"",0)</f>
        <v>TX0034452</v>
      </c>
      <c r="K62" t="s">
        <v>9848</v>
      </c>
      <c r="L62" t="s">
        <v>16</v>
      </c>
      <c r="M62" t="s">
        <v>28</v>
      </c>
      <c r="N62" t="s">
        <v>60</v>
      </c>
      <c r="O62" t="s">
        <v>3079</v>
      </c>
      <c r="P62">
        <v>29.684142000000001</v>
      </c>
      <c r="Q62">
        <v>-97.292490000000001</v>
      </c>
      <c r="R62">
        <v>1803</v>
      </c>
      <c r="S62">
        <v>18</v>
      </c>
      <c r="T62">
        <v>14</v>
      </c>
      <c r="U62" t="s">
        <v>17365</v>
      </c>
      <c r="V62">
        <v>12</v>
      </c>
      <c r="W62" t="s">
        <v>17366</v>
      </c>
      <c r="X62">
        <v>20041122</v>
      </c>
      <c r="Y62" t="s">
        <v>17367</v>
      </c>
      <c r="Z62" t="s">
        <v>17368</v>
      </c>
      <c r="AA62" t="s">
        <v>17369</v>
      </c>
      <c r="AB62">
        <v>14</v>
      </c>
      <c r="AC62" t="s">
        <v>17372</v>
      </c>
    </row>
    <row r="63" spans="1:29" x14ac:dyDescent="0.25">
      <c r="A63">
        <v>-97.925712778000005</v>
      </c>
      <c r="B63">
        <v>29.864234444000001</v>
      </c>
      <c r="C63">
        <v>7507961</v>
      </c>
      <c r="D63" t="s">
        <v>7988</v>
      </c>
      <c r="E63" t="s">
        <v>7987</v>
      </c>
      <c r="F63">
        <v>1</v>
      </c>
      <c r="G63" t="s">
        <v>17372</v>
      </c>
      <c r="H63">
        <v>47945</v>
      </c>
      <c r="I63" t="str">
        <f t="shared" si="1"/>
        <v>TX0047945</v>
      </c>
      <c r="J63" t="str">
        <f>_xlfn.XLOOKUP(I63,TCEQ_Outfalls!A:A,TCEQ_Outfalls!A:A,"",0)</f>
        <v>TX0047945</v>
      </c>
      <c r="K63" t="s">
        <v>7985</v>
      </c>
      <c r="L63" t="s">
        <v>16</v>
      </c>
      <c r="M63" t="s">
        <v>15</v>
      </c>
      <c r="N63" t="s">
        <v>36</v>
      </c>
      <c r="O63" t="s">
        <v>753</v>
      </c>
      <c r="P63">
        <v>29.864234440000001</v>
      </c>
      <c r="Q63">
        <v>-97.925712779999998</v>
      </c>
      <c r="R63">
        <v>1814</v>
      </c>
      <c r="S63">
        <v>18</v>
      </c>
      <c r="T63">
        <v>11</v>
      </c>
      <c r="U63" t="s">
        <v>17365</v>
      </c>
      <c r="V63">
        <v>12</v>
      </c>
      <c r="W63" t="s">
        <v>17366</v>
      </c>
      <c r="X63">
        <v>20170818</v>
      </c>
      <c r="Y63" t="s">
        <v>17367</v>
      </c>
      <c r="Z63" t="s">
        <v>17368</v>
      </c>
      <c r="AA63" t="s">
        <v>17369</v>
      </c>
      <c r="AB63">
        <v>14</v>
      </c>
      <c r="AC63" t="s">
        <v>17372</v>
      </c>
    </row>
    <row r="64" spans="1:29" x14ac:dyDescent="0.25">
      <c r="A64">
        <v>-98.495566908000001</v>
      </c>
      <c r="B64">
        <v>29.275912583</v>
      </c>
      <c r="C64">
        <v>7507077</v>
      </c>
      <c r="D64" t="s">
        <v>10690</v>
      </c>
      <c r="E64" t="s">
        <v>6633</v>
      </c>
      <c r="F64">
        <v>2</v>
      </c>
      <c r="G64" t="s">
        <v>17372</v>
      </c>
      <c r="H64">
        <v>52639</v>
      </c>
      <c r="I64" t="str">
        <f t="shared" si="1"/>
        <v>TX0052639</v>
      </c>
      <c r="J64" t="str">
        <f>_xlfn.XLOOKUP(I64,TCEQ_Outfalls!A:A,TCEQ_Outfalls!A:A,"",0)</f>
        <v>TX0052639</v>
      </c>
      <c r="K64" t="s">
        <v>6631</v>
      </c>
      <c r="L64" t="s">
        <v>16</v>
      </c>
      <c r="M64" t="s">
        <v>15</v>
      </c>
      <c r="N64" t="s">
        <v>17373</v>
      </c>
      <c r="O64" t="s">
        <v>873</v>
      </c>
      <c r="P64">
        <v>29.275884000000001</v>
      </c>
      <c r="Q64">
        <v>-98.495616999999996</v>
      </c>
      <c r="R64">
        <v>1903</v>
      </c>
      <c r="S64">
        <v>19</v>
      </c>
      <c r="T64">
        <v>13</v>
      </c>
      <c r="U64" t="s">
        <v>17365</v>
      </c>
      <c r="V64">
        <v>12</v>
      </c>
      <c r="W64" t="s">
        <v>17366</v>
      </c>
      <c r="X64">
        <v>20220315</v>
      </c>
      <c r="Y64" t="s">
        <v>17367</v>
      </c>
      <c r="Z64" t="s">
        <v>17368</v>
      </c>
      <c r="AA64" t="s">
        <v>17369</v>
      </c>
      <c r="AB64">
        <v>14</v>
      </c>
      <c r="AC64" t="s">
        <v>17372</v>
      </c>
    </row>
    <row r="65" spans="1:29" x14ac:dyDescent="0.25">
      <c r="A65">
        <v>-98.513008679999999</v>
      </c>
      <c r="B65">
        <v>29.275319943</v>
      </c>
      <c r="C65">
        <v>7508314</v>
      </c>
      <c r="D65" t="s">
        <v>6634</v>
      </c>
      <c r="E65" t="s">
        <v>6633</v>
      </c>
      <c r="F65">
        <v>1</v>
      </c>
      <c r="G65" t="s">
        <v>17372</v>
      </c>
      <c r="H65">
        <v>52639</v>
      </c>
      <c r="I65" t="str">
        <f t="shared" si="1"/>
        <v>TX0052639</v>
      </c>
      <c r="J65" t="str">
        <f>_xlfn.XLOOKUP(I65,TCEQ_Outfalls!A:A,TCEQ_Outfalls!A:A,"",0)</f>
        <v>TX0052639</v>
      </c>
      <c r="K65" t="s">
        <v>6631</v>
      </c>
      <c r="L65" t="s">
        <v>16</v>
      </c>
      <c r="M65" t="s">
        <v>15</v>
      </c>
      <c r="N65" t="s">
        <v>17373</v>
      </c>
      <c r="O65" t="s">
        <v>873</v>
      </c>
      <c r="P65">
        <v>29.275319</v>
      </c>
      <c r="Q65">
        <v>-98.513007999999999</v>
      </c>
      <c r="R65">
        <v>1906</v>
      </c>
      <c r="S65">
        <v>19</v>
      </c>
      <c r="T65">
        <v>13</v>
      </c>
      <c r="U65" t="s">
        <v>17365</v>
      </c>
      <c r="V65">
        <v>12</v>
      </c>
      <c r="W65" t="s">
        <v>17366</v>
      </c>
      <c r="X65">
        <v>20220315</v>
      </c>
      <c r="Y65" t="s">
        <v>17367</v>
      </c>
      <c r="Z65" t="s">
        <v>17368</v>
      </c>
      <c r="AA65" t="s">
        <v>17369</v>
      </c>
      <c r="AB65">
        <v>14</v>
      </c>
      <c r="AC65" t="s">
        <v>17372</v>
      </c>
    </row>
    <row r="66" spans="1:29" x14ac:dyDescent="0.25">
      <c r="A66">
        <v>-98.428978418</v>
      </c>
      <c r="B66">
        <v>29.275560128999999</v>
      </c>
      <c r="C66">
        <v>7506516</v>
      </c>
      <c r="D66" t="s">
        <v>12119</v>
      </c>
      <c r="E66" t="s">
        <v>12118</v>
      </c>
      <c r="F66">
        <v>1</v>
      </c>
      <c r="H66">
        <v>52647</v>
      </c>
      <c r="I66" t="str">
        <f t="shared" ref="I66:I97" si="2">IF(LEN(H66)=4,"TX000" &amp; H66,IF(LEN(H66)=5,"TX00" &amp; H66,"TX0" &amp; H66))</f>
        <v>TX0052647</v>
      </c>
      <c r="J66" t="str">
        <f>_xlfn.XLOOKUP(I66,TCEQ_Outfalls!A:A,TCEQ_Outfalls!A:A,"",0)</f>
        <v>TX0052647</v>
      </c>
      <c r="K66" t="s">
        <v>6631</v>
      </c>
      <c r="L66" t="s">
        <v>16</v>
      </c>
      <c r="M66" t="s">
        <v>15</v>
      </c>
      <c r="N66" t="s">
        <v>14</v>
      </c>
      <c r="O66" t="s">
        <v>873</v>
      </c>
      <c r="P66">
        <v>29.275560129999999</v>
      </c>
      <c r="Q66">
        <v>-98.428978420000007</v>
      </c>
      <c r="R66">
        <v>1911</v>
      </c>
      <c r="S66">
        <v>19</v>
      </c>
      <c r="T66">
        <v>13</v>
      </c>
      <c r="U66" t="s">
        <v>17365</v>
      </c>
      <c r="V66">
        <v>12</v>
      </c>
      <c r="W66" t="s">
        <v>17366</v>
      </c>
      <c r="X66">
        <v>20191031</v>
      </c>
      <c r="Y66" t="s">
        <v>17367</v>
      </c>
      <c r="Z66" t="s">
        <v>17368</v>
      </c>
      <c r="AA66" t="s">
        <v>17369</v>
      </c>
      <c r="AB66">
        <v>14</v>
      </c>
    </row>
    <row r="67" spans="1:29" x14ac:dyDescent="0.25">
      <c r="A67">
        <v>-98.102659002999999</v>
      </c>
      <c r="B67">
        <v>29.358083000000001</v>
      </c>
      <c r="C67">
        <v>7509982</v>
      </c>
      <c r="D67" t="s">
        <v>5411</v>
      </c>
      <c r="E67" t="s">
        <v>5410</v>
      </c>
      <c r="F67">
        <v>1</v>
      </c>
      <c r="G67" t="s">
        <v>17372</v>
      </c>
      <c r="H67">
        <v>52850</v>
      </c>
      <c r="I67" t="str">
        <f t="shared" si="2"/>
        <v>TX0052850</v>
      </c>
      <c r="J67" t="str">
        <f>_xlfn.XLOOKUP(I67,TCEQ_Outfalls!A:A,TCEQ_Outfalls!A:A,"",0)</f>
        <v>TX0052850</v>
      </c>
      <c r="K67" t="s">
        <v>5408</v>
      </c>
      <c r="L67" t="s">
        <v>16</v>
      </c>
      <c r="M67" t="s">
        <v>28</v>
      </c>
      <c r="N67" t="s">
        <v>27</v>
      </c>
      <c r="O67" t="s">
        <v>3688</v>
      </c>
      <c r="P67">
        <v>29.358083000000001</v>
      </c>
      <c r="Q67">
        <v>-98.102659000000003</v>
      </c>
      <c r="R67">
        <v>1902</v>
      </c>
      <c r="S67">
        <v>19</v>
      </c>
      <c r="T67">
        <v>13</v>
      </c>
      <c r="U67" t="s">
        <v>17365</v>
      </c>
      <c r="V67">
        <v>12</v>
      </c>
      <c r="W67" t="s">
        <v>17366</v>
      </c>
      <c r="X67">
        <v>20080829</v>
      </c>
      <c r="Y67" t="s">
        <v>17367</v>
      </c>
      <c r="Z67" t="s">
        <v>17368</v>
      </c>
      <c r="AA67" t="s">
        <v>17369</v>
      </c>
      <c r="AB67">
        <v>14</v>
      </c>
      <c r="AC67" t="s">
        <v>17372</v>
      </c>
    </row>
    <row r="68" spans="1:29" x14ac:dyDescent="0.25">
      <c r="A68">
        <v>-98.298652223999994</v>
      </c>
      <c r="B68">
        <v>29.507152351999999</v>
      </c>
      <c r="C68">
        <v>7509985</v>
      </c>
      <c r="D68" t="s">
        <v>5400</v>
      </c>
      <c r="E68" t="s">
        <v>5399</v>
      </c>
      <c r="F68">
        <v>1</v>
      </c>
      <c r="G68" t="s">
        <v>17372</v>
      </c>
      <c r="H68">
        <v>53074</v>
      </c>
      <c r="I68" t="str">
        <f t="shared" si="2"/>
        <v>TX0053074</v>
      </c>
      <c r="J68" t="str">
        <f>_xlfn.XLOOKUP(I68,TCEQ_Outfalls!A:A,TCEQ_Outfalls!A:A,"",0)</f>
        <v>TX0053074</v>
      </c>
      <c r="K68" t="s">
        <v>5388</v>
      </c>
      <c r="L68" t="s">
        <v>16</v>
      </c>
      <c r="M68" t="s">
        <v>15</v>
      </c>
      <c r="N68" t="s">
        <v>14</v>
      </c>
      <c r="O68" t="s">
        <v>873</v>
      </c>
      <c r="P68">
        <v>29.507152349999998</v>
      </c>
      <c r="Q68">
        <v>-98.298652219999994</v>
      </c>
      <c r="R68">
        <v>1902</v>
      </c>
      <c r="S68">
        <v>19</v>
      </c>
      <c r="T68">
        <v>13</v>
      </c>
      <c r="U68" t="s">
        <v>17365</v>
      </c>
      <c r="V68">
        <v>12</v>
      </c>
      <c r="W68" t="s">
        <v>17366</v>
      </c>
      <c r="X68">
        <v>20191021</v>
      </c>
      <c r="Y68" t="s">
        <v>17367</v>
      </c>
      <c r="Z68" t="s">
        <v>17368</v>
      </c>
      <c r="AA68" t="s">
        <v>17369</v>
      </c>
      <c r="AB68">
        <v>14</v>
      </c>
      <c r="AC68" t="s">
        <v>17372</v>
      </c>
    </row>
    <row r="69" spans="1:29" x14ac:dyDescent="0.25">
      <c r="A69">
        <v>-97.979735825999995</v>
      </c>
      <c r="B69">
        <v>29.232758876999998</v>
      </c>
      <c r="C69">
        <v>7507984</v>
      </c>
      <c r="D69" t="s">
        <v>7902</v>
      </c>
      <c r="E69" t="s">
        <v>7901</v>
      </c>
      <c r="F69">
        <v>1</v>
      </c>
      <c r="G69" t="s">
        <v>17372</v>
      </c>
      <c r="H69">
        <v>54232</v>
      </c>
      <c r="I69" t="str">
        <f t="shared" si="2"/>
        <v>TX0054232</v>
      </c>
      <c r="J69" t="str">
        <f>_xlfn.XLOOKUP(I69,TCEQ_Outfalls!A:A,TCEQ_Outfalls!A:A,"",0)</f>
        <v>TX0054232</v>
      </c>
      <c r="K69" t="s">
        <v>7899</v>
      </c>
      <c r="L69" t="s">
        <v>16</v>
      </c>
      <c r="M69" t="s">
        <v>28</v>
      </c>
      <c r="N69" t="s">
        <v>14</v>
      </c>
      <c r="O69" t="s">
        <v>3688</v>
      </c>
      <c r="P69">
        <v>29.232758879999999</v>
      </c>
      <c r="Q69">
        <v>-97.979735829999996</v>
      </c>
      <c r="R69">
        <v>1902</v>
      </c>
      <c r="S69">
        <v>19</v>
      </c>
      <c r="T69">
        <v>13</v>
      </c>
      <c r="U69" t="s">
        <v>17365</v>
      </c>
      <c r="V69">
        <v>12</v>
      </c>
      <c r="W69" t="s">
        <v>17366</v>
      </c>
      <c r="X69">
        <v>20190813</v>
      </c>
      <c r="Y69" t="s">
        <v>17367</v>
      </c>
      <c r="Z69" t="s">
        <v>17368</v>
      </c>
      <c r="AA69" t="s">
        <v>17369</v>
      </c>
      <c r="AB69">
        <v>14</v>
      </c>
      <c r="AC69" t="s">
        <v>17372</v>
      </c>
    </row>
    <row r="70" spans="1:29" x14ac:dyDescent="0.25">
      <c r="A70">
        <v>-98.410842591000005</v>
      </c>
      <c r="B70">
        <v>30.103154846999999</v>
      </c>
      <c r="C70">
        <v>7509528</v>
      </c>
      <c r="D70" t="s">
        <v>4820</v>
      </c>
      <c r="E70" t="s">
        <v>4819</v>
      </c>
      <c r="F70">
        <v>3</v>
      </c>
      <c r="G70" t="s">
        <v>284</v>
      </c>
      <c r="H70">
        <v>54623</v>
      </c>
      <c r="I70" t="str">
        <f t="shared" si="2"/>
        <v>TX0054623</v>
      </c>
      <c r="J70" t="str">
        <f>_xlfn.XLOOKUP(I70,TCEQ_Outfalls!A:A,TCEQ_Outfalls!A:A,"",0)</f>
        <v>TX0054623</v>
      </c>
      <c r="K70" t="s">
        <v>4817</v>
      </c>
      <c r="L70" t="s">
        <v>16</v>
      </c>
      <c r="M70" t="s">
        <v>15</v>
      </c>
      <c r="N70" t="s">
        <v>36</v>
      </c>
      <c r="O70" t="s">
        <v>4816</v>
      </c>
      <c r="P70">
        <v>30.103154849999999</v>
      </c>
      <c r="Q70">
        <v>-98.410842590000001</v>
      </c>
      <c r="R70">
        <v>1813</v>
      </c>
      <c r="S70">
        <v>18</v>
      </c>
      <c r="T70">
        <v>11</v>
      </c>
      <c r="U70" t="s">
        <v>17365</v>
      </c>
      <c r="V70">
        <v>12</v>
      </c>
      <c r="W70" t="s">
        <v>17366</v>
      </c>
      <c r="X70">
        <v>20170126</v>
      </c>
      <c r="Y70" t="s">
        <v>17367</v>
      </c>
      <c r="Z70" t="s">
        <v>17368</v>
      </c>
      <c r="AA70" t="s">
        <v>17369</v>
      </c>
      <c r="AB70">
        <v>14</v>
      </c>
    </row>
    <row r="71" spans="1:29" x14ac:dyDescent="0.25">
      <c r="A71">
        <v>-98.409007840000001</v>
      </c>
      <c r="B71">
        <v>30.102582259999998</v>
      </c>
      <c r="C71">
        <v>7509949</v>
      </c>
      <c r="D71" t="s">
        <v>5655</v>
      </c>
      <c r="E71" t="s">
        <v>4819</v>
      </c>
      <c r="F71">
        <v>1</v>
      </c>
      <c r="G71" t="s">
        <v>16</v>
      </c>
      <c r="H71">
        <v>54623</v>
      </c>
      <c r="I71" t="str">
        <f t="shared" si="2"/>
        <v>TX0054623</v>
      </c>
      <c r="J71" t="str">
        <f>_xlfn.XLOOKUP(I71,TCEQ_Outfalls!A:A,TCEQ_Outfalls!A:A,"",0)</f>
        <v>TX0054623</v>
      </c>
      <c r="K71" t="s">
        <v>4817</v>
      </c>
      <c r="L71" t="s">
        <v>16</v>
      </c>
      <c r="M71" t="s">
        <v>28</v>
      </c>
      <c r="N71" t="s">
        <v>36</v>
      </c>
      <c r="O71" t="s">
        <v>4816</v>
      </c>
      <c r="P71">
        <v>30.102582259999998</v>
      </c>
      <c r="Q71">
        <v>-98.409007840000001</v>
      </c>
      <c r="R71">
        <v>1813</v>
      </c>
      <c r="S71">
        <v>18</v>
      </c>
      <c r="T71">
        <v>11</v>
      </c>
      <c r="U71" t="s">
        <v>17365</v>
      </c>
      <c r="V71">
        <v>12</v>
      </c>
      <c r="W71" t="s">
        <v>17366</v>
      </c>
      <c r="X71">
        <v>20170126</v>
      </c>
      <c r="Y71" t="s">
        <v>17367</v>
      </c>
      <c r="Z71" t="s">
        <v>17368</v>
      </c>
      <c r="AA71" t="s">
        <v>17369</v>
      </c>
      <c r="AB71">
        <v>14</v>
      </c>
      <c r="AC71" t="s">
        <v>17372</v>
      </c>
    </row>
    <row r="72" spans="1:29" x14ac:dyDescent="0.25">
      <c r="A72">
        <v>-97.501425513000001</v>
      </c>
      <c r="B72">
        <v>28.971439783000001</v>
      </c>
      <c r="C72">
        <v>7508000</v>
      </c>
      <c r="D72" t="s">
        <v>7848</v>
      </c>
      <c r="E72" t="s">
        <v>7847</v>
      </c>
      <c r="F72">
        <v>1</v>
      </c>
      <c r="G72" t="s">
        <v>17372</v>
      </c>
      <c r="H72">
        <v>54631</v>
      </c>
      <c r="I72" t="str">
        <f t="shared" si="2"/>
        <v>TX0054631</v>
      </c>
      <c r="J72" t="str">
        <f>_xlfn.XLOOKUP(I72,TCEQ_Outfalls!A:A,TCEQ_Outfalls!A:A,"",0)</f>
        <v>TX0054631</v>
      </c>
      <c r="K72" t="s">
        <v>7845</v>
      </c>
      <c r="L72" t="s">
        <v>16</v>
      </c>
      <c r="M72" t="s">
        <v>28</v>
      </c>
      <c r="N72" t="s">
        <v>14</v>
      </c>
      <c r="O72" t="s">
        <v>7844</v>
      </c>
      <c r="P72">
        <v>28.971439780000001</v>
      </c>
      <c r="Q72">
        <v>-97.501425510000004</v>
      </c>
      <c r="R72">
        <v>1807</v>
      </c>
      <c r="S72">
        <v>18</v>
      </c>
      <c r="T72">
        <v>14</v>
      </c>
      <c r="U72" t="s">
        <v>17365</v>
      </c>
      <c r="V72">
        <v>12</v>
      </c>
      <c r="W72" t="s">
        <v>17366</v>
      </c>
      <c r="X72">
        <v>20191126</v>
      </c>
      <c r="Y72" t="s">
        <v>17367</v>
      </c>
      <c r="Z72" t="s">
        <v>17368</v>
      </c>
      <c r="AA72" t="s">
        <v>17369</v>
      </c>
      <c r="AB72">
        <v>14</v>
      </c>
      <c r="AC72" t="s">
        <v>17372</v>
      </c>
    </row>
    <row r="73" spans="1:29" x14ac:dyDescent="0.25">
      <c r="A73">
        <v>-98.021164307000006</v>
      </c>
      <c r="B73">
        <v>28.987933253000001</v>
      </c>
      <c r="C73">
        <v>7507306</v>
      </c>
      <c r="D73" t="s">
        <v>9679</v>
      </c>
      <c r="E73" t="s">
        <v>9678</v>
      </c>
      <c r="F73">
        <v>1</v>
      </c>
      <c r="G73" t="s">
        <v>17372</v>
      </c>
      <c r="H73">
        <v>54771</v>
      </c>
      <c r="I73" t="str">
        <f t="shared" si="2"/>
        <v>TX0054771</v>
      </c>
      <c r="J73" t="str">
        <f>_xlfn.XLOOKUP(I73,TCEQ_Outfalls!A:A,TCEQ_Outfalls!A:A,"",0)</f>
        <v>TX0054771</v>
      </c>
      <c r="K73" t="s">
        <v>9676</v>
      </c>
      <c r="L73" t="s">
        <v>16</v>
      </c>
      <c r="M73" t="s">
        <v>28</v>
      </c>
      <c r="N73" t="s">
        <v>27</v>
      </c>
      <c r="O73" t="s">
        <v>1853</v>
      </c>
      <c r="P73">
        <v>28.987933250000001</v>
      </c>
      <c r="Q73">
        <v>-98.021164310000003</v>
      </c>
      <c r="R73">
        <v>1901</v>
      </c>
      <c r="S73">
        <v>19</v>
      </c>
      <c r="T73">
        <v>13</v>
      </c>
      <c r="U73" t="s">
        <v>17365</v>
      </c>
      <c r="V73">
        <v>12</v>
      </c>
      <c r="W73" t="s">
        <v>17366</v>
      </c>
      <c r="X73">
        <v>20090915</v>
      </c>
      <c r="Y73" t="s">
        <v>17367</v>
      </c>
      <c r="Z73" t="s">
        <v>17368</v>
      </c>
      <c r="AA73" t="s">
        <v>17369</v>
      </c>
      <c r="AB73">
        <v>14</v>
      </c>
      <c r="AC73" t="s">
        <v>17372</v>
      </c>
    </row>
    <row r="74" spans="1:29" x14ac:dyDescent="0.25">
      <c r="A74">
        <v>-98.670100164999994</v>
      </c>
      <c r="B74">
        <v>29.398874521</v>
      </c>
      <c r="C74">
        <v>7508122</v>
      </c>
      <c r="D74" t="s">
        <v>7415</v>
      </c>
      <c r="E74" t="s">
        <v>7414</v>
      </c>
      <c r="F74">
        <v>1</v>
      </c>
      <c r="G74" t="s">
        <v>17372</v>
      </c>
      <c r="H74">
        <v>55689</v>
      </c>
      <c r="I74" t="str">
        <f t="shared" si="2"/>
        <v>TX0055689</v>
      </c>
      <c r="J74" t="str">
        <f>_xlfn.XLOOKUP(I74,TCEQ_Outfalls!A:A,TCEQ_Outfalls!A:A,"",0)</f>
        <v>TX0055689</v>
      </c>
      <c r="K74" t="s">
        <v>6631</v>
      </c>
      <c r="L74" t="s">
        <v>16</v>
      </c>
      <c r="M74" t="s">
        <v>15</v>
      </c>
      <c r="N74" t="s">
        <v>4968</v>
      </c>
      <c r="O74" t="s">
        <v>873</v>
      </c>
      <c r="P74">
        <v>29.39887452</v>
      </c>
      <c r="Q74">
        <v>-98.670100169999998</v>
      </c>
      <c r="R74">
        <v>1912</v>
      </c>
      <c r="S74">
        <v>19</v>
      </c>
      <c r="T74">
        <v>13</v>
      </c>
      <c r="U74" t="s">
        <v>17365</v>
      </c>
      <c r="V74">
        <v>12</v>
      </c>
      <c r="W74" t="s">
        <v>17366</v>
      </c>
      <c r="X74">
        <v>20191004</v>
      </c>
      <c r="Y74" t="s">
        <v>17367</v>
      </c>
      <c r="Z74" t="s">
        <v>17368</v>
      </c>
      <c r="AA74" t="s">
        <v>17369</v>
      </c>
      <c r="AB74">
        <v>14</v>
      </c>
      <c r="AC74" t="s">
        <v>17372</v>
      </c>
    </row>
    <row r="75" spans="1:29" x14ac:dyDescent="0.25">
      <c r="A75">
        <v>-98.172934998000002</v>
      </c>
      <c r="B75">
        <v>29.129154002</v>
      </c>
      <c r="C75">
        <v>7507219</v>
      </c>
      <c r="D75" t="s">
        <v>10283</v>
      </c>
      <c r="E75" t="s">
        <v>10282</v>
      </c>
      <c r="F75">
        <v>1</v>
      </c>
      <c r="G75" t="s">
        <v>17372</v>
      </c>
      <c r="H75">
        <v>56227</v>
      </c>
      <c r="I75" t="str">
        <f t="shared" si="2"/>
        <v>TX0056227</v>
      </c>
      <c r="J75" t="str">
        <f>_xlfn.XLOOKUP(I75,TCEQ_Outfalls!A:A,TCEQ_Outfalls!A:A,"",0)</f>
        <v>TX0056227</v>
      </c>
      <c r="K75" t="s">
        <v>10280</v>
      </c>
      <c r="L75" t="s">
        <v>16</v>
      </c>
      <c r="M75" t="s">
        <v>28</v>
      </c>
      <c r="N75" t="s">
        <v>60</v>
      </c>
      <c r="O75" t="s">
        <v>3688</v>
      </c>
      <c r="P75">
        <v>29.129154</v>
      </c>
      <c r="Q75">
        <v>-98.172934999999995</v>
      </c>
      <c r="R75">
        <v>1911</v>
      </c>
      <c r="S75">
        <v>19</v>
      </c>
      <c r="T75">
        <v>13</v>
      </c>
      <c r="U75" t="s">
        <v>17365</v>
      </c>
      <c r="V75">
        <v>12</v>
      </c>
      <c r="W75" t="s">
        <v>17366</v>
      </c>
      <c r="X75">
        <v>20070227</v>
      </c>
      <c r="Y75" t="s">
        <v>17367</v>
      </c>
      <c r="Z75" t="s">
        <v>17368</v>
      </c>
      <c r="AA75" t="s">
        <v>17369</v>
      </c>
      <c r="AB75">
        <v>14</v>
      </c>
      <c r="AC75" t="s">
        <v>17372</v>
      </c>
    </row>
    <row r="76" spans="1:29" x14ac:dyDescent="0.25">
      <c r="A76">
        <v>-97.324119636999995</v>
      </c>
      <c r="B76">
        <v>29.490493102999999</v>
      </c>
      <c r="C76">
        <v>7506425</v>
      </c>
      <c r="D76" t="s">
        <v>11992</v>
      </c>
      <c r="E76" t="s">
        <v>8254</v>
      </c>
      <c r="F76">
        <v>3</v>
      </c>
      <c r="H76">
        <v>57274</v>
      </c>
      <c r="I76" t="str">
        <f t="shared" si="2"/>
        <v>TX0057274</v>
      </c>
      <c r="J76" t="str">
        <f>_xlfn.XLOOKUP(I76,TCEQ_Outfalls!A:A,TCEQ_Outfalls!A:A,"",0)</f>
        <v>TX0057274</v>
      </c>
      <c r="K76" t="s">
        <v>17371</v>
      </c>
      <c r="L76" t="s">
        <v>16</v>
      </c>
      <c r="M76" t="s">
        <v>15</v>
      </c>
      <c r="N76" t="s">
        <v>14</v>
      </c>
      <c r="O76" t="s">
        <v>3079</v>
      </c>
      <c r="P76">
        <v>29.490493099999998</v>
      </c>
      <c r="Q76">
        <v>-97.324119640000006</v>
      </c>
      <c r="R76">
        <v>1803</v>
      </c>
      <c r="S76">
        <v>18</v>
      </c>
      <c r="T76">
        <v>14</v>
      </c>
      <c r="U76" t="s">
        <v>17365</v>
      </c>
      <c r="V76">
        <v>12</v>
      </c>
      <c r="W76" t="s">
        <v>17366</v>
      </c>
      <c r="X76">
        <v>20200226</v>
      </c>
      <c r="Y76" t="s">
        <v>17367</v>
      </c>
      <c r="Z76" t="s">
        <v>17368</v>
      </c>
      <c r="AA76" t="s">
        <v>17369</v>
      </c>
      <c r="AB76">
        <v>15</v>
      </c>
    </row>
    <row r="77" spans="1:29" x14ac:dyDescent="0.25">
      <c r="A77">
        <v>-97.337577671999995</v>
      </c>
      <c r="B77">
        <v>29.472684161</v>
      </c>
      <c r="C77">
        <v>7507861</v>
      </c>
      <c r="D77" t="s">
        <v>8255</v>
      </c>
      <c r="E77" t="s">
        <v>8254</v>
      </c>
      <c r="F77">
        <v>1</v>
      </c>
      <c r="G77" t="s">
        <v>17372</v>
      </c>
      <c r="H77">
        <v>57274</v>
      </c>
      <c r="I77" t="str">
        <f t="shared" si="2"/>
        <v>TX0057274</v>
      </c>
      <c r="J77" t="str">
        <f>_xlfn.XLOOKUP(I77,TCEQ_Outfalls!A:A,TCEQ_Outfalls!A:A,"",0)</f>
        <v>TX0057274</v>
      </c>
      <c r="K77" t="s">
        <v>17371</v>
      </c>
      <c r="L77" t="s">
        <v>16</v>
      </c>
      <c r="M77" t="s">
        <v>15</v>
      </c>
      <c r="N77" t="s">
        <v>14</v>
      </c>
      <c r="O77" t="s">
        <v>3079</v>
      </c>
      <c r="P77">
        <v>29.47268416</v>
      </c>
      <c r="Q77">
        <v>-97.337577670000002</v>
      </c>
      <c r="R77">
        <v>1803</v>
      </c>
      <c r="S77">
        <v>18</v>
      </c>
      <c r="T77">
        <v>14</v>
      </c>
      <c r="U77" t="s">
        <v>17365</v>
      </c>
      <c r="V77">
        <v>12</v>
      </c>
      <c r="W77" t="s">
        <v>17366</v>
      </c>
      <c r="X77">
        <v>20200226</v>
      </c>
      <c r="Y77" t="s">
        <v>17367</v>
      </c>
      <c r="Z77" t="s">
        <v>17368</v>
      </c>
      <c r="AA77" t="s">
        <v>17369</v>
      </c>
      <c r="AB77">
        <v>14</v>
      </c>
      <c r="AC77" t="s">
        <v>17372</v>
      </c>
    </row>
    <row r="78" spans="1:29" x14ac:dyDescent="0.25">
      <c r="A78">
        <v>-97.789000248999997</v>
      </c>
      <c r="B78">
        <v>30.085000588</v>
      </c>
      <c r="C78">
        <v>7509295</v>
      </c>
      <c r="D78" t="s">
        <v>1532</v>
      </c>
      <c r="E78" t="s">
        <v>756</v>
      </c>
      <c r="F78">
        <v>2</v>
      </c>
      <c r="H78">
        <v>57436</v>
      </c>
      <c r="I78" t="str">
        <f t="shared" si="2"/>
        <v>TX0057436</v>
      </c>
      <c r="J78" t="str">
        <f>_xlfn.XLOOKUP(I78,TCEQ_Outfalls!A:A,TCEQ_Outfalls!A:A,"",0)</f>
        <v>TX0057436</v>
      </c>
      <c r="K78" t="s">
        <v>754</v>
      </c>
      <c r="L78" t="s">
        <v>16</v>
      </c>
      <c r="M78" t="s">
        <v>15</v>
      </c>
      <c r="N78" t="s">
        <v>14</v>
      </c>
      <c r="O78" t="s">
        <v>753</v>
      </c>
      <c r="P78">
        <v>30.08500059</v>
      </c>
      <c r="Q78">
        <v>-97.789000250000001</v>
      </c>
      <c r="R78">
        <v>1810</v>
      </c>
      <c r="S78">
        <v>18</v>
      </c>
      <c r="T78">
        <v>11</v>
      </c>
      <c r="U78" t="s">
        <v>17365</v>
      </c>
      <c r="V78">
        <v>12</v>
      </c>
      <c r="W78" t="s">
        <v>17366</v>
      </c>
      <c r="X78">
        <v>20191003</v>
      </c>
      <c r="Y78" t="s">
        <v>17367</v>
      </c>
      <c r="Z78" t="s">
        <v>17368</v>
      </c>
      <c r="AA78" t="s">
        <v>17369</v>
      </c>
      <c r="AB78">
        <v>14</v>
      </c>
    </row>
    <row r="79" spans="1:29" x14ac:dyDescent="0.25">
      <c r="A79">
        <v>-97.836640248999998</v>
      </c>
      <c r="B79">
        <v>30.057910656000001</v>
      </c>
      <c r="C79">
        <v>7509355</v>
      </c>
      <c r="D79" t="s">
        <v>757</v>
      </c>
      <c r="E79" t="s">
        <v>756</v>
      </c>
      <c r="F79">
        <v>1</v>
      </c>
      <c r="G79" t="s">
        <v>17372</v>
      </c>
      <c r="H79">
        <v>57436</v>
      </c>
      <c r="I79" t="str">
        <f t="shared" si="2"/>
        <v>TX0057436</v>
      </c>
      <c r="J79" t="str">
        <f>_xlfn.XLOOKUP(I79,TCEQ_Outfalls!A:A,TCEQ_Outfalls!A:A,"",0)</f>
        <v>TX0057436</v>
      </c>
      <c r="K79" t="s">
        <v>754</v>
      </c>
      <c r="L79" t="s">
        <v>16</v>
      </c>
      <c r="M79" t="s">
        <v>15</v>
      </c>
      <c r="N79" t="s">
        <v>14</v>
      </c>
      <c r="O79" t="s">
        <v>753</v>
      </c>
      <c r="P79">
        <v>30.057910660000001</v>
      </c>
      <c r="Q79">
        <v>-97.836640250000002</v>
      </c>
      <c r="R79">
        <v>1810</v>
      </c>
      <c r="S79">
        <v>18</v>
      </c>
      <c r="T79">
        <v>11</v>
      </c>
      <c r="U79" t="s">
        <v>17365</v>
      </c>
      <c r="V79">
        <v>12</v>
      </c>
      <c r="W79" t="s">
        <v>17366</v>
      </c>
      <c r="X79">
        <v>20191003</v>
      </c>
      <c r="Y79" t="s">
        <v>17367</v>
      </c>
      <c r="Z79" t="s">
        <v>17368</v>
      </c>
      <c r="AA79" t="s">
        <v>17369</v>
      </c>
      <c r="AB79">
        <v>14</v>
      </c>
      <c r="AC79" t="s">
        <v>17372</v>
      </c>
    </row>
    <row r="80" spans="1:29" x14ac:dyDescent="0.25">
      <c r="A80">
        <v>-98.334302144999995</v>
      </c>
      <c r="B80">
        <v>29.312903466000002</v>
      </c>
      <c r="C80">
        <v>7507511</v>
      </c>
      <c r="D80" t="s">
        <v>9380</v>
      </c>
      <c r="E80" t="s">
        <v>3996</v>
      </c>
      <c r="F80">
        <v>1</v>
      </c>
      <c r="G80" t="s">
        <v>17372</v>
      </c>
      <c r="H80">
        <v>63681</v>
      </c>
      <c r="I80" t="str">
        <f t="shared" si="2"/>
        <v>TX0063681</v>
      </c>
      <c r="J80" t="str">
        <f>_xlfn.XLOOKUP(I80,TCEQ_Outfalls!A:A,TCEQ_Outfalls!A:A,"",0)</f>
        <v>TX0063681</v>
      </c>
      <c r="K80" t="s">
        <v>1839</v>
      </c>
      <c r="L80" t="s">
        <v>16</v>
      </c>
      <c r="M80" t="s">
        <v>15</v>
      </c>
      <c r="N80" t="s">
        <v>14</v>
      </c>
      <c r="O80" t="s">
        <v>873</v>
      </c>
      <c r="P80">
        <v>29.312903469999998</v>
      </c>
      <c r="Q80">
        <v>-98.334302149999999</v>
      </c>
      <c r="R80">
        <v>1911</v>
      </c>
      <c r="S80">
        <v>19</v>
      </c>
      <c r="T80">
        <v>13</v>
      </c>
      <c r="U80" t="s">
        <v>17365</v>
      </c>
      <c r="V80">
        <v>12</v>
      </c>
      <c r="W80" t="s">
        <v>17366</v>
      </c>
      <c r="X80">
        <v>20210816</v>
      </c>
      <c r="Y80" t="s">
        <v>17367</v>
      </c>
      <c r="Z80" t="s">
        <v>17368</v>
      </c>
      <c r="AA80" t="s">
        <v>17369</v>
      </c>
      <c r="AB80">
        <v>14</v>
      </c>
      <c r="AC80" t="s">
        <v>17372</v>
      </c>
    </row>
    <row r="81" spans="1:29" x14ac:dyDescent="0.25">
      <c r="A81">
        <v>-98.327273998999999</v>
      </c>
      <c r="B81">
        <v>29.305329301</v>
      </c>
      <c r="C81">
        <v>7507512</v>
      </c>
      <c r="D81" t="s">
        <v>9379</v>
      </c>
      <c r="E81" t="s">
        <v>3996</v>
      </c>
      <c r="F81">
        <v>2</v>
      </c>
      <c r="G81" t="s">
        <v>17372</v>
      </c>
      <c r="H81">
        <v>63681</v>
      </c>
      <c r="I81" t="str">
        <f t="shared" si="2"/>
        <v>TX0063681</v>
      </c>
      <c r="J81" t="str">
        <f>_xlfn.XLOOKUP(I81,TCEQ_Outfalls!A:A,TCEQ_Outfalls!A:A,"",0)</f>
        <v>TX0063681</v>
      </c>
      <c r="K81" t="s">
        <v>1839</v>
      </c>
      <c r="L81" t="s">
        <v>16</v>
      </c>
      <c r="M81" t="s">
        <v>15</v>
      </c>
      <c r="N81" t="s">
        <v>14</v>
      </c>
      <c r="O81" t="s">
        <v>873</v>
      </c>
      <c r="P81">
        <v>29.3053293</v>
      </c>
      <c r="Q81">
        <v>-98.327274000000003</v>
      </c>
      <c r="R81">
        <v>1911</v>
      </c>
      <c r="S81">
        <v>19</v>
      </c>
      <c r="T81">
        <v>13</v>
      </c>
      <c r="U81" t="s">
        <v>17365</v>
      </c>
      <c r="V81">
        <v>12</v>
      </c>
      <c r="W81" t="s">
        <v>17366</v>
      </c>
      <c r="X81">
        <v>20210816</v>
      </c>
      <c r="Y81" t="s">
        <v>17367</v>
      </c>
      <c r="Z81" t="s">
        <v>17368</v>
      </c>
      <c r="AA81" t="s">
        <v>17369</v>
      </c>
      <c r="AB81">
        <v>14</v>
      </c>
      <c r="AC81" t="s">
        <v>17372</v>
      </c>
    </row>
    <row r="82" spans="1:29" x14ac:dyDescent="0.25">
      <c r="A82">
        <v>-98.325719579999998</v>
      </c>
      <c r="B82">
        <v>29.303434217</v>
      </c>
      <c r="C82">
        <v>7507513</v>
      </c>
      <c r="D82" t="s">
        <v>9378</v>
      </c>
      <c r="E82" t="s">
        <v>3996</v>
      </c>
      <c r="F82">
        <v>6</v>
      </c>
      <c r="G82" t="s">
        <v>17372</v>
      </c>
      <c r="H82">
        <v>63681</v>
      </c>
      <c r="I82" t="str">
        <f t="shared" si="2"/>
        <v>TX0063681</v>
      </c>
      <c r="J82" t="str">
        <f>_xlfn.XLOOKUP(I82,TCEQ_Outfalls!A:A,TCEQ_Outfalls!A:A,"",0)</f>
        <v>TX0063681</v>
      </c>
      <c r="K82" t="s">
        <v>1839</v>
      </c>
      <c r="L82" t="s">
        <v>16</v>
      </c>
      <c r="M82" t="s">
        <v>430</v>
      </c>
      <c r="N82" t="s">
        <v>14</v>
      </c>
      <c r="O82" t="s">
        <v>873</v>
      </c>
      <c r="P82">
        <v>29.30343422</v>
      </c>
      <c r="Q82">
        <v>-98.325719579999998</v>
      </c>
      <c r="R82">
        <v>1911</v>
      </c>
      <c r="S82">
        <v>19</v>
      </c>
      <c r="T82">
        <v>13</v>
      </c>
      <c r="U82" t="s">
        <v>17365</v>
      </c>
      <c r="V82">
        <v>12</v>
      </c>
      <c r="W82" t="s">
        <v>17366</v>
      </c>
      <c r="X82">
        <v>20210816</v>
      </c>
      <c r="Y82" t="s">
        <v>17367</v>
      </c>
      <c r="Z82" t="s">
        <v>17368</v>
      </c>
      <c r="AA82" t="s">
        <v>17369</v>
      </c>
      <c r="AB82">
        <v>14</v>
      </c>
      <c r="AC82" t="s">
        <v>17372</v>
      </c>
    </row>
    <row r="83" spans="1:29" x14ac:dyDescent="0.25">
      <c r="A83">
        <v>-98.297921149000004</v>
      </c>
      <c r="B83">
        <v>29.333722367</v>
      </c>
      <c r="C83">
        <v>7507514</v>
      </c>
      <c r="D83" t="s">
        <v>9377</v>
      </c>
      <c r="E83" t="s">
        <v>3996</v>
      </c>
      <c r="F83">
        <v>7</v>
      </c>
      <c r="G83" t="s">
        <v>17372</v>
      </c>
      <c r="H83">
        <v>63681</v>
      </c>
      <c r="I83" t="str">
        <f t="shared" si="2"/>
        <v>TX0063681</v>
      </c>
      <c r="J83" t="str">
        <f>_xlfn.XLOOKUP(I83,TCEQ_Outfalls!A:A,TCEQ_Outfalls!A:A,"",0)</f>
        <v>TX0063681</v>
      </c>
      <c r="K83" t="s">
        <v>1839</v>
      </c>
      <c r="L83" t="s">
        <v>16</v>
      </c>
      <c r="M83" t="s">
        <v>15</v>
      </c>
      <c r="N83" t="s">
        <v>14</v>
      </c>
      <c r="O83" t="s">
        <v>873</v>
      </c>
      <c r="P83">
        <v>29.33372237</v>
      </c>
      <c r="Q83">
        <v>-98.297921149999993</v>
      </c>
      <c r="R83">
        <v>1911</v>
      </c>
      <c r="S83">
        <v>19</v>
      </c>
      <c r="T83">
        <v>13</v>
      </c>
      <c r="U83" t="s">
        <v>17365</v>
      </c>
      <c r="V83">
        <v>12</v>
      </c>
      <c r="W83" t="s">
        <v>17366</v>
      </c>
      <c r="X83">
        <v>20210816</v>
      </c>
      <c r="Y83" t="s">
        <v>17367</v>
      </c>
      <c r="Z83" t="s">
        <v>17368</v>
      </c>
      <c r="AA83" t="s">
        <v>17369</v>
      </c>
      <c r="AB83">
        <v>14</v>
      </c>
      <c r="AC83" t="s">
        <v>17372</v>
      </c>
    </row>
    <row r="84" spans="1:29" x14ac:dyDescent="0.25">
      <c r="A84">
        <v>-98.324921880999995</v>
      </c>
      <c r="B84">
        <v>29.302489955999999</v>
      </c>
      <c r="C84">
        <v>7507518</v>
      </c>
      <c r="D84" t="s">
        <v>9367</v>
      </c>
      <c r="E84" t="s">
        <v>3996</v>
      </c>
      <c r="F84">
        <v>14</v>
      </c>
      <c r="G84" t="s">
        <v>17372</v>
      </c>
      <c r="H84">
        <v>63681</v>
      </c>
      <c r="I84" t="str">
        <f t="shared" si="2"/>
        <v>TX0063681</v>
      </c>
      <c r="J84" t="str">
        <f>_xlfn.XLOOKUP(I84,TCEQ_Outfalls!A:A,TCEQ_Outfalls!A:A,"",0)</f>
        <v>TX0063681</v>
      </c>
      <c r="K84" t="s">
        <v>1839</v>
      </c>
      <c r="L84" t="s">
        <v>16</v>
      </c>
      <c r="M84" t="s">
        <v>430</v>
      </c>
      <c r="N84" t="s">
        <v>14</v>
      </c>
      <c r="O84" t="s">
        <v>873</v>
      </c>
      <c r="P84">
        <v>29.302489959999999</v>
      </c>
      <c r="Q84">
        <v>-98.324921880000005</v>
      </c>
      <c r="R84">
        <v>1911</v>
      </c>
      <c r="S84">
        <v>19</v>
      </c>
      <c r="T84">
        <v>13</v>
      </c>
      <c r="U84" t="s">
        <v>17365</v>
      </c>
      <c r="V84">
        <v>12</v>
      </c>
      <c r="W84" t="s">
        <v>17366</v>
      </c>
      <c r="X84">
        <v>20210816</v>
      </c>
      <c r="Y84" t="s">
        <v>17367</v>
      </c>
      <c r="Z84" t="s">
        <v>17368</v>
      </c>
      <c r="AA84" t="s">
        <v>17369</v>
      </c>
      <c r="AB84">
        <v>14</v>
      </c>
      <c r="AC84" t="s">
        <v>17372</v>
      </c>
    </row>
    <row r="85" spans="1:29" x14ac:dyDescent="0.25">
      <c r="A85">
        <v>-98.324092824000004</v>
      </c>
      <c r="B85">
        <v>29.301087300999999</v>
      </c>
      <c r="C85">
        <v>7509527</v>
      </c>
      <c r="D85" t="s">
        <v>3997</v>
      </c>
      <c r="E85" t="s">
        <v>3996</v>
      </c>
      <c r="F85">
        <v>15</v>
      </c>
      <c r="H85">
        <v>63681</v>
      </c>
      <c r="I85" t="str">
        <f t="shared" si="2"/>
        <v>TX0063681</v>
      </c>
      <c r="J85" t="str">
        <f>_xlfn.XLOOKUP(I85,TCEQ_Outfalls!A:A,TCEQ_Outfalls!A:A,"",0)</f>
        <v>TX0063681</v>
      </c>
      <c r="K85" t="s">
        <v>1839</v>
      </c>
      <c r="L85" t="s">
        <v>16</v>
      </c>
      <c r="M85" t="s">
        <v>430</v>
      </c>
      <c r="N85" t="s">
        <v>14</v>
      </c>
      <c r="O85" t="s">
        <v>873</v>
      </c>
      <c r="P85">
        <v>29.301087299999999</v>
      </c>
      <c r="Q85">
        <v>-98.324092820000004</v>
      </c>
      <c r="R85">
        <v>1911</v>
      </c>
      <c r="S85">
        <v>19</v>
      </c>
      <c r="T85">
        <v>13</v>
      </c>
      <c r="U85" t="s">
        <v>17365</v>
      </c>
      <c r="V85">
        <v>12</v>
      </c>
      <c r="W85" t="s">
        <v>17366</v>
      </c>
      <c r="X85">
        <v>20210816</v>
      </c>
      <c r="Y85" t="s">
        <v>17367</v>
      </c>
      <c r="Z85" t="s">
        <v>17368</v>
      </c>
      <c r="AA85" t="s">
        <v>17369</v>
      </c>
      <c r="AB85">
        <v>14</v>
      </c>
    </row>
    <row r="86" spans="1:29" x14ac:dyDescent="0.25">
      <c r="A86">
        <v>-98.322986396999994</v>
      </c>
      <c r="B86">
        <v>29.298631199999999</v>
      </c>
      <c r="C86">
        <v>7509531</v>
      </c>
      <c r="D86" t="s">
        <v>4807</v>
      </c>
      <c r="E86" t="s">
        <v>3996</v>
      </c>
      <c r="F86">
        <v>16</v>
      </c>
      <c r="H86">
        <v>63681</v>
      </c>
      <c r="I86" t="str">
        <f t="shared" si="2"/>
        <v>TX0063681</v>
      </c>
      <c r="J86" t="str">
        <f>_xlfn.XLOOKUP(I86,TCEQ_Outfalls!A:A,TCEQ_Outfalls!A:A,"",0)</f>
        <v>TX0063681</v>
      </c>
      <c r="K86" t="s">
        <v>1839</v>
      </c>
      <c r="L86" t="s">
        <v>16</v>
      </c>
      <c r="M86" t="s">
        <v>430</v>
      </c>
      <c r="N86" t="s">
        <v>14</v>
      </c>
      <c r="O86" t="s">
        <v>873</v>
      </c>
      <c r="P86">
        <v>29.298631199999999</v>
      </c>
      <c r="Q86">
        <v>-98.322986400000005</v>
      </c>
      <c r="R86">
        <v>1911</v>
      </c>
      <c r="S86">
        <v>19</v>
      </c>
      <c r="T86">
        <v>13</v>
      </c>
      <c r="U86" t="s">
        <v>17365</v>
      </c>
      <c r="V86">
        <v>12</v>
      </c>
      <c r="W86" t="s">
        <v>17366</v>
      </c>
      <c r="X86">
        <v>20210816</v>
      </c>
      <c r="Y86" t="s">
        <v>17367</v>
      </c>
      <c r="Z86" t="s">
        <v>17368</v>
      </c>
      <c r="AA86" t="s">
        <v>17369</v>
      </c>
      <c r="AB86">
        <v>14</v>
      </c>
    </row>
    <row r="87" spans="1:29" x14ac:dyDescent="0.25">
      <c r="A87">
        <v>-98.321888806000004</v>
      </c>
      <c r="B87">
        <v>29.296132543999999</v>
      </c>
      <c r="C87">
        <v>7509532</v>
      </c>
      <c r="D87" t="s">
        <v>4805</v>
      </c>
      <c r="E87" t="s">
        <v>3996</v>
      </c>
      <c r="F87">
        <v>17</v>
      </c>
      <c r="H87">
        <v>63681</v>
      </c>
      <c r="I87" t="str">
        <f t="shared" si="2"/>
        <v>TX0063681</v>
      </c>
      <c r="J87" t="str">
        <f>_xlfn.XLOOKUP(I87,TCEQ_Outfalls!A:A,TCEQ_Outfalls!A:A,"",0)</f>
        <v>TX0063681</v>
      </c>
      <c r="K87" t="s">
        <v>1839</v>
      </c>
      <c r="L87" t="s">
        <v>16</v>
      </c>
      <c r="M87" t="s">
        <v>430</v>
      </c>
      <c r="N87" t="s">
        <v>14</v>
      </c>
      <c r="O87" t="s">
        <v>873</v>
      </c>
      <c r="P87">
        <v>29.296132539999999</v>
      </c>
      <c r="Q87">
        <v>-98.321888810000004</v>
      </c>
      <c r="R87">
        <v>1911</v>
      </c>
      <c r="S87">
        <v>19</v>
      </c>
      <c r="T87">
        <v>13</v>
      </c>
      <c r="U87" t="s">
        <v>17365</v>
      </c>
      <c r="V87">
        <v>12</v>
      </c>
      <c r="W87" t="s">
        <v>17366</v>
      </c>
      <c r="X87">
        <v>20210816</v>
      </c>
      <c r="Y87" t="s">
        <v>17367</v>
      </c>
      <c r="Z87" t="s">
        <v>17368</v>
      </c>
      <c r="AA87" t="s">
        <v>17369</v>
      </c>
      <c r="AB87">
        <v>14</v>
      </c>
    </row>
    <row r="88" spans="1:29" x14ac:dyDescent="0.25">
      <c r="A88">
        <v>-98.314355324000005</v>
      </c>
      <c r="B88">
        <v>29.309330104000001</v>
      </c>
      <c r="C88">
        <v>7509533</v>
      </c>
      <c r="D88" t="s">
        <v>4804</v>
      </c>
      <c r="E88" t="s">
        <v>3996</v>
      </c>
      <c r="F88">
        <v>18</v>
      </c>
      <c r="H88">
        <v>63681</v>
      </c>
      <c r="I88" t="str">
        <f t="shared" si="2"/>
        <v>TX0063681</v>
      </c>
      <c r="J88" t="str">
        <f>_xlfn.XLOOKUP(I88,TCEQ_Outfalls!A:A,TCEQ_Outfalls!A:A,"",0)</f>
        <v>TX0063681</v>
      </c>
      <c r="K88" t="s">
        <v>1839</v>
      </c>
      <c r="L88" t="s">
        <v>16</v>
      </c>
      <c r="M88" t="s">
        <v>430</v>
      </c>
      <c r="N88" t="s">
        <v>14</v>
      </c>
      <c r="O88" t="s">
        <v>873</v>
      </c>
      <c r="P88">
        <v>29.3093301</v>
      </c>
      <c r="Q88">
        <v>-98.314355320000004</v>
      </c>
      <c r="R88">
        <v>1911</v>
      </c>
      <c r="S88">
        <v>19</v>
      </c>
      <c r="T88">
        <v>13</v>
      </c>
      <c r="U88" t="s">
        <v>17365</v>
      </c>
      <c r="V88">
        <v>12</v>
      </c>
      <c r="W88" t="s">
        <v>17366</v>
      </c>
      <c r="X88">
        <v>20210816</v>
      </c>
      <c r="Y88" t="s">
        <v>17367</v>
      </c>
      <c r="Z88" t="s">
        <v>17368</v>
      </c>
      <c r="AA88" t="s">
        <v>17369</v>
      </c>
      <c r="AB88">
        <v>14</v>
      </c>
    </row>
    <row r="89" spans="1:29" x14ac:dyDescent="0.25">
      <c r="A89">
        <v>-98.387495767000004</v>
      </c>
      <c r="B89">
        <v>29.262754996999998</v>
      </c>
      <c r="C89">
        <v>7507519</v>
      </c>
      <c r="D89" t="s">
        <v>9366</v>
      </c>
      <c r="E89" t="s">
        <v>1842</v>
      </c>
      <c r="F89">
        <v>3</v>
      </c>
      <c r="G89" t="s">
        <v>17372</v>
      </c>
      <c r="H89">
        <v>63690</v>
      </c>
      <c r="I89" t="str">
        <f t="shared" si="2"/>
        <v>TX0063690</v>
      </c>
      <c r="J89" t="str">
        <f>_xlfn.XLOOKUP(I89,TCEQ_Outfalls!A:A,TCEQ_Outfalls!A:A,"",0)</f>
        <v>TX0063690</v>
      </c>
      <c r="K89" t="s">
        <v>1839</v>
      </c>
      <c r="L89" t="s">
        <v>16</v>
      </c>
      <c r="M89" t="s">
        <v>430</v>
      </c>
      <c r="N89" t="s">
        <v>14</v>
      </c>
      <c r="O89" t="s">
        <v>873</v>
      </c>
      <c r="P89">
        <v>29.262754999999999</v>
      </c>
      <c r="Q89">
        <v>-98.387495770000001</v>
      </c>
      <c r="R89">
        <v>1911</v>
      </c>
      <c r="S89">
        <v>19</v>
      </c>
      <c r="T89">
        <v>13</v>
      </c>
      <c r="U89" t="s">
        <v>17365</v>
      </c>
      <c r="V89">
        <v>12</v>
      </c>
      <c r="W89" t="s">
        <v>17366</v>
      </c>
      <c r="X89">
        <v>20190218</v>
      </c>
      <c r="Y89" t="s">
        <v>17367</v>
      </c>
      <c r="Z89" t="s">
        <v>17368</v>
      </c>
      <c r="AA89" t="s">
        <v>17369</v>
      </c>
      <c r="AB89">
        <v>14</v>
      </c>
      <c r="AC89" t="s">
        <v>17372</v>
      </c>
    </row>
    <row r="90" spans="1:29" x14ac:dyDescent="0.25">
      <c r="A90">
        <v>-98.385498139999996</v>
      </c>
      <c r="B90">
        <v>29.256494121999999</v>
      </c>
      <c r="C90">
        <v>7507521</v>
      </c>
      <c r="D90" t="s">
        <v>9274</v>
      </c>
      <c r="E90" t="s">
        <v>1842</v>
      </c>
      <c r="F90">
        <v>1</v>
      </c>
      <c r="G90" t="s">
        <v>17372</v>
      </c>
      <c r="H90">
        <v>63690</v>
      </c>
      <c r="I90" t="str">
        <f t="shared" si="2"/>
        <v>TX0063690</v>
      </c>
      <c r="J90" t="str">
        <f>_xlfn.XLOOKUP(I90,TCEQ_Outfalls!A:A,TCEQ_Outfalls!A:A,"",0)</f>
        <v>TX0063690</v>
      </c>
      <c r="K90" t="s">
        <v>1839</v>
      </c>
      <c r="L90" t="s">
        <v>16</v>
      </c>
      <c r="M90" t="s">
        <v>16</v>
      </c>
      <c r="N90" t="s">
        <v>14</v>
      </c>
      <c r="O90" t="s">
        <v>873</v>
      </c>
      <c r="P90">
        <v>29.256494119999999</v>
      </c>
      <c r="Q90">
        <v>-98.385498139999996</v>
      </c>
      <c r="R90">
        <v>1911</v>
      </c>
      <c r="S90">
        <v>19</v>
      </c>
      <c r="T90">
        <v>13</v>
      </c>
      <c r="U90" t="s">
        <v>17365</v>
      </c>
      <c r="V90">
        <v>12</v>
      </c>
      <c r="W90" t="s">
        <v>17366</v>
      </c>
      <c r="X90">
        <v>20190218</v>
      </c>
      <c r="Y90" t="s">
        <v>17367</v>
      </c>
      <c r="Z90" t="s">
        <v>17368</v>
      </c>
      <c r="AA90" t="s">
        <v>17369</v>
      </c>
      <c r="AB90">
        <v>14</v>
      </c>
      <c r="AC90" t="s">
        <v>17372</v>
      </c>
    </row>
    <row r="91" spans="1:29" x14ac:dyDescent="0.25">
      <c r="A91">
        <v>-98.385659586000003</v>
      </c>
      <c r="B91">
        <v>29.258506301000001</v>
      </c>
      <c r="C91">
        <v>7508932</v>
      </c>
      <c r="D91" t="s">
        <v>3138</v>
      </c>
      <c r="E91" t="s">
        <v>1842</v>
      </c>
      <c r="F91">
        <v>6</v>
      </c>
      <c r="G91" t="s">
        <v>17372</v>
      </c>
      <c r="H91">
        <v>63690</v>
      </c>
      <c r="I91" t="str">
        <f t="shared" si="2"/>
        <v>TX0063690</v>
      </c>
      <c r="J91" t="str">
        <f>_xlfn.XLOOKUP(I91,TCEQ_Outfalls!A:A,TCEQ_Outfalls!A:A,"",0)</f>
        <v>TX0063690</v>
      </c>
      <c r="K91" t="s">
        <v>1839</v>
      </c>
      <c r="L91" t="s">
        <v>16</v>
      </c>
      <c r="M91" t="s">
        <v>430</v>
      </c>
      <c r="N91" t="s">
        <v>14</v>
      </c>
      <c r="O91" t="s">
        <v>873</v>
      </c>
      <c r="P91">
        <v>29.258506300000001</v>
      </c>
      <c r="Q91">
        <v>-98.385659590000003</v>
      </c>
      <c r="R91">
        <v>1911</v>
      </c>
      <c r="S91">
        <v>19</v>
      </c>
      <c r="T91">
        <v>13</v>
      </c>
      <c r="U91" t="s">
        <v>17365</v>
      </c>
      <c r="V91">
        <v>12</v>
      </c>
      <c r="W91" t="s">
        <v>17366</v>
      </c>
      <c r="X91">
        <v>20190218</v>
      </c>
      <c r="Y91" t="s">
        <v>17367</v>
      </c>
      <c r="Z91" t="s">
        <v>17368</v>
      </c>
      <c r="AA91" t="s">
        <v>17369</v>
      </c>
      <c r="AB91">
        <v>14</v>
      </c>
      <c r="AC91" t="s">
        <v>17372</v>
      </c>
    </row>
    <row r="92" spans="1:29" x14ac:dyDescent="0.25">
      <c r="A92">
        <v>-98.385609884999994</v>
      </c>
      <c r="B92">
        <v>29.257652124</v>
      </c>
      <c r="C92">
        <v>7509005</v>
      </c>
      <c r="D92" t="s">
        <v>1848</v>
      </c>
      <c r="E92" t="s">
        <v>1842</v>
      </c>
      <c r="F92">
        <v>7</v>
      </c>
      <c r="G92" t="s">
        <v>17372</v>
      </c>
      <c r="H92">
        <v>63690</v>
      </c>
      <c r="I92" t="str">
        <f t="shared" si="2"/>
        <v>TX0063690</v>
      </c>
      <c r="J92" t="str">
        <f>_xlfn.XLOOKUP(I92,TCEQ_Outfalls!A:A,TCEQ_Outfalls!A:A,"",0)</f>
        <v>TX0063690</v>
      </c>
      <c r="K92" t="s">
        <v>1839</v>
      </c>
      <c r="L92" t="s">
        <v>16</v>
      </c>
      <c r="M92" t="s">
        <v>430</v>
      </c>
      <c r="N92" t="s">
        <v>14</v>
      </c>
      <c r="O92" t="s">
        <v>873</v>
      </c>
      <c r="P92">
        <v>29.257652119999999</v>
      </c>
      <c r="Q92">
        <v>-98.385609889999998</v>
      </c>
      <c r="R92">
        <v>1911</v>
      </c>
      <c r="S92">
        <v>19</v>
      </c>
      <c r="T92">
        <v>13</v>
      </c>
      <c r="U92" t="s">
        <v>17365</v>
      </c>
      <c r="V92">
        <v>12</v>
      </c>
      <c r="W92" t="s">
        <v>17366</v>
      </c>
      <c r="X92">
        <v>20190218</v>
      </c>
      <c r="Y92" t="s">
        <v>17367</v>
      </c>
      <c r="Z92" t="s">
        <v>17368</v>
      </c>
      <c r="AA92" t="s">
        <v>17369</v>
      </c>
      <c r="AB92">
        <v>14</v>
      </c>
      <c r="AC92" t="s">
        <v>17372</v>
      </c>
    </row>
    <row r="93" spans="1:29" x14ac:dyDescent="0.25">
      <c r="A93">
        <v>-98.385373998000006</v>
      </c>
      <c r="B93">
        <v>29.256805001</v>
      </c>
      <c r="C93">
        <v>7509006</v>
      </c>
      <c r="D93" t="s">
        <v>1847</v>
      </c>
      <c r="E93" t="s">
        <v>1842</v>
      </c>
      <c r="F93">
        <v>8</v>
      </c>
      <c r="G93" t="s">
        <v>17372</v>
      </c>
      <c r="H93">
        <v>63690</v>
      </c>
      <c r="I93" t="str">
        <f t="shared" si="2"/>
        <v>TX0063690</v>
      </c>
      <c r="J93" t="str">
        <f>_xlfn.XLOOKUP(I93,TCEQ_Outfalls!A:A,TCEQ_Outfalls!A:A,"",0)</f>
        <v>TX0063690</v>
      </c>
      <c r="K93" t="s">
        <v>1839</v>
      </c>
      <c r="L93" t="s">
        <v>16</v>
      </c>
      <c r="M93" t="s">
        <v>430</v>
      </c>
      <c r="N93" t="s">
        <v>14</v>
      </c>
      <c r="O93" t="s">
        <v>873</v>
      </c>
      <c r="P93">
        <v>29.256805</v>
      </c>
      <c r="Q93">
        <v>-98.385373999999999</v>
      </c>
      <c r="R93">
        <v>1911</v>
      </c>
      <c r="S93">
        <v>19</v>
      </c>
      <c r="T93">
        <v>13</v>
      </c>
      <c r="U93" t="s">
        <v>17365</v>
      </c>
      <c r="V93">
        <v>12</v>
      </c>
      <c r="W93" t="s">
        <v>17366</v>
      </c>
      <c r="X93">
        <v>20190218</v>
      </c>
      <c r="Y93" t="s">
        <v>17367</v>
      </c>
      <c r="Z93" t="s">
        <v>17368</v>
      </c>
      <c r="AA93" t="s">
        <v>17369</v>
      </c>
      <c r="AB93">
        <v>14</v>
      </c>
      <c r="AC93" t="s">
        <v>17372</v>
      </c>
    </row>
    <row r="94" spans="1:29" x14ac:dyDescent="0.25">
      <c r="A94">
        <v>-98.381458064</v>
      </c>
      <c r="B94">
        <v>29.255091563000001</v>
      </c>
      <c r="C94">
        <v>7509007</v>
      </c>
      <c r="D94" t="s">
        <v>1846</v>
      </c>
      <c r="E94" t="s">
        <v>1842</v>
      </c>
      <c r="F94">
        <v>11</v>
      </c>
      <c r="G94" t="s">
        <v>17372</v>
      </c>
      <c r="H94">
        <v>63690</v>
      </c>
      <c r="I94" t="str">
        <f t="shared" si="2"/>
        <v>TX0063690</v>
      </c>
      <c r="J94" t="str">
        <f>_xlfn.XLOOKUP(I94,TCEQ_Outfalls!A:A,TCEQ_Outfalls!A:A,"",0)</f>
        <v>TX0063690</v>
      </c>
      <c r="K94" t="s">
        <v>1839</v>
      </c>
      <c r="L94" t="s">
        <v>16</v>
      </c>
      <c r="M94" t="s">
        <v>430</v>
      </c>
      <c r="N94" t="s">
        <v>14</v>
      </c>
      <c r="O94" t="s">
        <v>873</v>
      </c>
      <c r="P94">
        <v>29.254961999999999</v>
      </c>
      <c r="Q94">
        <v>-98.38145806</v>
      </c>
      <c r="R94">
        <v>1911</v>
      </c>
      <c r="S94">
        <v>19</v>
      </c>
      <c r="T94">
        <v>13</v>
      </c>
      <c r="U94" t="s">
        <v>17365</v>
      </c>
      <c r="V94">
        <v>12</v>
      </c>
      <c r="W94" t="s">
        <v>17366</v>
      </c>
      <c r="X94">
        <v>20190218</v>
      </c>
      <c r="Y94" t="s">
        <v>17367</v>
      </c>
      <c r="Z94" t="s">
        <v>17368</v>
      </c>
      <c r="AA94" t="s">
        <v>17369</v>
      </c>
      <c r="AB94">
        <v>14</v>
      </c>
      <c r="AC94" t="s">
        <v>17372</v>
      </c>
    </row>
    <row r="95" spans="1:29" x14ac:dyDescent="0.25">
      <c r="A95">
        <v>-98.379928453999995</v>
      </c>
      <c r="B95">
        <v>29.257018967</v>
      </c>
      <c r="C95">
        <v>7509008</v>
      </c>
      <c r="D95" t="s">
        <v>1845</v>
      </c>
      <c r="E95" t="s">
        <v>1842</v>
      </c>
      <c r="F95">
        <v>13</v>
      </c>
      <c r="G95" t="s">
        <v>17372</v>
      </c>
      <c r="H95">
        <v>63690</v>
      </c>
      <c r="I95" t="str">
        <f t="shared" si="2"/>
        <v>TX0063690</v>
      </c>
      <c r="J95" t="str">
        <f>_xlfn.XLOOKUP(I95,TCEQ_Outfalls!A:A,TCEQ_Outfalls!A:A,"",0)</f>
        <v>TX0063690</v>
      </c>
      <c r="K95" t="s">
        <v>1839</v>
      </c>
      <c r="L95" t="s">
        <v>16</v>
      </c>
      <c r="M95" t="s">
        <v>430</v>
      </c>
      <c r="N95" t="s">
        <v>14</v>
      </c>
      <c r="O95" t="s">
        <v>873</v>
      </c>
      <c r="P95">
        <v>29.257018970000001</v>
      </c>
      <c r="Q95">
        <v>-98.379928449999994</v>
      </c>
      <c r="R95">
        <v>1911</v>
      </c>
      <c r="S95">
        <v>19</v>
      </c>
      <c r="T95">
        <v>13</v>
      </c>
      <c r="U95" t="s">
        <v>17365</v>
      </c>
      <c r="V95">
        <v>12</v>
      </c>
      <c r="W95" t="s">
        <v>17366</v>
      </c>
      <c r="X95">
        <v>20190218</v>
      </c>
      <c r="Y95" t="s">
        <v>17367</v>
      </c>
      <c r="Z95" t="s">
        <v>17368</v>
      </c>
      <c r="AA95" t="s">
        <v>17369</v>
      </c>
      <c r="AB95">
        <v>14</v>
      </c>
      <c r="AC95" t="s">
        <v>17372</v>
      </c>
    </row>
    <row r="96" spans="1:29" x14ac:dyDescent="0.25">
      <c r="A96">
        <v>-98.380201572000004</v>
      </c>
      <c r="B96">
        <v>29.256145724</v>
      </c>
      <c r="C96">
        <v>7509009</v>
      </c>
      <c r="D96" t="s">
        <v>1843</v>
      </c>
      <c r="E96" t="s">
        <v>1842</v>
      </c>
      <c r="F96">
        <v>15</v>
      </c>
      <c r="G96" t="s">
        <v>17372</v>
      </c>
      <c r="H96">
        <v>63690</v>
      </c>
      <c r="I96" t="str">
        <f t="shared" si="2"/>
        <v>TX0063690</v>
      </c>
      <c r="J96" t="str">
        <f>_xlfn.XLOOKUP(I96,TCEQ_Outfalls!A:A,TCEQ_Outfalls!A:A,"",0)</f>
        <v>TX0063690</v>
      </c>
      <c r="K96" t="s">
        <v>1839</v>
      </c>
      <c r="L96" t="s">
        <v>16</v>
      </c>
      <c r="M96" t="s">
        <v>430</v>
      </c>
      <c r="N96" t="s">
        <v>14</v>
      </c>
      <c r="O96" t="s">
        <v>873</v>
      </c>
      <c r="P96">
        <v>29.256145719999999</v>
      </c>
      <c r="Q96">
        <v>-98.380201569999997</v>
      </c>
      <c r="R96">
        <v>1911</v>
      </c>
      <c r="S96">
        <v>19</v>
      </c>
      <c r="T96">
        <v>13</v>
      </c>
      <c r="U96" t="s">
        <v>17365</v>
      </c>
      <c r="V96">
        <v>12</v>
      </c>
      <c r="W96" t="s">
        <v>17366</v>
      </c>
      <c r="X96">
        <v>20190218</v>
      </c>
      <c r="Y96" t="s">
        <v>17367</v>
      </c>
      <c r="Z96" t="s">
        <v>17368</v>
      </c>
      <c r="AA96" t="s">
        <v>17369</v>
      </c>
      <c r="AB96">
        <v>14</v>
      </c>
      <c r="AC96" t="s">
        <v>17372</v>
      </c>
    </row>
    <row r="97" spans="1:29" x14ac:dyDescent="0.25">
      <c r="A97">
        <v>-98.388385272999997</v>
      </c>
      <c r="B97">
        <v>29.268409397999999</v>
      </c>
      <c r="C97">
        <v>7509536</v>
      </c>
      <c r="D97" t="s">
        <v>4794</v>
      </c>
      <c r="E97" t="s">
        <v>1842</v>
      </c>
      <c r="F97">
        <v>10</v>
      </c>
      <c r="H97">
        <v>63690</v>
      </c>
      <c r="I97" t="str">
        <f t="shared" si="2"/>
        <v>TX0063690</v>
      </c>
      <c r="J97" t="str">
        <f>_xlfn.XLOOKUP(I97,TCEQ_Outfalls!A:A,TCEQ_Outfalls!A:A,"",0)</f>
        <v>TX0063690</v>
      </c>
      <c r="K97" t="s">
        <v>1839</v>
      </c>
      <c r="L97" t="s">
        <v>16</v>
      </c>
      <c r="M97" t="s">
        <v>430</v>
      </c>
      <c r="N97" t="s">
        <v>14</v>
      </c>
      <c r="O97" t="s">
        <v>873</v>
      </c>
      <c r="P97">
        <v>29.268409399999999</v>
      </c>
      <c r="Q97">
        <v>-98.388385270000001</v>
      </c>
      <c r="R97">
        <v>1911</v>
      </c>
      <c r="S97">
        <v>19</v>
      </c>
      <c r="T97">
        <v>13</v>
      </c>
      <c r="U97" t="s">
        <v>17365</v>
      </c>
      <c r="V97">
        <v>12</v>
      </c>
      <c r="W97" t="s">
        <v>17366</v>
      </c>
      <c r="X97">
        <v>20190218</v>
      </c>
      <c r="Y97" t="s">
        <v>17367</v>
      </c>
      <c r="Z97" t="s">
        <v>17368</v>
      </c>
      <c r="AA97" t="s">
        <v>17369</v>
      </c>
      <c r="AB97">
        <v>14</v>
      </c>
    </row>
    <row r="98" spans="1:29" x14ac:dyDescent="0.25">
      <c r="A98">
        <v>-98.382635410999995</v>
      </c>
      <c r="B98">
        <v>29.255363313</v>
      </c>
      <c r="C98">
        <v>7509537</v>
      </c>
      <c r="D98" t="s">
        <v>4793</v>
      </c>
      <c r="E98" t="s">
        <v>1842</v>
      </c>
      <c r="F98">
        <v>19</v>
      </c>
      <c r="H98">
        <v>63690</v>
      </c>
      <c r="I98" t="str">
        <f t="shared" ref="I98:I129" si="3">IF(LEN(H98)=4,"TX000" &amp; H98,IF(LEN(H98)=5,"TX00" &amp; H98,"TX0" &amp; H98))</f>
        <v>TX0063690</v>
      </c>
      <c r="J98" t="str">
        <f>_xlfn.XLOOKUP(I98,TCEQ_Outfalls!A:A,TCEQ_Outfalls!A:A,"",0)</f>
        <v>TX0063690</v>
      </c>
      <c r="K98" t="s">
        <v>1839</v>
      </c>
      <c r="L98" t="s">
        <v>16</v>
      </c>
      <c r="M98" t="s">
        <v>430</v>
      </c>
      <c r="N98" t="s">
        <v>14</v>
      </c>
      <c r="O98" t="s">
        <v>873</v>
      </c>
      <c r="P98">
        <v>29.25536331</v>
      </c>
      <c r="Q98">
        <v>-98.382635410000006</v>
      </c>
      <c r="R98">
        <v>1911</v>
      </c>
      <c r="S98">
        <v>19</v>
      </c>
      <c r="T98">
        <v>13</v>
      </c>
      <c r="U98" t="s">
        <v>17365</v>
      </c>
      <c r="V98">
        <v>12</v>
      </c>
      <c r="W98" t="s">
        <v>17366</v>
      </c>
      <c r="X98">
        <v>20190218</v>
      </c>
      <c r="Y98" t="s">
        <v>17367</v>
      </c>
      <c r="Z98" t="s">
        <v>17368</v>
      </c>
      <c r="AA98" t="s">
        <v>17369</v>
      </c>
      <c r="AB98">
        <v>14</v>
      </c>
    </row>
    <row r="99" spans="1:29" x14ac:dyDescent="0.25">
      <c r="A99">
        <v>-98.380395691999993</v>
      </c>
      <c r="B99">
        <v>29.255803369999999</v>
      </c>
      <c r="C99">
        <v>7509538</v>
      </c>
      <c r="D99" t="s">
        <v>4791</v>
      </c>
      <c r="E99" t="s">
        <v>1842</v>
      </c>
      <c r="F99">
        <v>17</v>
      </c>
      <c r="H99">
        <v>63690</v>
      </c>
      <c r="I99" t="str">
        <f t="shared" si="3"/>
        <v>TX0063690</v>
      </c>
      <c r="J99" t="str">
        <f>_xlfn.XLOOKUP(I99,TCEQ_Outfalls!A:A,TCEQ_Outfalls!A:A,"",0)</f>
        <v>TX0063690</v>
      </c>
      <c r="K99" t="s">
        <v>1839</v>
      </c>
      <c r="L99" t="s">
        <v>16</v>
      </c>
      <c r="M99" t="s">
        <v>430</v>
      </c>
      <c r="N99" t="s">
        <v>14</v>
      </c>
      <c r="O99" t="s">
        <v>873</v>
      </c>
      <c r="P99">
        <v>29.255803369999999</v>
      </c>
      <c r="Q99">
        <v>-98.38039569</v>
      </c>
      <c r="R99">
        <v>1911</v>
      </c>
      <c r="S99">
        <v>19</v>
      </c>
      <c r="T99">
        <v>13</v>
      </c>
      <c r="U99" t="s">
        <v>17365</v>
      </c>
      <c r="V99">
        <v>12</v>
      </c>
      <c r="W99" t="s">
        <v>17366</v>
      </c>
      <c r="X99">
        <v>20190218</v>
      </c>
      <c r="Y99" t="s">
        <v>17367</v>
      </c>
      <c r="Z99" t="s">
        <v>17368</v>
      </c>
      <c r="AA99" t="s">
        <v>17369</v>
      </c>
      <c r="AB99">
        <v>14</v>
      </c>
    </row>
    <row r="100" spans="1:29" x14ac:dyDescent="0.25">
      <c r="A100">
        <v>-98.380328457000005</v>
      </c>
      <c r="B100">
        <v>29.256022776999998</v>
      </c>
      <c r="C100">
        <v>7509640</v>
      </c>
      <c r="D100" t="s">
        <v>5917</v>
      </c>
      <c r="E100" t="s">
        <v>1842</v>
      </c>
      <c r="F100">
        <v>18</v>
      </c>
      <c r="H100">
        <v>63690</v>
      </c>
      <c r="I100" t="str">
        <f t="shared" si="3"/>
        <v>TX0063690</v>
      </c>
      <c r="J100" t="str">
        <f>_xlfn.XLOOKUP(I100,TCEQ_Outfalls!A:A,TCEQ_Outfalls!A:A,"",0)</f>
        <v>TX0063690</v>
      </c>
      <c r="K100" t="s">
        <v>1839</v>
      </c>
      <c r="L100" t="s">
        <v>16</v>
      </c>
      <c r="M100" t="s">
        <v>430</v>
      </c>
      <c r="N100" t="s">
        <v>14</v>
      </c>
      <c r="O100" t="s">
        <v>873</v>
      </c>
      <c r="P100">
        <v>29.256022779999999</v>
      </c>
      <c r="Q100">
        <v>-98.380328460000001</v>
      </c>
      <c r="R100">
        <v>1911</v>
      </c>
      <c r="S100">
        <v>19</v>
      </c>
      <c r="T100">
        <v>13</v>
      </c>
      <c r="U100" t="s">
        <v>17365</v>
      </c>
      <c r="V100">
        <v>12</v>
      </c>
      <c r="W100" t="s">
        <v>17366</v>
      </c>
      <c r="X100">
        <v>20190218</v>
      </c>
      <c r="Y100" t="s">
        <v>17367</v>
      </c>
      <c r="Z100" t="s">
        <v>17368</v>
      </c>
      <c r="AA100" t="s">
        <v>17369</v>
      </c>
      <c r="AB100">
        <v>14</v>
      </c>
    </row>
    <row r="101" spans="1:29" x14ac:dyDescent="0.25">
      <c r="A101">
        <v>-98.380895778999999</v>
      </c>
      <c r="B101">
        <v>29.255031563999999</v>
      </c>
      <c r="C101">
        <v>7509641</v>
      </c>
      <c r="D101" t="s">
        <v>5916</v>
      </c>
      <c r="E101" t="s">
        <v>1842</v>
      </c>
      <c r="F101">
        <v>16</v>
      </c>
      <c r="H101">
        <v>63690</v>
      </c>
      <c r="I101" t="str">
        <f t="shared" si="3"/>
        <v>TX0063690</v>
      </c>
      <c r="J101" t="str">
        <f>_xlfn.XLOOKUP(I101,TCEQ_Outfalls!A:A,TCEQ_Outfalls!A:A,"",0)</f>
        <v>TX0063690</v>
      </c>
      <c r="K101" t="s">
        <v>1839</v>
      </c>
      <c r="L101" t="s">
        <v>16</v>
      </c>
      <c r="M101" t="s">
        <v>430</v>
      </c>
      <c r="N101" t="s">
        <v>14</v>
      </c>
      <c r="O101" t="s">
        <v>873</v>
      </c>
      <c r="P101">
        <v>29.255031559999999</v>
      </c>
      <c r="Q101">
        <v>-98.380895780000003</v>
      </c>
      <c r="R101">
        <v>1911</v>
      </c>
      <c r="S101">
        <v>19</v>
      </c>
      <c r="T101">
        <v>13</v>
      </c>
      <c r="U101" t="s">
        <v>17365</v>
      </c>
      <c r="V101">
        <v>12</v>
      </c>
      <c r="W101" t="s">
        <v>17366</v>
      </c>
      <c r="X101">
        <v>20190218</v>
      </c>
      <c r="Y101" t="s">
        <v>17367</v>
      </c>
      <c r="Z101" t="s">
        <v>17368</v>
      </c>
      <c r="AA101" t="s">
        <v>17369</v>
      </c>
      <c r="AB101">
        <v>14</v>
      </c>
    </row>
    <row r="102" spans="1:29" x14ac:dyDescent="0.25">
      <c r="A102">
        <v>-98.386002306999998</v>
      </c>
      <c r="B102">
        <v>29.264174183000002</v>
      </c>
      <c r="C102">
        <v>7509642</v>
      </c>
      <c r="D102" t="s">
        <v>5915</v>
      </c>
      <c r="E102" t="s">
        <v>1842</v>
      </c>
      <c r="F102">
        <v>9</v>
      </c>
      <c r="H102">
        <v>63690</v>
      </c>
      <c r="I102" t="str">
        <f t="shared" si="3"/>
        <v>TX0063690</v>
      </c>
      <c r="J102" t="str">
        <f>_xlfn.XLOOKUP(I102,TCEQ_Outfalls!A:A,TCEQ_Outfalls!A:A,"",0)</f>
        <v>TX0063690</v>
      </c>
      <c r="K102" t="s">
        <v>1839</v>
      </c>
      <c r="L102" t="s">
        <v>16</v>
      </c>
      <c r="M102" t="s">
        <v>430</v>
      </c>
      <c r="N102" t="s">
        <v>14</v>
      </c>
      <c r="O102" t="s">
        <v>873</v>
      </c>
      <c r="P102">
        <v>29.264174180000001</v>
      </c>
      <c r="Q102">
        <v>-98.386002309999995</v>
      </c>
      <c r="R102">
        <v>1911</v>
      </c>
      <c r="S102">
        <v>19</v>
      </c>
      <c r="T102">
        <v>13</v>
      </c>
      <c r="U102" t="s">
        <v>17365</v>
      </c>
      <c r="V102">
        <v>12</v>
      </c>
      <c r="W102" t="s">
        <v>17366</v>
      </c>
      <c r="X102">
        <v>20190218</v>
      </c>
      <c r="Y102" t="s">
        <v>17367</v>
      </c>
      <c r="Z102" t="s">
        <v>17368</v>
      </c>
      <c r="AA102" t="s">
        <v>17369</v>
      </c>
      <c r="AB102">
        <v>14</v>
      </c>
    </row>
    <row r="103" spans="1:29" x14ac:dyDescent="0.25">
      <c r="A103">
        <v>-98.576737793000007</v>
      </c>
      <c r="B103">
        <v>29.352490508999999</v>
      </c>
      <c r="C103">
        <v>7510394</v>
      </c>
      <c r="D103" t="s">
        <v>4659</v>
      </c>
      <c r="E103" t="s">
        <v>4658</v>
      </c>
      <c r="F103">
        <v>101</v>
      </c>
      <c r="H103">
        <v>63703</v>
      </c>
      <c r="I103" t="str">
        <f t="shared" si="3"/>
        <v>TX0063703</v>
      </c>
      <c r="J103" t="str">
        <f>_xlfn.XLOOKUP(I103,TCEQ_Outfalls!A:A,TCEQ_Outfalls!A:A,"",0)</f>
        <v>TX0063703</v>
      </c>
      <c r="K103" t="s">
        <v>1839</v>
      </c>
      <c r="L103" t="s">
        <v>16</v>
      </c>
      <c r="M103" t="s">
        <v>15</v>
      </c>
      <c r="N103" t="s">
        <v>14</v>
      </c>
      <c r="O103" t="s">
        <v>873</v>
      </c>
      <c r="P103">
        <v>29.352490509999999</v>
      </c>
      <c r="Q103">
        <v>-98.576737789999996</v>
      </c>
      <c r="R103">
        <v>1906</v>
      </c>
      <c r="S103">
        <v>19</v>
      </c>
      <c r="T103">
        <v>13</v>
      </c>
      <c r="U103" t="s">
        <v>17365</v>
      </c>
      <c r="V103">
        <v>12</v>
      </c>
      <c r="W103" t="s">
        <v>17366</v>
      </c>
      <c r="X103">
        <v>20190709</v>
      </c>
      <c r="Y103" t="s">
        <v>17367</v>
      </c>
      <c r="Z103" t="s">
        <v>17368</v>
      </c>
      <c r="AA103" t="s">
        <v>17369</v>
      </c>
      <c r="AB103">
        <v>14</v>
      </c>
    </row>
    <row r="104" spans="1:29" x14ac:dyDescent="0.25">
      <c r="A104">
        <v>-98.487954999999999</v>
      </c>
      <c r="B104">
        <v>29.271204001000001</v>
      </c>
      <c r="C104">
        <v>7507078</v>
      </c>
      <c r="D104" t="s">
        <v>10689</v>
      </c>
      <c r="E104" t="s">
        <v>10688</v>
      </c>
      <c r="F104">
        <v>1</v>
      </c>
      <c r="G104" t="s">
        <v>17372</v>
      </c>
      <c r="H104">
        <v>65641</v>
      </c>
      <c r="I104" t="str">
        <f t="shared" si="3"/>
        <v>TX0065641</v>
      </c>
      <c r="J104" t="str">
        <f>_xlfn.XLOOKUP(I104,TCEQ_Outfalls!A:A,TCEQ_Outfalls!A:A,"",0)</f>
        <v>TX0065641</v>
      </c>
      <c r="K104" t="s">
        <v>6631</v>
      </c>
      <c r="L104" t="s">
        <v>16</v>
      </c>
      <c r="M104" t="s">
        <v>28</v>
      </c>
      <c r="N104" t="s">
        <v>60</v>
      </c>
      <c r="O104" t="s">
        <v>873</v>
      </c>
      <c r="P104">
        <v>29.271204000000001</v>
      </c>
      <c r="Q104">
        <v>-98.487954999999999</v>
      </c>
      <c r="R104">
        <v>1903</v>
      </c>
      <c r="S104">
        <v>19</v>
      </c>
      <c r="T104">
        <v>13</v>
      </c>
      <c r="U104" t="s">
        <v>17365</v>
      </c>
      <c r="V104">
        <v>12</v>
      </c>
      <c r="W104" t="s">
        <v>17366</v>
      </c>
      <c r="X104">
        <v>20041004</v>
      </c>
      <c r="Y104" t="s">
        <v>17367</v>
      </c>
      <c r="Z104" t="s">
        <v>17368</v>
      </c>
      <c r="AA104" t="s">
        <v>17369</v>
      </c>
      <c r="AB104">
        <v>14</v>
      </c>
      <c r="AC104" t="s">
        <v>17372</v>
      </c>
    </row>
    <row r="105" spans="1:29" x14ac:dyDescent="0.25">
      <c r="A105">
        <v>-98.097868805000004</v>
      </c>
      <c r="B105">
        <v>29.687351364000001</v>
      </c>
      <c r="C105">
        <v>7508245</v>
      </c>
      <c r="D105" t="s">
        <v>6972</v>
      </c>
      <c r="E105" t="s">
        <v>6971</v>
      </c>
      <c r="F105">
        <v>1</v>
      </c>
      <c r="G105" t="s">
        <v>17372</v>
      </c>
      <c r="H105">
        <v>67881</v>
      </c>
      <c r="I105" t="str">
        <f t="shared" si="3"/>
        <v>TX0067881</v>
      </c>
      <c r="J105" t="str">
        <f>_xlfn.XLOOKUP(I105,TCEQ_Outfalls!A:A,TCEQ_Outfalls!A:A,"",0)</f>
        <v>TX0067881</v>
      </c>
      <c r="K105" t="s">
        <v>1033</v>
      </c>
      <c r="L105" t="s">
        <v>16</v>
      </c>
      <c r="M105" t="s">
        <v>15</v>
      </c>
      <c r="N105" t="s">
        <v>14</v>
      </c>
      <c r="O105" t="s">
        <v>274</v>
      </c>
      <c r="P105">
        <v>29.687351360000001</v>
      </c>
      <c r="Q105">
        <v>-98.097868809999994</v>
      </c>
      <c r="R105">
        <v>1804</v>
      </c>
      <c r="S105">
        <v>18</v>
      </c>
      <c r="T105">
        <v>13</v>
      </c>
      <c r="U105" t="s">
        <v>17365</v>
      </c>
      <c r="V105">
        <v>12</v>
      </c>
      <c r="W105" t="s">
        <v>17366</v>
      </c>
      <c r="X105">
        <v>20200611</v>
      </c>
      <c r="Y105" t="s">
        <v>17367</v>
      </c>
      <c r="Z105" t="s">
        <v>17368</v>
      </c>
      <c r="AA105" t="s">
        <v>17369</v>
      </c>
      <c r="AB105">
        <v>14</v>
      </c>
      <c r="AC105" t="s">
        <v>17372</v>
      </c>
    </row>
    <row r="106" spans="1:29" x14ac:dyDescent="0.25">
      <c r="A106">
        <v>-98.099436119999993</v>
      </c>
      <c r="B106">
        <v>29.686404613000001</v>
      </c>
      <c r="C106">
        <v>7510344</v>
      </c>
      <c r="D106" t="s">
        <v>17439</v>
      </c>
      <c r="E106" t="s">
        <v>6971</v>
      </c>
      <c r="F106">
        <v>2</v>
      </c>
      <c r="H106">
        <v>67881</v>
      </c>
      <c r="I106" t="str">
        <f t="shared" si="3"/>
        <v>TX0067881</v>
      </c>
      <c r="J106" t="str">
        <f>_xlfn.XLOOKUP(I106,TCEQ_Outfalls!A:A,TCEQ_Outfalls!A:A,"",0)</f>
        <v>TX0067881</v>
      </c>
      <c r="K106" t="s">
        <v>1033</v>
      </c>
      <c r="L106" t="s">
        <v>16</v>
      </c>
      <c r="M106" t="s">
        <v>15</v>
      </c>
      <c r="N106" t="s">
        <v>14</v>
      </c>
      <c r="O106" t="s">
        <v>274</v>
      </c>
      <c r="P106">
        <v>29.68640461</v>
      </c>
      <c r="Q106">
        <v>-98.099436119999993</v>
      </c>
      <c r="R106">
        <v>1804</v>
      </c>
      <c r="S106">
        <v>18</v>
      </c>
      <c r="T106">
        <v>13</v>
      </c>
      <c r="U106" t="s">
        <v>17365</v>
      </c>
      <c r="V106">
        <v>12</v>
      </c>
      <c r="W106" t="s">
        <v>17366</v>
      </c>
      <c r="X106">
        <v>20200611</v>
      </c>
      <c r="Y106" t="s">
        <v>17367</v>
      </c>
      <c r="Z106" t="s">
        <v>17368</v>
      </c>
      <c r="AA106" t="s">
        <v>17369</v>
      </c>
      <c r="AB106">
        <v>14</v>
      </c>
    </row>
    <row r="107" spans="1:29" x14ac:dyDescent="0.25">
      <c r="A107">
        <v>-97.638851001000006</v>
      </c>
      <c r="B107">
        <v>29.279275996999999</v>
      </c>
      <c r="C107">
        <v>7509962</v>
      </c>
      <c r="D107" t="s">
        <v>5542</v>
      </c>
      <c r="E107" t="s">
        <v>5541</v>
      </c>
      <c r="F107">
        <v>1</v>
      </c>
      <c r="G107" t="s">
        <v>17372</v>
      </c>
      <c r="H107">
        <v>69809</v>
      </c>
      <c r="I107" t="str">
        <f t="shared" si="3"/>
        <v>TX0069809</v>
      </c>
      <c r="J107" t="str">
        <f>_xlfn.XLOOKUP(I107,TCEQ_Outfalls!A:A,TCEQ_Outfalls!A:A,"",0)</f>
        <v>TX0069809</v>
      </c>
      <c r="K107" t="s">
        <v>5539</v>
      </c>
      <c r="L107" t="s">
        <v>16</v>
      </c>
      <c r="M107" t="s">
        <v>28</v>
      </c>
      <c r="N107" t="s">
        <v>60</v>
      </c>
      <c r="O107" t="s">
        <v>3079</v>
      </c>
      <c r="P107">
        <v>29.279275999999999</v>
      </c>
      <c r="Q107">
        <v>-97.638851000000003</v>
      </c>
      <c r="R107">
        <v>1803</v>
      </c>
      <c r="S107">
        <v>18</v>
      </c>
      <c r="T107">
        <v>14</v>
      </c>
      <c r="U107" t="s">
        <v>17365</v>
      </c>
      <c r="V107">
        <v>12</v>
      </c>
      <c r="W107" t="s">
        <v>17366</v>
      </c>
      <c r="X107">
        <v>20041124</v>
      </c>
      <c r="Y107" t="s">
        <v>17367</v>
      </c>
      <c r="Z107" t="s">
        <v>17368</v>
      </c>
      <c r="AA107" t="s">
        <v>17369</v>
      </c>
      <c r="AB107">
        <v>14</v>
      </c>
      <c r="AC107" t="s">
        <v>17372</v>
      </c>
    </row>
    <row r="108" spans="1:29" x14ac:dyDescent="0.25">
      <c r="A108">
        <v>-97.203758057000002</v>
      </c>
      <c r="B108">
        <v>28.726033117</v>
      </c>
      <c r="C108">
        <v>7509142</v>
      </c>
      <c r="D108" t="s">
        <v>3873</v>
      </c>
      <c r="E108" t="s">
        <v>3866</v>
      </c>
      <c r="F108">
        <v>1</v>
      </c>
      <c r="G108" t="s">
        <v>17372</v>
      </c>
      <c r="H108">
        <v>70068</v>
      </c>
      <c r="I108" t="str">
        <f t="shared" si="3"/>
        <v>TX0070068</v>
      </c>
      <c r="J108" t="str">
        <f>_xlfn.XLOOKUP(I108,TCEQ_Outfalls!A:A,TCEQ_Outfalls!A:A,"",0)</f>
        <v>TX0070068</v>
      </c>
      <c r="K108" t="s">
        <v>17386</v>
      </c>
      <c r="L108" t="s">
        <v>16</v>
      </c>
      <c r="M108" t="s">
        <v>15</v>
      </c>
      <c r="N108" t="s">
        <v>14</v>
      </c>
      <c r="O108" t="s">
        <v>3863</v>
      </c>
      <c r="P108">
        <v>28.72603312</v>
      </c>
      <c r="Q108">
        <v>-97.203758059999998</v>
      </c>
      <c r="R108">
        <v>1807</v>
      </c>
      <c r="S108">
        <v>18</v>
      </c>
      <c r="T108">
        <v>14</v>
      </c>
      <c r="U108" t="s">
        <v>17365</v>
      </c>
      <c r="V108">
        <v>12</v>
      </c>
      <c r="W108" t="s">
        <v>17366</v>
      </c>
      <c r="X108">
        <v>20210329</v>
      </c>
      <c r="Y108" t="s">
        <v>17367</v>
      </c>
      <c r="Z108" t="s">
        <v>17368</v>
      </c>
      <c r="AA108" t="s">
        <v>17369</v>
      </c>
      <c r="AB108">
        <v>14</v>
      </c>
      <c r="AC108" t="s">
        <v>17372</v>
      </c>
    </row>
    <row r="109" spans="1:29" x14ac:dyDescent="0.25">
      <c r="A109">
        <v>-97.768971540999999</v>
      </c>
      <c r="B109">
        <v>29.284241438999999</v>
      </c>
      <c r="C109">
        <v>7508248</v>
      </c>
      <c r="D109" t="s">
        <v>6963</v>
      </c>
      <c r="E109" t="s">
        <v>6962</v>
      </c>
      <c r="F109">
        <v>1</v>
      </c>
      <c r="G109" t="s">
        <v>17372</v>
      </c>
      <c r="H109">
        <v>70785</v>
      </c>
      <c r="I109" t="str">
        <f t="shared" si="3"/>
        <v>TX0070785</v>
      </c>
      <c r="J109" t="str">
        <f>_xlfn.XLOOKUP(I109,TCEQ_Outfalls!A:A,TCEQ_Outfalls!A:A,"",0)</f>
        <v>TX0070785</v>
      </c>
      <c r="K109" t="s">
        <v>6960</v>
      </c>
      <c r="L109" t="s">
        <v>16</v>
      </c>
      <c r="M109" t="s">
        <v>28</v>
      </c>
      <c r="N109" t="s">
        <v>60</v>
      </c>
      <c r="O109" t="s">
        <v>3079</v>
      </c>
      <c r="P109">
        <v>29.284241439999999</v>
      </c>
      <c r="Q109">
        <v>-97.768971539999995</v>
      </c>
      <c r="R109">
        <v>1803</v>
      </c>
      <c r="S109">
        <v>18</v>
      </c>
      <c r="T109">
        <v>14</v>
      </c>
      <c r="U109" t="s">
        <v>17365</v>
      </c>
      <c r="V109">
        <v>12</v>
      </c>
      <c r="W109" t="s">
        <v>17366</v>
      </c>
      <c r="X109">
        <v>20090901</v>
      </c>
      <c r="Y109" t="s">
        <v>17367</v>
      </c>
      <c r="Z109" t="s">
        <v>17368</v>
      </c>
      <c r="AA109" t="s">
        <v>17369</v>
      </c>
      <c r="AB109">
        <v>14</v>
      </c>
      <c r="AC109" t="s">
        <v>17372</v>
      </c>
    </row>
    <row r="110" spans="1:29" x14ac:dyDescent="0.25">
      <c r="A110">
        <v>-98.106236644000006</v>
      </c>
      <c r="B110">
        <v>29.737998898000001</v>
      </c>
      <c r="C110">
        <v>7506633</v>
      </c>
      <c r="D110" t="s">
        <v>6969</v>
      </c>
      <c r="E110" t="s">
        <v>6968</v>
      </c>
      <c r="F110">
        <v>1</v>
      </c>
      <c r="G110" t="s">
        <v>907</v>
      </c>
      <c r="H110">
        <v>70939</v>
      </c>
      <c r="I110" t="str">
        <f t="shared" si="3"/>
        <v>TX0070939</v>
      </c>
      <c r="J110" t="str">
        <f>_xlfn.XLOOKUP(I110,TCEQ_Outfalls!A:A,TCEQ_Outfalls!A:A,"",0)</f>
        <v>TX0070939</v>
      </c>
      <c r="K110" t="s">
        <v>1033</v>
      </c>
      <c r="L110" t="s">
        <v>16</v>
      </c>
      <c r="M110" t="s">
        <v>15</v>
      </c>
      <c r="N110" t="s">
        <v>4968</v>
      </c>
      <c r="O110" t="s">
        <v>274</v>
      </c>
      <c r="P110">
        <v>29.737998900000001</v>
      </c>
      <c r="Q110">
        <v>-98.106236640000006</v>
      </c>
      <c r="R110">
        <v>1812</v>
      </c>
      <c r="S110">
        <v>18</v>
      </c>
      <c r="T110">
        <v>13</v>
      </c>
      <c r="U110" t="s">
        <v>17365</v>
      </c>
      <c r="V110">
        <v>12</v>
      </c>
      <c r="W110" t="s">
        <v>17366</v>
      </c>
      <c r="X110">
        <v>20191001</v>
      </c>
      <c r="Y110" t="s">
        <v>17367</v>
      </c>
      <c r="Z110" t="s">
        <v>17368</v>
      </c>
      <c r="AA110" t="s">
        <v>17369</v>
      </c>
      <c r="AB110">
        <v>14</v>
      </c>
    </row>
    <row r="111" spans="1:29" x14ac:dyDescent="0.25">
      <c r="A111">
        <v>-98.112059016000003</v>
      </c>
      <c r="B111">
        <v>29.727390367000002</v>
      </c>
      <c r="C111">
        <v>7508246</v>
      </c>
      <c r="D111" t="s">
        <v>6969</v>
      </c>
      <c r="E111" t="s">
        <v>6968</v>
      </c>
      <c r="F111">
        <v>1</v>
      </c>
      <c r="G111" t="s">
        <v>619</v>
      </c>
      <c r="H111">
        <v>70939</v>
      </c>
      <c r="I111" t="str">
        <f t="shared" si="3"/>
        <v>TX0070939</v>
      </c>
      <c r="J111" t="str">
        <f>_xlfn.XLOOKUP(I111,TCEQ_Outfalls!A:A,TCEQ_Outfalls!A:A,"",0)</f>
        <v>TX0070939</v>
      </c>
      <c r="K111" t="s">
        <v>1033</v>
      </c>
      <c r="L111" t="s">
        <v>16</v>
      </c>
      <c r="M111" t="s">
        <v>15</v>
      </c>
      <c r="N111" t="s">
        <v>4968</v>
      </c>
      <c r="O111" t="s">
        <v>274</v>
      </c>
      <c r="P111">
        <v>29.727390369999998</v>
      </c>
      <c r="Q111">
        <v>-98.112059020000004</v>
      </c>
      <c r="R111">
        <v>1812</v>
      </c>
      <c r="S111">
        <v>18</v>
      </c>
      <c r="T111">
        <v>13</v>
      </c>
      <c r="U111" t="s">
        <v>17365</v>
      </c>
      <c r="V111">
        <v>12</v>
      </c>
      <c r="W111" t="s">
        <v>17366</v>
      </c>
      <c r="X111">
        <v>20191001</v>
      </c>
      <c r="Y111" t="s">
        <v>17367</v>
      </c>
      <c r="Z111" t="s">
        <v>17368</v>
      </c>
      <c r="AA111" t="s">
        <v>17369</v>
      </c>
      <c r="AB111">
        <v>14</v>
      </c>
      <c r="AC111" t="s">
        <v>17372</v>
      </c>
    </row>
    <row r="112" spans="1:29" x14ac:dyDescent="0.25">
      <c r="A112">
        <v>-98.649721165000003</v>
      </c>
      <c r="B112">
        <v>29.214832134000002</v>
      </c>
      <c r="C112">
        <v>7506667</v>
      </c>
      <c r="D112" t="s">
        <v>11928</v>
      </c>
      <c r="E112" t="s">
        <v>11927</v>
      </c>
      <c r="F112">
        <v>1</v>
      </c>
      <c r="G112" t="s">
        <v>17372</v>
      </c>
      <c r="H112">
        <v>74331</v>
      </c>
      <c r="I112" t="str">
        <f t="shared" si="3"/>
        <v>TX0074331</v>
      </c>
      <c r="J112" t="str">
        <f>_xlfn.XLOOKUP(I112,TCEQ_Outfalls!A:A,TCEQ_Outfalls!A:A,"",0)</f>
        <v>TX0074331</v>
      </c>
      <c r="K112" t="s">
        <v>11925</v>
      </c>
      <c r="L112" t="s">
        <v>16</v>
      </c>
      <c r="M112" t="s">
        <v>28</v>
      </c>
      <c r="N112" t="s">
        <v>14</v>
      </c>
      <c r="O112" t="s">
        <v>873</v>
      </c>
      <c r="P112">
        <v>29.214832130000001</v>
      </c>
      <c r="Q112">
        <v>-98.649721170000007</v>
      </c>
      <c r="R112">
        <v>1903</v>
      </c>
      <c r="S112">
        <v>19</v>
      </c>
      <c r="T112">
        <v>13</v>
      </c>
      <c r="U112" t="s">
        <v>17365</v>
      </c>
      <c r="V112">
        <v>12</v>
      </c>
      <c r="W112" t="s">
        <v>17366</v>
      </c>
      <c r="X112">
        <v>20190807</v>
      </c>
      <c r="Y112" t="s">
        <v>17367</v>
      </c>
      <c r="Z112" t="s">
        <v>17368</v>
      </c>
      <c r="AA112" t="s">
        <v>17369</v>
      </c>
      <c r="AB112">
        <v>14</v>
      </c>
      <c r="AC112" t="s">
        <v>17372</v>
      </c>
    </row>
    <row r="113" spans="1:29" x14ac:dyDescent="0.25">
      <c r="A113">
        <v>-98.295325000999995</v>
      </c>
      <c r="B113">
        <v>29.355599000000002</v>
      </c>
      <c r="C113">
        <v>7507706</v>
      </c>
      <c r="D113" t="s">
        <v>8741</v>
      </c>
      <c r="E113" t="s">
        <v>8740</v>
      </c>
      <c r="F113">
        <v>1</v>
      </c>
      <c r="G113" t="s">
        <v>17372</v>
      </c>
      <c r="H113">
        <v>74799</v>
      </c>
      <c r="I113" t="str">
        <f t="shared" si="3"/>
        <v>TX0074799</v>
      </c>
      <c r="J113" t="str">
        <f>_xlfn.XLOOKUP(I113,TCEQ_Outfalls!A:A,TCEQ_Outfalls!A:A,"",0)</f>
        <v>TX0074799</v>
      </c>
      <c r="K113" t="s">
        <v>8738</v>
      </c>
      <c r="L113" t="s">
        <v>16</v>
      </c>
      <c r="M113" t="s">
        <v>28</v>
      </c>
      <c r="N113" t="s">
        <v>73</v>
      </c>
      <c r="O113" t="s">
        <v>873</v>
      </c>
      <c r="P113">
        <v>29.355599000000002</v>
      </c>
      <c r="Q113">
        <v>-98.295325000000005</v>
      </c>
      <c r="R113">
        <v>1911</v>
      </c>
      <c r="S113">
        <v>19</v>
      </c>
      <c r="T113">
        <v>13</v>
      </c>
      <c r="U113" t="s">
        <v>17365</v>
      </c>
      <c r="V113">
        <v>12</v>
      </c>
      <c r="W113" t="s">
        <v>17366</v>
      </c>
      <c r="X113">
        <v>20090904</v>
      </c>
      <c r="Y113" t="s">
        <v>17367</v>
      </c>
      <c r="Z113" t="s">
        <v>17368</v>
      </c>
      <c r="AA113" t="s">
        <v>17369</v>
      </c>
      <c r="AB113">
        <v>14</v>
      </c>
      <c r="AC113" t="s">
        <v>17372</v>
      </c>
    </row>
    <row r="114" spans="1:29" x14ac:dyDescent="0.25">
      <c r="A114">
        <v>-98.243790142999998</v>
      </c>
      <c r="B114">
        <v>29.556646304000001</v>
      </c>
      <c r="C114">
        <v>7506725</v>
      </c>
      <c r="D114" t="s">
        <v>11742</v>
      </c>
      <c r="E114" t="s">
        <v>5402</v>
      </c>
      <c r="F114">
        <v>2</v>
      </c>
      <c r="H114">
        <v>77232</v>
      </c>
      <c r="I114" t="str">
        <f t="shared" si="3"/>
        <v>TX0077232</v>
      </c>
      <c r="J114" t="str">
        <f>_xlfn.XLOOKUP(I114,TCEQ_Outfalls!A:A,TCEQ_Outfalls!A:A,"",0)</f>
        <v>TX0077232</v>
      </c>
      <c r="K114" t="s">
        <v>874</v>
      </c>
      <c r="L114" t="s">
        <v>16</v>
      </c>
      <c r="M114" t="s">
        <v>15</v>
      </c>
      <c r="N114" t="s">
        <v>14</v>
      </c>
      <c r="O114" t="s">
        <v>873</v>
      </c>
      <c r="P114">
        <v>29.556646300000001</v>
      </c>
      <c r="Q114">
        <v>-98.243790140000002</v>
      </c>
      <c r="R114">
        <v>1913</v>
      </c>
      <c r="S114">
        <v>19</v>
      </c>
      <c r="T114">
        <v>13</v>
      </c>
      <c r="U114" t="s">
        <v>17365</v>
      </c>
      <c r="V114">
        <v>12</v>
      </c>
      <c r="W114" t="s">
        <v>17366</v>
      </c>
      <c r="X114">
        <v>20191009</v>
      </c>
      <c r="Y114" t="s">
        <v>17367</v>
      </c>
      <c r="Z114" t="s">
        <v>17368</v>
      </c>
      <c r="AA114" t="s">
        <v>17369</v>
      </c>
      <c r="AB114">
        <v>14</v>
      </c>
    </row>
    <row r="115" spans="1:29" x14ac:dyDescent="0.25">
      <c r="A115">
        <v>-98.248537342000006</v>
      </c>
      <c r="B115">
        <v>29.555164834999999</v>
      </c>
      <c r="C115">
        <v>7509984</v>
      </c>
      <c r="D115" t="s">
        <v>5403</v>
      </c>
      <c r="E115" t="s">
        <v>5402</v>
      </c>
      <c r="F115">
        <v>1</v>
      </c>
      <c r="H115">
        <v>77232</v>
      </c>
      <c r="I115" t="str">
        <f t="shared" si="3"/>
        <v>TX0077232</v>
      </c>
      <c r="J115" t="str">
        <f>_xlfn.XLOOKUP(I115,TCEQ_Outfalls!A:A,TCEQ_Outfalls!A:A,"",0)</f>
        <v>TX0077232</v>
      </c>
      <c r="K115" t="s">
        <v>874</v>
      </c>
      <c r="L115" t="s">
        <v>16</v>
      </c>
      <c r="M115" t="s">
        <v>15</v>
      </c>
      <c r="N115" t="s">
        <v>14</v>
      </c>
      <c r="O115" t="s">
        <v>873</v>
      </c>
      <c r="P115">
        <v>29.55516484</v>
      </c>
      <c r="Q115">
        <v>-98.248537339999999</v>
      </c>
      <c r="R115">
        <v>1913</v>
      </c>
      <c r="S115">
        <v>19</v>
      </c>
      <c r="T115">
        <v>13</v>
      </c>
      <c r="U115" t="s">
        <v>17365</v>
      </c>
      <c r="V115">
        <v>12</v>
      </c>
      <c r="W115" t="s">
        <v>17366</v>
      </c>
      <c r="X115">
        <v>20191009</v>
      </c>
      <c r="Y115" t="s">
        <v>17367</v>
      </c>
      <c r="Z115" t="s">
        <v>17368</v>
      </c>
      <c r="AA115" t="s">
        <v>17369</v>
      </c>
      <c r="AB115">
        <v>14</v>
      </c>
      <c r="AC115" t="s">
        <v>17372</v>
      </c>
    </row>
    <row r="116" spans="1:29" x14ac:dyDescent="0.25">
      <c r="A116">
        <v>-98.485351711000007</v>
      </c>
      <c r="B116">
        <v>29.420978658999999</v>
      </c>
      <c r="C116">
        <v>7506868</v>
      </c>
      <c r="D116" t="s">
        <v>11347</v>
      </c>
      <c r="E116" t="s">
        <v>7417</v>
      </c>
      <c r="F116">
        <v>5</v>
      </c>
      <c r="G116" t="s">
        <v>17372</v>
      </c>
      <c r="H116">
        <v>77801</v>
      </c>
      <c r="I116" t="str">
        <f t="shared" si="3"/>
        <v>TX0077801</v>
      </c>
      <c r="J116" t="str">
        <f>_xlfn.XLOOKUP(I116,TCEQ_Outfalls!A:A,TCEQ_Outfalls!A:A,"",0)</f>
        <v>TX0077801</v>
      </c>
      <c r="K116" t="s">
        <v>6631</v>
      </c>
      <c r="L116" t="s">
        <v>16</v>
      </c>
      <c r="M116" t="s">
        <v>15</v>
      </c>
      <c r="N116" t="s">
        <v>14</v>
      </c>
      <c r="O116" t="s">
        <v>873</v>
      </c>
      <c r="P116">
        <v>29.420978659999999</v>
      </c>
      <c r="Q116">
        <v>-98.485351710000003</v>
      </c>
      <c r="R116">
        <v>1911</v>
      </c>
      <c r="S116">
        <v>19</v>
      </c>
      <c r="T116">
        <v>13</v>
      </c>
      <c r="U116" t="s">
        <v>17365</v>
      </c>
      <c r="V116">
        <v>12</v>
      </c>
      <c r="W116" t="s">
        <v>17366</v>
      </c>
      <c r="X116">
        <v>20191007</v>
      </c>
      <c r="Y116" t="s">
        <v>17367</v>
      </c>
      <c r="Z116" t="s">
        <v>17368</v>
      </c>
      <c r="AA116" t="s">
        <v>17369</v>
      </c>
      <c r="AB116">
        <v>14</v>
      </c>
      <c r="AC116" t="s">
        <v>17372</v>
      </c>
    </row>
    <row r="117" spans="1:29" x14ac:dyDescent="0.25">
      <c r="A117">
        <v>-98.428978416000007</v>
      </c>
      <c r="B117">
        <v>29.275560125999998</v>
      </c>
      <c r="C117">
        <v>7507079</v>
      </c>
      <c r="D117" t="s">
        <v>10686</v>
      </c>
      <c r="E117" t="s">
        <v>7417</v>
      </c>
      <c r="F117">
        <v>6</v>
      </c>
      <c r="G117" t="s">
        <v>17372</v>
      </c>
      <c r="H117">
        <v>77801</v>
      </c>
      <c r="I117" t="str">
        <f t="shared" si="3"/>
        <v>TX0077801</v>
      </c>
      <c r="J117" t="str">
        <f>_xlfn.XLOOKUP(I117,TCEQ_Outfalls!A:A,TCEQ_Outfalls!A:A,"",0)</f>
        <v>TX0077801</v>
      </c>
      <c r="K117" t="s">
        <v>6631</v>
      </c>
      <c r="L117" t="s">
        <v>16</v>
      </c>
      <c r="M117" t="s">
        <v>15</v>
      </c>
      <c r="N117" t="s">
        <v>14</v>
      </c>
      <c r="O117" t="s">
        <v>873</v>
      </c>
      <c r="P117">
        <v>29.275560129999999</v>
      </c>
      <c r="Q117">
        <v>-98.428978420000007</v>
      </c>
      <c r="R117">
        <v>1911</v>
      </c>
      <c r="S117">
        <v>19</v>
      </c>
      <c r="T117">
        <v>13</v>
      </c>
      <c r="U117" t="s">
        <v>17365</v>
      </c>
      <c r="V117">
        <v>12</v>
      </c>
      <c r="W117" t="s">
        <v>17366</v>
      </c>
      <c r="X117">
        <v>20191007</v>
      </c>
      <c r="Y117" t="s">
        <v>17367</v>
      </c>
      <c r="Z117" t="s">
        <v>17368</v>
      </c>
      <c r="AA117" t="s">
        <v>17369</v>
      </c>
      <c r="AB117">
        <v>14</v>
      </c>
      <c r="AC117" t="s">
        <v>17372</v>
      </c>
    </row>
    <row r="118" spans="1:29" x14ac:dyDescent="0.25">
      <c r="A118">
        <v>-98.468752804999994</v>
      </c>
      <c r="B118">
        <v>29.461616217</v>
      </c>
      <c r="C118">
        <v>7507080</v>
      </c>
      <c r="D118" t="s">
        <v>10685</v>
      </c>
      <c r="E118" t="s">
        <v>7417</v>
      </c>
      <c r="F118">
        <v>2</v>
      </c>
      <c r="G118" t="s">
        <v>17372</v>
      </c>
      <c r="H118">
        <v>77801</v>
      </c>
      <c r="I118" t="str">
        <f t="shared" si="3"/>
        <v>TX0077801</v>
      </c>
      <c r="J118" t="str">
        <f>_xlfn.XLOOKUP(I118,TCEQ_Outfalls!A:A,TCEQ_Outfalls!A:A,"",0)</f>
        <v>TX0077801</v>
      </c>
      <c r="K118" t="s">
        <v>6631</v>
      </c>
      <c r="L118" t="s">
        <v>16</v>
      </c>
      <c r="M118" t="s">
        <v>15</v>
      </c>
      <c r="N118" t="s">
        <v>14</v>
      </c>
      <c r="O118" t="s">
        <v>873</v>
      </c>
      <c r="P118">
        <v>29.46161622</v>
      </c>
      <c r="Q118">
        <v>-98.468752809999998</v>
      </c>
      <c r="R118">
        <v>1911</v>
      </c>
      <c r="S118">
        <v>19</v>
      </c>
      <c r="T118">
        <v>13</v>
      </c>
      <c r="U118" t="s">
        <v>17365</v>
      </c>
      <c r="V118">
        <v>12</v>
      </c>
      <c r="W118" t="s">
        <v>17366</v>
      </c>
      <c r="X118">
        <v>20191007</v>
      </c>
      <c r="Y118" t="s">
        <v>17367</v>
      </c>
      <c r="Z118" t="s">
        <v>17368</v>
      </c>
      <c r="AA118" t="s">
        <v>17369</v>
      </c>
      <c r="AB118">
        <v>14</v>
      </c>
      <c r="AC118" t="s">
        <v>17372</v>
      </c>
    </row>
    <row r="119" spans="1:29" x14ac:dyDescent="0.25">
      <c r="A119">
        <v>-98.480740601999997</v>
      </c>
      <c r="B119">
        <v>29.446453838</v>
      </c>
      <c r="C119">
        <v>7507081</v>
      </c>
      <c r="D119" t="s">
        <v>10684</v>
      </c>
      <c r="E119" t="s">
        <v>7417</v>
      </c>
      <c r="F119">
        <v>3</v>
      </c>
      <c r="G119" t="s">
        <v>17372</v>
      </c>
      <c r="H119">
        <v>77801</v>
      </c>
      <c r="I119" t="str">
        <f t="shared" si="3"/>
        <v>TX0077801</v>
      </c>
      <c r="J119" t="str">
        <f>_xlfn.XLOOKUP(I119,TCEQ_Outfalls!A:A,TCEQ_Outfalls!A:A,"",0)</f>
        <v>TX0077801</v>
      </c>
      <c r="K119" t="s">
        <v>6631</v>
      </c>
      <c r="L119" t="s">
        <v>16</v>
      </c>
      <c r="M119" t="s">
        <v>15</v>
      </c>
      <c r="N119" t="s">
        <v>14</v>
      </c>
      <c r="O119" t="s">
        <v>873</v>
      </c>
      <c r="P119">
        <v>29.44645384</v>
      </c>
      <c r="Q119">
        <v>-98.480740600000004</v>
      </c>
      <c r="R119">
        <v>1911</v>
      </c>
      <c r="S119">
        <v>19</v>
      </c>
      <c r="T119">
        <v>13</v>
      </c>
      <c r="U119" t="s">
        <v>17365</v>
      </c>
      <c r="V119">
        <v>12</v>
      </c>
      <c r="W119" t="s">
        <v>17366</v>
      </c>
      <c r="X119">
        <v>20191007</v>
      </c>
      <c r="Y119" t="s">
        <v>17367</v>
      </c>
      <c r="Z119" t="s">
        <v>17368</v>
      </c>
      <c r="AA119" t="s">
        <v>17369</v>
      </c>
      <c r="AB119">
        <v>14</v>
      </c>
      <c r="AC119" t="s">
        <v>17372</v>
      </c>
    </row>
    <row r="120" spans="1:29" x14ac:dyDescent="0.25">
      <c r="A120">
        <v>-98.416818851000002</v>
      </c>
      <c r="B120">
        <v>29.484730630000001</v>
      </c>
      <c r="C120">
        <v>7507082</v>
      </c>
      <c r="D120" t="s">
        <v>10683</v>
      </c>
      <c r="E120" t="s">
        <v>7417</v>
      </c>
      <c r="F120">
        <v>4</v>
      </c>
      <c r="G120" t="s">
        <v>17372</v>
      </c>
      <c r="H120">
        <v>77801</v>
      </c>
      <c r="I120" t="str">
        <f t="shared" si="3"/>
        <v>TX0077801</v>
      </c>
      <c r="J120" t="str">
        <f>_xlfn.XLOOKUP(I120,TCEQ_Outfalls!A:A,TCEQ_Outfalls!A:A,"",0)</f>
        <v>TX0077801</v>
      </c>
      <c r="K120" t="s">
        <v>6631</v>
      </c>
      <c r="L120" t="s">
        <v>16</v>
      </c>
      <c r="M120" t="s">
        <v>15</v>
      </c>
      <c r="N120" t="s">
        <v>14</v>
      </c>
      <c r="O120" t="s">
        <v>873</v>
      </c>
      <c r="P120">
        <v>29.484730630000001</v>
      </c>
      <c r="Q120">
        <v>-98.416818849999999</v>
      </c>
      <c r="R120">
        <v>1910</v>
      </c>
      <c r="S120">
        <v>19</v>
      </c>
      <c r="T120">
        <v>13</v>
      </c>
      <c r="U120" t="s">
        <v>17365</v>
      </c>
      <c r="V120">
        <v>12</v>
      </c>
      <c r="W120" t="s">
        <v>17366</v>
      </c>
      <c r="X120">
        <v>20191007</v>
      </c>
      <c r="Y120" t="s">
        <v>17367</v>
      </c>
      <c r="Z120" t="s">
        <v>17368</v>
      </c>
      <c r="AA120" t="s">
        <v>17369</v>
      </c>
      <c r="AB120">
        <v>14</v>
      </c>
      <c r="AC120" t="s">
        <v>17372</v>
      </c>
    </row>
    <row r="121" spans="1:29" x14ac:dyDescent="0.25">
      <c r="A121">
        <v>-98.416244012000007</v>
      </c>
      <c r="B121">
        <v>29.235826923000001</v>
      </c>
      <c r="C121">
        <v>7508121</v>
      </c>
      <c r="D121" t="s">
        <v>7418</v>
      </c>
      <c r="E121" t="s">
        <v>7417</v>
      </c>
      <c r="F121">
        <v>1</v>
      </c>
      <c r="G121" t="s">
        <v>17372</v>
      </c>
      <c r="H121">
        <v>77801</v>
      </c>
      <c r="I121" t="str">
        <f t="shared" si="3"/>
        <v>TX0077801</v>
      </c>
      <c r="J121" t="str">
        <f>_xlfn.XLOOKUP(I121,TCEQ_Outfalls!A:A,TCEQ_Outfalls!A:A,"",0)</f>
        <v>TX0077801</v>
      </c>
      <c r="K121" t="s">
        <v>6631</v>
      </c>
      <c r="L121" t="s">
        <v>16</v>
      </c>
      <c r="M121" t="s">
        <v>15</v>
      </c>
      <c r="N121" t="s">
        <v>14</v>
      </c>
      <c r="O121" t="s">
        <v>873</v>
      </c>
      <c r="P121">
        <v>29.235826920000001</v>
      </c>
      <c r="Q121">
        <v>-98.41624401</v>
      </c>
      <c r="R121">
        <v>1903</v>
      </c>
      <c r="S121">
        <v>19</v>
      </c>
      <c r="T121">
        <v>13</v>
      </c>
      <c r="U121" t="s">
        <v>17365</v>
      </c>
      <c r="V121">
        <v>12</v>
      </c>
      <c r="W121" t="s">
        <v>17366</v>
      </c>
      <c r="X121">
        <v>20191007</v>
      </c>
      <c r="Y121" t="s">
        <v>17367</v>
      </c>
      <c r="Z121" t="s">
        <v>17368</v>
      </c>
      <c r="AA121" t="s">
        <v>17369</v>
      </c>
      <c r="AB121">
        <v>14</v>
      </c>
      <c r="AC121" t="s">
        <v>17372</v>
      </c>
    </row>
    <row r="122" spans="1:29" x14ac:dyDescent="0.25">
      <c r="A122">
        <v>-98.032090271000001</v>
      </c>
      <c r="B122">
        <v>29.574075714999999</v>
      </c>
      <c r="C122">
        <v>7509031</v>
      </c>
      <c r="D122" t="s">
        <v>1571</v>
      </c>
      <c r="E122" t="s">
        <v>1570</v>
      </c>
      <c r="F122">
        <v>1</v>
      </c>
      <c r="G122" t="s">
        <v>17372</v>
      </c>
      <c r="H122">
        <v>83178</v>
      </c>
      <c r="I122" t="str">
        <f t="shared" si="3"/>
        <v>TX0083178</v>
      </c>
      <c r="J122" t="str">
        <f>_xlfn.XLOOKUP(I122,TCEQ_Outfalls!A:A,TCEQ_Outfalls!A:A,"",0)</f>
        <v>TX0083178</v>
      </c>
      <c r="K122" t="s">
        <v>1568</v>
      </c>
      <c r="L122" t="s">
        <v>16</v>
      </c>
      <c r="M122" t="s">
        <v>15</v>
      </c>
      <c r="N122" t="s">
        <v>14</v>
      </c>
      <c r="O122" t="s">
        <v>1032</v>
      </c>
      <c r="P122">
        <v>29.57407572</v>
      </c>
      <c r="Q122">
        <v>-98.032090269999998</v>
      </c>
      <c r="R122">
        <v>1804</v>
      </c>
      <c r="S122">
        <v>18</v>
      </c>
      <c r="T122">
        <v>13</v>
      </c>
      <c r="U122" t="s">
        <v>17365</v>
      </c>
      <c r="V122">
        <v>12</v>
      </c>
      <c r="W122" t="s">
        <v>17366</v>
      </c>
      <c r="X122">
        <v>20191030</v>
      </c>
      <c r="Y122" t="s">
        <v>17367</v>
      </c>
      <c r="Z122" t="s">
        <v>17368</v>
      </c>
      <c r="AA122" t="s">
        <v>17369</v>
      </c>
      <c r="AB122">
        <v>14</v>
      </c>
      <c r="AC122" t="s">
        <v>17372</v>
      </c>
    </row>
    <row r="123" spans="1:29" x14ac:dyDescent="0.25">
      <c r="A123">
        <v>-98.098604000999998</v>
      </c>
      <c r="B123">
        <v>29.687367998999999</v>
      </c>
      <c r="C123">
        <v>7508247</v>
      </c>
      <c r="D123" t="s">
        <v>6966</v>
      </c>
      <c r="E123" t="s">
        <v>6965</v>
      </c>
      <c r="F123">
        <v>1</v>
      </c>
      <c r="G123" t="s">
        <v>17372</v>
      </c>
      <c r="H123">
        <v>88170</v>
      </c>
      <c r="I123" t="str">
        <f t="shared" si="3"/>
        <v>TX0088170</v>
      </c>
      <c r="J123" t="str">
        <f>_xlfn.XLOOKUP(I123,TCEQ_Outfalls!A:A,TCEQ_Outfalls!A:A,"",0)</f>
        <v>TX0088170</v>
      </c>
      <c r="K123" t="s">
        <v>1033</v>
      </c>
      <c r="L123" t="s">
        <v>16</v>
      </c>
      <c r="M123" t="s">
        <v>15</v>
      </c>
      <c r="N123" t="s">
        <v>14</v>
      </c>
      <c r="O123" t="s">
        <v>274</v>
      </c>
      <c r="P123">
        <v>29.687367999999999</v>
      </c>
      <c r="Q123">
        <v>-98.098603999999995</v>
      </c>
      <c r="R123">
        <v>1804</v>
      </c>
      <c r="S123">
        <v>18</v>
      </c>
      <c r="T123">
        <v>13</v>
      </c>
      <c r="U123" t="s">
        <v>17365</v>
      </c>
      <c r="V123">
        <v>12</v>
      </c>
      <c r="W123" t="s">
        <v>17366</v>
      </c>
      <c r="X123">
        <v>20190910</v>
      </c>
      <c r="Y123" t="s">
        <v>17367</v>
      </c>
      <c r="Z123" t="s">
        <v>17368</v>
      </c>
      <c r="AA123" t="s">
        <v>17369</v>
      </c>
      <c r="AB123">
        <v>14</v>
      </c>
      <c r="AC123" t="s">
        <v>17372</v>
      </c>
    </row>
    <row r="124" spans="1:29" x14ac:dyDescent="0.25">
      <c r="A124">
        <v>-98.612598998999999</v>
      </c>
      <c r="B124">
        <v>29.636726002</v>
      </c>
      <c r="C124">
        <v>7508949</v>
      </c>
      <c r="D124" t="s">
        <v>2865</v>
      </c>
      <c r="E124" t="s">
        <v>2864</v>
      </c>
      <c r="F124">
        <v>1</v>
      </c>
      <c r="G124" t="s">
        <v>17372</v>
      </c>
      <c r="H124">
        <v>90603</v>
      </c>
      <c r="I124" t="str">
        <f t="shared" si="3"/>
        <v>TX0090603</v>
      </c>
      <c r="J124" t="str">
        <f>_xlfn.XLOOKUP(I124,TCEQ_Outfalls!A:A,TCEQ_Outfalls!A:A,"",0)</f>
        <v>TX0090603</v>
      </c>
      <c r="K124" t="s">
        <v>2862</v>
      </c>
      <c r="L124" t="s">
        <v>16</v>
      </c>
      <c r="M124" t="s">
        <v>28</v>
      </c>
      <c r="N124" t="s">
        <v>27</v>
      </c>
      <c r="O124" t="s">
        <v>873</v>
      </c>
      <c r="P124">
        <v>29.636725999999999</v>
      </c>
      <c r="Q124">
        <v>-98.612599000000003</v>
      </c>
      <c r="R124">
        <v>1907</v>
      </c>
      <c r="S124">
        <v>19</v>
      </c>
      <c r="T124">
        <v>13</v>
      </c>
      <c r="U124" t="s">
        <v>17365</v>
      </c>
      <c r="V124">
        <v>12</v>
      </c>
      <c r="W124" t="s">
        <v>17366</v>
      </c>
      <c r="X124">
        <v>20030218</v>
      </c>
      <c r="Y124" t="s">
        <v>17367</v>
      </c>
      <c r="Z124" t="s">
        <v>17368</v>
      </c>
      <c r="AA124" t="s">
        <v>17369</v>
      </c>
      <c r="AB124">
        <v>14</v>
      </c>
      <c r="AC124" t="s">
        <v>17372</v>
      </c>
    </row>
    <row r="125" spans="1:29" x14ac:dyDescent="0.25">
      <c r="A125">
        <v>-98.318750930999997</v>
      </c>
      <c r="B125">
        <v>29.436202701999999</v>
      </c>
      <c r="C125">
        <v>7509987</v>
      </c>
      <c r="D125" t="s">
        <v>5394</v>
      </c>
      <c r="E125" t="s">
        <v>5393</v>
      </c>
      <c r="F125">
        <v>1</v>
      </c>
      <c r="G125" t="s">
        <v>17372</v>
      </c>
      <c r="H125">
        <v>95583</v>
      </c>
      <c r="I125" t="str">
        <f t="shared" si="3"/>
        <v>TX0095583</v>
      </c>
      <c r="J125" t="str">
        <f>_xlfn.XLOOKUP(I125,TCEQ_Outfalls!A:A,TCEQ_Outfalls!A:A,"",0)</f>
        <v>TX0095583</v>
      </c>
      <c r="K125" t="s">
        <v>5388</v>
      </c>
      <c r="L125" t="s">
        <v>16</v>
      </c>
      <c r="M125" t="s">
        <v>15</v>
      </c>
      <c r="N125" t="s">
        <v>4968</v>
      </c>
      <c r="O125" t="s">
        <v>873</v>
      </c>
      <c r="P125">
        <v>29.436202699999999</v>
      </c>
      <c r="Q125">
        <v>-98.318750929999993</v>
      </c>
      <c r="R125">
        <v>1902</v>
      </c>
      <c r="S125">
        <v>19</v>
      </c>
      <c r="T125">
        <v>13</v>
      </c>
      <c r="U125" t="s">
        <v>17365</v>
      </c>
      <c r="V125">
        <v>12</v>
      </c>
      <c r="W125" t="s">
        <v>17366</v>
      </c>
      <c r="X125">
        <v>20191004</v>
      </c>
      <c r="Y125" t="s">
        <v>17367</v>
      </c>
      <c r="Z125" t="s">
        <v>17368</v>
      </c>
      <c r="AA125" t="s">
        <v>17369</v>
      </c>
      <c r="AB125">
        <v>14</v>
      </c>
      <c r="AC125" t="s">
        <v>17372</v>
      </c>
    </row>
    <row r="126" spans="1:29" x14ac:dyDescent="0.25">
      <c r="A126">
        <v>-97.913693868999999</v>
      </c>
      <c r="B126">
        <v>29.541730465000001</v>
      </c>
      <c r="C126">
        <v>7507964</v>
      </c>
      <c r="D126" t="s">
        <v>7976</v>
      </c>
      <c r="E126" t="s">
        <v>7975</v>
      </c>
      <c r="F126">
        <v>1</v>
      </c>
      <c r="G126" t="s">
        <v>17372</v>
      </c>
      <c r="H126">
        <v>103535</v>
      </c>
      <c r="I126" t="str">
        <f t="shared" si="3"/>
        <v>TX0103535</v>
      </c>
      <c r="J126" t="str">
        <f>_xlfn.XLOOKUP(I126,TCEQ_Outfalls!A:A,TCEQ_Outfalls!A:A,"",0)</f>
        <v>TX0103535</v>
      </c>
      <c r="K126" t="s">
        <v>7973</v>
      </c>
      <c r="L126" t="s">
        <v>16</v>
      </c>
      <c r="M126" t="s">
        <v>15</v>
      </c>
      <c r="N126" t="s">
        <v>14</v>
      </c>
      <c r="O126" t="s">
        <v>1032</v>
      </c>
      <c r="P126">
        <v>29.541730470000001</v>
      </c>
      <c r="Q126">
        <v>-97.913693870000003</v>
      </c>
      <c r="R126">
        <v>1804</v>
      </c>
      <c r="S126">
        <v>18</v>
      </c>
      <c r="T126">
        <v>13</v>
      </c>
      <c r="U126" t="s">
        <v>17365</v>
      </c>
      <c r="V126">
        <v>12</v>
      </c>
      <c r="W126" t="s">
        <v>17366</v>
      </c>
      <c r="X126">
        <v>20210415</v>
      </c>
      <c r="Y126" t="s">
        <v>17367</v>
      </c>
      <c r="Z126" t="s">
        <v>17368</v>
      </c>
      <c r="AA126" t="s">
        <v>17369</v>
      </c>
      <c r="AB126">
        <v>14</v>
      </c>
      <c r="AC126" t="s">
        <v>17372</v>
      </c>
    </row>
    <row r="127" spans="1:29" x14ac:dyDescent="0.25">
      <c r="A127">
        <v>-97.914007980999997</v>
      </c>
      <c r="B127">
        <v>29.541067049999999</v>
      </c>
      <c r="C127">
        <v>7510179</v>
      </c>
      <c r="D127" t="s">
        <v>17412</v>
      </c>
      <c r="E127" t="s">
        <v>7975</v>
      </c>
      <c r="F127">
        <v>2</v>
      </c>
      <c r="H127">
        <v>103535</v>
      </c>
      <c r="I127" t="str">
        <f t="shared" si="3"/>
        <v>TX0103535</v>
      </c>
      <c r="J127" t="str">
        <f>_xlfn.XLOOKUP(I127,TCEQ_Outfalls!A:A,TCEQ_Outfalls!A:A,"",0)</f>
        <v>TX0103535</v>
      </c>
      <c r="K127" t="s">
        <v>7973</v>
      </c>
      <c r="L127" t="s">
        <v>16</v>
      </c>
      <c r="M127" t="s">
        <v>15</v>
      </c>
      <c r="N127" t="s">
        <v>17370</v>
      </c>
      <c r="O127" t="s">
        <v>1032</v>
      </c>
      <c r="P127">
        <v>29.541066900000001</v>
      </c>
      <c r="Q127">
        <v>-97.914007999999995</v>
      </c>
      <c r="R127">
        <v>1804</v>
      </c>
      <c r="S127">
        <v>18</v>
      </c>
      <c r="T127">
        <v>13</v>
      </c>
      <c r="U127" t="s">
        <v>17365</v>
      </c>
      <c r="V127">
        <v>12</v>
      </c>
      <c r="W127" t="s">
        <v>17366</v>
      </c>
      <c r="X127">
        <v>20220726</v>
      </c>
      <c r="Y127" t="s">
        <v>17367</v>
      </c>
      <c r="Z127" t="s">
        <v>17368</v>
      </c>
      <c r="AA127" t="s">
        <v>17369</v>
      </c>
      <c r="AB127">
        <v>14</v>
      </c>
    </row>
    <row r="128" spans="1:29" x14ac:dyDescent="0.25">
      <c r="A128">
        <v>-98.804886002000003</v>
      </c>
      <c r="B128">
        <v>29.309709000000002</v>
      </c>
      <c r="C128">
        <v>7508846</v>
      </c>
      <c r="D128" t="s">
        <v>238</v>
      </c>
      <c r="E128" t="s">
        <v>237</v>
      </c>
      <c r="F128">
        <v>1</v>
      </c>
      <c r="G128" t="s">
        <v>17372</v>
      </c>
      <c r="H128">
        <v>107743</v>
      </c>
      <c r="I128" t="str">
        <f t="shared" si="3"/>
        <v>TX0107743</v>
      </c>
      <c r="J128" t="str">
        <f>_xlfn.XLOOKUP(I128,TCEQ_Outfalls!A:A,TCEQ_Outfalls!A:A,"",0)</f>
        <v>TX0107743</v>
      </c>
      <c r="K128" t="s">
        <v>235</v>
      </c>
      <c r="L128" t="s">
        <v>16</v>
      </c>
      <c r="M128" t="s">
        <v>28</v>
      </c>
      <c r="N128" t="s">
        <v>27</v>
      </c>
      <c r="O128" t="s">
        <v>234</v>
      </c>
      <c r="P128">
        <v>29.309709000000002</v>
      </c>
      <c r="Q128">
        <v>-98.804885999999996</v>
      </c>
      <c r="R128">
        <v>1903</v>
      </c>
      <c r="S128">
        <v>19</v>
      </c>
      <c r="T128">
        <v>13</v>
      </c>
      <c r="U128" t="s">
        <v>17365</v>
      </c>
      <c r="V128">
        <v>12</v>
      </c>
      <c r="W128" t="s">
        <v>17366</v>
      </c>
      <c r="X128">
        <v>20091002</v>
      </c>
      <c r="Y128" t="s">
        <v>17367</v>
      </c>
      <c r="Z128" t="s">
        <v>17368</v>
      </c>
      <c r="AA128" t="s">
        <v>17369</v>
      </c>
      <c r="AB128">
        <v>14</v>
      </c>
      <c r="AC128" t="s">
        <v>17372</v>
      </c>
    </row>
    <row r="129" spans="1:29" x14ac:dyDescent="0.25">
      <c r="A129">
        <v>-97.619701680999995</v>
      </c>
      <c r="B129">
        <v>29.870566577000002</v>
      </c>
      <c r="C129">
        <v>7508233</v>
      </c>
      <c r="D129" t="s">
        <v>7025</v>
      </c>
      <c r="E129" t="s">
        <v>7024</v>
      </c>
      <c r="F129">
        <v>1</v>
      </c>
      <c r="G129" t="s">
        <v>17372</v>
      </c>
      <c r="H129">
        <v>113565</v>
      </c>
      <c r="I129" t="str">
        <f t="shared" si="3"/>
        <v>TX0113565</v>
      </c>
      <c r="J129" t="str">
        <f>_xlfn.XLOOKUP(I129,TCEQ_Outfalls!A:A,TCEQ_Outfalls!A:A,"",0)</f>
        <v>TX0113565</v>
      </c>
      <c r="K129" t="s">
        <v>7022</v>
      </c>
      <c r="L129" t="s">
        <v>16</v>
      </c>
      <c r="M129" t="s">
        <v>15</v>
      </c>
      <c r="N129" t="s">
        <v>14</v>
      </c>
      <c r="O129" t="s">
        <v>2137</v>
      </c>
      <c r="P129">
        <v>29.870566579999998</v>
      </c>
      <c r="Q129">
        <v>-97.619701680000006</v>
      </c>
      <c r="R129">
        <v>1810</v>
      </c>
      <c r="S129">
        <v>18</v>
      </c>
      <c r="T129">
        <v>11</v>
      </c>
      <c r="U129" t="s">
        <v>17365</v>
      </c>
      <c r="V129">
        <v>12</v>
      </c>
      <c r="W129" t="s">
        <v>17366</v>
      </c>
      <c r="X129">
        <v>20190710</v>
      </c>
      <c r="Y129" t="s">
        <v>17367</v>
      </c>
      <c r="Z129" t="s">
        <v>17368</v>
      </c>
      <c r="AA129" t="s">
        <v>17369</v>
      </c>
      <c r="AB129">
        <v>14</v>
      </c>
      <c r="AC129" t="s">
        <v>17372</v>
      </c>
    </row>
    <row r="130" spans="1:29" x14ac:dyDescent="0.25">
      <c r="A130">
        <v>-98.892034093999996</v>
      </c>
      <c r="B130">
        <v>29.971538554999999</v>
      </c>
      <c r="C130">
        <v>7507690</v>
      </c>
      <c r="D130" t="s">
        <v>8412</v>
      </c>
      <c r="E130" t="s">
        <v>8411</v>
      </c>
      <c r="F130">
        <v>1</v>
      </c>
      <c r="G130" t="s">
        <v>17372</v>
      </c>
      <c r="H130">
        <v>116742</v>
      </c>
      <c r="I130" t="str">
        <f t="shared" ref="I130:I161" si="4">IF(LEN(H130)=4,"TX000" &amp; H130,IF(LEN(H130)=5,"TX00" &amp; H130,"TX0" &amp; H130))</f>
        <v>TX0116742</v>
      </c>
      <c r="J130" t="str">
        <f>_xlfn.XLOOKUP(I130,TCEQ_Outfalls!A:A,TCEQ_Outfalls!A:A,"",0)</f>
        <v>TX0116742</v>
      </c>
      <c r="K130" t="s">
        <v>8409</v>
      </c>
      <c r="L130" t="s">
        <v>16</v>
      </c>
      <c r="M130" t="s">
        <v>28</v>
      </c>
      <c r="N130" t="s">
        <v>14</v>
      </c>
      <c r="O130" t="s">
        <v>2500</v>
      </c>
      <c r="P130">
        <v>29.971538559999999</v>
      </c>
      <c r="Q130">
        <v>-98.892034089999996</v>
      </c>
      <c r="R130">
        <v>1806</v>
      </c>
      <c r="S130">
        <v>18</v>
      </c>
      <c r="T130">
        <v>13</v>
      </c>
      <c r="U130" t="s">
        <v>17365</v>
      </c>
      <c r="V130">
        <v>12</v>
      </c>
      <c r="W130" t="s">
        <v>17366</v>
      </c>
      <c r="X130">
        <v>20190913</v>
      </c>
      <c r="Y130" t="s">
        <v>17367</v>
      </c>
      <c r="Z130" t="s">
        <v>17368</v>
      </c>
      <c r="AA130" t="s">
        <v>17369</v>
      </c>
      <c r="AB130">
        <v>14</v>
      </c>
      <c r="AC130" t="s">
        <v>17372</v>
      </c>
    </row>
    <row r="131" spans="1:29" x14ac:dyDescent="0.25">
      <c r="A131">
        <v>-97.561781998000001</v>
      </c>
      <c r="B131">
        <v>29.921230999999999</v>
      </c>
      <c r="C131">
        <v>7507494</v>
      </c>
      <c r="D131" t="s">
        <v>9431</v>
      </c>
      <c r="E131" t="s">
        <v>9430</v>
      </c>
      <c r="F131">
        <v>1</v>
      </c>
      <c r="G131" t="s">
        <v>17372</v>
      </c>
      <c r="H131">
        <v>117170</v>
      </c>
      <c r="I131" t="str">
        <f t="shared" si="4"/>
        <v>TX0117170</v>
      </c>
      <c r="J131" t="str">
        <f>_xlfn.XLOOKUP(I131,TCEQ_Outfalls!A:A,TCEQ_Outfalls!A:A,"",0)</f>
        <v>TX0117170</v>
      </c>
      <c r="K131" t="s">
        <v>2138</v>
      </c>
      <c r="L131" t="s">
        <v>16</v>
      </c>
      <c r="M131" t="s">
        <v>28</v>
      </c>
      <c r="N131" t="s">
        <v>73</v>
      </c>
      <c r="O131" t="s">
        <v>2137</v>
      </c>
      <c r="P131">
        <v>29.921230999999999</v>
      </c>
      <c r="Q131">
        <v>-97.561781999999994</v>
      </c>
      <c r="R131">
        <v>1810</v>
      </c>
      <c r="S131">
        <v>18</v>
      </c>
      <c r="T131">
        <v>11</v>
      </c>
      <c r="U131" t="s">
        <v>17365</v>
      </c>
      <c r="V131">
        <v>12</v>
      </c>
      <c r="W131" t="s">
        <v>17366</v>
      </c>
      <c r="X131">
        <v>20090922</v>
      </c>
      <c r="Y131" t="s">
        <v>17367</v>
      </c>
      <c r="Z131" t="s">
        <v>17368</v>
      </c>
      <c r="AA131" t="s">
        <v>17369</v>
      </c>
      <c r="AB131">
        <v>14</v>
      </c>
      <c r="AC131" t="s">
        <v>17372</v>
      </c>
    </row>
    <row r="132" spans="1:29" x14ac:dyDescent="0.25">
      <c r="A132">
        <v>-97.635766000999993</v>
      </c>
      <c r="B132">
        <v>29.817547002000001</v>
      </c>
      <c r="C132">
        <v>7507495</v>
      </c>
      <c r="D132" t="s">
        <v>9428</v>
      </c>
      <c r="E132" t="s">
        <v>9427</v>
      </c>
      <c r="F132">
        <v>1</v>
      </c>
      <c r="G132" t="s">
        <v>17372</v>
      </c>
      <c r="H132">
        <v>117188</v>
      </c>
      <c r="I132" t="str">
        <f t="shared" si="4"/>
        <v>TX0117188</v>
      </c>
      <c r="J132" t="str">
        <f>_xlfn.XLOOKUP(I132,TCEQ_Outfalls!A:A,TCEQ_Outfalls!A:A,"",0)</f>
        <v>TX0117188</v>
      </c>
      <c r="K132" t="s">
        <v>2138</v>
      </c>
      <c r="L132" t="s">
        <v>16</v>
      </c>
      <c r="M132" t="s">
        <v>28</v>
      </c>
      <c r="N132" t="s">
        <v>27</v>
      </c>
      <c r="O132" t="s">
        <v>2137</v>
      </c>
      <c r="P132">
        <v>29.817547000000001</v>
      </c>
      <c r="Q132">
        <v>-97.635766000000004</v>
      </c>
      <c r="R132">
        <v>1810</v>
      </c>
      <c r="S132">
        <v>18</v>
      </c>
      <c r="T132">
        <v>11</v>
      </c>
      <c r="U132" t="s">
        <v>17365</v>
      </c>
      <c r="V132">
        <v>12</v>
      </c>
      <c r="W132" t="s">
        <v>17366</v>
      </c>
      <c r="X132">
        <v>20090911</v>
      </c>
      <c r="Y132" t="s">
        <v>17367</v>
      </c>
      <c r="Z132" t="s">
        <v>17368</v>
      </c>
      <c r="AA132" t="s">
        <v>17369</v>
      </c>
      <c r="AB132">
        <v>14</v>
      </c>
      <c r="AC132" t="s">
        <v>17372</v>
      </c>
    </row>
    <row r="133" spans="1:29" x14ac:dyDescent="0.25">
      <c r="A133">
        <v>-98.290469814000005</v>
      </c>
      <c r="B133">
        <v>29.458956226000002</v>
      </c>
      <c r="C133">
        <v>7507497</v>
      </c>
      <c r="D133" t="s">
        <v>9422</v>
      </c>
      <c r="E133" t="s">
        <v>9421</v>
      </c>
      <c r="F133">
        <v>1</v>
      </c>
      <c r="G133" t="s">
        <v>17372</v>
      </c>
      <c r="H133">
        <v>117536</v>
      </c>
      <c r="I133" t="str">
        <f t="shared" si="4"/>
        <v>TX0117536</v>
      </c>
      <c r="J133" t="str">
        <f>_xlfn.XLOOKUP(I133,TCEQ_Outfalls!A:A,TCEQ_Outfalls!A:A,"",0)</f>
        <v>TX0117536</v>
      </c>
      <c r="K133" t="s">
        <v>5388</v>
      </c>
      <c r="L133" t="s">
        <v>16</v>
      </c>
      <c r="M133" t="s">
        <v>28</v>
      </c>
      <c r="N133" t="s">
        <v>36</v>
      </c>
      <c r="O133" t="s">
        <v>873</v>
      </c>
      <c r="P133">
        <v>29.458956229999998</v>
      </c>
      <c r="Q133">
        <v>-98.290469810000005</v>
      </c>
      <c r="R133">
        <v>1902</v>
      </c>
      <c r="S133">
        <v>19</v>
      </c>
      <c r="T133">
        <v>13</v>
      </c>
      <c r="U133" t="s">
        <v>17365</v>
      </c>
      <c r="V133">
        <v>12</v>
      </c>
      <c r="W133" t="s">
        <v>17366</v>
      </c>
      <c r="X133">
        <v>20170309</v>
      </c>
      <c r="Y133" t="s">
        <v>17367</v>
      </c>
      <c r="Z133" t="s">
        <v>17368</v>
      </c>
      <c r="AA133" t="s">
        <v>17369</v>
      </c>
      <c r="AB133">
        <v>14</v>
      </c>
      <c r="AC133" t="s">
        <v>17372</v>
      </c>
    </row>
    <row r="134" spans="1:29" x14ac:dyDescent="0.25">
      <c r="A134">
        <v>-97.841180996000006</v>
      </c>
      <c r="B134">
        <v>28.823015415</v>
      </c>
      <c r="C134">
        <v>7509927</v>
      </c>
      <c r="D134" t="s">
        <v>5772</v>
      </c>
      <c r="E134" t="s">
        <v>5771</v>
      </c>
      <c r="F134">
        <v>1</v>
      </c>
      <c r="G134" t="s">
        <v>17372</v>
      </c>
      <c r="H134">
        <v>117650</v>
      </c>
      <c r="I134" t="str">
        <f t="shared" si="4"/>
        <v>TX0117650</v>
      </c>
      <c r="J134" t="str">
        <f>_xlfn.XLOOKUP(I134,TCEQ_Outfalls!A:A,TCEQ_Outfalls!A:A,"",0)</f>
        <v>TX0117650</v>
      </c>
      <c r="K134" t="s">
        <v>4474</v>
      </c>
      <c r="L134" t="s">
        <v>16</v>
      </c>
      <c r="M134" t="s">
        <v>15</v>
      </c>
      <c r="N134" t="s">
        <v>14</v>
      </c>
      <c r="O134" t="s">
        <v>1853</v>
      </c>
      <c r="P134">
        <v>28.82301541</v>
      </c>
      <c r="Q134">
        <v>-97.841181000000006</v>
      </c>
      <c r="R134">
        <v>1901</v>
      </c>
      <c r="S134">
        <v>19</v>
      </c>
      <c r="T134">
        <v>13</v>
      </c>
      <c r="U134" t="s">
        <v>17365</v>
      </c>
      <c r="V134">
        <v>12</v>
      </c>
      <c r="W134" t="s">
        <v>17366</v>
      </c>
      <c r="X134">
        <v>20190920</v>
      </c>
      <c r="Y134" t="s">
        <v>17367</v>
      </c>
      <c r="Z134" t="s">
        <v>17368</v>
      </c>
      <c r="AA134" t="s">
        <v>17369</v>
      </c>
      <c r="AB134">
        <v>14</v>
      </c>
      <c r="AC134" t="s">
        <v>17372</v>
      </c>
    </row>
    <row r="135" spans="1:29" x14ac:dyDescent="0.25">
      <c r="A135">
        <v>-97.800630460999997</v>
      </c>
      <c r="B135">
        <v>29.99530583</v>
      </c>
      <c r="C135">
        <v>7508669</v>
      </c>
      <c r="D135" t="s">
        <v>2972</v>
      </c>
      <c r="E135" t="s">
        <v>2971</v>
      </c>
      <c r="F135">
        <v>1</v>
      </c>
      <c r="G135" t="s">
        <v>17372</v>
      </c>
      <c r="H135">
        <v>117676</v>
      </c>
      <c r="I135" t="str">
        <f t="shared" si="4"/>
        <v>TX0117676</v>
      </c>
      <c r="J135" t="str">
        <f>_xlfn.XLOOKUP(I135,TCEQ_Outfalls!A:A,TCEQ_Outfalls!A:A,"",0)</f>
        <v>TX0117676</v>
      </c>
      <c r="K135" t="s">
        <v>2969</v>
      </c>
      <c r="L135" t="s">
        <v>16</v>
      </c>
      <c r="M135" t="s">
        <v>28</v>
      </c>
      <c r="N135" t="s">
        <v>14</v>
      </c>
      <c r="O135" t="s">
        <v>753</v>
      </c>
      <c r="P135">
        <v>29.99530583</v>
      </c>
      <c r="Q135">
        <v>-97.800630459999994</v>
      </c>
      <c r="R135">
        <v>1810</v>
      </c>
      <c r="S135">
        <v>18</v>
      </c>
      <c r="T135">
        <v>11</v>
      </c>
      <c r="U135" t="s">
        <v>17365</v>
      </c>
      <c r="V135">
        <v>12</v>
      </c>
      <c r="W135" t="s">
        <v>17366</v>
      </c>
      <c r="X135">
        <v>20190905</v>
      </c>
      <c r="Y135" t="s">
        <v>17367</v>
      </c>
      <c r="Z135" t="s">
        <v>17368</v>
      </c>
      <c r="AA135" t="s">
        <v>17369</v>
      </c>
      <c r="AB135">
        <v>14</v>
      </c>
      <c r="AC135" t="s">
        <v>17372</v>
      </c>
    </row>
    <row r="136" spans="1:29" x14ac:dyDescent="0.25">
      <c r="A136">
        <v>-97.833018621999997</v>
      </c>
      <c r="B136">
        <v>29.968165532</v>
      </c>
      <c r="C136">
        <v>7509618</v>
      </c>
      <c r="D136" t="s">
        <v>6071</v>
      </c>
      <c r="E136" t="s">
        <v>6070</v>
      </c>
      <c r="F136">
        <v>1</v>
      </c>
      <c r="G136" t="s">
        <v>17372</v>
      </c>
      <c r="H136">
        <v>119466</v>
      </c>
      <c r="I136" t="str">
        <f t="shared" si="4"/>
        <v>TX0119466</v>
      </c>
      <c r="J136" t="str">
        <f>_xlfn.XLOOKUP(I136,TCEQ_Outfalls!A:A,TCEQ_Outfalls!A:A,"",0)</f>
        <v>TX0119466</v>
      </c>
      <c r="K136" t="s">
        <v>6068</v>
      </c>
      <c r="L136" t="s">
        <v>16</v>
      </c>
      <c r="M136" t="s">
        <v>15</v>
      </c>
      <c r="N136" t="s">
        <v>17373</v>
      </c>
      <c r="O136" t="s">
        <v>753</v>
      </c>
      <c r="P136">
        <v>29.96816553</v>
      </c>
      <c r="Q136">
        <v>-97.833018999999993</v>
      </c>
      <c r="R136">
        <v>1810</v>
      </c>
      <c r="S136">
        <v>18</v>
      </c>
      <c r="T136">
        <v>11</v>
      </c>
      <c r="U136" t="s">
        <v>17365</v>
      </c>
      <c r="V136">
        <v>12</v>
      </c>
      <c r="W136" t="s">
        <v>17366</v>
      </c>
      <c r="X136">
        <v>20220512</v>
      </c>
      <c r="Y136" t="s">
        <v>17367</v>
      </c>
      <c r="Z136" t="s">
        <v>17368</v>
      </c>
      <c r="AA136" t="s">
        <v>17369</v>
      </c>
      <c r="AB136">
        <v>14</v>
      </c>
      <c r="AC136" t="s">
        <v>17372</v>
      </c>
    </row>
    <row r="137" spans="1:29" x14ac:dyDescent="0.25">
      <c r="A137">
        <v>-97.427936373999998</v>
      </c>
      <c r="B137">
        <v>29.376407912000001</v>
      </c>
      <c r="C137">
        <v>7509743</v>
      </c>
      <c r="D137" t="s">
        <v>5235</v>
      </c>
      <c r="E137" t="s">
        <v>5234</v>
      </c>
      <c r="F137">
        <v>1</v>
      </c>
      <c r="G137" t="s">
        <v>17372</v>
      </c>
      <c r="H137">
        <v>123358</v>
      </c>
      <c r="I137" t="str">
        <f t="shared" si="4"/>
        <v>TX0123358</v>
      </c>
      <c r="J137" t="str">
        <f>_xlfn.XLOOKUP(I137,TCEQ_Outfalls!A:A,TCEQ_Outfalls!A:A,"",0)</f>
        <v>TX0123358</v>
      </c>
      <c r="K137" t="s">
        <v>17371</v>
      </c>
      <c r="L137" t="s">
        <v>16</v>
      </c>
      <c r="M137" t="s">
        <v>591</v>
      </c>
      <c r="N137" t="s">
        <v>14</v>
      </c>
      <c r="O137" t="s">
        <v>3079</v>
      </c>
      <c r="P137">
        <v>29.376407910000001</v>
      </c>
      <c r="Q137">
        <v>-97.427936369999998</v>
      </c>
      <c r="R137">
        <v>1803</v>
      </c>
      <c r="S137">
        <v>18</v>
      </c>
      <c r="T137">
        <v>14</v>
      </c>
      <c r="U137" t="s">
        <v>17365</v>
      </c>
      <c r="V137">
        <v>12</v>
      </c>
      <c r="W137" t="s">
        <v>17366</v>
      </c>
      <c r="X137">
        <v>20200310</v>
      </c>
      <c r="Y137" t="s">
        <v>17367</v>
      </c>
      <c r="Z137" t="s">
        <v>17368</v>
      </c>
      <c r="AA137" t="s">
        <v>17369</v>
      </c>
      <c r="AB137">
        <v>14</v>
      </c>
      <c r="AC137" t="s">
        <v>17372</v>
      </c>
    </row>
    <row r="138" spans="1:29" x14ac:dyDescent="0.25">
      <c r="A138">
        <v>-98.634407847000006</v>
      </c>
      <c r="B138">
        <v>29.320011655999998</v>
      </c>
      <c r="C138">
        <v>7507016</v>
      </c>
      <c r="D138" t="s">
        <v>10786</v>
      </c>
      <c r="E138" t="s">
        <v>10785</v>
      </c>
      <c r="F138">
        <v>1</v>
      </c>
      <c r="G138" t="s">
        <v>17372</v>
      </c>
      <c r="H138">
        <v>125083</v>
      </c>
      <c r="I138" t="str">
        <f t="shared" si="4"/>
        <v>TX0125083</v>
      </c>
      <c r="J138" t="str">
        <f>_xlfn.XLOOKUP(I138,TCEQ_Outfalls!A:A,TCEQ_Outfalls!A:A,"",0)</f>
        <v>TX0125083</v>
      </c>
      <c r="K138" t="s">
        <v>6631</v>
      </c>
      <c r="L138" t="s">
        <v>16</v>
      </c>
      <c r="M138" t="s">
        <v>15</v>
      </c>
      <c r="N138" t="s">
        <v>14</v>
      </c>
      <c r="O138" t="s">
        <v>873</v>
      </c>
      <c r="P138">
        <v>29.320011659999999</v>
      </c>
      <c r="Q138">
        <v>-98.634407850000002</v>
      </c>
      <c r="R138">
        <v>1912</v>
      </c>
      <c r="S138">
        <v>19</v>
      </c>
      <c r="T138">
        <v>13</v>
      </c>
      <c r="U138" t="s">
        <v>17365</v>
      </c>
      <c r="V138">
        <v>12</v>
      </c>
      <c r="W138" t="s">
        <v>17366</v>
      </c>
      <c r="X138">
        <v>20191002</v>
      </c>
      <c r="Y138" t="s">
        <v>17367</v>
      </c>
      <c r="Z138" t="s">
        <v>17368</v>
      </c>
      <c r="AA138" t="s">
        <v>17369</v>
      </c>
      <c r="AB138">
        <v>14</v>
      </c>
      <c r="AC138" t="s">
        <v>17372</v>
      </c>
    </row>
    <row r="139" spans="1:29" x14ac:dyDescent="0.25">
      <c r="A139">
        <v>-97.797305417999993</v>
      </c>
      <c r="B139">
        <v>30.081742863999999</v>
      </c>
      <c r="C139">
        <v>7508950</v>
      </c>
      <c r="D139" t="s">
        <v>2662</v>
      </c>
      <c r="E139" t="s">
        <v>2661</v>
      </c>
      <c r="F139">
        <v>1</v>
      </c>
      <c r="G139" t="s">
        <v>17372</v>
      </c>
      <c r="H139">
        <v>125288</v>
      </c>
      <c r="I139" t="str">
        <f t="shared" si="4"/>
        <v>TX0125288</v>
      </c>
      <c r="J139" t="str">
        <f>_xlfn.XLOOKUP(I139,TCEQ_Outfalls!A:A,TCEQ_Outfalls!A:A,"",0)</f>
        <v>TX0125288</v>
      </c>
      <c r="K139" t="s">
        <v>2659</v>
      </c>
      <c r="L139" t="s">
        <v>16</v>
      </c>
      <c r="M139" t="s">
        <v>15</v>
      </c>
      <c r="N139" t="s">
        <v>36</v>
      </c>
      <c r="O139" t="s">
        <v>753</v>
      </c>
      <c r="P139">
        <v>30.081742859999999</v>
      </c>
      <c r="Q139">
        <v>-97.797305420000001</v>
      </c>
      <c r="R139">
        <v>1810</v>
      </c>
      <c r="S139">
        <v>18</v>
      </c>
      <c r="T139">
        <v>11</v>
      </c>
      <c r="U139" t="s">
        <v>17365</v>
      </c>
      <c r="V139">
        <v>12</v>
      </c>
      <c r="W139" t="s">
        <v>17366</v>
      </c>
      <c r="X139">
        <v>20171030</v>
      </c>
      <c r="Y139" t="s">
        <v>17367</v>
      </c>
      <c r="Z139" t="s">
        <v>17368</v>
      </c>
      <c r="AA139" t="s">
        <v>17369</v>
      </c>
      <c r="AB139">
        <v>14</v>
      </c>
      <c r="AC139" t="s">
        <v>17372</v>
      </c>
    </row>
    <row r="140" spans="1:29" x14ac:dyDescent="0.25">
      <c r="A140">
        <v>-97.797305416</v>
      </c>
      <c r="B140">
        <v>30.081742863999999</v>
      </c>
      <c r="C140">
        <v>7510113</v>
      </c>
      <c r="D140" t="s">
        <v>5065</v>
      </c>
      <c r="E140" t="s">
        <v>2661</v>
      </c>
      <c r="F140">
        <v>2</v>
      </c>
      <c r="H140">
        <v>125288</v>
      </c>
      <c r="I140" t="str">
        <f t="shared" si="4"/>
        <v>TX0125288</v>
      </c>
      <c r="J140" t="str">
        <f>_xlfn.XLOOKUP(I140,TCEQ_Outfalls!A:A,TCEQ_Outfalls!A:A,"",0)</f>
        <v>TX0125288</v>
      </c>
      <c r="K140" t="s">
        <v>2659</v>
      </c>
      <c r="L140" t="s">
        <v>16</v>
      </c>
      <c r="M140" t="s">
        <v>15</v>
      </c>
      <c r="N140" t="s">
        <v>14</v>
      </c>
      <c r="O140" t="s">
        <v>753</v>
      </c>
      <c r="P140">
        <v>30.081742859999999</v>
      </c>
      <c r="Q140">
        <v>-97.797305420000001</v>
      </c>
      <c r="R140">
        <v>1810</v>
      </c>
      <c r="S140">
        <v>18</v>
      </c>
      <c r="T140">
        <v>11</v>
      </c>
      <c r="U140" t="s">
        <v>17365</v>
      </c>
      <c r="V140">
        <v>12</v>
      </c>
      <c r="W140" t="s">
        <v>17366</v>
      </c>
      <c r="X140">
        <v>20191028</v>
      </c>
      <c r="Y140" t="s">
        <v>17367</v>
      </c>
      <c r="Z140" t="s">
        <v>17368</v>
      </c>
      <c r="AA140" t="s">
        <v>17369</v>
      </c>
      <c r="AB140">
        <v>14</v>
      </c>
    </row>
    <row r="141" spans="1:29" x14ac:dyDescent="0.25">
      <c r="A141">
        <v>-97.797305417000004</v>
      </c>
      <c r="B141">
        <v>30.081742864999999</v>
      </c>
      <c r="C141">
        <v>7510114</v>
      </c>
      <c r="D141" t="s">
        <v>5064</v>
      </c>
      <c r="E141" t="s">
        <v>2661</v>
      </c>
      <c r="F141">
        <v>3</v>
      </c>
      <c r="H141">
        <v>125288</v>
      </c>
      <c r="I141" t="str">
        <f t="shared" si="4"/>
        <v>TX0125288</v>
      </c>
      <c r="J141" t="str">
        <f>_xlfn.XLOOKUP(I141,TCEQ_Outfalls!A:A,TCEQ_Outfalls!A:A,"",0)</f>
        <v>TX0125288</v>
      </c>
      <c r="K141" t="s">
        <v>2659</v>
      </c>
      <c r="L141" t="s">
        <v>16</v>
      </c>
      <c r="M141" t="s">
        <v>15</v>
      </c>
      <c r="N141" t="s">
        <v>14</v>
      </c>
      <c r="O141" t="s">
        <v>753</v>
      </c>
      <c r="P141">
        <v>30.081742999999999</v>
      </c>
      <c r="Q141">
        <v>-97.797304999999994</v>
      </c>
      <c r="R141">
        <v>1810</v>
      </c>
      <c r="S141">
        <v>18</v>
      </c>
      <c r="T141">
        <v>11</v>
      </c>
      <c r="U141" t="s">
        <v>17365</v>
      </c>
      <c r="V141">
        <v>12</v>
      </c>
      <c r="W141" t="s">
        <v>17366</v>
      </c>
      <c r="X141">
        <v>20191028</v>
      </c>
      <c r="Y141" t="s">
        <v>17367</v>
      </c>
      <c r="Z141" t="s">
        <v>17368</v>
      </c>
      <c r="AA141" t="s">
        <v>17369</v>
      </c>
      <c r="AB141">
        <v>14</v>
      </c>
    </row>
    <row r="142" spans="1:29" x14ac:dyDescent="0.25">
      <c r="A142">
        <v>-97.803889862999995</v>
      </c>
      <c r="B142">
        <v>29.940000765000001</v>
      </c>
      <c r="C142">
        <v>7507140</v>
      </c>
      <c r="D142" t="s">
        <v>10518</v>
      </c>
      <c r="E142" t="s">
        <v>10517</v>
      </c>
      <c r="F142">
        <v>1</v>
      </c>
      <c r="G142" t="s">
        <v>17372</v>
      </c>
      <c r="H142">
        <v>125865</v>
      </c>
      <c r="I142" t="str">
        <f t="shared" si="4"/>
        <v>TX0125865</v>
      </c>
      <c r="J142" t="str">
        <f>_xlfn.XLOOKUP(I142,TCEQ_Outfalls!A:A,TCEQ_Outfalls!A:A,"",0)</f>
        <v>TX0125865</v>
      </c>
      <c r="K142" t="s">
        <v>1104</v>
      </c>
      <c r="L142" t="s">
        <v>16</v>
      </c>
      <c r="M142" t="s">
        <v>28</v>
      </c>
      <c r="N142" t="s">
        <v>14</v>
      </c>
      <c r="O142" t="s">
        <v>2137</v>
      </c>
      <c r="P142">
        <v>29.940000770000001</v>
      </c>
      <c r="Q142">
        <v>-97.803889859999998</v>
      </c>
      <c r="R142">
        <v>1810</v>
      </c>
      <c r="S142">
        <v>18</v>
      </c>
      <c r="T142">
        <v>11</v>
      </c>
      <c r="U142" t="s">
        <v>17365</v>
      </c>
      <c r="V142">
        <v>12</v>
      </c>
      <c r="W142" t="s">
        <v>17366</v>
      </c>
      <c r="X142">
        <v>20190917</v>
      </c>
      <c r="Y142" t="s">
        <v>17367</v>
      </c>
      <c r="Z142" t="s">
        <v>17368</v>
      </c>
      <c r="AA142" t="s">
        <v>17369</v>
      </c>
      <c r="AB142">
        <v>14</v>
      </c>
      <c r="AC142" t="s">
        <v>17372</v>
      </c>
    </row>
    <row r="143" spans="1:29" x14ac:dyDescent="0.25">
      <c r="A143">
        <v>-98.332222177999995</v>
      </c>
      <c r="B143">
        <v>29.277500642</v>
      </c>
      <c r="C143">
        <v>7509988</v>
      </c>
      <c r="D143" t="s">
        <v>5391</v>
      </c>
      <c r="E143" t="s">
        <v>5390</v>
      </c>
      <c r="F143">
        <v>1</v>
      </c>
      <c r="G143" t="s">
        <v>17372</v>
      </c>
      <c r="H143">
        <v>126969</v>
      </c>
      <c r="I143" t="str">
        <f t="shared" si="4"/>
        <v>TX0126969</v>
      </c>
      <c r="J143" t="str">
        <f>_xlfn.XLOOKUP(I143,TCEQ_Outfalls!A:A,TCEQ_Outfalls!A:A,"",0)</f>
        <v>TX0126969</v>
      </c>
      <c r="K143" t="s">
        <v>5388</v>
      </c>
      <c r="L143" t="s">
        <v>16</v>
      </c>
      <c r="M143" t="s">
        <v>28</v>
      </c>
      <c r="N143" t="s">
        <v>14</v>
      </c>
      <c r="O143" t="s">
        <v>873</v>
      </c>
      <c r="P143">
        <v>29.27750064</v>
      </c>
      <c r="Q143">
        <v>-98.332222180000002</v>
      </c>
      <c r="R143">
        <v>1911</v>
      </c>
      <c r="S143">
        <v>19</v>
      </c>
      <c r="T143">
        <v>13</v>
      </c>
      <c r="U143" t="s">
        <v>17365</v>
      </c>
      <c r="V143">
        <v>12</v>
      </c>
      <c r="W143" t="s">
        <v>17366</v>
      </c>
      <c r="X143">
        <v>20190917</v>
      </c>
      <c r="Y143" t="s">
        <v>17367</v>
      </c>
      <c r="Z143" t="s">
        <v>17368</v>
      </c>
      <c r="AA143" t="s">
        <v>17369</v>
      </c>
      <c r="AB143">
        <v>14</v>
      </c>
      <c r="AC143" t="s">
        <v>17372</v>
      </c>
    </row>
    <row r="144" spans="1:29" x14ac:dyDescent="0.25">
      <c r="A144">
        <v>-97.806111443999995</v>
      </c>
      <c r="B144">
        <v>30.043056044</v>
      </c>
      <c r="C144">
        <v>7507821</v>
      </c>
      <c r="D144" t="s">
        <v>8051</v>
      </c>
      <c r="E144" t="s">
        <v>8050</v>
      </c>
      <c r="F144">
        <v>1</v>
      </c>
      <c r="G144" t="s">
        <v>17372</v>
      </c>
      <c r="H144">
        <v>128201</v>
      </c>
      <c r="I144" t="str">
        <f t="shared" si="4"/>
        <v>TX0128201</v>
      </c>
      <c r="J144" t="str">
        <f>_xlfn.XLOOKUP(I144,TCEQ_Outfalls!A:A,TCEQ_Outfalls!A:A,"",0)</f>
        <v>TX0128201</v>
      </c>
      <c r="K144" t="s">
        <v>8048</v>
      </c>
      <c r="L144" t="s">
        <v>16</v>
      </c>
      <c r="M144" t="s">
        <v>28</v>
      </c>
      <c r="N144" t="s">
        <v>14</v>
      </c>
      <c r="O144" t="s">
        <v>753</v>
      </c>
      <c r="P144">
        <v>30.04305604</v>
      </c>
      <c r="Q144">
        <v>-97.806111439999995</v>
      </c>
      <c r="R144">
        <v>1810</v>
      </c>
      <c r="S144">
        <v>18</v>
      </c>
      <c r="T144">
        <v>11</v>
      </c>
      <c r="U144" t="s">
        <v>17365</v>
      </c>
      <c r="V144">
        <v>12</v>
      </c>
      <c r="W144" t="s">
        <v>17366</v>
      </c>
      <c r="X144">
        <v>20190709</v>
      </c>
      <c r="Y144" t="s">
        <v>17367</v>
      </c>
      <c r="Z144" t="s">
        <v>17368</v>
      </c>
      <c r="AA144" t="s">
        <v>17369</v>
      </c>
      <c r="AB144">
        <v>14</v>
      </c>
      <c r="AC144" t="s">
        <v>17372</v>
      </c>
    </row>
    <row r="145" spans="1:29" x14ac:dyDescent="0.25">
      <c r="A145">
        <v>-97.476495082</v>
      </c>
      <c r="B145">
        <v>29.390915477</v>
      </c>
      <c r="C145">
        <v>7509558</v>
      </c>
      <c r="D145" t="s">
        <v>4592</v>
      </c>
      <c r="E145" t="s">
        <v>4591</v>
      </c>
      <c r="F145">
        <v>1</v>
      </c>
      <c r="G145" t="s">
        <v>17372</v>
      </c>
      <c r="H145">
        <v>128741</v>
      </c>
      <c r="I145" t="str">
        <f t="shared" si="4"/>
        <v>TX0128741</v>
      </c>
      <c r="J145" t="str">
        <f>_xlfn.XLOOKUP(I145,TCEQ_Outfalls!A:A,TCEQ_Outfalls!A:A,"",0)</f>
        <v>TX0128741</v>
      </c>
      <c r="K145" t="s">
        <v>4589</v>
      </c>
      <c r="L145" t="s">
        <v>16</v>
      </c>
      <c r="M145" t="s">
        <v>15</v>
      </c>
      <c r="N145" t="s">
        <v>46</v>
      </c>
      <c r="O145" t="s">
        <v>3079</v>
      </c>
      <c r="P145">
        <v>29.39091548</v>
      </c>
      <c r="Q145">
        <v>-97.476495080000007</v>
      </c>
      <c r="R145">
        <v>1803</v>
      </c>
      <c r="S145">
        <v>18</v>
      </c>
      <c r="T145">
        <v>14</v>
      </c>
      <c r="U145" t="s">
        <v>17365</v>
      </c>
      <c r="V145">
        <v>12</v>
      </c>
      <c r="W145" t="s">
        <v>17366</v>
      </c>
      <c r="X145">
        <v>20140910</v>
      </c>
      <c r="Y145" t="s">
        <v>17367</v>
      </c>
      <c r="Z145" t="s">
        <v>17368</v>
      </c>
      <c r="AA145" t="s">
        <v>17369</v>
      </c>
      <c r="AB145">
        <v>14</v>
      </c>
      <c r="AC145" t="s">
        <v>17372</v>
      </c>
    </row>
    <row r="146" spans="1:29" x14ac:dyDescent="0.25">
      <c r="A146">
        <v>-98.794551763000001</v>
      </c>
      <c r="B146">
        <v>29.762215343000001</v>
      </c>
      <c r="C146">
        <v>7506766</v>
      </c>
      <c r="D146" t="s">
        <v>11555</v>
      </c>
      <c r="E146" t="s">
        <v>11554</v>
      </c>
      <c r="F146">
        <v>1</v>
      </c>
      <c r="G146" t="s">
        <v>17372</v>
      </c>
      <c r="H146">
        <v>128767</v>
      </c>
      <c r="I146" t="str">
        <f t="shared" si="4"/>
        <v>TX0128767</v>
      </c>
      <c r="J146" t="str">
        <f>_xlfn.XLOOKUP(I146,TCEQ_Outfalls!A:A,TCEQ_Outfalls!A:A,"",0)</f>
        <v>TX0128767</v>
      </c>
      <c r="K146" t="s">
        <v>11552</v>
      </c>
      <c r="L146" t="s">
        <v>16</v>
      </c>
      <c r="M146" t="s">
        <v>28</v>
      </c>
      <c r="N146" t="s">
        <v>14</v>
      </c>
      <c r="O146" t="s">
        <v>2500</v>
      </c>
      <c r="P146">
        <v>29.762215340000001</v>
      </c>
      <c r="Q146">
        <v>-98.794551760000004</v>
      </c>
      <c r="R146">
        <v>1908</v>
      </c>
      <c r="S146">
        <v>19</v>
      </c>
      <c r="T146">
        <v>13</v>
      </c>
      <c r="U146" t="s">
        <v>17365</v>
      </c>
      <c r="V146">
        <v>12</v>
      </c>
      <c r="W146" t="s">
        <v>17366</v>
      </c>
      <c r="X146">
        <v>20191213</v>
      </c>
      <c r="Y146" t="s">
        <v>17367</v>
      </c>
      <c r="Z146" t="s">
        <v>17368</v>
      </c>
      <c r="AA146" t="s">
        <v>17369</v>
      </c>
      <c r="AB146">
        <v>14</v>
      </c>
      <c r="AC146" t="s">
        <v>17372</v>
      </c>
    </row>
    <row r="147" spans="1:29" x14ac:dyDescent="0.25">
      <c r="A147">
        <v>-98.883996002000004</v>
      </c>
      <c r="B147">
        <v>29.343986996999998</v>
      </c>
      <c r="C147">
        <v>7509568</v>
      </c>
      <c r="D147" t="s">
        <v>4497</v>
      </c>
      <c r="E147" t="s">
        <v>4496</v>
      </c>
      <c r="F147">
        <v>1</v>
      </c>
      <c r="G147" t="s">
        <v>17372</v>
      </c>
      <c r="H147">
        <v>129364</v>
      </c>
      <c r="I147" t="str">
        <f t="shared" si="4"/>
        <v>TX0129364</v>
      </c>
      <c r="J147" t="str">
        <f>_xlfn.XLOOKUP(I147,TCEQ_Outfalls!A:A,TCEQ_Outfalls!A:A,"",0)</f>
        <v>TX0129364</v>
      </c>
      <c r="K147" t="s">
        <v>4494</v>
      </c>
      <c r="L147" t="s">
        <v>16</v>
      </c>
      <c r="M147" t="s">
        <v>28</v>
      </c>
      <c r="N147" t="s">
        <v>60</v>
      </c>
      <c r="O147" t="s">
        <v>234</v>
      </c>
      <c r="P147">
        <v>29.343986999999998</v>
      </c>
      <c r="Q147">
        <v>-98.883995999999996</v>
      </c>
      <c r="R147">
        <v>1903</v>
      </c>
      <c r="S147">
        <v>19</v>
      </c>
      <c r="T147">
        <v>13</v>
      </c>
      <c r="U147" t="s">
        <v>17365</v>
      </c>
      <c r="V147">
        <v>12</v>
      </c>
      <c r="W147" t="s">
        <v>17366</v>
      </c>
      <c r="X147">
        <v>20070227</v>
      </c>
      <c r="Y147" t="s">
        <v>17367</v>
      </c>
      <c r="Z147" t="s">
        <v>17368</v>
      </c>
      <c r="AA147" t="s">
        <v>17369</v>
      </c>
      <c r="AB147">
        <v>14</v>
      </c>
      <c r="AC147" t="s">
        <v>17372</v>
      </c>
    </row>
    <row r="148" spans="1:29" x14ac:dyDescent="0.25">
      <c r="A148">
        <v>-98.249944419000002</v>
      </c>
      <c r="B148">
        <v>29.441028224</v>
      </c>
      <c r="C148">
        <v>7509696</v>
      </c>
      <c r="D148" t="s">
        <v>5586</v>
      </c>
      <c r="E148" t="s">
        <v>5585</v>
      </c>
      <c r="F148">
        <v>1</v>
      </c>
      <c r="G148" t="s">
        <v>17372</v>
      </c>
      <c r="H148">
        <v>129861</v>
      </c>
      <c r="I148" t="str">
        <f t="shared" si="4"/>
        <v>TX0129861</v>
      </c>
      <c r="J148" t="str">
        <f>_xlfn.XLOOKUP(I148,TCEQ_Outfalls!A:A,TCEQ_Outfalls!A:A,"",0)</f>
        <v>TX0129861</v>
      </c>
      <c r="K148" t="s">
        <v>5388</v>
      </c>
      <c r="L148" t="s">
        <v>16</v>
      </c>
      <c r="M148" t="s">
        <v>15</v>
      </c>
      <c r="N148" t="s">
        <v>14</v>
      </c>
      <c r="O148" t="s">
        <v>873</v>
      </c>
      <c r="P148">
        <v>29.44102822</v>
      </c>
      <c r="Q148">
        <v>-98.249944420000006</v>
      </c>
      <c r="R148">
        <v>1902</v>
      </c>
      <c r="S148">
        <v>19</v>
      </c>
      <c r="T148">
        <v>13</v>
      </c>
      <c r="U148" t="s">
        <v>17365</v>
      </c>
      <c r="V148">
        <v>12</v>
      </c>
      <c r="W148" t="s">
        <v>17366</v>
      </c>
      <c r="X148">
        <v>20191018</v>
      </c>
      <c r="Y148" t="s">
        <v>17367</v>
      </c>
      <c r="Z148" t="s">
        <v>17368</v>
      </c>
      <c r="AA148" t="s">
        <v>17369</v>
      </c>
      <c r="AB148">
        <v>14</v>
      </c>
      <c r="AC148" t="s">
        <v>17372</v>
      </c>
    </row>
    <row r="149" spans="1:29" x14ac:dyDescent="0.25">
      <c r="A149">
        <v>-97.908509003000006</v>
      </c>
      <c r="B149">
        <v>28.899191997999999</v>
      </c>
      <c r="C149">
        <v>7509787</v>
      </c>
      <c r="D149" t="s">
        <v>4912</v>
      </c>
      <c r="E149" t="s">
        <v>4911</v>
      </c>
      <c r="F149">
        <v>1</v>
      </c>
      <c r="G149" t="s">
        <v>17372</v>
      </c>
      <c r="H149">
        <v>129984</v>
      </c>
      <c r="I149" t="str">
        <f t="shared" si="4"/>
        <v>TX0129984</v>
      </c>
      <c r="J149" t="str">
        <f>_xlfn.XLOOKUP(I149,TCEQ_Outfalls!A:A,TCEQ_Outfalls!A:A,"",0)</f>
        <v>TX0129984</v>
      </c>
      <c r="K149" t="s">
        <v>4909</v>
      </c>
      <c r="L149" t="s">
        <v>16</v>
      </c>
      <c r="M149" t="s">
        <v>28</v>
      </c>
      <c r="N149" t="s">
        <v>27</v>
      </c>
      <c r="O149" t="s">
        <v>1853</v>
      </c>
      <c r="P149">
        <v>28.899191999999999</v>
      </c>
      <c r="Q149">
        <v>-97.908508999999995</v>
      </c>
      <c r="R149">
        <v>1901</v>
      </c>
      <c r="S149">
        <v>19</v>
      </c>
      <c r="T149">
        <v>13</v>
      </c>
      <c r="U149" t="s">
        <v>17365</v>
      </c>
      <c r="V149">
        <v>12</v>
      </c>
      <c r="W149" t="s">
        <v>17366</v>
      </c>
      <c r="X149">
        <v>20071115</v>
      </c>
      <c r="Y149" t="s">
        <v>17367</v>
      </c>
      <c r="Z149" t="s">
        <v>17368</v>
      </c>
      <c r="AA149" t="s">
        <v>17369</v>
      </c>
      <c r="AB149">
        <v>15</v>
      </c>
      <c r="AC149" t="s">
        <v>17372</v>
      </c>
    </row>
    <row r="150" spans="1:29" x14ac:dyDescent="0.25">
      <c r="A150">
        <v>-97.824113577000006</v>
      </c>
      <c r="B150">
        <v>29.451899390000001</v>
      </c>
      <c r="C150">
        <v>7508478</v>
      </c>
      <c r="D150" t="s">
        <v>1743</v>
      </c>
      <c r="E150" t="s">
        <v>1742</v>
      </c>
      <c r="F150">
        <v>1</v>
      </c>
      <c r="G150" t="s">
        <v>17372</v>
      </c>
      <c r="H150">
        <v>131351</v>
      </c>
      <c r="I150" t="str">
        <f t="shared" si="4"/>
        <v>TX0131351</v>
      </c>
      <c r="J150" t="str">
        <f>_xlfn.XLOOKUP(I150,TCEQ_Outfalls!A:A,TCEQ_Outfalls!A:A,"",0)</f>
        <v>TX0131351</v>
      </c>
      <c r="K150" t="s">
        <v>1740</v>
      </c>
      <c r="L150" t="s">
        <v>16</v>
      </c>
      <c r="M150" t="s">
        <v>28</v>
      </c>
      <c r="N150" t="s">
        <v>27</v>
      </c>
      <c r="O150" t="s">
        <v>1032</v>
      </c>
      <c r="P150">
        <v>29.451899390000001</v>
      </c>
      <c r="Q150">
        <v>-97.824113580000002</v>
      </c>
      <c r="R150">
        <v>1803</v>
      </c>
      <c r="S150">
        <v>18</v>
      </c>
      <c r="T150">
        <v>13</v>
      </c>
      <c r="U150" t="s">
        <v>17365</v>
      </c>
      <c r="V150">
        <v>12</v>
      </c>
      <c r="W150" t="s">
        <v>17366</v>
      </c>
      <c r="X150">
        <v>20150903</v>
      </c>
      <c r="Y150" t="s">
        <v>17367</v>
      </c>
      <c r="Z150" t="s">
        <v>17368</v>
      </c>
      <c r="AA150" t="s">
        <v>17369</v>
      </c>
      <c r="AB150">
        <v>14</v>
      </c>
      <c r="AC150" t="s">
        <v>17372</v>
      </c>
    </row>
    <row r="151" spans="1:29" x14ac:dyDescent="0.25">
      <c r="A151">
        <v>-98.711197022999997</v>
      </c>
      <c r="B151">
        <v>29.77666687</v>
      </c>
      <c r="C151">
        <v>7509504</v>
      </c>
      <c r="D151" t="s">
        <v>2504</v>
      </c>
      <c r="E151" t="s">
        <v>2503</v>
      </c>
      <c r="F151">
        <v>1</v>
      </c>
      <c r="G151" t="s">
        <v>17372</v>
      </c>
      <c r="H151">
        <v>131831</v>
      </c>
      <c r="I151" t="str">
        <f t="shared" si="4"/>
        <v>TX0131831</v>
      </c>
      <c r="J151" t="str">
        <f>_xlfn.XLOOKUP(I151,TCEQ_Outfalls!A:A,TCEQ_Outfalls!A:A,"",0)</f>
        <v>TX0131831</v>
      </c>
      <c r="K151" t="s">
        <v>2501</v>
      </c>
      <c r="L151" t="s">
        <v>16</v>
      </c>
      <c r="M151" t="s">
        <v>15</v>
      </c>
      <c r="N151" t="s">
        <v>14</v>
      </c>
      <c r="O151" t="s">
        <v>2500</v>
      </c>
      <c r="P151">
        <v>29.77666687</v>
      </c>
      <c r="Q151">
        <v>-98.71119702</v>
      </c>
      <c r="R151">
        <v>1908</v>
      </c>
      <c r="S151">
        <v>19</v>
      </c>
      <c r="T151">
        <v>13</v>
      </c>
      <c r="U151" t="s">
        <v>17365</v>
      </c>
      <c r="V151">
        <v>12</v>
      </c>
      <c r="W151" t="s">
        <v>17366</v>
      </c>
      <c r="X151">
        <v>20201117</v>
      </c>
      <c r="Y151" t="s">
        <v>17367</v>
      </c>
      <c r="Z151" t="s">
        <v>17368</v>
      </c>
      <c r="AA151" t="s">
        <v>17369</v>
      </c>
      <c r="AB151">
        <v>14</v>
      </c>
      <c r="AC151" t="s">
        <v>17374</v>
      </c>
    </row>
    <row r="152" spans="1:29" x14ac:dyDescent="0.25">
      <c r="A152">
        <v>-97.160989999999998</v>
      </c>
      <c r="B152">
        <v>28.719156000000002</v>
      </c>
      <c r="C152">
        <v>7507379</v>
      </c>
      <c r="D152" t="s">
        <v>9806</v>
      </c>
      <c r="E152" t="s">
        <v>9805</v>
      </c>
      <c r="F152">
        <v>1</v>
      </c>
      <c r="G152" t="s">
        <v>17372</v>
      </c>
      <c r="H152">
        <v>132128</v>
      </c>
      <c r="I152" t="str">
        <f t="shared" si="4"/>
        <v>TX0132128</v>
      </c>
      <c r="J152" t="str">
        <f>_xlfn.XLOOKUP(I152,TCEQ_Outfalls!A:A,TCEQ_Outfalls!A:A,"",0)</f>
        <v>TX0132128</v>
      </c>
      <c r="K152" t="s">
        <v>9803</v>
      </c>
      <c r="L152" t="s">
        <v>16</v>
      </c>
      <c r="M152" t="s">
        <v>28</v>
      </c>
      <c r="N152" t="s">
        <v>27</v>
      </c>
      <c r="O152" t="s">
        <v>1240</v>
      </c>
      <c r="P152">
        <v>28.719156000000002</v>
      </c>
      <c r="Q152">
        <v>-97.160989999999998</v>
      </c>
      <c r="R152">
        <v>1807</v>
      </c>
      <c r="S152">
        <v>18</v>
      </c>
      <c r="T152">
        <v>14</v>
      </c>
      <c r="U152" t="s">
        <v>17365</v>
      </c>
      <c r="V152">
        <v>12</v>
      </c>
      <c r="W152" t="s">
        <v>17366</v>
      </c>
      <c r="X152">
        <v>20090904</v>
      </c>
      <c r="Y152" t="s">
        <v>17367</v>
      </c>
      <c r="Z152" t="s">
        <v>17368</v>
      </c>
      <c r="AA152" t="s">
        <v>17369</v>
      </c>
      <c r="AB152">
        <v>14</v>
      </c>
      <c r="AC152" t="s">
        <v>17372</v>
      </c>
    </row>
    <row r="153" spans="1:29" x14ac:dyDescent="0.25">
      <c r="A153">
        <v>-97.009163684000001</v>
      </c>
      <c r="B153">
        <v>28.783649965999999</v>
      </c>
      <c r="C153">
        <v>7507365</v>
      </c>
      <c r="D153" t="s">
        <v>9861</v>
      </c>
      <c r="E153" t="s">
        <v>9860</v>
      </c>
      <c r="F153">
        <v>1</v>
      </c>
      <c r="H153">
        <v>132829</v>
      </c>
      <c r="I153" t="str">
        <f t="shared" si="4"/>
        <v>TX0132829</v>
      </c>
      <c r="J153" t="str">
        <f>_xlfn.XLOOKUP(I153,TCEQ_Outfalls!A:A,TCEQ_Outfalls!A:A,"",0)</f>
        <v>TX0132829</v>
      </c>
      <c r="K153" t="s">
        <v>5443</v>
      </c>
      <c r="L153" t="s">
        <v>16</v>
      </c>
      <c r="M153" t="s">
        <v>15</v>
      </c>
      <c r="N153" t="s">
        <v>14</v>
      </c>
      <c r="O153" t="s">
        <v>1240</v>
      </c>
      <c r="P153">
        <v>28.783649969999999</v>
      </c>
      <c r="Q153">
        <v>-97.00916368</v>
      </c>
      <c r="R153">
        <v>1803</v>
      </c>
      <c r="S153">
        <v>18</v>
      </c>
      <c r="T153">
        <v>14</v>
      </c>
      <c r="U153" t="s">
        <v>17365</v>
      </c>
      <c r="V153">
        <v>12</v>
      </c>
      <c r="W153" t="s">
        <v>17366</v>
      </c>
      <c r="X153">
        <v>20190822</v>
      </c>
      <c r="Y153" t="s">
        <v>17367</v>
      </c>
      <c r="Z153" t="s">
        <v>17368</v>
      </c>
      <c r="AA153" t="s">
        <v>17369</v>
      </c>
      <c r="AB153">
        <v>14</v>
      </c>
    </row>
    <row r="154" spans="1:29" x14ac:dyDescent="0.25">
      <c r="A154">
        <v>-98.704385935000005</v>
      </c>
      <c r="B154">
        <v>29.264037528999999</v>
      </c>
      <c r="C154">
        <v>7507767</v>
      </c>
      <c r="D154" t="s">
        <v>8512</v>
      </c>
      <c r="E154" t="s">
        <v>8511</v>
      </c>
      <c r="F154">
        <v>1</v>
      </c>
      <c r="H154">
        <v>133094</v>
      </c>
      <c r="I154" t="str">
        <f t="shared" si="4"/>
        <v>TX0133094</v>
      </c>
      <c r="J154" t="str">
        <f>_xlfn.XLOOKUP(I154,TCEQ_Outfalls!A:A,TCEQ_Outfalls!A:A,"",0)</f>
        <v>TX0133094</v>
      </c>
      <c r="K154" t="s">
        <v>5388</v>
      </c>
      <c r="L154" t="s">
        <v>16</v>
      </c>
      <c r="M154" t="s">
        <v>28</v>
      </c>
      <c r="N154" t="s">
        <v>14</v>
      </c>
      <c r="O154" t="s">
        <v>873</v>
      </c>
      <c r="P154">
        <v>29.26403753</v>
      </c>
      <c r="Q154">
        <v>-98.704385939999995</v>
      </c>
      <c r="R154">
        <v>1903</v>
      </c>
      <c r="S154">
        <v>19</v>
      </c>
      <c r="T154">
        <v>13</v>
      </c>
      <c r="U154" t="s">
        <v>17365</v>
      </c>
      <c r="V154">
        <v>12</v>
      </c>
      <c r="W154" t="s">
        <v>17366</v>
      </c>
      <c r="X154">
        <v>20190813</v>
      </c>
      <c r="Y154" t="s">
        <v>17367</v>
      </c>
      <c r="Z154" t="s">
        <v>17368</v>
      </c>
      <c r="AA154" t="s">
        <v>17369</v>
      </c>
      <c r="AB154">
        <v>14</v>
      </c>
    </row>
    <row r="155" spans="1:29" x14ac:dyDescent="0.25">
      <c r="A155">
        <v>-98.057200616000003</v>
      </c>
      <c r="B155">
        <v>29.651399881</v>
      </c>
      <c r="C155">
        <v>7508445</v>
      </c>
      <c r="D155" t="s">
        <v>2212</v>
      </c>
      <c r="E155" t="s">
        <v>1035</v>
      </c>
      <c r="F155">
        <v>1</v>
      </c>
      <c r="H155">
        <v>133248</v>
      </c>
      <c r="I155" t="str">
        <f t="shared" si="4"/>
        <v>TX0133248</v>
      </c>
      <c r="J155" t="str">
        <f>_xlfn.XLOOKUP(I155,TCEQ_Outfalls!A:A,TCEQ_Outfalls!A:A,"",0)</f>
        <v>TX0133248</v>
      </c>
      <c r="K155" t="s">
        <v>1033</v>
      </c>
      <c r="L155" t="s">
        <v>16</v>
      </c>
      <c r="M155" t="s">
        <v>15</v>
      </c>
      <c r="N155" t="s">
        <v>14</v>
      </c>
      <c r="O155" t="s">
        <v>1032</v>
      </c>
      <c r="P155">
        <v>29.65139988</v>
      </c>
      <c r="Q155">
        <v>-98.057200620000003</v>
      </c>
      <c r="R155">
        <v>1804</v>
      </c>
      <c r="S155">
        <v>18</v>
      </c>
      <c r="T155">
        <v>13</v>
      </c>
      <c r="U155" t="s">
        <v>17365</v>
      </c>
      <c r="V155">
        <v>12</v>
      </c>
      <c r="W155" t="s">
        <v>17366</v>
      </c>
      <c r="X155">
        <v>20210913</v>
      </c>
      <c r="Y155" t="s">
        <v>17367</v>
      </c>
      <c r="Z155" t="s">
        <v>17368</v>
      </c>
      <c r="AA155" t="s">
        <v>17369</v>
      </c>
      <c r="AB155">
        <v>14</v>
      </c>
    </row>
    <row r="156" spans="1:29" x14ac:dyDescent="0.25">
      <c r="A156">
        <v>-98.057800455000006</v>
      </c>
      <c r="B156">
        <v>29.650600413999999</v>
      </c>
      <c r="C156">
        <v>7508525</v>
      </c>
      <c r="D156" t="s">
        <v>1036</v>
      </c>
      <c r="E156" t="s">
        <v>1035</v>
      </c>
      <c r="F156">
        <v>2</v>
      </c>
      <c r="H156">
        <v>133248</v>
      </c>
      <c r="I156" t="str">
        <f t="shared" si="4"/>
        <v>TX0133248</v>
      </c>
      <c r="J156" t="str">
        <f>_xlfn.XLOOKUP(I156,TCEQ_Outfalls!A:A,TCEQ_Outfalls!A:A,"",0)</f>
        <v>TX0133248</v>
      </c>
      <c r="K156" t="s">
        <v>1033</v>
      </c>
      <c r="L156" t="s">
        <v>16</v>
      </c>
      <c r="M156" t="s">
        <v>15</v>
      </c>
      <c r="N156" t="s">
        <v>14</v>
      </c>
      <c r="O156" t="s">
        <v>1032</v>
      </c>
      <c r="P156">
        <v>29.650600409999999</v>
      </c>
      <c r="Q156">
        <v>-98.057800459999996</v>
      </c>
      <c r="R156">
        <v>1804</v>
      </c>
      <c r="S156">
        <v>18</v>
      </c>
      <c r="T156">
        <v>13</v>
      </c>
      <c r="U156" t="s">
        <v>17365</v>
      </c>
      <c r="V156">
        <v>12</v>
      </c>
      <c r="W156" t="s">
        <v>17366</v>
      </c>
      <c r="X156">
        <v>20210913</v>
      </c>
      <c r="Y156" t="s">
        <v>17367</v>
      </c>
      <c r="Z156" t="s">
        <v>17368</v>
      </c>
      <c r="AA156" t="s">
        <v>17369</v>
      </c>
      <c r="AB156">
        <v>14</v>
      </c>
    </row>
    <row r="157" spans="1:29" x14ac:dyDescent="0.25">
      <c r="A157">
        <v>-98.836040268000005</v>
      </c>
      <c r="B157">
        <v>29.424612341</v>
      </c>
      <c r="C157">
        <v>7508754</v>
      </c>
      <c r="D157" t="s">
        <v>1643</v>
      </c>
      <c r="E157" t="s">
        <v>1642</v>
      </c>
      <c r="F157">
        <v>1</v>
      </c>
      <c r="H157">
        <v>133442</v>
      </c>
      <c r="I157" t="str">
        <f t="shared" si="4"/>
        <v>TX0133442</v>
      </c>
      <c r="J157" t="str">
        <f>_xlfn.XLOOKUP(I157,TCEQ_Outfalls!A:A,TCEQ_Outfalls!A:A,"",0)</f>
        <v>TX0133442</v>
      </c>
      <c r="K157" t="s">
        <v>1640</v>
      </c>
      <c r="L157" t="s">
        <v>16</v>
      </c>
      <c r="M157" t="s">
        <v>28</v>
      </c>
      <c r="N157" t="s">
        <v>14</v>
      </c>
      <c r="O157" t="s">
        <v>234</v>
      </c>
      <c r="P157">
        <v>29.424612339999999</v>
      </c>
      <c r="Q157">
        <v>-98.836040269999998</v>
      </c>
      <c r="R157">
        <v>1903</v>
      </c>
      <c r="S157">
        <v>19</v>
      </c>
      <c r="T157">
        <v>13</v>
      </c>
      <c r="U157" t="s">
        <v>17365</v>
      </c>
      <c r="V157">
        <v>12</v>
      </c>
      <c r="W157" t="s">
        <v>17366</v>
      </c>
      <c r="X157">
        <v>20180515</v>
      </c>
      <c r="Y157" t="s">
        <v>17367</v>
      </c>
      <c r="Z157" t="s">
        <v>17368</v>
      </c>
      <c r="AA157" t="s">
        <v>17369</v>
      </c>
      <c r="AB157">
        <v>14</v>
      </c>
    </row>
    <row r="158" spans="1:29" x14ac:dyDescent="0.25">
      <c r="A158">
        <v>-97.531522422999998</v>
      </c>
      <c r="B158">
        <v>29.845194838000001</v>
      </c>
      <c r="C158">
        <v>7507468</v>
      </c>
      <c r="D158" t="s">
        <v>9534</v>
      </c>
      <c r="E158" t="s">
        <v>9533</v>
      </c>
      <c r="F158">
        <v>1</v>
      </c>
      <c r="H158">
        <v>133655</v>
      </c>
      <c r="I158" t="str">
        <f t="shared" si="4"/>
        <v>TX0133655</v>
      </c>
      <c r="J158" t="str">
        <f>_xlfn.XLOOKUP(I158,TCEQ_Outfalls!A:A,TCEQ_Outfalls!A:A,"",0)</f>
        <v>TX0133655</v>
      </c>
      <c r="K158" t="s">
        <v>9531</v>
      </c>
      <c r="L158" t="s">
        <v>16</v>
      </c>
      <c r="M158" t="s">
        <v>28</v>
      </c>
      <c r="N158" t="s">
        <v>27</v>
      </c>
      <c r="O158" t="s">
        <v>2137</v>
      </c>
      <c r="P158">
        <v>29.845194840000001</v>
      </c>
      <c r="Q158">
        <v>-97.531522420000002</v>
      </c>
      <c r="R158">
        <v>1810</v>
      </c>
      <c r="S158">
        <v>18</v>
      </c>
      <c r="T158">
        <v>11</v>
      </c>
      <c r="U158" t="s">
        <v>17365</v>
      </c>
      <c r="V158">
        <v>12</v>
      </c>
      <c r="W158" t="s">
        <v>17366</v>
      </c>
      <c r="X158">
        <v>20120710</v>
      </c>
      <c r="Y158" t="s">
        <v>17367</v>
      </c>
      <c r="Z158" t="s">
        <v>17368</v>
      </c>
      <c r="AA158" t="s">
        <v>17369</v>
      </c>
      <c r="AB158">
        <v>14</v>
      </c>
    </row>
    <row r="159" spans="1:29" x14ac:dyDescent="0.25">
      <c r="A159">
        <v>-98.421724681000001</v>
      </c>
      <c r="B159">
        <v>29.754659727</v>
      </c>
      <c r="C159">
        <v>7509789</v>
      </c>
      <c r="D159" t="s">
        <v>4904</v>
      </c>
      <c r="E159" t="s">
        <v>4903</v>
      </c>
      <c r="F159">
        <v>1</v>
      </c>
      <c r="H159">
        <v>133825</v>
      </c>
      <c r="I159" t="str">
        <f t="shared" si="4"/>
        <v>TX0133825</v>
      </c>
      <c r="J159" t="str">
        <f>_xlfn.XLOOKUP(I159,TCEQ_Outfalls!A:A,TCEQ_Outfalls!A:A,"",0)</f>
        <v>TX0133825</v>
      </c>
      <c r="K159" t="s">
        <v>4901</v>
      </c>
      <c r="L159" t="s">
        <v>16</v>
      </c>
      <c r="M159" t="s">
        <v>28</v>
      </c>
      <c r="N159" t="s">
        <v>799</v>
      </c>
      <c r="O159" t="s">
        <v>274</v>
      </c>
      <c r="P159">
        <v>29.75465973</v>
      </c>
      <c r="Q159">
        <v>-98.421724679999997</v>
      </c>
      <c r="R159">
        <v>1908</v>
      </c>
      <c r="S159">
        <v>19</v>
      </c>
      <c r="T159">
        <v>13</v>
      </c>
      <c r="U159" t="s">
        <v>17365</v>
      </c>
      <c r="V159">
        <v>12</v>
      </c>
      <c r="W159" t="s">
        <v>17366</v>
      </c>
      <c r="X159">
        <v>20130111</v>
      </c>
      <c r="Y159" t="s">
        <v>17367</v>
      </c>
      <c r="Z159" t="s">
        <v>17368</v>
      </c>
      <c r="AA159" t="s">
        <v>17369</v>
      </c>
      <c r="AB159">
        <v>14</v>
      </c>
    </row>
    <row r="160" spans="1:29" x14ac:dyDescent="0.25">
      <c r="A160">
        <v>-97.763888155999993</v>
      </c>
      <c r="B160">
        <v>29.900587123000001</v>
      </c>
      <c r="C160">
        <v>7507944</v>
      </c>
      <c r="D160" t="s">
        <v>7599</v>
      </c>
      <c r="E160" t="s">
        <v>7598</v>
      </c>
      <c r="F160">
        <v>1</v>
      </c>
      <c r="H160">
        <v>133892</v>
      </c>
      <c r="I160" t="str">
        <f t="shared" si="4"/>
        <v>TX0133892</v>
      </c>
      <c r="J160" t="str">
        <f>_xlfn.XLOOKUP(I160,TCEQ_Outfalls!A:A,TCEQ_Outfalls!A:A,"",0)</f>
        <v>TX0133892</v>
      </c>
      <c r="K160" t="s">
        <v>17385</v>
      </c>
      <c r="L160" t="s">
        <v>16</v>
      </c>
      <c r="M160" t="s">
        <v>15</v>
      </c>
      <c r="N160" t="s">
        <v>14</v>
      </c>
      <c r="O160" t="s">
        <v>2137</v>
      </c>
      <c r="P160">
        <v>29.900587120000001</v>
      </c>
      <c r="Q160">
        <v>-97.763888159999993</v>
      </c>
      <c r="R160">
        <v>1810</v>
      </c>
      <c r="S160">
        <v>18</v>
      </c>
      <c r="T160">
        <v>11</v>
      </c>
      <c r="U160" t="s">
        <v>17365</v>
      </c>
      <c r="V160">
        <v>12</v>
      </c>
      <c r="W160" t="s">
        <v>17366</v>
      </c>
      <c r="X160">
        <v>20190924</v>
      </c>
      <c r="Y160" t="s">
        <v>17367</v>
      </c>
      <c r="Z160" t="s">
        <v>17368</v>
      </c>
      <c r="AA160" t="s">
        <v>17369</v>
      </c>
      <c r="AB160">
        <v>14</v>
      </c>
    </row>
    <row r="161" spans="1:28" x14ac:dyDescent="0.25">
      <c r="A161">
        <v>-98.422375716000005</v>
      </c>
      <c r="B161">
        <v>29.811591598</v>
      </c>
      <c r="C161">
        <v>7510106</v>
      </c>
      <c r="D161" t="s">
        <v>5083</v>
      </c>
      <c r="E161" t="s">
        <v>5082</v>
      </c>
      <c r="F161">
        <v>1</v>
      </c>
      <c r="H161">
        <v>133914</v>
      </c>
      <c r="I161" t="str">
        <f t="shared" si="4"/>
        <v>TX0133914</v>
      </c>
      <c r="J161" t="str">
        <f>_xlfn.XLOOKUP(I161,TCEQ_Outfalls!A:A,TCEQ_Outfalls!A:A,"",0)</f>
        <v>TX0133914</v>
      </c>
      <c r="K161" t="s">
        <v>5080</v>
      </c>
      <c r="L161" t="s">
        <v>16</v>
      </c>
      <c r="M161" t="s">
        <v>28</v>
      </c>
      <c r="N161" t="s">
        <v>46</v>
      </c>
      <c r="O161" t="s">
        <v>274</v>
      </c>
      <c r="P161">
        <v>29.8115916</v>
      </c>
      <c r="Q161">
        <v>-98.422375720000005</v>
      </c>
      <c r="R161">
        <v>1806</v>
      </c>
      <c r="S161">
        <v>18</v>
      </c>
      <c r="T161">
        <v>13</v>
      </c>
      <c r="U161" t="s">
        <v>17365</v>
      </c>
      <c r="V161">
        <v>12</v>
      </c>
      <c r="W161" t="s">
        <v>17366</v>
      </c>
      <c r="X161">
        <v>20160218</v>
      </c>
      <c r="Y161" t="s">
        <v>17367</v>
      </c>
      <c r="Z161" t="s">
        <v>17368</v>
      </c>
      <c r="AA161" t="s">
        <v>17369</v>
      </c>
      <c r="AB161">
        <v>14</v>
      </c>
    </row>
    <row r="162" spans="1:28" x14ac:dyDescent="0.25">
      <c r="A162">
        <v>-97.045200793000006</v>
      </c>
      <c r="B162">
        <v>28.762806744999999</v>
      </c>
      <c r="C162">
        <v>7509575</v>
      </c>
      <c r="D162" t="s">
        <v>4468</v>
      </c>
      <c r="E162" t="s">
        <v>4467</v>
      </c>
      <c r="F162">
        <v>1</v>
      </c>
      <c r="H162">
        <v>133981</v>
      </c>
      <c r="I162" t="str">
        <f t="shared" ref="I162:I191" si="5">IF(LEN(H162)=4,"TX000" &amp; H162,IF(LEN(H162)=5,"TX00" &amp; H162,"TX0" &amp; H162))</f>
        <v>TX0133981</v>
      </c>
      <c r="J162" t="str">
        <f>_xlfn.XLOOKUP(I162,TCEQ_Outfalls!A:A,TCEQ_Outfalls!A:A,"",0)</f>
        <v>TX0133981</v>
      </c>
      <c r="K162" t="s">
        <v>4465</v>
      </c>
      <c r="L162" t="s">
        <v>16</v>
      </c>
      <c r="M162" t="s">
        <v>28</v>
      </c>
      <c r="N162" t="s">
        <v>27</v>
      </c>
      <c r="O162" t="s">
        <v>1240</v>
      </c>
      <c r="P162">
        <v>28.762806749999999</v>
      </c>
      <c r="Q162">
        <v>-97.045200789999996</v>
      </c>
      <c r="R162">
        <v>1803</v>
      </c>
      <c r="S162">
        <v>18</v>
      </c>
      <c r="T162">
        <v>14</v>
      </c>
      <c r="U162" t="s">
        <v>17365</v>
      </c>
      <c r="V162">
        <v>12</v>
      </c>
      <c r="W162" t="s">
        <v>17366</v>
      </c>
      <c r="X162">
        <v>20120225</v>
      </c>
      <c r="Y162" t="s">
        <v>17367</v>
      </c>
      <c r="Z162" t="s">
        <v>17368</v>
      </c>
      <c r="AA162" t="s">
        <v>17369</v>
      </c>
      <c r="AB162">
        <v>14</v>
      </c>
    </row>
    <row r="163" spans="1:28" x14ac:dyDescent="0.25">
      <c r="A163">
        <v>-97.571308341000005</v>
      </c>
      <c r="B163">
        <v>29.906804201</v>
      </c>
      <c r="C163">
        <v>7508721</v>
      </c>
      <c r="D163" t="s">
        <v>2141</v>
      </c>
      <c r="E163" t="s">
        <v>2140</v>
      </c>
      <c r="F163">
        <v>1</v>
      </c>
      <c r="H163">
        <v>134481</v>
      </c>
      <c r="I163" t="str">
        <f t="shared" si="5"/>
        <v>TX0134481</v>
      </c>
      <c r="J163" t="str">
        <f>_xlfn.XLOOKUP(I163,TCEQ_Outfalls!A:A,TCEQ_Outfalls!A:A,"",0)</f>
        <v>TX0134481</v>
      </c>
      <c r="K163" t="s">
        <v>2138</v>
      </c>
      <c r="L163" t="s">
        <v>16</v>
      </c>
      <c r="M163" t="s">
        <v>28</v>
      </c>
      <c r="N163" t="s">
        <v>27</v>
      </c>
      <c r="O163" t="s">
        <v>2137</v>
      </c>
      <c r="P163">
        <v>29.9068042</v>
      </c>
      <c r="Q163">
        <v>-97.571308340000002</v>
      </c>
      <c r="R163">
        <v>1810</v>
      </c>
      <c r="S163">
        <v>18</v>
      </c>
      <c r="T163">
        <v>11</v>
      </c>
      <c r="U163" t="s">
        <v>17365</v>
      </c>
      <c r="V163">
        <v>12</v>
      </c>
      <c r="W163" t="s">
        <v>17366</v>
      </c>
      <c r="X163">
        <v>20130702</v>
      </c>
      <c r="Y163" t="s">
        <v>17367</v>
      </c>
      <c r="Z163" t="s">
        <v>17368</v>
      </c>
      <c r="AA163" t="s">
        <v>17369</v>
      </c>
      <c r="AB163">
        <v>14</v>
      </c>
    </row>
    <row r="164" spans="1:28" x14ac:dyDescent="0.25">
      <c r="A164">
        <v>-98.342262184000006</v>
      </c>
      <c r="B164">
        <v>29.606976238000001</v>
      </c>
      <c r="C164">
        <v>7508912</v>
      </c>
      <c r="D164" t="s">
        <v>3405</v>
      </c>
      <c r="E164" t="s">
        <v>3404</v>
      </c>
      <c r="F164">
        <v>1</v>
      </c>
      <c r="H164">
        <v>134775</v>
      </c>
      <c r="I164" t="str">
        <f t="shared" si="5"/>
        <v>TX0134775</v>
      </c>
      <c r="J164" t="str">
        <f>_xlfn.XLOOKUP(I164,TCEQ_Outfalls!A:A,TCEQ_Outfalls!A:A,"",0)</f>
        <v>TX0134775</v>
      </c>
      <c r="K164" t="s">
        <v>3402</v>
      </c>
      <c r="L164" t="s">
        <v>16</v>
      </c>
      <c r="M164" t="s">
        <v>28</v>
      </c>
      <c r="N164" t="s">
        <v>27</v>
      </c>
      <c r="O164" t="s">
        <v>873</v>
      </c>
      <c r="P164">
        <v>29.606976240000002</v>
      </c>
      <c r="Q164">
        <v>-98.342262180000006</v>
      </c>
      <c r="R164">
        <v>1913</v>
      </c>
      <c r="S164">
        <v>19</v>
      </c>
      <c r="T164">
        <v>12</v>
      </c>
      <c r="U164" t="s">
        <v>17365</v>
      </c>
      <c r="V164">
        <v>12</v>
      </c>
      <c r="W164" t="s">
        <v>17366</v>
      </c>
      <c r="X164">
        <v>20130822</v>
      </c>
      <c r="Y164" t="s">
        <v>17367</v>
      </c>
      <c r="Z164" t="s">
        <v>17368</v>
      </c>
      <c r="AA164" t="s">
        <v>17369</v>
      </c>
      <c r="AB164">
        <v>15</v>
      </c>
    </row>
    <row r="165" spans="1:28" x14ac:dyDescent="0.25">
      <c r="A165">
        <v>-98.516592566</v>
      </c>
      <c r="B165">
        <v>29.803512466000001</v>
      </c>
      <c r="C165">
        <v>7508838</v>
      </c>
      <c r="D165" t="s">
        <v>278</v>
      </c>
      <c r="E165" t="s">
        <v>277</v>
      </c>
      <c r="F165">
        <v>1</v>
      </c>
      <c r="H165">
        <v>135135</v>
      </c>
      <c r="I165" t="str">
        <f t="shared" si="5"/>
        <v>TX0135135</v>
      </c>
      <c r="J165" t="str">
        <f>_xlfn.XLOOKUP(I165,TCEQ_Outfalls!A:A,TCEQ_Outfalls!A:A,"",0)</f>
        <v>TX0135135</v>
      </c>
      <c r="K165" t="s">
        <v>275</v>
      </c>
      <c r="L165" t="s">
        <v>16</v>
      </c>
      <c r="M165" t="s">
        <v>28</v>
      </c>
      <c r="N165" t="s">
        <v>46</v>
      </c>
      <c r="O165" t="s">
        <v>274</v>
      </c>
      <c r="P165">
        <v>29.803512470000001</v>
      </c>
      <c r="Q165">
        <v>-98.51659257</v>
      </c>
      <c r="R165">
        <v>1908</v>
      </c>
      <c r="S165">
        <v>19</v>
      </c>
      <c r="T165">
        <v>13</v>
      </c>
      <c r="U165" t="s">
        <v>17365</v>
      </c>
      <c r="V165">
        <v>12</v>
      </c>
      <c r="W165" t="s">
        <v>17366</v>
      </c>
      <c r="X165">
        <v>20140515</v>
      </c>
      <c r="Y165" t="s">
        <v>17367</v>
      </c>
      <c r="Z165" t="s">
        <v>17368</v>
      </c>
      <c r="AA165" t="s">
        <v>17369</v>
      </c>
      <c r="AB165">
        <v>14</v>
      </c>
    </row>
    <row r="166" spans="1:28" x14ac:dyDescent="0.25">
      <c r="A166">
        <v>-98.083875301999996</v>
      </c>
      <c r="B166">
        <v>30.004165230000002</v>
      </c>
      <c r="C166">
        <v>7508901</v>
      </c>
      <c r="D166" t="s">
        <v>3454</v>
      </c>
      <c r="E166" t="s">
        <v>3453</v>
      </c>
      <c r="F166">
        <v>1</v>
      </c>
      <c r="H166">
        <v>135445</v>
      </c>
      <c r="I166" t="str">
        <f t="shared" si="5"/>
        <v>TX0135445</v>
      </c>
      <c r="J166" t="str">
        <f>_xlfn.XLOOKUP(I166,TCEQ_Outfalls!A:A,TCEQ_Outfalls!A:A,"",0)</f>
        <v>TX0135445</v>
      </c>
      <c r="K166" t="s">
        <v>3451</v>
      </c>
      <c r="L166" t="s">
        <v>16</v>
      </c>
      <c r="M166" t="s">
        <v>28</v>
      </c>
      <c r="N166" t="s">
        <v>46</v>
      </c>
      <c r="O166" t="s">
        <v>753</v>
      </c>
      <c r="P166">
        <v>30.004165230000002</v>
      </c>
      <c r="Q166">
        <v>-98.083875300000003</v>
      </c>
      <c r="R166">
        <v>1813</v>
      </c>
      <c r="S166">
        <v>18</v>
      </c>
      <c r="T166">
        <v>11</v>
      </c>
      <c r="U166" t="s">
        <v>17365</v>
      </c>
      <c r="V166">
        <v>12</v>
      </c>
      <c r="W166" t="s">
        <v>17366</v>
      </c>
      <c r="X166">
        <v>20140728</v>
      </c>
      <c r="Y166" t="s">
        <v>17367</v>
      </c>
      <c r="Z166" t="s">
        <v>17368</v>
      </c>
      <c r="AA166" t="s">
        <v>17369</v>
      </c>
      <c r="AB166">
        <v>14</v>
      </c>
    </row>
    <row r="167" spans="1:28" x14ac:dyDescent="0.25">
      <c r="A167">
        <v>-98.054780207999997</v>
      </c>
      <c r="B167">
        <v>29.779693010999999</v>
      </c>
      <c r="C167">
        <v>7508968</v>
      </c>
      <c r="D167" t="s">
        <v>2378</v>
      </c>
      <c r="E167" t="s">
        <v>2377</v>
      </c>
      <c r="F167">
        <v>1</v>
      </c>
      <c r="H167">
        <v>135488</v>
      </c>
      <c r="I167" t="str">
        <f t="shared" si="5"/>
        <v>TX0135488</v>
      </c>
      <c r="J167" t="str">
        <f>_xlfn.XLOOKUP(I167,TCEQ_Outfalls!A:A,TCEQ_Outfalls!A:A,"",0)</f>
        <v>TX0135488</v>
      </c>
      <c r="K167" t="s">
        <v>2375</v>
      </c>
      <c r="L167" t="s">
        <v>16</v>
      </c>
      <c r="M167" t="s">
        <v>28</v>
      </c>
      <c r="N167" t="s">
        <v>14</v>
      </c>
      <c r="O167" t="s">
        <v>274</v>
      </c>
      <c r="P167">
        <v>29.779693009999999</v>
      </c>
      <c r="Q167">
        <v>-98.054780210000004</v>
      </c>
      <c r="R167">
        <v>1808</v>
      </c>
      <c r="S167">
        <v>18</v>
      </c>
      <c r="T167">
        <v>13</v>
      </c>
      <c r="U167" t="s">
        <v>17365</v>
      </c>
      <c r="V167">
        <v>12</v>
      </c>
      <c r="W167" t="s">
        <v>17366</v>
      </c>
      <c r="X167">
        <v>20180702</v>
      </c>
      <c r="Y167" t="s">
        <v>17367</v>
      </c>
      <c r="Z167" t="s">
        <v>17368</v>
      </c>
      <c r="AA167" t="s">
        <v>17369</v>
      </c>
      <c r="AB167">
        <v>15</v>
      </c>
    </row>
    <row r="168" spans="1:28" x14ac:dyDescent="0.25">
      <c r="A168">
        <v>-98.399246124000001</v>
      </c>
      <c r="B168">
        <v>29.770717887</v>
      </c>
      <c r="C168">
        <v>7509196</v>
      </c>
      <c r="D168" t="s">
        <v>3103</v>
      </c>
      <c r="E168" t="s">
        <v>3102</v>
      </c>
      <c r="F168">
        <v>1</v>
      </c>
      <c r="H168">
        <v>135691</v>
      </c>
      <c r="I168" t="str">
        <f t="shared" si="5"/>
        <v>TX0135691</v>
      </c>
      <c r="J168" t="str">
        <f>_xlfn.XLOOKUP(I168,TCEQ_Outfalls!A:A,TCEQ_Outfalls!A:A,"",0)</f>
        <v>TX0135691</v>
      </c>
      <c r="K168" t="s">
        <v>3100</v>
      </c>
      <c r="L168" t="s">
        <v>16</v>
      </c>
      <c r="M168" t="s">
        <v>28</v>
      </c>
      <c r="N168" t="s">
        <v>14</v>
      </c>
      <c r="O168" t="s">
        <v>274</v>
      </c>
      <c r="P168">
        <v>29.77071789</v>
      </c>
      <c r="Q168">
        <v>-98.399246120000001</v>
      </c>
      <c r="R168">
        <v>1908</v>
      </c>
      <c r="S168">
        <v>19</v>
      </c>
      <c r="T168">
        <v>13</v>
      </c>
      <c r="U168" t="s">
        <v>17365</v>
      </c>
      <c r="V168">
        <v>12</v>
      </c>
      <c r="W168" t="s">
        <v>17366</v>
      </c>
      <c r="X168">
        <v>20191015</v>
      </c>
      <c r="Y168" t="s">
        <v>17367</v>
      </c>
      <c r="Z168" t="s">
        <v>17368</v>
      </c>
      <c r="AA168" t="s">
        <v>17369</v>
      </c>
      <c r="AB168">
        <v>14</v>
      </c>
    </row>
    <row r="169" spans="1:28" x14ac:dyDescent="0.25">
      <c r="A169">
        <v>-97.845839803999993</v>
      </c>
      <c r="B169">
        <v>29.923548551</v>
      </c>
      <c r="C169">
        <v>7508965</v>
      </c>
      <c r="D169" t="s">
        <v>2596</v>
      </c>
      <c r="E169" t="s">
        <v>2595</v>
      </c>
      <c r="F169">
        <v>1</v>
      </c>
      <c r="H169">
        <v>135712</v>
      </c>
      <c r="I169" t="str">
        <f t="shared" si="5"/>
        <v>TX0135712</v>
      </c>
      <c r="J169" t="str">
        <f>_xlfn.XLOOKUP(I169,TCEQ_Outfalls!A:A,TCEQ_Outfalls!A:A,"",0)</f>
        <v>TX0135712</v>
      </c>
      <c r="K169" t="s">
        <v>895</v>
      </c>
      <c r="L169" t="s">
        <v>16</v>
      </c>
      <c r="M169" t="s">
        <v>15</v>
      </c>
      <c r="N169" t="s">
        <v>14</v>
      </c>
      <c r="O169" t="s">
        <v>753</v>
      </c>
      <c r="P169">
        <v>29.92354855</v>
      </c>
      <c r="Q169">
        <v>-97.845839799999993</v>
      </c>
      <c r="R169">
        <v>1808</v>
      </c>
      <c r="S169">
        <v>18</v>
      </c>
      <c r="T169">
        <v>11</v>
      </c>
      <c r="U169" t="s">
        <v>17365</v>
      </c>
      <c r="V169">
        <v>12</v>
      </c>
      <c r="W169" t="s">
        <v>17366</v>
      </c>
      <c r="X169">
        <v>20200626</v>
      </c>
      <c r="Y169" t="s">
        <v>17367</v>
      </c>
      <c r="Z169" t="s">
        <v>17368</v>
      </c>
      <c r="AA169" t="s">
        <v>17369</v>
      </c>
      <c r="AB169">
        <v>14</v>
      </c>
    </row>
    <row r="170" spans="1:28" x14ac:dyDescent="0.25">
      <c r="A170">
        <v>-98.295199276999995</v>
      </c>
      <c r="B170">
        <v>29.794781972999999</v>
      </c>
      <c r="C170">
        <v>7509878</v>
      </c>
      <c r="D170" t="s">
        <v>6112</v>
      </c>
      <c r="E170" t="s">
        <v>6111</v>
      </c>
      <c r="F170">
        <v>1</v>
      </c>
      <c r="H170">
        <v>135976</v>
      </c>
      <c r="I170" t="str">
        <f t="shared" si="5"/>
        <v>TX0135976</v>
      </c>
      <c r="J170" t="str">
        <f>_xlfn.XLOOKUP(I170,TCEQ_Outfalls!A:A,TCEQ_Outfalls!A:A,"",0)</f>
        <v>TX0135976</v>
      </c>
      <c r="K170" t="s">
        <v>6109</v>
      </c>
      <c r="L170" t="s">
        <v>16</v>
      </c>
      <c r="M170" t="s">
        <v>28</v>
      </c>
      <c r="N170" t="s">
        <v>27</v>
      </c>
      <c r="O170" t="s">
        <v>274</v>
      </c>
      <c r="P170">
        <v>29.794781969999999</v>
      </c>
      <c r="Q170">
        <v>-98.295199280000006</v>
      </c>
      <c r="R170">
        <v>1811</v>
      </c>
      <c r="S170">
        <v>18</v>
      </c>
      <c r="T170">
        <v>13</v>
      </c>
      <c r="U170" t="s">
        <v>17365</v>
      </c>
      <c r="V170">
        <v>12</v>
      </c>
      <c r="W170" t="s">
        <v>17366</v>
      </c>
      <c r="X170">
        <v>20150115</v>
      </c>
      <c r="Y170" t="s">
        <v>17367</v>
      </c>
      <c r="Z170" t="s">
        <v>17368</v>
      </c>
      <c r="AA170" t="s">
        <v>17369</v>
      </c>
      <c r="AB170">
        <v>14</v>
      </c>
    </row>
    <row r="171" spans="1:28" x14ac:dyDescent="0.25">
      <c r="A171">
        <v>-97.771959606999999</v>
      </c>
      <c r="B171">
        <v>29.989721052</v>
      </c>
      <c r="C171">
        <v>7509069</v>
      </c>
      <c r="D171" t="s">
        <v>1107</v>
      </c>
      <c r="E171" t="s">
        <v>1106</v>
      </c>
      <c r="F171">
        <v>1</v>
      </c>
      <c r="H171">
        <v>136069</v>
      </c>
      <c r="I171" t="str">
        <f t="shared" si="5"/>
        <v>TX0136069</v>
      </c>
      <c r="J171" t="str">
        <f>_xlfn.XLOOKUP(I171,TCEQ_Outfalls!A:A,TCEQ_Outfalls!A:A,"",0)</f>
        <v>TX0136069</v>
      </c>
      <c r="K171" t="s">
        <v>1104</v>
      </c>
      <c r="L171" t="s">
        <v>16</v>
      </c>
      <c r="M171" t="s">
        <v>28</v>
      </c>
      <c r="N171" t="s">
        <v>46</v>
      </c>
      <c r="O171" t="s">
        <v>753</v>
      </c>
      <c r="P171">
        <v>29.98972105</v>
      </c>
      <c r="Q171">
        <v>-97.771959609999996</v>
      </c>
      <c r="R171">
        <v>1810</v>
      </c>
      <c r="S171">
        <v>18</v>
      </c>
      <c r="T171">
        <v>11</v>
      </c>
      <c r="U171" t="s">
        <v>17365</v>
      </c>
      <c r="V171">
        <v>12</v>
      </c>
      <c r="W171" t="s">
        <v>17366</v>
      </c>
      <c r="X171">
        <v>20150206</v>
      </c>
      <c r="Y171" t="s">
        <v>17367</v>
      </c>
      <c r="Z171" t="s">
        <v>17368</v>
      </c>
      <c r="AA171" t="s">
        <v>17369</v>
      </c>
      <c r="AB171">
        <v>15</v>
      </c>
    </row>
    <row r="172" spans="1:28" x14ac:dyDescent="0.25">
      <c r="A172">
        <v>-98.189000578000005</v>
      </c>
      <c r="B172">
        <v>29.503899952000001</v>
      </c>
      <c r="C172">
        <v>7509074</v>
      </c>
      <c r="D172" t="s">
        <v>877</v>
      </c>
      <c r="E172" t="s">
        <v>876</v>
      </c>
      <c r="F172">
        <v>1</v>
      </c>
      <c r="H172">
        <v>136131</v>
      </c>
      <c r="I172" t="str">
        <f t="shared" si="5"/>
        <v>TX0136131</v>
      </c>
      <c r="J172" t="str">
        <f>_xlfn.XLOOKUP(I172,TCEQ_Outfalls!A:A,TCEQ_Outfalls!A:A,"",0)</f>
        <v>TX0136131</v>
      </c>
      <c r="K172" t="s">
        <v>874</v>
      </c>
      <c r="L172" t="s">
        <v>16</v>
      </c>
      <c r="M172" t="s">
        <v>15</v>
      </c>
      <c r="N172" t="s">
        <v>14</v>
      </c>
      <c r="O172" t="s">
        <v>873</v>
      </c>
      <c r="P172">
        <v>29.503899950000001</v>
      </c>
      <c r="Q172">
        <v>-98.189000579999998</v>
      </c>
      <c r="R172">
        <v>1913</v>
      </c>
      <c r="S172">
        <v>19</v>
      </c>
      <c r="T172">
        <v>13</v>
      </c>
      <c r="U172" t="s">
        <v>17365</v>
      </c>
      <c r="V172">
        <v>12</v>
      </c>
      <c r="W172" t="s">
        <v>17366</v>
      </c>
      <c r="X172">
        <v>20191018</v>
      </c>
      <c r="Y172" t="s">
        <v>17367</v>
      </c>
      <c r="Z172" t="s">
        <v>17368</v>
      </c>
      <c r="AA172" t="s">
        <v>17369</v>
      </c>
      <c r="AB172">
        <v>14</v>
      </c>
    </row>
    <row r="173" spans="1:28" x14ac:dyDescent="0.25">
      <c r="A173">
        <v>-99.148315507000007</v>
      </c>
      <c r="B173">
        <v>30.113903005000001</v>
      </c>
      <c r="C173">
        <v>7509088</v>
      </c>
      <c r="D173" t="s">
        <v>565</v>
      </c>
      <c r="E173" t="s">
        <v>564</v>
      </c>
      <c r="F173">
        <v>1</v>
      </c>
      <c r="H173">
        <v>136298</v>
      </c>
      <c r="I173" t="str">
        <f t="shared" si="5"/>
        <v>TX0136298</v>
      </c>
      <c r="J173" t="str">
        <f>_xlfn.XLOOKUP(I173,TCEQ_Outfalls!A:A,TCEQ_Outfalls!A:A,"",0)</f>
        <v>TX0136298</v>
      </c>
      <c r="K173" t="s">
        <v>562</v>
      </c>
      <c r="L173" t="s">
        <v>16</v>
      </c>
      <c r="M173" t="s">
        <v>28</v>
      </c>
      <c r="N173" t="s">
        <v>46</v>
      </c>
      <c r="O173" t="s">
        <v>561</v>
      </c>
      <c r="P173">
        <v>30.113903010000001</v>
      </c>
      <c r="Q173">
        <v>-99.148315510000003</v>
      </c>
      <c r="R173">
        <v>1806</v>
      </c>
      <c r="S173">
        <v>18</v>
      </c>
      <c r="T173">
        <v>13</v>
      </c>
      <c r="U173" t="s">
        <v>17376</v>
      </c>
      <c r="V173">
        <v>5</v>
      </c>
      <c r="W173" t="s">
        <v>17366</v>
      </c>
      <c r="X173">
        <v>20150527</v>
      </c>
      <c r="Y173" t="s">
        <v>17367</v>
      </c>
      <c r="Z173" t="s">
        <v>17368</v>
      </c>
      <c r="AA173" t="s">
        <v>17369</v>
      </c>
      <c r="AB173">
        <v>15</v>
      </c>
    </row>
    <row r="174" spans="1:28" x14ac:dyDescent="0.25">
      <c r="A174">
        <v>-98.116699729999993</v>
      </c>
      <c r="B174">
        <v>29.525674159000001</v>
      </c>
      <c r="C174">
        <v>7509167</v>
      </c>
      <c r="D174" t="s">
        <v>3586</v>
      </c>
      <c r="E174" t="s">
        <v>3585</v>
      </c>
      <c r="F174">
        <v>1</v>
      </c>
      <c r="H174">
        <v>136352</v>
      </c>
      <c r="I174" t="str">
        <f t="shared" si="5"/>
        <v>TX0136352</v>
      </c>
      <c r="J174" t="str">
        <f>_xlfn.XLOOKUP(I174,TCEQ_Outfalls!A:A,TCEQ_Outfalls!A:A,"",0)</f>
        <v>TX0136352</v>
      </c>
      <c r="K174" t="s">
        <v>3583</v>
      </c>
      <c r="L174" t="s">
        <v>16</v>
      </c>
      <c r="M174" t="s">
        <v>15</v>
      </c>
      <c r="N174" t="s">
        <v>14</v>
      </c>
      <c r="O174" t="s">
        <v>1032</v>
      </c>
      <c r="P174">
        <v>29.525674160000001</v>
      </c>
      <c r="Q174">
        <v>-98.116699729999993</v>
      </c>
      <c r="R174">
        <v>1902</v>
      </c>
      <c r="S174">
        <v>19</v>
      </c>
      <c r="T174">
        <v>13</v>
      </c>
      <c r="U174" t="s">
        <v>17365</v>
      </c>
      <c r="V174">
        <v>12</v>
      </c>
      <c r="W174" t="s">
        <v>17366</v>
      </c>
      <c r="X174">
        <v>20190925</v>
      </c>
      <c r="Y174" t="s">
        <v>17367</v>
      </c>
      <c r="Z174" t="s">
        <v>17368</v>
      </c>
      <c r="AA174" t="s">
        <v>17369</v>
      </c>
      <c r="AB174">
        <v>14</v>
      </c>
    </row>
    <row r="175" spans="1:28" x14ac:dyDescent="0.25">
      <c r="A175">
        <v>-98.256536933000007</v>
      </c>
      <c r="B175">
        <v>29.508754372999999</v>
      </c>
      <c r="C175">
        <v>7510132</v>
      </c>
      <c r="D175" t="s">
        <v>5047</v>
      </c>
      <c r="E175" t="s">
        <v>5046</v>
      </c>
      <c r="F175">
        <v>1</v>
      </c>
      <c r="H175">
        <v>136361</v>
      </c>
      <c r="I175" t="str">
        <f t="shared" si="5"/>
        <v>TX0136361</v>
      </c>
      <c r="J175" t="str">
        <f>_xlfn.XLOOKUP(I175,TCEQ_Outfalls!A:A,TCEQ_Outfalls!A:A,"",0)</f>
        <v>TX0136361</v>
      </c>
      <c r="K175" t="s">
        <v>5044</v>
      </c>
      <c r="L175" t="s">
        <v>16</v>
      </c>
      <c r="M175" t="s">
        <v>28</v>
      </c>
      <c r="N175" t="s">
        <v>14</v>
      </c>
      <c r="O175" t="s">
        <v>873</v>
      </c>
      <c r="P175">
        <v>29.508754369999998</v>
      </c>
      <c r="Q175">
        <v>-98.256536929999996</v>
      </c>
      <c r="R175">
        <v>1902</v>
      </c>
      <c r="S175">
        <v>19</v>
      </c>
      <c r="T175">
        <v>13</v>
      </c>
      <c r="U175" t="s">
        <v>17365</v>
      </c>
      <c r="V175">
        <v>12</v>
      </c>
      <c r="W175" t="s">
        <v>17366</v>
      </c>
      <c r="X175">
        <v>20191108</v>
      </c>
      <c r="Y175" t="s">
        <v>17367</v>
      </c>
      <c r="Z175" t="s">
        <v>17368</v>
      </c>
      <c r="AA175" t="s">
        <v>17369</v>
      </c>
      <c r="AB175">
        <v>14</v>
      </c>
    </row>
    <row r="176" spans="1:28" x14ac:dyDescent="0.25">
      <c r="A176">
        <v>-97.806466912000005</v>
      </c>
      <c r="B176">
        <v>30.044796462000001</v>
      </c>
      <c r="C176">
        <v>7509402</v>
      </c>
      <c r="D176" t="s">
        <v>4258</v>
      </c>
      <c r="E176" t="s">
        <v>4257</v>
      </c>
      <c r="F176">
        <v>1</v>
      </c>
      <c r="H176">
        <v>137111</v>
      </c>
      <c r="I176" t="str">
        <f t="shared" si="5"/>
        <v>TX0137111</v>
      </c>
      <c r="J176" t="str">
        <f>_xlfn.XLOOKUP(I176,TCEQ_Outfalls!A:A,TCEQ_Outfalls!A:A,"",0)</f>
        <v>TX0137111</v>
      </c>
      <c r="K176" t="s">
        <v>4255</v>
      </c>
      <c r="L176" t="s">
        <v>16</v>
      </c>
      <c r="M176" t="s">
        <v>28</v>
      </c>
      <c r="N176" t="s">
        <v>14</v>
      </c>
      <c r="O176" t="s">
        <v>753</v>
      </c>
      <c r="P176">
        <v>30.044796460000001</v>
      </c>
      <c r="Q176">
        <v>-97.806466909999997</v>
      </c>
      <c r="R176">
        <v>1810</v>
      </c>
      <c r="S176">
        <v>18</v>
      </c>
      <c r="T176">
        <v>11</v>
      </c>
      <c r="U176" t="s">
        <v>17365</v>
      </c>
      <c r="V176">
        <v>12</v>
      </c>
      <c r="W176" t="s">
        <v>17366</v>
      </c>
      <c r="X176">
        <v>20190425</v>
      </c>
      <c r="Y176" t="s">
        <v>17367</v>
      </c>
      <c r="Z176" t="s">
        <v>17368</v>
      </c>
      <c r="AA176" t="s">
        <v>17369</v>
      </c>
      <c r="AB176">
        <v>15</v>
      </c>
    </row>
    <row r="177" spans="1:28" x14ac:dyDescent="0.25">
      <c r="A177">
        <v>-98.431139861000005</v>
      </c>
      <c r="B177">
        <v>30.093391579999999</v>
      </c>
      <c r="C177">
        <v>7509650</v>
      </c>
      <c r="D177" t="s">
        <v>5887</v>
      </c>
      <c r="E177" t="s">
        <v>5886</v>
      </c>
      <c r="F177">
        <v>1</v>
      </c>
      <c r="H177">
        <v>137545</v>
      </c>
      <c r="I177" t="str">
        <f t="shared" si="5"/>
        <v>TX0137545</v>
      </c>
      <c r="J177" t="str">
        <f>_xlfn.XLOOKUP(I177,TCEQ_Outfalls!A:A,TCEQ_Outfalls!A:A,"",0)</f>
        <v>TX0137545</v>
      </c>
      <c r="K177" t="s">
        <v>4817</v>
      </c>
      <c r="L177" t="s">
        <v>16</v>
      </c>
      <c r="M177" t="s">
        <v>28</v>
      </c>
      <c r="N177" t="s">
        <v>36</v>
      </c>
      <c r="O177" t="s">
        <v>4816</v>
      </c>
      <c r="P177">
        <v>30.093391579999999</v>
      </c>
      <c r="Q177">
        <v>-98.431139860000002</v>
      </c>
      <c r="R177">
        <v>1813</v>
      </c>
      <c r="S177">
        <v>18</v>
      </c>
      <c r="T177">
        <v>11</v>
      </c>
      <c r="U177" t="s">
        <v>17365</v>
      </c>
      <c r="V177">
        <v>12</v>
      </c>
      <c r="W177" t="s">
        <v>17366</v>
      </c>
      <c r="X177">
        <v>20170407</v>
      </c>
      <c r="Y177" t="s">
        <v>17367</v>
      </c>
      <c r="Z177" t="s">
        <v>17368</v>
      </c>
      <c r="AA177" t="s">
        <v>17369</v>
      </c>
      <c r="AB177">
        <v>14</v>
      </c>
    </row>
    <row r="178" spans="1:28" x14ac:dyDescent="0.25">
      <c r="A178">
        <v>-97.812432184000002</v>
      </c>
      <c r="B178">
        <v>29.960439243</v>
      </c>
      <c r="C178">
        <v>7509774</v>
      </c>
      <c r="D178" t="s">
        <v>5021</v>
      </c>
      <c r="E178" t="s">
        <v>5020</v>
      </c>
      <c r="F178">
        <v>1</v>
      </c>
      <c r="H178">
        <v>138118</v>
      </c>
      <c r="I178" t="str">
        <f t="shared" si="5"/>
        <v>TX0138118</v>
      </c>
      <c r="J178" t="str">
        <f>_xlfn.XLOOKUP(I178,TCEQ_Outfalls!A:A,TCEQ_Outfalls!A:A,"",0)</f>
        <v>TX0138118</v>
      </c>
      <c r="K178" t="s">
        <v>4977</v>
      </c>
      <c r="L178" t="s">
        <v>16</v>
      </c>
      <c r="M178" t="s">
        <v>28</v>
      </c>
      <c r="N178" t="s">
        <v>14</v>
      </c>
      <c r="O178" t="s">
        <v>753</v>
      </c>
      <c r="P178">
        <v>29.960439239999999</v>
      </c>
      <c r="Q178">
        <v>-97.812432180000002</v>
      </c>
      <c r="R178">
        <v>1810</v>
      </c>
      <c r="S178">
        <v>18</v>
      </c>
      <c r="T178">
        <v>11</v>
      </c>
      <c r="U178" t="s">
        <v>17365</v>
      </c>
      <c r="V178">
        <v>12</v>
      </c>
      <c r="W178" t="s">
        <v>17366</v>
      </c>
      <c r="X178">
        <v>20210923</v>
      </c>
      <c r="Y178" t="s">
        <v>17367</v>
      </c>
      <c r="Z178" t="s">
        <v>17368</v>
      </c>
      <c r="AA178" t="s">
        <v>17369</v>
      </c>
      <c r="AB178">
        <v>14</v>
      </c>
    </row>
    <row r="179" spans="1:28" x14ac:dyDescent="0.25">
      <c r="A179">
        <v>-97.489623992999995</v>
      </c>
      <c r="B179">
        <v>29.630085605000001</v>
      </c>
      <c r="C179">
        <v>7509201</v>
      </c>
      <c r="D179" t="s">
        <v>3083</v>
      </c>
      <c r="E179" t="s">
        <v>3082</v>
      </c>
      <c r="F179">
        <v>1</v>
      </c>
      <c r="H179">
        <v>138215</v>
      </c>
      <c r="I179" t="str">
        <f t="shared" si="5"/>
        <v>TX0138215</v>
      </c>
      <c r="J179" t="str">
        <f>_xlfn.XLOOKUP(I179,TCEQ_Outfalls!A:A,TCEQ_Outfalls!A:A,"",0)</f>
        <v>TX0138215</v>
      </c>
      <c r="K179" t="s">
        <v>3080</v>
      </c>
      <c r="L179" t="s">
        <v>16</v>
      </c>
      <c r="M179" t="s">
        <v>28</v>
      </c>
      <c r="N179" t="s">
        <v>14</v>
      </c>
      <c r="O179" t="s">
        <v>3079</v>
      </c>
      <c r="P179">
        <v>29.630085609999998</v>
      </c>
      <c r="Q179">
        <v>-97.489623989999998</v>
      </c>
      <c r="R179">
        <v>1808</v>
      </c>
      <c r="S179">
        <v>18</v>
      </c>
      <c r="T179">
        <v>14</v>
      </c>
      <c r="U179" t="s">
        <v>17365</v>
      </c>
      <c r="V179">
        <v>12</v>
      </c>
      <c r="W179" t="s">
        <v>17366</v>
      </c>
      <c r="X179">
        <v>20180507</v>
      </c>
      <c r="Y179" t="s">
        <v>17367</v>
      </c>
      <c r="Z179" t="s">
        <v>17368</v>
      </c>
      <c r="AA179" t="s">
        <v>17369</v>
      </c>
      <c r="AB179">
        <v>15</v>
      </c>
    </row>
    <row r="180" spans="1:28" x14ac:dyDescent="0.25">
      <c r="A180">
        <v>-97.638668765000006</v>
      </c>
      <c r="B180">
        <v>29.414168569000001</v>
      </c>
      <c r="C180">
        <v>7509780</v>
      </c>
      <c r="D180" t="s">
        <v>5001</v>
      </c>
      <c r="E180" t="s">
        <v>5000</v>
      </c>
      <c r="F180">
        <v>1</v>
      </c>
      <c r="H180">
        <v>138215</v>
      </c>
      <c r="I180" t="str">
        <f t="shared" si="5"/>
        <v>TX0138215</v>
      </c>
      <c r="J180" t="str">
        <f>_xlfn.XLOOKUP(I180,TCEQ_Outfalls!A:A,TCEQ_Outfalls!A:A,"",0)</f>
        <v>TX0138215</v>
      </c>
      <c r="K180" t="s">
        <v>3080</v>
      </c>
      <c r="L180" t="s">
        <v>16</v>
      </c>
      <c r="M180" t="s">
        <v>28</v>
      </c>
      <c r="N180" t="s">
        <v>14</v>
      </c>
      <c r="O180" t="s">
        <v>3079</v>
      </c>
      <c r="P180">
        <v>29.414168570000001</v>
      </c>
      <c r="Q180">
        <v>-97.638668769999995</v>
      </c>
      <c r="R180">
        <v>1803</v>
      </c>
      <c r="S180">
        <v>18</v>
      </c>
      <c r="T180">
        <v>14</v>
      </c>
      <c r="U180" t="s">
        <v>17365</v>
      </c>
      <c r="V180">
        <v>12</v>
      </c>
      <c r="W180" t="s">
        <v>17366</v>
      </c>
      <c r="X180">
        <v>20180430</v>
      </c>
      <c r="Y180" t="s">
        <v>17367</v>
      </c>
      <c r="Z180" t="s">
        <v>17368</v>
      </c>
      <c r="AA180" t="s">
        <v>17369</v>
      </c>
      <c r="AB180">
        <v>14</v>
      </c>
    </row>
    <row r="181" spans="1:28" x14ac:dyDescent="0.25">
      <c r="A181">
        <v>-97.415264070999996</v>
      </c>
      <c r="B181">
        <v>29.617401161</v>
      </c>
      <c r="C181">
        <v>7509200</v>
      </c>
      <c r="D181" t="s">
        <v>3086</v>
      </c>
      <c r="E181" t="s">
        <v>3085</v>
      </c>
      <c r="F181">
        <v>1</v>
      </c>
      <c r="H181">
        <v>138231</v>
      </c>
      <c r="I181" t="str">
        <f t="shared" si="5"/>
        <v>TX0138231</v>
      </c>
      <c r="J181" t="str">
        <f>_xlfn.XLOOKUP(I181,TCEQ_Outfalls!A:A,TCEQ_Outfalls!A:A,"",0)</f>
        <v>TX0138231</v>
      </c>
      <c r="K181" t="s">
        <v>3080</v>
      </c>
      <c r="L181" t="s">
        <v>16</v>
      </c>
      <c r="M181" t="s">
        <v>28</v>
      </c>
      <c r="N181" t="s">
        <v>14</v>
      </c>
      <c r="O181" t="s">
        <v>3079</v>
      </c>
      <c r="P181">
        <v>29.61740116</v>
      </c>
      <c r="Q181">
        <v>-97.415264070000006</v>
      </c>
      <c r="R181">
        <v>1803</v>
      </c>
      <c r="S181">
        <v>18</v>
      </c>
      <c r="T181">
        <v>14</v>
      </c>
      <c r="U181" t="s">
        <v>17365</v>
      </c>
      <c r="V181">
        <v>12</v>
      </c>
      <c r="W181" t="s">
        <v>17366</v>
      </c>
      <c r="X181">
        <v>20180507</v>
      </c>
      <c r="Y181" t="s">
        <v>17367</v>
      </c>
      <c r="Z181" t="s">
        <v>17368</v>
      </c>
      <c r="AA181" t="s">
        <v>17369</v>
      </c>
      <c r="AB181">
        <v>14</v>
      </c>
    </row>
    <row r="182" spans="1:28" x14ac:dyDescent="0.25">
      <c r="A182">
        <v>-98.481399861</v>
      </c>
      <c r="B182">
        <v>29.782564843999999</v>
      </c>
      <c r="C182">
        <v>7508292</v>
      </c>
      <c r="D182" t="s">
        <v>6799</v>
      </c>
      <c r="E182" t="s">
        <v>6798</v>
      </c>
      <c r="F182">
        <v>1</v>
      </c>
      <c r="H182">
        <v>138304</v>
      </c>
      <c r="I182" t="str">
        <f t="shared" si="5"/>
        <v>TX0138304</v>
      </c>
      <c r="J182" t="str">
        <f>_xlfn.XLOOKUP(I182,TCEQ_Outfalls!A:A,TCEQ_Outfalls!A:A,"",0)</f>
        <v>TX0138304</v>
      </c>
      <c r="K182" t="s">
        <v>6796</v>
      </c>
      <c r="L182" t="s">
        <v>16</v>
      </c>
      <c r="M182" t="s">
        <v>28</v>
      </c>
      <c r="N182" t="s">
        <v>14</v>
      </c>
      <c r="O182" t="s">
        <v>274</v>
      </c>
      <c r="P182">
        <v>29.782564839999999</v>
      </c>
      <c r="Q182">
        <v>-98.481399859999996</v>
      </c>
      <c r="R182">
        <v>1908</v>
      </c>
      <c r="S182">
        <v>19</v>
      </c>
      <c r="T182">
        <v>13</v>
      </c>
      <c r="U182" t="s">
        <v>17365</v>
      </c>
      <c r="V182">
        <v>12</v>
      </c>
      <c r="W182" t="s">
        <v>17366</v>
      </c>
      <c r="X182">
        <v>20180827</v>
      </c>
      <c r="Y182" t="s">
        <v>17367</v>
      </c>
      <c r="Z182" t="s">
        <v>17368</v>
      </c>
      <c r="AA182" t="s">
        <v>17369</v>
      </c>
      <c r="AB182">
        <v>14</v>
      </c>
    </row>
    <row r="183" spans="1:28" x14ac:dyDescent="0.25">
      <c r="A183">
        <v>-99.029838808999997</v>
      </c>
      <c r="B183">
        <v>29.928913231999999</v>
      </c>
      <c r="C183">
        <v>7509906</v>
      </c>
      <c r="D183" t="s">
        <v>5939</v>
      </c>
      <c r="E183" t="s">
        <v>5938</v>
      </c>
      <c r="F183">
        <v>1</v>
      </c>
      <c r="H183">
        <v>138452</v>
      </c>
      <c r="I183" t="str">
        <f t="shared" si="5"/>
        <v>TX0138452</v>
      </c>
      <c r="J183" t="str">
        <f>_xlfn.XLOOKUP(I183,TCEQ_Outfalls!A:A,TCEQ_Outfalls!A:A,"",0)</f>
        <v>TX0138452</v>
      </c>
      <c r="K183" t="s">
        <v>5936</v>
      </c>
      <c r="L183" t="s">
        <v>16</v>
      </c>
      <c r="M183" t="s">
        <v>28</v>
      </c>
      <c r="N183" t="s">
        <v>14</v>
      </c>
      <c r="O183" t="s">
        <v>561</v>
      </c>
      <c r="P183">
        <v>29.928913229999999</v>
      </c>
      <c r="Q183">
        <v>-99.029838810000001</v>
      </c>
      <c r="R183">
        <v>1806</v>
      </c>
      <c r="S183">
        <v>18</v>
      </c>
      <c r="T183">
        <v>13</v>
      </c>
      <c r="U183" t="s">
        <v>17365</v>
      </c>
      <c r="V183">
        <v>12</v>
      </c>
      <c r="W183" t="s">
        <v>17366</v>
      </c>
      <c r="X183">
        <v>20181019</v>
      </c>
      <c r="Y183" t="s">
        <v>17367</v>
      </c>
      <c r="Z183" t="s">
        <v>17368</v>
      </c>
      <c r="AA183" t="s">
        <v>17369</v>
      </c>
      <c r="AB183">
        <v>14</v>
      </c>
    </row>
    <row r="184" spans="1:28" x14ac:dyDescent="0.25">
      <c r="A184">
        <v>-97.798757374999994</v>
      </c>
      <c r="B184">
        <v>29.811188086000001</v>
      </c>
      <c r="C184">
        <v>7508409</v>
      </c>
      <c r="D184" t="s">
        <v>6434</v>
      </c>
      <c r="E184" t="s">
        <v>6433</v>
      </c>
      <c r="F184">
        <v>1</v>
      </c>
      <c r="H184">
        <v>138835</v>
      </c>
      <c r="I184" t="str">
        <f t="shared" si="5"/>
        <v>TX0138835</v>
      </c>
      <c r="J184" t="str">
        <f>_xlfn.XLOOKUP(I184,TCEQ_Outfalls!A:A,TCEQ_Outfalls!A:A,"",0)</f>
        <v>TX0138835</v>
      </c>
      <c r="K184" t="s">
        <v>6431</v>
      </c>
      <c r="L184" t="s">
        <v>16</v>
      </c>
      <c r="M184" t="s">
        <v>28</v>
      </c>
      <c r="N184" t="s">
        <v>14</v>
      </c>
      <c r="O184" t="s">
        <v>2137</v>
      </c>
      <c r="P184">
        <v>29.811188090000002</v>
      </c>
      <c r="Q184">
        <v>-97.798757379999998</v>
      </c>
      <c r="R184">
        <v>1808</v>
      </c>
      <c r="S184">
        <v>18</v>
      </c>
      <c r="T184">
        <v>11</v>
      </c>
      <c r="U184" t="s">
        <v>17365</v>
      </c>
      <c r="V184">
        <v>12</v>
      </c>
      <c r="W184" t="s">
        <v>17366</v>
      </c>
      <c r="X184">
        <v>20190204</v>
      </c>
      <c r="Y184" t="s">
        <v>17367</v>
      </c>
      <c r="Z184" t="s">
        <v>17368</v>
      </c>
      <c r="AA184" t="s">
        <v>17369</v>
      </c>
      <c r="AB184">
        <v>14</v>
      </c>
    </row>
    <row r="185" spans="1:28" x14ac:dyDescent="0.25">
      <c r="A185">
        <v>-97.811903321000003</v>
      </c>
      <c r="B185">
        <v>29.927721698999999</v>
      </c>
      <c r="C185">
        <v>7510144</v>
      </c>
      <c r="D185" t="s">
        <v>4980</v>
      </c>
      <c r="E185" t="s">
        <v>4979</v>
      </c>
      <c r="F185">
        <v>1</v>
      </c>
      <c r="H185">
        <v>139122</v>
      </c>
      <c r="I185" t="str">
        <f t="shared" si="5"/>
        <v>TX0139122</v>
      </c>
      <c r="J185" t="str">
        <f>_xlfn.XLOOKUP(I185,TCEQ_Outfalls!A:A,TCEQ_Outfalls!A:A,"",0)</f>
        <v>TX0139122</v>
      </c>
      <c r="K185" t="s">
        <v>4977</v>
      </c>
      <c r="L185" t="s">
        <v>16</v>
      </c>
      <c r="M185" t="s">
        <v>28</v>
      </c>
      <c r="N185" t="s">
        <v>14</v>
      </c>
      <c r="O185" t="s">
        <v>2137</v>
      </c>
      <c r="P185">
        <v>29.927721699999999</v>
      </c>
      <c r="Q185">
        <v>-97.811903319999999</v>
      </c>
      <c r="R185">
        <v>1810</v>
      </c>
      <c r="S185">
        <v>18</v>
      </c>
      <c r="T185">
        <v>11</v>
      </c>
      <c r="U185" t="s">
        <v>17365</v>
      </c>
      <c r="V185">
        <v>12</v>
      </c>
      <c r="W185" t="s">
        <v>17366</v>
      </c>
      <c r="X185">
        <v>20190514</v>
      </c>
      <c r="Y185" t="s">
        <v>17367</v>
      </c>
      <c r="Z185" t="s">
        <v>17368</v>
      </c>
      <c r="AA185" t="s">
        <v>17369</v>
      </c>
      <c r="AB185">
        <v>14</v>
      </c>
    </row>
    <row r="186" spans="1:28" x14ac:dyDescent="0.25">
      <c r="A186">
        <v>-97.996706649999993</v>
      </c>
      <c r="B186">
        <v>29.801401593000001</v>
      </c>
      <c r="C186">
        <v>7510211</v>
      </c>
      <c r="D186" t="s">
        <v>4941</v>
      </c>
      <c r="E186" t="s">
        <v>4940</v>
      </c>
      <c r="F186">
        <v>1</v>
      </c>
      <c r="H186">
        <v>139131</v>
      </c>
      <c r="I186" t="str">
        <f t="shared" si="5"/>
        <v>TX0139131</v>
      </c>
      <c r="J186" t="str">
        <f>_xlfn.XLOOKUP(I186,TCEQ_Outfalls!A:A,TCEQ_Outfalls!A:A,"",0)</f>
        <v>TX0139131</v>
      </c>
      <c r="K186" t="s">
        <v>4938</v>
      </c>
      <c r="L186" t="s">
        <v>284</v>
      </c>
      <c r="M186" t="s">
        <v>28</v>
      </c>
      <c r="N186" t="s">
        <v>14</v>
      </c>
      <c r="O186" t="s">
        <v>753</v>
      </c>
      <c r="P186">
        <v>29.801401590000001</v>
      </c>
      <c r="Q186">
        <v>-97.996706649999993</v>
      </c>
      <c r="R186">
        <v>1808</v>
      </c>
      <c r="S186">
        <v>18</v>
      </c>
      <c r="T186">
        <v>11</v>
      </c>
      <c r="U186" t="s">
        <v>17365</v>
      </c>
      <c r="V186">
        <v>12</v>
      </c>
      <c r="W186" t="s">
        <v>17366</v>
      </c>
      <c r="X186">
        <v>20190430</v>
      </c>
      <c r="Y186" t="s">
        <v>17367</v>
      </c>
      <c r="Z186" t="s">
        <v>17368</v>
      </c>
      <c r="AA186" t="s">
        <v>17369</v>
      </c>
      <c r="AB186">
        <v>14</v>
      </c>
    </row>
    <row r="187" spans="1:28" x14ac:dyDescent="0.25">
      <c r="A187">
        <v>-97.910639410000002</v>
      </c>
      <c r="B187">
        <v>29.841076038000001</v>
      </c>
      <c r="C187">
        <v>7510285</v>
      </c>
      <c r="D187" t="s">
        <v>4854</v>
      </c>
      <c r="E187" t="s">
        <v>4853</v>
      </c>
      <c r="F187">
        <v>1</v>
      </c>
      <c r="H187">
        <v>139238</v>
      </c>
      <c r="I187" t="str">
        <f t="shared" si="5"/>
        <v>TX0139238</v>
      </c>
      <c r="J187" t="str">
        <f>_xlfn.XLOOKUP(I187,TCEQ_Outfalls!A:A,TCEQ_Outfalls!A:A,"",0)</f>
        <v>TX0139238</v>
      </c>
      <c r="K187" t="s">
        <v>4851</v>
      </c>
      <c r="L187" t="s">
        <v>284</v>
      </c>
      <c r="M187" t="s">
        <v>28</v>
      </c>
      <c r="N187" t="s">
        <v>14</v>
      </c>
      <c r="O187" t="s">
        <v>753</v>
      </c>
      <c r="P187">
        <v>29.841076040000001</v>
      </c>
      <c r="Q187">
        <v>-97.910639410000002</v>
      </c>
      <c r="R187">
        <v>1808</v>
      </c>
      <c r="S187">
        <v>18</v>
      </c>
      <c r="T187">
        <v>11</v>
      </c>
      <c r="U187" t="s">
        <v>17365</v>
      </c>
      <c r="V187">
        <v>12</v>
      </c>
      <c r="W187" t="s">
        <v>17366</v>
      </c>
      <c r="X187">
        <v>20190805</v>
      </c>
      <c r="Y187" t="s">
        <v>17367</v>
      </c>
      <c r="Z187" t="s">
        <v>17368</v>
      </c>
      <c r="AA187" t="s">
        <v>17369</v>
      </c>
      <c r="AB187">
        <v>14</v>
      </c>
    </row>
    <row r="188" spans="1:28" x14ac:dyDescent="0.25">
      <c r="A188">
        <v>-98.807778373000005</v>
      </c>
      <c r="B188">
        <v>29.769315706</v>
      </c>
      <c r="C188">
        <v>7510031</v>
      </c>
      <c r="D188" t="s">
        <v>5180</v>
      </c>
      <c r="E188" t="s">
        <v>5178</v>
      </c>
      <c r="F188">
        <v>1</v>
      </c>
      <c r="H188">
        <v>139246</v>
      </c>
      <c r="I188" t="str">
        <f t="shared" si="5"/>
        <v>TX0139246</v>
      </c>
      <c r="J188" t="str">
        <f>_xlfn.XLOOKUP(I188,TCEQ_Outfalls!A:A,TCEQ_Outfalls!A:A,"",0)</f>
        <v>TX0139246</v>
      </c>
      <c r="K188" t="s">
        <v>5176</v>
      </c>
      <c r="L188" t="s">
        <v>284</v>
      </c>
      <c r="M188" t="s">
        <v>28</v>
      </c>
      <c r="N188" t="s">
        <v>14</v>
      </c>
      <c r="O188" t="s">
        <v>2500</v>
      </c>
      <c r="P188">
        <v>29.769315710000001</v>
      </c>
      <c r="Q188">
        <v>-98.807778369999994</v>
      </c>
      <c r="R188">
        <v>1908</v>
      </c>
      <c r="S188">
        <v>19</v>
      </c>
      <c r="T188">
        <v>13</v>
      </c>
      <c r="U188" t="s">
        <v>17365</v>
      </c>
      <c r="V188">
        <v>12</v>
      </c>
      <c r="W188" t="s">
        <v>17366</v>
      </c>
      <c r="X188">
        <v>20190911</v>
      </c>
      <c r="Y188" t="s">
        <v>17367</v>
      </c>
      <c r="Z188" t="s">
        <v>17368</v>
      </c>
      <c r="AA188" t="s">
        <v>17369</v>
      </c>
      <c r="AB188">
        <v>14</v>
      </c>
    </row>
    <row r="189" spans="1:28" x14ac:dyDescent="0.25">
      <c r="A189">
        <v>-98.811776065000004</v>
      </c>
      <c r="B189">
        <v>29.778261336</v>
      </c>
      <c r="C189">
        <v>7510032</v>
      </c>
      <c r="D189" t="s">
        <v>5179</v>
      </c>
      <c r="E189" t="s">
        <v>5178</v>
      </c>
      <c r="F189">
        <v>2</v>
      </c>
      <c r="H189">
        <v>139246</v>
      </c>
      <c r="I189" t="str">
        <f t="shared" si="5"/>
        <v>TX0139246</v>
      </c>
      <c r="J189" t="str">
        <f>_xlfn.XLOOKUP(I189,TCEQ_Outfalls!A:A,TCEQ_Outfalls!A:A,"",0)</f>
        <v>TX0139246</v>
      </c>
      <c r="K189" t="s">
        <v>5176</v>
      </c>
      <c r="L189" t="s">
        <v>284</v>
      </c>
      <c r="M189" t="s">
        <v>28</v>
      </c>
      <c r="N189" t="s">
        <v>14</v>
      </c>
      <c r="O189" t="s">
        <v>2500</v>
      </c>
      <c r="P189">
        <v>29.77826134</v>
      </c>
      <c r="Q189">
        <v>-98.811776069999993</v>
      </c>
      <c r="R189">
        <v>1908</v>
      </c>
      <c r="S189">
        <v>19</v>
      </c>
      <c r="T189">
        <v>13</v>
      </c>
      <c r="U189" t="s">
        <v>17365</v>
      </c>
      <c r="V189">
        <v>12</v>
      </c>
      <c r="W189" t="s">
        <v>17366</v>
      </c>
      <c r="X189">
        <v>20190911</v>
      </c>
      <c r="Y189" t="s">
        <v>17367</v>
      </c>
      <c r="Z189" t="s">
        <v>17368</v>
      </c>
      <c r="AA189" t="s">
        <v>17369</v>
      </c>
      <c r="AB189">
        <v>14</v>
      </c>
    </row>
    <row r="190" spans="1:28" x14ac:dyDescent="0.25">
      <c r="A190">
        <v>-97.919338081999996</v>
      </c>
      <c r="B190">
        <v>29.809738004</v>
      </c>
      <c r="C190">
        <v>7510290</v>
      </c>
      <c r="D190" t="s">
        <v>4849</v>
      </c>
      <c r="E190" t="s">
        <v>4848</v>
      </c>
      <c r="F190">
        <v>1</v>
      </c>
      <c r="H190">
        <v>139521</v>
      </c>
      <c r="I190" t="str">
        <f t="shared" si="5"/>
        <v>TX0139521</v>
      </c>
      <c r="J190" t="str">
        <f>_xlfn.XLOOKUP(I190,TCEQ_Outfalls!A:A,TCEQ_Outfalls!A:A,"",0)</f>
        <v>TX0139521</v>
      </c>
      <c r="K190" t="s">
        <v>4673</v>
      </c>
      <c r="L190" t="s">
        <v>284</v>
      </c>
      <c r="M190" t="s">
        <v>28</v>
      </c>
      <c r="N190" t="s">
        <v>14</v>
      </c>
      <c r="O190" t="s">
        <v>1032</v>
      </c>
      <c r="P190">
        <v>29.809737999999999</v>
      </c>
      <c r="Q190">
        <v>-97.919338080000003</v>
      </c>
      <c r="R190">
        <v>1808</v>
      </c>
      <c r="S190">
        <v>18</v>
      </c>
      <c r="T190">
        <v>13</v>
      </c>
      <c r="U190" t="s">
        <v>17365</v>
      </c>
      <c r="V190">
        <v>12</v>
      </c>
      <c r="W190" t="s">
        <v>17366</v>
      </c>
      <c r="X190">
        <v>20191014</v>
      </c>
      <c r="Y190" t="s">
        <v>17367</v>
      </c>
      <c r="Z190" t="s">
        <v>17368</v>
      </c>
      <c r="AA190" t="s">
        <v>17369</v>
      </c>
      <c r="AB190">
        <v>14</v>
      </c>
    </row>
    <row r="191" spans="1:28" x14ac:dyDescent="0.25">
      <c r="A191">
        <v>-97.967161107999999</v>
      </c>
      <c r="B191">
        <v>29.751737066</v>
      </c>
      <c r="C191">
        <v>7510382</v>
      </c>
      <c r="D191" t="s">
        <v>4676</v>
      </c>
      <c r="E191" t="s">
        <v>4675</v>
      </c>
      <c r="F191">
        <v>1</v>
      </c>
      <c r="H191">
        <v>139688</v>
      </c>
      <c r="I191" t="str">
        <f t="shared" si="5"/>
        <v>TX0139688</v>
      </c>
      <c r="J191" t="str">
        <f>_xlfn.XLOOKUP(I191,TCEQ_Outfalls!A:A,TCEQ_Outfalls!A:A,"",0)</f>
        <v>TX0139688</v>
      </c>
      <c r="K191" t="s">
        <v>4673</v>
      </c>
      <c r="L191" t="s">
        <v>16</v>
      </c>
      <c r="M191" t="s">
        <v>28</v>
      </c>
      <c r="N191" t="s">
        <v>14</v>
      </c>
      <c r="O191" t="s">
        <v>1032</v>
      </c>
      <c r="P191">
        <v>29.751737070000001</v>
      </c>
      <c r="Q191">
        <v>-97.967161110000006</v>
      </c>
      <c r="R191">
        <v>1808</v>
      </c>
      <c r="S191">
        <v>18</v>
      </c>
      <c r="T191">
        <v>13</v>
      </c>
      <c r="U191" t="s">
        <v>17365</v>
      </c>
      <c r="V191">
        <v>12</v>
      </c>
      <c r="W191" t="s">
        <v>17366</v>
      </c>
      <c r="X191">
        <v>20200124</v>
      </c>
      <c r="Y191" t="s">
        <v>17367</v>
      </c>
      <c r="Z191" t="s">
        <v>17368</v>
      </c>
      <c r="AA191" t="s">
        <v>17369</v>
      </c>
      <c r="AB191">
        <v>14</v>
      </c>
    </row>
  </sheetData>
  <autoFilter ref="A1:AC191" xr:uid="{5698E6D3-6868-4916-8F9B-31175A5728C1}">
    <sortState xmlns:xlrd2="http://schemas.microsoft.com/office/spreadsheetml/2017/richdata2" ref="A2:AC191">
      <sortCondition ref="J1:J191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H22"/>
  <sheetViews>
    <sheetView showGridLines="0" workbookViewId="0">
      <selection activeCell="B34" sqref="B34"/>
    </sheetView>
  </sheetViews>
  <sheetFormatPr defaultRowHeight="15" x14ac:dyDescent="0.25"/>
  <cols>
    <col min="1" max="1" width="29.5703125" customWidth="1"/>
    <col min="2" max="2" width="116.85546875" bestFit="1" customWidth="1"/>
    <col min="3" max="3" width="12" bestFit="1" customWidth="1"/>
    <col min="8" max="8" width="179.7109375" bestFit="1" customWidth="1"/>
  </cols>
  <sheetData>
    <row r="1" spans="1:8" s="30" customFormat="1" ht="40.5" customHeight="1" thickBot="1" x14ac:dyDescent="0.3">
      <c r="A1" s="31" t="s">
        <v>14984</v>
      </c>
      <c r="B1" s="31" t="s">
        <v>14985</v>
      </c>
      <c r="C1" s="31" t="s">
        <v>14986</v>
      </c>
      <c r="G1" s="33" t="s">
        <v>14987</v>
      </c>
      <c r="H1" s="36" t="s">
        <v>17342</v>
      </c>
    </row>
    <row r="2" spans="1:8" x14ac:dyDescent="0.25">
      <c r="A2" s="32" t="s">
        <v>14899</v>
      </c>
      <c r="B2" s="32" t="s">
        <v>17327</v>
      </c>
      <c r="C2" s="32" t="b">
        <v>0</v>
      </c>
    </row>
    <row r="3" spans="1:8" x14ac:dyDescent="0.25">
      <c r="A3" s="32" t="s">
        <v>14907</v>
      </c>
      <c r="B3" s="32" t="s">
        <v>17328</v>
      </c>
      <c r="C3" s="32" t="b">
        <v>0</v>
      </c>
    </row>
    <row r="4" spans="1:8" x14ac:dyDescent="0.25">
      <c r="A4" s="32" t="s">
        <v>14909</v>
      </c>
      <c r="B4" s="32" t="s">
        <v>17329</v>
      </c>
      <c r="C4" s="32" t="b">
        <v>0</v>
      </c>
    </row>
    <row r="5" spans="1:8" x14ac:dyDescent="0.25">
      <c r="A5" s="32" t="s">
        <v>14916</v>
      </c>
      <c r="B5" s="32" t="s">
        <v>17330</v>
      </c>
      <c r="C5" s="32" t="b">
        <v>0</v>
      </c>
    </row>
    <row r="6" spans="1:8" x14ac:dyDescent="0.25">
      <c r="A6" s="32" t="s">
        <v>14919</v>
      </c>
      <c r="B6" s="32" t="s">
        <v>17331</v>
      </c>
      <c r="C6" s="32" t="b">
        <v>0</v>
      </c>
    </row>
    <row r="7" spans="1:8" x14ac:dyDescent="0.25">
      <c r="A7" s="32" t="s">
        <v>14923</v>
      </c>
      <c r="B7" s="32" t="s">
        <v>17332</v>
      </c>
      <c r="C7" s="32" t="b">
        <v>0</v>
      </c>
    </row>
    <row r="8" spans="1:8" x14ac:dyDescent="0.25">
      <c r="A8" s="32" t="s">
        <v>14901</v>
      </c>
      <c r="B8" s="32" t="s">
        <v>17333</v>
      </c>
      <c r="C8" s="32" t="b">
        <v>0</v>
      </c>
    </row>
    <row r="9" spans="1:8" x14ac:dyDescent="0.25">
      <c r="A9" s="32" t="s">
        <v>14905</v>
      </c>
      <c r="B9" s="32" t="s">
        <v>17334</v>
      </c>
      <c r="C9" s="32" t="b">
        <v>0</v>
      </c>
    </row>
    <row r="10" spans="1:8" x14ac:dyDescent="0.25">
      <c r="A10" s="32" t="s">
        <v>17335</v>
      </c>
      <c r="B10" s="32" t="s">
        <v>17336</v>
      </c>
      <c r="C10" s="32" t="b">
        <v>0</v>
      </c>
    </row>
    <row r="11" spans="1:8" x14ac:dyDescent="0.25">
      <c r="A11" s="32" t="s">
        <v>14914</v>
      </c>
      <c r="B11" s="32" t="s">
        <v>17337</v>
      </c>
      <c r="C11" s="32" t="b">
        <v>0</v>
      </c>
    </row>
    <row r="12" spans="1:8" x14ac:dyDescent="0.25">
      <c r="A12" s="32" t="s">
        <v>14926</v>
      </c>
      <c r="B12" s="32" t="s">
        <v>17338</v>
      </c>
      <c r="C12" s="32" t="b">
        <v>0</v>
      </c>
    </row>
    <row r="13" spans="1:8" x14ac:dyDescent="0.25">
      <c r="A13" s="32" t="s">
        <v>14921</v>
      </c>
      <c r="B13" s="32" t="s">
        <v>17339</v>
      </c>
      <c r="C13" s="32" t="b">
        <v>0</v>
      </c>
    </row>
    <row r="14" spans="1:8" x14ac:dyDescent="0.25">
      <c r="A14" s="32" t="s">
        <v>14903</v>
      </c>
      <c r="B14" s="32" t="s">
        <v>17340</v>
      </c>
      <c r="C14" s="32" t="b">
        <v>0</v>
      </c>
    </row>
    <row r="15" spans="1:8" x14ac:dyDescent="0.25">
      <c r="A15" s="32" t="s">
        <v>14912</v>
      </c>
      <c r="B15" s="32" t="s">
        <v>17341</v>
      </c>
      <c r="C15" s="32" t="b">
        <v>0</v>
      </c>
    </row>
    <row r="16" spans="1:8" x14ac:dyDescent="0.25">
      <c r="A16" s="32" t="s">
        <v>17343</v>
      </c>
      <c r="B16" s="32" t="s">
        <v>17344</v>
      </c>
      <c r="C16" s="32" t="b">
        <v>1</v>
      </c>
    </row>
    <row r="17" spans="1:3" x14ac:dyDescent="0.25">
      <c r="A17" s="32" t="s">
        <v>14904</v>
      </c>
      <c r="B17" s="32" t="s">
        <v>17345</v>
      </c>
      <c r="C17" s="32" t="b">
        <v>1</v>
      </c>
    </row>
    <row r="18" spans="1:3" x14ac:dyDescent="0.25">
      <c r="A18" s="32" t="s">
        <v>14908</v>
      </c>
      <c r="B18" s="32" t="s">
        <v>17346</v>
      </c>
      <c r="C18" s="32" t="b">
        <v>1</v>
      </c>
    </row>
    <row r="19" spans="1:3" x14ac:dyDescent="0.25">
      <c r="A19" s="32" t="s">
        <v>14911</v>
      </c>
      <c r="B19" s="32" t="s">
        <v>17347</v>
      </c>
      <c r="C19" s="32" t="b">
        <v>1</v>
      </c>
    </row>
    <row r="20" spans="1:3" x14ac:dyDescent="0.25">
      <c r="A20" s="32" t="s">
        <v>14913</v>
      </c>
      <c r="B20" s="32" t="s">
        <v>17348</v>
      </c>
      <c r="C20" s="32" t="b">
        <v>1</v>
      </c>
    </row>
    <row r="21" spans="1:3" x14ac:dyDescent="0.25">
      <c r="A21" s="32" t="s">
        <v>14918</v>
      </c>
      <c r="B21" s="32" t="s">
        <v>17349</v>
      </c>
      <c r="C21" s="32" t="b">
        <v>1</v>
      </c>
    </row>
    <row r="22" spans="1:3" x14ac:dyDescent="0.25">
      <c r="A22" s="32" t="s">
        <v>14925</v>
      </c>
      <c r="B22" s="32" t="s">
        <v>17350</v>
      </c>
      <c r="C22" s="32" t="b">
        <v>1</v>
      </c>
    </row>
  </sheetData>
  <pageMargins left="0.7" right="0.7" top="0.75" bottom="0.75" header="0.3" footer="0.3"/>
  <pageSetup orientation="portrait" horizontalDpi="90" verticalDpi="9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24"/>
  <sheetViews>
    <sheetView workbookViewId="0">
      <selection activeCell="G30" sqref="G30"/>
    </sheetView>
  </sheetViews>
  <sheetFormatPr defaultRowHeight="15" x14ac:dyDescent="0.25"/>
  <cols>
    <col min="1" max="1" width="13" style="6" bestFit="1" customWidth="1"/>
    <col min="2" max="2" width="19.28515625" style="6" bestFit="1" customWidth="1"/>
    <col min="3" max="3" width="5.140625" style="6" bestFit="1" customWidth="1"/>
    <col min="4" max="4" width="11.5703125" style="6" bestFit="1" customWidth="1"/>
  </cols>
  <sheetData>
    <row r="1" spans="1:4" x14ac:dyDescent="0.25">
      <c r="A1" s="6" t="s">
        <v>14895</v>
      </c>
      <c r="B1" s="6" t="s">
        <v>14896</v>
      </c>
      <c r="C1" s="6" t="s">
        <v>14897</v>
      </c>
      <c r="D1" s="6" t="s">
        <v>14898</v>
      </c>
    </row>
    <row r="2" spans="1:4" x14ac:dyDescent="0.25">
      <c r="A2" s="6">
        <v>1</v>
      </c>
      <c r="B2" s="6" t="s">
        <v>14901</v>
      </c>
      <c r="C2" s="6">
        <v>2</v>
      </c>
      <c r="D2" s="6" t="s">
        <v>14902</v>
      </c>
    </row>
    <row r="3" spans="1:4" x14ac:dyDescent="0.25">
      <c r="A3" s="6">
        <v>2</v>
      </c>
      <c r="B3" s="6" t="s">
        <v>14914</v>
      </c>
      <c r="C3" s="6">
        <v>13</v>
      </c>
      <c r="D3" s="6" t="s">
        <v>14915</v>
      </c>
    </row>
    <row r="4" spans="1:4" x14ac:dyDescent="0.25">
      <c r="A4" s="6">
        <v>3</v>
      </c>
      <c r="B4" s="6" t="s">
        <v>14921</v>
      </c>
      <c r="C4" s="6">
        <v>19</v>
      </c>
      <c r="D4" s="6" t="s">
        <v>14922</v>
      </c>
    </row>
    <row r="5" spans="1:4" x14ac:dyDescent="0.25">
      <c r="A5" s="6">
        <v>4</v>
      </c>
      <c r="B5" s="6" t="s">
        <v>14905</v>
      </c>
      <c r="C5" s="6">
        <v>5</v>
      </c>
      <c r="D5" s="6" t="s">
        <v>3278</v>
      </c>
    </row>
    <row r="6" spans="1:4" x14ac:dyDescent="0.25">
      <c r="A6" s="6">
        <v>5</v>
      </c>
      <c r="B6" s="6" t="s">
        <v>14916</v>
      </c>
      <c r="C6" s="6">
        <v>14</v>
      </c>
      <c r="D6" s="6" t="s">
        <v>11680</v>
      </c>
    </row>
    <row r="7" spans="1:4" x14ac:dyDescent="0.25">
      <c r="A7" s="6">
        <v>6</v>
      </c>
      <c r="B7" s="6" t="s">
        <v>14909</v>
      </c>
      <c r="C7" s="6">
        <v>9</v>
      </c>
      <c r="D7" s="6" t="s">
        <v>14910</v>
      </c>
    </row>
    <row r="8" spans="1:4" x14ac:dyDescent="0.25">
      <c r="A8" s="6">
        <v>7</v>
      </c>
      <c r="B8" s="6" t="s">
        <v>14911</v>
      </c>
      <c r="C8" s="6">
        <v>10</v>
      </c>
      <c r="D8" s="6" t="s">
        <v>3091</v>
      </c>
    </row>
    <row r="9" spans="1:4" x14ac:dyDescent="0.25">
      <c r="A9" s="6">
        <v>8</v>
      </c>
      <c r="B9" s="6" t="s">
        <v>14923</v>
      </c>
      <c r="C9" s="6">
        <v>20</v>
      </c>
      <c r="D9" s="6" t="s">
        <v>14924</v>
      </c>
    </row>
    <row r="10" spans="1:4" x14ac:dyDescent="0.25">
      <c r="A10" s="6">
        <v>9</v>
      </c>
      <c r="B10" s="6" t="s">
        <v>14925</v>
      </c>
      <c r="C10" s="6">
        <v>21</v>
      </c>
      <c r="D10" s="6" t="s">
        <v>1903</v>
      </c>
    </row>
    <row r="11" spans="1:4" x14ac:dyDescent="0.25">
      <c r="A11" s="6">
        <v>10</v>
      </c>
      <c r="B11" s="6" t="s">
        <v>14919</v>
      </c>
      <c r="C11" s="6">
        <v>17</v>
      </c>
      <c r="D11" s="6" t="s">
        <v>24</v>
      </c>
    </row>
    <row r="12" spans="1:4" x14ac:dyDescent="0.25">
      <c r="A12" s="6">
        <v>11</v>
      </c>
      <c r="B12" s="6" t="s">
        <v>14920</v>
      </c>
      <c r="C12" s="6">
        <v>18</v>
      </c>
      <c r="D12" s="6" t="s">
        <v>160</v>
      </c>
    </row>
    <row r="13" spans="1:4" x14ac:dyDescent="0.25">
      <c r="A13" s="6">
        <v>12</v>
      </c>
      <c r="B13" s="6" t="s">
        <v>14899</v>
      </c>
      <c r="C13" s="6">
        <v>0</v>
      </c>
      <c r="D13" s="6" t="s">
        <v>23</v>
      </c>
    </row>
    <row r="14" spans="1:4" x14ac:dyDescent="0.25">
      <c r="A14" s="6">
        <v>13</v>
      </c>
      <c r="B14" s="6" t="s">
        <v>14900</v>
      </c>
      <c r="C14" s="6">
        <v>1</v>
      </c>
      <c r="D14" s="6" t="s">
        <v>231</v>
      </c>
    </row>
    <row r="15" spans="1:4" x14ac:dyDescent="0.25">
      <c r="A15" s="6">
        <v>14</v>
      </c>
      <c r="B15" s="6" t="s">
        <v>14903</v>
      </c>
      <c r="C15" s="6">
        <v>3</v>
      </c>
      <c r="D15" s="6" t="s">
        <v>10</v>
      </c>
    </row>
    <row r="16" spans="1:4" x14ac:dyDescent="0.25">
      <c r="A16" s="6">
        <v>15</v>
      </c>
      <c r="B16" s="6" t="s">
        <v>14904</v>
      </c>
      <c r="C16" s="6">
        <v>4</v>
      </c>
      <c r="D16" s="6" t="s">
        <v>22</v>
      </c>
    </row>
    <row r="17" spans="1:4" x14ac:dyDescent="0.25">
      <c r="A17" s="6">
        <v>16</v>
      </c>
      <c r="B17" s="6" t="s">
        <v>14907</v>
      </c>
      <c r="C17" s="6">
        <v>7</v>
      </c>
      <c r="D17" s="6" t="s">
        <v>510</v>
      </c>
    </row>
    <row r="18" spans="1:4" x14ac:dyDescent="0.25">
      <c r="A18" s="6">
        <v>17</v>
      </c>
      <c r="B18" s="6" t="s">
        <v>14908</v>
      </c>
      <c r="C18" s="6">
        <v>8</v>
      </c>
      <c r="D18" s="6" t="s">
        <v>82</v>
      </c>
    </row>
    <row r="19" spans="1:4" x14ac:dyDescent="0.25">
      <c r="A19" s="6">
        <v>18</v>
      </c>
      <c r="B19" s="6" t="s">
        <v>14906</v>
      </c>
      <c r="C19" s="6">
        <v>6</v>
      </c>
      <c r="D19" s="6" t="s">
        <v>559</v>
      </c>
    </row>
    <row r="20" spans="1:4" x14ac:dyDescent="0.25">
      <c r="A20" s="6">
        <v>19</v>
      </c>
      <c r="B20" s="6" t="s">
        <v>14917</v>
      </c>
      <c r="C20" s="6">
        <v>15</v>
      </c>
      <c r="D20" s="6" t="s">
        <v>232</v>
      </c>
    </row>
    <row r="21" spans="1:4" x14ac:dyDescent="0.25">
      <c r="A21" s="6">
        <v>20</v>
      </c>
      <c r="B21" s="6" t="s">
        <v>14918</v>
      </c>
      <c r="C21" s="6">
        <v>16</v>
      </c>
      <c r="D21" s="6" t="s">
        <v>137</v>
      </c>
    </row>
    <row r="22" spans="1:4" x14ac:dyDescent="0.25">
      <c r="A22" s="6">
        <v>21</v>
      </c>
      <c r="B22" s="6" t="s">
        <v>14912</v>
      </c>
      <c r="C22" s="6">
        <v>11</v>
      </c>
      <c r="D22" s="6" t="s">
        <v>524</v>
      </c>
    </row>
    <row r="23" spans="1:4" x14ac:dyDescent="0.25">
      <c r="A23" s="6">
        <v>22</v>
      </c>
      <c r="B23" s="6" t="s">
        <v>14913</v>
      </c>
      <c r="C23" s="6">
        <v>12</v>
      </c>
      <c r="D23" s="6" t="s">
        <v>11</v>
      </c>
    </row>
    <row r="24" spans="1:4" x14ac:dyDescent="0.25">
      <c r="A24" s="6">
        <v>23</v>
      </c>
      <c r="B24" s="6" t="s">
        <v>14926</v>
      </c>
      <c r="C24" s="6">
        <v>23</v>
      </c>
      <c r="D24" s="6" t="s">
        <v>373</v>
      </c>
    </row>
  </sheetData>
  <autoFilter ref="A1:D24" xr:uid="{00000000-0009-0000-0000-000003000000}">
    <sortState xmlns:xlrd2="http://schemas.microsoft.com/office/spreadsheetml/2017/richdata2" ref="A2:D24">
      <sortCondition ref="A1:A24"/>
    </sortState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C208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93" sqref="C193"/>
    </sheetView>
  </sheetViews>
  <sheetFormatPr defaultRowHeight="15" x14ac:dyDescent="0.25"/>
  <cols>
    <col min="1" max="1" width="16.42578125" bestFit="1" customWidth="1"/>
    <col min="2" max="2" width="20" customWidth="1"/>
    <col min="3" max="3" width="10.28515625" bestFit="1" customWidth="1"/>
  </cols>
  <sheetData>
    <row r="1" spans="1:3" x14ac:dyDescent="0.25">
      <c r="A1" t="s">
        <v>12505</v>
      </c>
      <c r="B1" t="s">
        <v>14928</v>
      </c>
      <c r="C1" t="s">
        <v>14929</v>
      </c>
    </row>
    <row r="2" spans="1:3" x14ac:dyDescent="0.25">
      <c r="A2" s="29" t="s">
        <v>1249</v>
      </c>
      <c r="B2" s="17" t="b">
        <v>0</v>
      </c>
      <c r="C2" s="17" t="b">
        <v>1</v>
      </c>
    </row>
    <row r="3" spans="1:3" x14ac:dyDescent="0.25">
      <c r="A3" s="29" t="s">
        <v>3485</v>
      </c>
      <c r="B3" s="17" t="b">
        <v>0</v>
      </c>
      <c r="C3" s="17" t="b">
        <v>1</v>
      </c>
    </row>
    <row r="4" spans="1:3" x14ac:dyDescent="0.25">
      <c r="A4" s="29" t="s">
        <v>1013</v>
      </c>
      <c r="B4" s="17" t="b">
        <v>0</v>
      </c>
      <c r="C4" s="17" t="b">
        <v>1</v>
      </c>
    </row>
    <row r="5" spans="1:3" x14ac:dyDescent="0.25">
      <c r="A5" s="29" t="s">
        <v>951</v>
      </c>
      <c r="B5" s="17" t="b">
        <v>0</v>
      </c>
      <c r="C5" s="17" t="b">
        <v>1</v>
      </c>
    </row>
    <row r="6" spans="1:3" x14ac:dyDescent="0.25">
      <c r="A6" s="29" t="s">
        <v>306</v>
      </c>
      <c r="B6" s="17" t="b">
        <v>0</v>
      </c>
      <c r="C6" s="17" t="b">
        <v>1</v>
      </c>
    </row>
    <row r="7" spans="1:3" x14ac:dyDescent="0.25">
      <c r="A7" s="29" t="s">
        <v>3105</v>
      </c>
      <c r="B7" s="17" t="b">
        <v>0</v>
      </c>
      <c r="C7" s="17" t="b">
        <v>1</v>
      </c>
    </row>
    <row r="8" spans="1:3" x14ac:dyDescent="0.25">
      <c r="A8" s="29" t="s">
        <v>1074</v>
      </c>
      <c r="B8" s="17" t="b">
        <v>0</v>
      </c>
      <c r="C8" s="17" t="b">
        <v>1</v>
      </c>
    </row>
    <row r="9" spans="1:3" x14ac:dyDescent="0.25">
      <c r="A9" s="29" t="s">
        <v>526</v>
      </c>
      <c r="B9" s="17" t="b">
        <v>0</v>
      </c>
      <c r="C9" s="17" t="b">
        <v>1</v>
      </c>
    </row>
    <row r="10" spans="1:3" x14ac:dyDescent="0.25">
      <c r="A10" s="29" t="s">
        <v>456</v>
      </c>
      <c r="B10" s="17" t="b">
        <v>0</v>
      </c>
      <c r="C10" s="17" t="b">
        <v>1</v>
      </c>
    </row>
    <row r="11" spans="1:3" x14ac:dyDescent="0.25">
      <c r="A11" s="29" t="s">
        <v>7482</v>
      </c>
      <c r="B11" s="17" t="b">
        <v>0</v>
      </c>
      <c r="C11" s="17" t="b">
        <v>1</v>
      </c>
    </row>
    <row r="12" spans="1:3" x14ac:dyDescent="0.25">
      <c r="A12" s="29" t="s">
        <v>4377</v>
      </c>
      <c r="B12" s="17" t="b">
        <v>0</v>
      </c>
      <c r="C12" s="17" t="b">
        <v>1</v>
      </c>
    </row>
    <row r="13" spans="1:3" x14ac:dyDescent="0.25">
      <c r="A13" s="29" t="s">
        <v>253</v>
      </c>
      <c r="B13" s="17" t="b">
        <v>0</v>
      </c>
      <c r="C13" s="17" t="b">
        <v>1</v>
      </c>
    </row>
    <row r="14" spans="1:3" x14ac:dyDescent="0.25">
      <c r="A14" s="29" t="s">
        <v>873</v>
      </c>
      <c r="B14" s="17" t="b">
        <v>0</v>
      </c>
      <c r="C14" s="17" t="b">
        <v>1</v>
      </c>
    </row>
    <row r="15" spans="1:3" x14ac:dyDescent="0.25">
      <c r="A15" s="29" t="s">
        <v>4816</v>
      </c>
      <c r="B15" s="17" t="b">
        <v>0</v>
      </c>
      <c r="C15" s="17" t="b">
        <v>1</v>
      </c>
    </row>
    <row r="16" spans="1:3" x14ac:dyDescent="0.25">
      <c r="A16" s="29" t="s">
        <v>1209</v>
      </c>
      <c r="B16" s="17" t="b">
        <v>0</v>
      </c>
      <c r="C16" s="17" t="b">
        <v>1</v>
      </c>
    </row>
    <row r="17" spans="1:3" x14ac:dyDescent="0.25">
      <c r="A17" s="29" t="s">
        <v>548</v>
      </c>
      <c r="B17" s="17" t="b">
        <v>0</v>
      </c>
      <c r="C17" s="17" t="b">
        <v>1</v>
      </c>
    </row>
    <row r="18" spans="1:3" x14ac:dyDescent="0.25">
      <c r="A18" s="29" t="s">
        <v>162</v>
      </c>
      <c r="B18" s="17" t="b">
        <v>0</v>
      </c>
      <c r="C18" s="17" t="b">
        <v>1</v>
      </c>
    </row>
    <row r="19" spans="1:3" x14ac:dyDescent="0.25">
      <c r="A19" s="29" t="s">
        <v>1861</v>
      </c>
      <c r="B19" s="17" t="b">
        <v>0</v>
      </c>
      <c r="C19" s="17" t="b">
        <v>1</v>
      </c>
    </row>
    <row r="20" spans="1:3" x14ac:dyDescent="0.25">
      <c r="A20" s="29" t="s">
        <v>2831</v>
      </c>
      <c r="B20" s="17" t="b">
        <v>0</v>
      </c>
      <c r="C20" s="17" t="b">
        <v>1</v>
      </c>
    </row>
    <row r="21" spans="1:3" x14ac:dyDescent="0.25">
      <c r="A21" s="29" t="s">
        <v>626</v>
      </c>
      <c r="B21" s="17" t="b">
        <v>0</v>
      </c>
      <c r="C21" s="17" t="b">
        <v>1</v>
      </c>
    </row>
    <row r="22" spans="1:3" x14ac:dyDescent="0.25">
      <c r="A22" s="29" t="s">
        <v>2340</v>
      </c>
      <c r="B22" s="17" t="b">
        <v>0</v>
      </c>
      <c r="C22" s="17" t="b">
        <v>1</v>
      </c>
    </row>
    <row r="23" spans="1:3" x14ac:dyDescent="0.25">
      <c r="A23" s="29" t="s">
        <v>3504</v>
      </c>
      <c r="B23" s="17" t="b">
        <v>0</v>
      </c>
      <c r="C23" s="17" t="b">
        <v>1</v>
      </c>
    </row>
    <row r="24" spans="1:3" x14ac:dyDescent="0.25">
      <c r="A24" s="29" t="s">
        <v>2137</v>
      </c>
      <c r="B24" s="17" t="b">
        <v>0</v>
      </c>
      <c r="C24" s="17" t="b">
        <v>1</v>
      </c>
    </row>
    <row r="25" spans="1:3" x14ac:dyDescent="0.25">
      <c r="A25" s="29" t="s">
        <v>84</v>
      </c>
      <c r="B25" s="17" t="b">
        <v>0</v>
      </c>
      <c r="C25" s="17" t="b">
        <v>1</v>
      </c>
    </row>
    <row r="26" spans="1:3" x14ac:dyDescent="0.25">
      <c r="A26" s="29" t="s">
        <v>7376</v>
      </c>
      <c r="B26" s="17" t="b">
        <v>0</v>
      </c>
      <c r="C26" s="17" t="b">
        <v>1</v>
      </c>
    </row>
    <row r="27" spans="1:3" x14ac:dyDescent="0.25">
      <c r="A27" s="29" t="s">
        <v>90</v>
      </c>
      <c r="B27" s="17" t="b">
        <v>0</v>
      </c>
      <c r="C27" s="17" t="b">
        <v>1</v>
      </c>
    </row>
    <row r="28" spans="1:3" x14ac:dyDescent="0.25">
      <c r="A28" s="29" t="s">
        <v>6919</v>
      </c>
      <c r="B28" s="17" t="b">
        <v>0</v>
      </c>
      <c r="C28" s="17" t="b">
        <v>1</v>
      </c>
    </row>
    <row r="29" spans="1:3" x14ac:dyDescent="0.25">
      <c r="A29" s="29" t="s">
        <v>1178</v>
      </c>
      <c r="B29" s="17" t="b">
        <v>0</v>
      </c>
      <c r="C29" s="17" t="b">
        <v>1</v>
      </c>
    </row>
    <row r="30" spans="1:3" x14ac:dyDescent="0.25">
      <c r="A30" s="29" t="s">
        <v>883</v>
      </c>
      <c r="B30" s="17" t="b">
        <v>0</v>
      </c>
      <c r="C30" s="17" t="b">
        <v>1</v>
      </c>
    </row>
    <row r="31" spans="1:3" x14ac:dyDescent="0.25">
      <c r="A31" s="29" t="s">
        <v>853</v>
      </c>
      <c r="B31" s="17" t="b">
        <v>0</v>
      </c>
      <c r="C31" s="17" t="b">
        <v>1</v>
      </c>
    </row>
    <row r="32" spans="1:3" x14ac:dyDescent="0.25">
      <c r="A32" s="29" t="s">
        <v>72</v>
      </c>
      <c r="B32" s="17" t="b">
        <v>0</v>
      </c>
      <c r="C32" s="17" t="b">
        <v>1</v>
      </c>
    </row>
    <row r="33" spans="1:3" x14ac:dyDescent="0.25">
      <c r="A33" s="29" t="s">
        <v>8917</v>
      </c>
      <c r="B33" s="17" t="b">
        <v>0</v>
      </c>
      <c r="C33" s="17" t="b">
        <v>1</v>
      </c>
    </row>
    <row r="34" spans="1:3" x14ac:dyDescent="0.25">
      <c r="A34" s="29" t="s">
        <v>226</v>
      </c>
      <c r="B34" s="17" t="b">
        <v>0</v>
      </c>
      <c r="C34" s="17" t="b">
        <v>1</v>
      </c>
    </row>
    <row r="35" spans="1:3" x14ac:dyDescent="0.25">
      <c r="A35" s="29" t="s">
        <v>9488</v>
      </c>
      <c r="B35" s="17" t="b">
        <v>0</v>
      </c>
      <c r="C35" s="17" t="b">
        <v>1</v>
      </c>
    </row>
    <row r="36" spans="1:3" x14ac:dyDescent="0.25">
      <c r="A36" s="29" t="s">
        <v>5908</v>
      </c>
      <c r="B36" s="17" t="b">
        <v>0</v>
      </c>
      <c r="C36" s="17" t="b">
        <v>1</v>
      </c>
    </row>
    <row r="37" spans="1:3" x14ac:dyDescent="0.25">
      <c r="A37" s="29" t="s">
        <v>239</v>
      </c>
      <c r="B37" s="17" t="b">
        <v>0</v>
      </c>
      <c r="C37" s="17" t="b">
        <v>1</v>
      </c>
    </row>
    <row r="38" spans="1:3" x14ac:dyDescent="0.25">
      <c r="A38" s="29" t="s">
        <v>3523</v>
      </c>
      <c r="B38" s="17" t="b">
        <v>0</v>
      </c>
      <c r="C38" s="17" t="b">
        <v>1</v>
      </c>
    </row>
    <row r="39" spans="1:3" x14ac:dyDescent="0.25">
      <c r="A39" s="29" t="s">
        <v>274</v>
      </c>
      <c r="B39" s="17" t="b">
        <v>0</v>
      </c>
      <c r="C39" s="17" t="b">
        <v>1</v>
      </c>
    </row>
    <row r="40" spans="1:3" x14ac:dyDescent="0.25">
      <c r="A40" s="29" t="s">
        <v>1323</v>
      </c>
      <c r="B40" s="17" t="b">
        <v>0</v>
      </c>
      <c r="C40" s="17" t="b">
        <v>1</v>
      </c>
    </row>
    <row r="41" spans="1:3" x14ac:dyDescent="0.25">
      <c r="A41" s="29" t="s">
        <v>11279</v>
      </c>
      <c r="B41" s="17" t="b">
        <v>0</v>
      </c>
      <c r="C41" s="17" t="b">
        <v>1</v>
      </c>
    </row>
    <row r="42" spans="1:3" x14ac:dyDescent="0.25">
      <c r="A42" s="29" t="s">
        <v>726</v>
      </c>
      <c r="B42" s="17" t="b">
        <v>0</v>
      </c>
      <c r="C42" s="17" t="b">
        <v>1</v>
      </c>
    </row>
    <row r="43" spans="1:3" x14ac:dyDescent="0.25">
      <c r="A43" s="29" t="s">
        <v>2273</v>
      </c>
      <c r="B43" s="17" t="b">
        <v>0</v>
      </c>
      <c r="C43" s="17" t="b">
        <v>1</v>
      </c>
    </row>
    <row r="44" spans="1:3" x14ac:dyDescent="0.25">
      <c r="A44" s="29" t="s">
        <v>11773</v>
      </c>
      <c r="B44" s="17" t="b">
        <v>0</v>
      </c>
      <c r="C44" s="17" t="b">
        <v>1</v>
      </c>
    </row>
    <row r="45" spans="1:3" x14ac:dyDescent="0.25">
      <c r="A45" s="29" t="s">
        <v>9105</v>
      </c>
      <c r="B45" s="17" t="b">
        <v>0</v>
      </c>
      <c r="C45" s="17" t="b">
        <v>1</v>
      </c>
    </row>
    <row r="46" spans="1:3" x14ac:dyDescent="0.25">
      <c r="A46" s="29" t="s">
        <v>1670</v>
      </c>
      <c r="B46" s="17" t="b">
        <v>0</v>
      </c>
      <c r="C46" s="17" t="b">
        <v>1</v>
      </c>
    </row>
    <row r="47" spans="1:3" x14ac:dyDescent="0.25">
      <c r="A47" s="29" t="s">
        <v>471</v>
      </c>
      <c r="B47" s="17" t="b">
        <v>0</v>
      </c>
      <c r="C47" s="17" t="b">
        <v>1</v>
      </c>
    </row>
    <row r="48" spans="1:3" x14ac:dyDescent="0.25">
      <c r="A48" s="29" t="s">
        <v>2875</v>
      </c>
      <c r="B48" s="17" t="b">
        <v>0</v>
      </c>
      <c r="C48" s="17" t="b">
        <v>1</v>
      </c>
    </row>
    <row r="49" spans="1:3" x14ac:dyDescent="0.25">
      <c r="A49" s="29" t="s">
        <v>5895</v>
      </c>
      <c r="B49" s="17" t="b">
        <v>0</v>
      </c>
      <c r="C49" s="17" t="b">
        <v>1</v>
      </c>
    </row>
    <row r="50" spans="1:3" x14ac:dyDescent="0.25">
      <c r="A50" s="29" t="s">
        <v>4483</v>
      </c>
      <c r="B50" s="17" t="b">
        <v>0</v>
      </c>
      <c r="C50" s="17" t="b">
        <v>1</v>
      </c>
    </row>
    <row r="51" spans="1:3" x14ac:dyDescent="0.25">
      <c r="A51" s="29" t="s">
        <v>168</v>
      </c>
      <c r="B51" s="17" t="b">
        <v>0</v>
      </c>
      <c r="C51" s="17" t="b">
        <v>1</v>
      </c>
    </row>
    <row r="52" spans="1:3" x14ac:dyDescent="0.25">
      <c r="A52" s="29" t="s">
        <v>7844</v>
      </c>
      <c r="B52" s="17" t="b">
        <v>0</v>
      </c>
      <c r="C52" s="17" t="b">
        <v>1</v>
      </c>
    </row>
    <row r="53" spans="1:3" x14ac:dyDescent="0.25">
      <c r="A53" s="29" t="s">
        <v>5842</v>
      </c>
      <c r="B53" s="17" t="b">
        <v>0</v>
      </c>
      <c r="C53" s="17" t="b">
        <v>1</v>
      </c>
    </row>
    <row r="54" spans="1:3" x14ac:dyDescent="0.25">
      <c r="A54" s="29" t="s">
        <v>1464</v>
      </c>
      <c r="B54" s="17" t="b">
        <v>0</v>
      </c>
      <c r="C54" s="17" t="b">
        <v>1</v>
      </c>
    </row>
    <row r="55" spans="1:3" x14ac:dyDescent="0.25">
      <c r="A55" s="29" t="s">
        <v>682</v>
      </c>
      <c r="B55" s="17" t="b">
        <v>0</v>
      </c>
      <c r="C55" s="17" t="b">
        <v>1</v>
      </c>
    </row>
    <row r="56" spans="1:3" x14ac:dyDescent="0.25">
      <c r="A56" s="29" t="s">
        <v>6755</v>
      </c>
      <c r="B56" s="17" t="b">
        <v>0</v>
      </c>
      <c r="C56" s="17" t="b">
        <v>1</v>
      </c>
    </row>
    <row r="57" spans="1:3" x14ac:dyDescent="0.25">
      <c r="A57" s="29" t="s">
        <v>2178</v>
      </c>
      <c r="B57" s="17" t="b">
        <v>0</v>
      </c>
      <c r="C57" s="17" t="b">
        <v>1</v>
      </c>
    </row>
    <row r="58" spans="1:3" x14ac:dyDescent="0.25">
      <c r="A58" s="29" t="s">
        <v>1288</v>
      </c>
      <c r="B58" s="17" t="b">
        <v>0</v>
      </c>
      <c r="C58" s="17" t="b">
        <v>1</v>
      </c>
    </row>
    <row r="59" spans="1:3" x14ac:dyDescent="0.25">
      <c r="A59" s="29" t="s">
        <v>3656</v>
      </c>
      <c r="B59" s="17" t="b">
        <v>0</v>
      </c>
      <c r="C59" s="17" t="b">
        <v>1</v>
      </c>
    </row>
    <row r="60" spans="1:3" x14ac:dyDescent="0.25">
      <c r="A60" s="29" t="s">
        <v>2646</v>
      </c>
      <c r="B60" s="17" t="b">
        <v>0</v>
      </c>
      <c r="C60" s="17" t="b">
        <v>1</v>
      </c>
    </row>
    <row r="61" spans="1:3" x14ac:dyDescent="0.25">
      <c r="A61" s="29" t="s">
        <v>45</v>
      </c>
      <c r="B61" s="17" t="b">
        <v>0</v>
      </c>
      <c r="C61" s="17" t="b">
        <v>1</v>
      </c>
    </row>
    <row r="62" spans="1:3" x14ac:dyDescent="0.25">
      <c r="A62" s="29" t="s">
        <v>296</v>
      </c>
      <c r="B62" s="17" t="b">
        <v>0</v>
      </c>
      <c r="C62" s="17" t="b">
        <v>1</v>
      </c>
    </row>
    <row r="63" spans="1:3" x14ac:dyDescent="0.25">
      <c r="A63" s="29" t="s">
        <v>9074</v>
      </c>
      <c r="B63" s="17" t="b">
        <v>0</v>
      </c>
      <c r="C63" s="17" t="b">
        <v>1</v>
      </c>
    </row>
    <row r="64" spans="1:3" x14ac:dyDescent="0.25">
      <c r="A64" s="29" t="s">
        <v>132</v>
      </c>
      <c r="B64" s="17" t="b">
        <v>0</v>
      </c>
      <c r="C64" s="17" t="b">
        <v>1</v>
      </c>
    </row>
    <row r="65" spans="1:3" x14ac:dyDescent="0.25">
      <c r="A65" s="29" t="s">
        <v>4566</v>
      </c>
      <c r="B65" s="17" t="b">
        <v>0</v>
      </c>
      <c r="C65" s="17" t="b">
        <v>1</v>
      </c>
    </row>
    <row r="66" spans="1:3" x14ac:dyDescent="0.25">
      <c r="A66" s="29" t="s">
        <v>1275</v>
      </c>
      <c r="B66" s="17" t="b">
        <v>0</v>
      </c>
      <c r="C66" s="17" t="b">
        <v>1</v>
      </c>
    </row>
    <row r="67" spans="1:3" x14ac:dyDescent="0.25">
      <c r="A67" s="29" t="s">
        <v>1676</v>
      </c>
      <c r="B67" s="17" t="b">
        <v>0</v>
      </c>
      <c r="C67" s="17" t="b">
        <v>1</v>
      </c>
    </row>
    <row r="68" spans="1:3" x14ac:dyDescent="0.25">
      <c r="A68" s="29" t="s">
        <v>1120</v>
      </c>
      <c r="B68" s="17" t="b">
        <v>0</v>
      </c>
      <c r="C68" s="17" t="b">
        <v>1</v>
      </c>
    </row>
    <row r="69" spans="1:3" x14ac:dyDescent="0.25">
      <c r="A69" s="29" t="s">
        <v>215</v>
      </c>
      <c r="B69" s="17" t="b">
        <v>0</v>
      </c>
      <c r="C69" s="17" t="b">
        <v>1</v>
      </c>
    </row>
    <row r="70" spans="1:3" x14ac:dyDescent="0.25">
      <c r="A70" s="29" t="s">
        <v>7304</v>
      </c>
      <c r="B70" s="17" t="b">
        <v>0</v>
      </c>
      <c r="C70" s="17" t="b">
        <v>1</v>
      </c>
    </row>
    <row r="71" spans="1:3" x14ac:dyDescent="0.25">
      <c r="A71" s="29" t="s">
        <v>3863</v>
      </c>
      <c r="B71" s="17" t="b">
        <v>0</v>
      </c>
      <c r="C71" s="17" t="b">
        <v>1</v>
      </c>
    </row>
    <row r="72" spans="1:3" x14ac:dyDescent="0.25">
      <c r="A72" s="29" t="s">
        <v>3079</v>
      </c>
      <c r="B72" s="17" t="b">
        <v>0</v>
      </c>
      <c r="C72" s="17" t="b">
        <v>1</v>
      </c>
    </row>
    <row r="73" spans="1:3" x14ac:dyDescent="0.25">
      <c r="A73" s="29" t="s">
        <v>7519</v>
      </c>
      <c r="B73" s="17" t="b">
        <v>0</v>
      </c>
      <c r="C73" s="17" t="b">
        <v>1</v>
      </c>
    </row>
    <row r="74" spans="1:3" x14ac:dyDescent="0.25">
      <c r="A74" s="29" t="s">
        <v>2101</v>
      </c>
      <c r="B74" s="17" t="b">
        <v>0</v>
      </c>
      <c r="C74" s="17" t="b">
        <v>1</v>
      </c>
    </row>
    <row r="75" spans="1:3" x14ac:dyDescent="0.25">
      <c r="A75" s="29" t="s">
        <v>1611</v>
      </c>
      <c r="B75" s="17" t="b">
        <v>0</v>
      </c>
      <c r="C75" s="17" t="b">
        <v>1</v>
      </c>
    </row>
    <row r="76" spans="1:3" x14ac:dyDescent="0.25">
      <c r="A76" s="29" t="s">
        <v>576</v>
      </c>
      <c r="B76" s="17" t="b">
        <v>0</v>
      </c>
      <c r="C76" s="17" t="b">
        <v>1</v>
      </c>
    </row>
    <row r="77" spans="1:3" x14ac:dyDescent="0.25">
      <c r="A77" s="29" t="s">
        <v>1032</v>
      </c>
      <c r="B77" s="17" t="b">
        <v>0</v>
      </c>
      <c r="C77" s="17" t="b">
        <v>1</v>
      </c>
    </row>
    <row r="78" spans="1:3" x14ac:dyDescent="0.25">
      <c r="A78" s="29" t="s">
        <v>4424</v>
      </c>
      <c r="B78" s="17" t="b">
        <v>0</v>
      </c>
      <c r="C78" s="17" t="b">
        <v>1</v>
      </c>
    </row>
    <row r="79" spans="1:3" x14ac:dyDescent="0.25">
      <c r="A79" s="29" t="s">
        <v>5416</v>
      </c>
      <c r="B79" s="17" t="b">
        <v>0</v>
      </c>
      <c r="C79" s="17" t="b">
        <v>1</v>
      </c>
    </row>
    <row r="80" spans="1:3" x14ac:dyDescent="0.25">
      <c r="A80" s="29" t="s">
        <v>6844</v>
      </c>
      <c r="B80" s="17" t="b">
        <v>0</v>
      </c>
      <c r="C80" s="17" t="b">
        <v>1</v>
      </c>
    </row>
    <row r="81" spans="1:3" x14ac:dyDescent="0.25">
      <c r="A81" s="29" t="s">
        <v>2526</v>
      </c>
      <c r="B81" s="17" t="b">
        <v>0</v>
      </c>
      <c r="C81" s="17" t="b">
        <v>1</v>
      </c>
    </row>
    <row r="82" spans="1:3" x14ac:dyDescent="0.25">
      <c r="A82" s="29" t="s">
        <v>3204</v>
      </c>
      <c r="B82" s="17" t="b">
        <v>0</v>
      </c>
      <c r="C82" s="17" t="b">
        <v>1</v>
      </c>
    </row>
    <row r="83" spans="1:3" x14ac:dyDescent="0.25">
      <c r="A83" s="29" t="s">
        <v>145</v>
      </c>
      <c r="B83" s="17" t="b">
        <v>0</v>
      </c>
      <c r="C83" s="17" t="b">
        <v>1</v>
      </c>
    </row>
    <row r="84" spans="1:3" x14ac:dyDescent="0.25">
      <c r="A84" s="29" t="s">
        <v>35</v>
      </c>
      <c r="B84" s="17" t="b">
        <v>0</v>
      </c>
      <c r="C84" s="17" t="b">
        <v>1</v>
      </c>
    </row>
    <row r="85" spans="1:3" x14ac:dyDescent="0.25">
      <c r="A85" s="29" t="s">
        <v>781</v>
      </c>
      <c r="B85" s="17" t="b">
        <v>0</v>
      </c>
      <c r="C85" s="17" t="b">
        <v>1</v>
      </c>
    </row>
    <row r="86" spans="1:3" x14ac:dyDescent="0.25">
      <c r="A86" s="29" t="s">
        <v>10445</v>
      </c>
      <c r="B86" s="17" t="b">
        <v>0</v>
      </c>
      <c r="C86" s="17" t="b">
        <v>1</v>
      </c>
    </row>
    <row r="87" spans="1:3" x14ac:dyDescent="0.25">
      <c r="A87" s="29" t="s">
        <v>4083</v>
      </c>
      <c r="B87" s="17" t="b">
        <v>0</v>
      </c>
      <c r="C87" s="17" t="b">
        <v>1</v>
      </c>
    </row>
    <row r="88" spans="1:3" x14ac:dyDescent="0.25">
      <c r="A88" s="29" t="s">
        <v>753</v>
      </c>
      <c r="B88" s="17" t="b">
        <v>0</v>
      </c>
      <c r="C88" s="17" t="b">
        <v>1</v>
      </c>
    </row>
    <row r="89" spans="1:3" x14ac:dyDescent="0.25">
      <c r="A89" s="29" t="s">
        <v>9839</v>
      </c>
      <c r="B89" s="17" t="b">
        <v>0</v>
      </c>
      <c r="C89" s="17" t="b">
        <v>1</v>
      </c>
    </row>
    <row r="90" spans="1:3" x14ac:dyDescent="0.25">
      <c r="A90" s="29" t="s">
        <v>2267</v>
      </c>
      <c r="B90" s="17" t="b">
        <v>0</v>
      </c>
      <c r="C90" s="17" t="b">
        <v>1</v>
      </c>
    </row>
    <row r="91" spans="1:3" x14ac:dyDescent="0.25">
      <c r="A91" s="29" t="s">
        <v>480</v>
      </c>
      <c r="B91" s="17" t="b">
        <v>0</v>
      </c>
      <c r="C91" s="17" t="b">
        <v>1</v>
      </c>
    </row>
    <row r="92" spans="1:3" x14ac:dyDescent="0.25">
      <c r="A92" s="29" t="s">
        <v>1451</v>
      </c>
      <c r="B92" s="17" t="b">
        <v>0</v>
      </c>
      <c r="C92" s="17" t="b">
        <v>1</v>
      </c>
    </row>
    <row r="93" spans="1:3" x14ac:dyDescent="0.25">
      <c r="A93" s="29" t="s">
        <v>312</v>
      </c>
      <c r="B93" s="17" t="b">
        <v>0</v>
      </c>
      <c r="C93" s="17" t="b">
        <v>1</v>
      </c>
    </row>
    <row r="94" spans="1:3" x14ac:dyDescent="0.25">
      <c r="A94" s="29" t="s">
        <v>957</v>
      </c>
      <c r="B94" s="17" t="b">
        <v>0</v>
      </c>
      <c r="C94" s="17" t="b">
        <v>1</v>
      </c>
    </row>
    <row r="95" spans="1:3" x14ac:dyDescent="0.25">
      <c r="A95" s="29" t="s">
        <v>1382</v>
      </c>
      <c r="B95" s="17" t="b">
        <v>0</v>
      </c>
      <c r="C95" s="17" t="b">
        <v>1</v>
      </c>
    </row>
    <row r="96" spans="1:3" x14ac:dyDescent="0.25">
      <c r="A96" s="29" t="s">
        <v>3250</v>
      </c>
      <c r="B96" s="17" t="b">
        <v>0</v>
      </c>
      <c r="C96" s="17" t="b">
        <v>1</v>
      </c>
    </row>
    <row r="97" spans="1:3" x14ac:dyDescent="0.25">
      <c r="A97" s="29" t="s">
        <v>946</v>
      </c>
      <c r="B97" s="17" t="b">
        <v>0</v>
      </c>
      <c r="C97" s="17" t="b">
        <v>1</v>
      </c>
    </row>
    <row r="98" spans="1:3" x14ac:dyDescent="0.25">
      <c r="A98" s="29" t="s">
        <v>461</v>
      </c>
      <c r="B98" s="17" t="b">
        <v>0</v>
      </c>
      <c r="C98" s="17" t="b">
        <v>1</v>
      </c>
    </row>
    <row r="99" spans="1:3" x14ac:dyDescent="0.25">
      <c r="A99" s="29" t="s">
        <v>692</v>
      </c>
      <c r="B99" s="17" t="b">
        <v>0</v>
      </c>
      <c r="C99" s="17" t="b">
        <v>1</v>
      </c>
    </row>
    <row r="100" spans="1:3" x14ac:dyDescent="0.25">
      <c r="A100" s="29" t="s">
        <v>2301</v>
      </c>
      <c r="B100" s="17" t="b">
        <v>0</v>
      </c>
      <c r="C100" s="17" t="b">
        <v>1</v>
      </c>
    </row>
    <row r="101" spans="1:3" x14ac:dyDescent="0.25">
      <c r="A101" s="29" t="s">
        <v>4135</v>
      </c>
      <c r="B101" s="17" t="b">
        <v>0</v>
      </c>
      <c r="C101" s="17" t="b">
        <v>1</v>
      </c>
    </row>
    <row r="102" spans="1:3" x14ac:dyDescent="0.25">
      <c r="A102" s="29" t="s">
        <v>2287</v>
      </c>
      <c r="B102" s="17" t="b">
        <v>0</v>
      </c>
      <c r="C102" s="17" t="b">
        <v>1</v>
      </c>
    </row>
    <row r="103" spans="1:3" x14ac:dyDescent="0.25">
      <c r="A103" s="29" t="s">
        <v>2531</v>
      </c>
      <c r="B103" s="17" t="b">
        <v>0</v>
      </c>
      <c r="C103" s="17" t="b">
        <v>1</v>
      </c>
    </row>
    <row r="104" spans="1:3" x14ac:dyDescent="0.25">
      <c r="A104" s="29" t="s">
        <v>385</v>
      </c>
      <c r="B104" s="17" t="b">
        <v>0</v>
      </c>
      <c r="C104" s="17" t="b">
        <v>1</v>
      </c>
    </row>
    <row r="105" spans="1:3" x14ac:dyDescent="0.25">
      <c r="A105" s="29" t="s">
        <v>3730</v>
      </c>
      <c r="B105" s="17" t="b">
        <v>0</v>
      </c>
      <c r="C105" s="17" t="b">
        <v>1</v>
      </c>
    </row>
    <row r="106" spans="1:3" x14ac:dyDescent="0.25">
      <c r="A106" s="29" t="s">
        <v>3230</v>
      </c>
      <c r="B106" s="17" t="b">
        <v>0</v>
      </c>
      <c r="C106" s="17" t="b">
        <v>1</v>
      </c>
    </row>
    <row r="107" spans="1:3" x14ac:dyDescent="0.25">
      <c r="A107" s="29" t="s">
        <v>2768</v>
      </c>
      <c r="B107" s="17" t="b">
        <v>0</v>
      </c>
      <c r="C107" s="17" t="b">
        <v>1</v>
      </c>
    </row>
    <row r="108" spans="1:3" x14ac:dyDescent="0.25">
      <c r="A108" s="29" t="s">
        <v>3176</v>
      </c>
      <c r="B108" s="17" t="b">
        <v>0</v>
      </c>
      <c r="C108" s="17" t="b">
        <v>1</v>
      </c>
    </row>
    <row r="109" spans="1:3" x14ac:dyDescent="0.25">
      <c r="A109" s="29" t="s">
        <v>1853</v>
      </c>
      <c r="B109" s="17" t="b">
        <v>0</v>
      </c>
      <c r="C109" s="17" t="b">
        <v>1</v>
      </c>
    </row>
    <row r="110" spans="1:3" x14ac:dyDescent="0.25">
      <c r="A110" s="29" t="s">
        <v>104</v>
      </c>
      <c r="B110" s="17" t="b">
        <v>0</v>
      </c>
      <c r="C110" s="17" t="b">
        <v>1</v>
      </c>
    </row>
    <row r="111" spans="1:3" x14ac:dyDescent="0.25">
      <c r="A111" s="29" t="s">
        <v>2500</v>
      </c>
      <c r="B111" s="17" t="b">
        <v>0</v>
      </c>
      <c r="C111" s="17" t="b">
        <v>1</v>
      </c>
    </row>
    <row r="112" spans="1:3" x14ac:dyDescent="0.25">
      <c r="A112" s="29" t="s">
        <v>561</v>
      </c>
      <c r="B112" s="17" t="b">
        <v>0</v>
      </c>
      <c r="C112" s="17" t="b">
        <v>1</v>
      </c>
    </row>
    <row r="113" spans="1:3" x14ac:dyDescent="0.25">
      <c r="A113" s="29" t="s">
        <v>7055</v>
      </c>
      <c r="B113" s="17" t="b">
        <v>0</v>
      </c>
      <c r="C113" s="17" t="b">
        <v>1</v>
      </c>
    </row>
    <row r="114" spans="1:3" x14ac:dyDescent="0.25">
      <c r="A114" s="29" t="s">
        <v>6831</v>
      </c>
      <c r="B114" s="17" t="b">
        <v>0</v>
      </c>
      <c r="C114" s="17" t="b">
        <v>1</v>
      </c>
    </row>
    <row r="115" spans="1:3" x14ac:dyDescent="0.25">
      <c r="A115" s="29" t="s">
        <v>185</v>
      </c>
      <c r="B115" s="17" t="b">
        <v>0</v>
      </c>
      <c r="C115" s="17" t="b">
        <v>1</v>
      </c>
    </row>
    <row r="116" spans="1:3" x14ac:dyDescent="0.25">
      <c r="A116" s="29" t="s">
        <v>6982</v>
      </c>
      <c r="B116" s="17" t="b">
        <v>0</v>
      </c>
      <c r="C116" s="17" t="b">
        <v>1</v>
      </c>
    </row>
    <row r="117" spans="1:3" x14ac:dyDescent="0.25">
      <c r="A117" s="29" t="s">
        <v>4114</v>
      </c>
      <c r="B117" s="17" t="b">
        <v>0</v>
      </c>
      <c r="C117" s="17" t="b">
        <v>1</v>
      </c>
    </row>
    <row r="118" spans="1:3" x14ac:dyDescent="0.25">
      <c r="A118" s="29" t="s">
        <v>97</v>
      </c>
      <c r="B118" s="17" t="b">
        <v>0</v>
      </c>
      <c r="C118" s="17" t="b">
        <v>1</v>
      </c>
    </row>
    <row r="119" spans="1:3" x14ac:dyDescent="0.25">
      <c r="A119" s="29" t="s">
        <v>7038</v>
      </c>
      <c r="B119" s="17" t="b">
        <v>0</v>
      </c>
      <c r="C119" s="17" t="b">
        <v>1</v>
      </c>
    </row>
    <row r="120" spans="1:3" x14ac:dyDescent="0.25">
      <c r="A120" s="29" t="s">
        <v>6988</v>
      </c>
      <c r="B120" s="17" t="b">
        <v>0</v>
      </c>
      <c r="C120" s="17" t="b">
        <v>1</v>
      </c>
    </row>
    <row r="121" spans="1:3" x14ac:dyDescent="0.25">
      <c r="A121" s="29" t="s">
        <v>590</v>
      </c>
      <c r="B121" s="17" t="b">
        <v>0</v>
      </c>
      <c r="C121" s="17" t="b">
        <v>1</v>
      </c>
    </row>
    <row r="122" spans="1:3" x14ac:dyDescent="0.25">
      <c r="A122" s="29" t="s">
        <v>928</v>
      </c>
      <c r="B122" s="17" t="b">
        <v>0</v>
      </c>
      <c r="C122" s="17" t="b">
        <v>1</v>
      </c>
    </row>
    <row r="123" spans="1:3" x14ac:dyDescent="0.25">
      <c r="A123" s="29" t="s">
        <v>1519</v>
      </c>
      <c r="B123" s="17" t="b">
        <v>0</v>
      </c>
      <c r="C123" s="17" t="b">
        <v>1</v>
      </c>
    </row>
    <row r="124" spans="1:3" x14ac:dyDescent="0.25">
      <c r="A124" s="29" t="s">
        <v>1281</v>
      </c>
      <c r="B124" s="17" t="b">
        <v>0</v>
      </c>
      <c r="C124" s="17" t="b">
        <v>1</v>
      </c>
    </row>
    <row r="125" spans="1:3" x14ac:dyDescent="0.25">
      <c r="A125" s="29" t="s">
        <v>5543</v>
      </c>
      <c r="B125" s="17" t="b">
        <v>0</v>
      </c>
      <c r="C125" s="17" t="b">
        <v>1</v>
      </c>
    </row>
    <row r="126" spans="1:3" x14ac:dyDescent="0.25">
      <c r="A126" s="29" t="s">
        <v>1336</v>
      </c>
      <c r="B126" s="17" t="b">
        <v>0</v>
      </c>
      <c r="C126" s="17" t="b">
        <v>1</v>
      </c>
    </row>
    <row r="127" spans="1:3" x14ac:dyDescent="0.25">
      <c r="A127" s="29" t="s">
        <v>889</v>
      </c>
      <c r="B127" s="17" t="b">
        <v>0</v>
      </c>
      <c r="C127" s="17" t="b">
        <v>1</v>
      </c>
    </row>
    <row r="128" spans="1:3" x14ac:dyDescent="0.25">
      <c r="A128" s="29" t="s">
        <v>3198</v>
      </c>
      <c r="B128" s="17" t="b">
        <v>0</v>
      </c>
      <c r="C128" s="17" t="b">
        <v>1</v>
      </c>
    </row>
    <row r="129" spans="1:3" x14ac:dyDescent="0.25">
      <c r="A129" s="29" t="s">
        <v>1727</v>
      </c>
      <c r="B129" s="17" t="b">
        <v>0</v>
      </c>
      <c r="C129" s="17" t="b">
        <v>1</v>
      </c>
    </row>
    <row r="130" spans="1:3" x14ac:dyDescent="0.25">
      <c r="A130" s="29" t="s">
        <v>2106</v>
      </c>
      <c r="B130" s="17" t="b">
        <v>0</v>
      </c>
      <c r="C130" s="17" t="b">
        <v>1</v>
      </c>
    </row>
    <row r="131" spans="1:3" x14ac:dyDescent="0.25">
      <c r="A131" s="29" t="s">
        <v>3045</v>
      </c>
      <c r="B131" s="17" t="b">
        <v>0</v>
      </c>
      <c r="C131" s="17" t="b">
        <v>1</v>
      </c>
    </row>
    <row r="132" spans="1:3" x14ac:dyDescent="0.25">
      <c r="A132" s="29" t="s">
        <v>290</v>
      </c>
      <c r="B132" s="17" t="b">
        <v>0</v>
      </c>
      <c r="C132" s="17" t="b">
        <v>1</v>
      </c>
    </row>
    <row r="133" spans="1:3" x14ac:dyDescent="0.25">
      <c r="A133" s="29" t="s">
        <v>2891</v>
      </c>
      <c r="B133" s="17" t="b">
        <v>0</v>
      </c>
      <c r="C133" s="17" t="b">
        <v>1</v>
      </c>
    </row>
    <row r="134" spans="1:3" x14ac:dyDescent="0.25">
      <c r="A134" s="29" t="s">
        <v>10708</v>
      </c>
      <c r="B134" s="17" t="b">
        <v>0</v>
      </c>
      <c r="C134" s="17" t="b">
        <v>1</v>
      </c>
    </row>
    <row r="135" spans="1:3" x14ac:dyDescent="0.25">
      <c r="A135" s="29" t="s">
        <v>122</v>
      </c>
      <c r="B135" s="17" t="b">
        <v>0</v>
      </c>
      <c r="C135" s="17" t="b">
        <v>1</v>
      </c>
    </row>
    <row r="136" spans="1:3" x14ac:dyDescent="0.25">
      <c r="A136" s="29" t="s">
        <v>1645</v>
      </c>
      <c r="B136" s="17" t="b">
        <v>0</v>
      </c>
      <c r="C136" s="17" t="b">
        <v>1</v>
      </c>
    </row>
    <row r="137" spans="1:3" x14ac:dyDescent="0.25">
      <c r="A137" s="29" t="s">
        <v>234</v>
      </c>
      <c r="B137" s="17" t="b">
        <v>0</v>
      </c>
      <c r="C137" s="17" t="b">
        <v>1</v>
      </c>
    </row>
    <row r="138" spans="1:3" x14ac:dyDescent="0.25">
      <c r="A138" s="29" t="s">
        <v>7802</v>
      </c>
      <c r="B138" s="17" t="b">
        <v>0</v>
      </c>
      <c r="C138" s="17" t="b">
        <v>1</v>
      </c>
    </row>
    <row r="139" spans="1:3" x14ac:dyDescent="0.25">
      <c r="A139" s="29" t="s">
        <v>5940</v>
      </c>
      <c r="B139" s="17" t="b">
        <v>0</v>
      </c>
      <c r="C139" s="17" t="b">
        <v>1</v>
      </c>
    </row>
    <row r="140" spans="1:3" x14ac:dyDescent="0.25">
      <c r="A140" s="29" t="s">
        <v>4455</v>
      </c>
      <c r="B140" s="17" t="b">
        <v>0</v>
      </c>
      <c r="C140" s="17" t="b">
        <v>1</v>
      </c>
    </row>
    <row r="141" spans="1:3" x14ac:dyDescent="0.25">
      <c r="A141" s="29" t="s">
        <v>8552</v>
      </c>
      <c r="B141" s="17" t="b">
        <v>0</v>
      </c>
      <c r="C141" s="17" t="b">
        <v>1</v>
      </c>
    </row>
    <row r="142" spans="1:3" x14ac:dyDescent="0.25">
      <c r="A142" s="29" t="s">
        <v>4338</v>
      </c>
      <c r="B142" s="17" t="b">
        <v>0</v>
      </c>
      <c r="C142" s="17" t="b">
        <v>1</v>
      </c>
    </row>
    <row r="143" spans="1:3" x14ac:dyDescent="0.25">
      <c r="A143" s="29" t="s">
        <v>26</v>
      </c>
      <c r="B143" s="17" t="b">
        <v>0</v>
      </c>
      <c r="C143" s="17" t="b">
        <v>1</v>
      </c>
    </row>
    <row r="144" spans="1:3" x14ac:dyDescent="0.25">
      <c r="A144" s="29" t="s">
        <v>1405</v>
      </c>
      <c r="B144" s="17" t="b">
        <v>0</v>
      </c>
      <c r="C144" s="17" t="b">
        <v>1</v>
      </c>
    </row>
    <row r="145" spans="1:3" x14ac:dyDescent="0.25">
      <c r="A145" s="29" t="s">
        <v>2583</v>
      </c>
      <c r="B145" s="17" t="b">
        <v>0</v>
      </c>
      <c r="C145" s="17" t="b">
        <v>1</v>
      </c>
    </row>
    <row r="146" spans="1:3" x14ac:dyDescent="0.25">
      <c r="A146" s="29" t="s">
        <v>645</v>
      </c>
      <c r="B146" s="17" t="b">
        <v>0</v>
      </c>
      <c r="C146" s="17" t="b">
        <v>1</v>
      </c>
    </row>
    <row r="147" spans="1:3" x14ac:dyDescent="0.25">
      <c r="A147" s="29" t="s">
        <v>982</v>
      </c>
      <c r="B147" s="17" t="b">
        <v>0</v>
      </c>
      <c r="C147" s="17" t="b">
        <v>1</v>
      </c>
    </row>
    <row r="148" spans="1:3" x14ac:dyDescent="0.25">
      <c r="A148" s="29" t="s">
        <v>798</v>
      </c>
      <c r="B148" s="17" t="b">
        <v>0</v>
      </c>
      <c r="C148" s="17" t="b">
        <v>1</v>
      </c>
    </row>
    <row r="149" spans="1:3" x14ac:dyDescent="0.25">
      <c r="A149" s="29" t="s">
        <v>5773</v>
      </c>
      <c r="B149" s="17" t="b">
        <v>0</v>
      </c>
      <c r="C149" s="17" t="b">
        <v>1</v>
      </c>
    </row>
    <row r="150" spans="1:3" x14ac:dyDescent="0.25">
      <c r="A150" s="29" t="s">
        <v>13</v>
      </c>
      <c r="B150" s="17" t="b">
        <v>0</v>
      </c>
      <c r="C150" s="17" t="b">
        <v>1</v>
      </c>
    </row>
    <row r="151" spans="1:3" x14ac:dyDescent="0.25">
      <c r="A151" s="29" t="s">
        <v>632</v>
      </c>
      <c r="B151" s="17" t="b">
        <v>0</v>
      </c>
      <c r="C151" s="17" t="b">
        <v>1</v>
      </c>
    </row>
    <row r="152" spans="1:3" x14ac:dyDescent="0.25">
      <c r="A152" s="29" t="s">
        <v>776</v>
      </c>
      <c r="B152" s="17" t="b">
        <v>0</v>
      </c>
      <c r="C152" s="17" t="b">
        <v>1</v>
      </c>
    </row>
    <row r="153" spans="1:3" x14ac:dyDescent="0.25">
      <c r="A153" s="29" t="s">
        <v>1690</v>
      </c>
      <c r="B153" s="17" t="b">
        <v>0</v>
      </c>
      <c r="C153" s="17" t="b">
        <v>1</v>
      </c>
    </row>
    <row r="154" spans="1:3" x14ac:dyDescent="0.25">
      <c r="A154" s="29" t="s">
        <v>904</v>
      </c>
      <c r="B154" s="17" t="b">
        <v>0</v>
      </c>
      <c r="C154" s="17" t="b">
        <v>1</v>
      </c>
    </row>
    <row r="155" spans="1:3" x14ac:dyDescent="0.25">
      <c r="A155" s="29" t="s">
        <v>318</v>
      </c>
      <c r="B155" s="17" t="b">
        <v>0</v>
      </c>
      <c r="C155" s="17" t="b">
        <v>1</v>
      </c>
    </row>
    <row r="156" spans="1:3" x14ac:dyDescent="0.25">
      <c r="A156" s="29" t="s">
        <v>537</v>
      </c>
      <c r="B156" s="17" t="b">
        <v>0</v>
      </c>
      <c r="C156" s="17" t="b">
        <v>1</v>
      </c>
    </row>
    <row r="157" spans="1:3" x14ac:dyDescent="0.25">
      <c r="A157" s="29" t="s">
        <v>2897</v>
      </c>
      <c r="B157" s="17" t="b">
        <v>0</v>
      </c>
      <c r="C157" s="17" t="b">
        <v>1</v>
      </c>
    </row>
    <row r="158" spans="1:3" x14ac:dyDescent="0.25">
      <c r="A158" s="29" t="s">
        <v>110</v>
      </c>
      <c r="B158" s="17" t="b">
        <v>0</v>
      </c>
      <c r="C158" s="17" t="b">
        <v>1</v>
      </c>
    </row>
    <row r="159" spans="1:3" x14ac:dyDescent="0.25">
      <c r="A159" s="29" t="s">
        <v>395</v>
      </c>
      <c r="B159" s="17" t="b">
        <v>0</v>
      </c>
      <c r="C159" s="17" t="b">
        <v>1</v>
      </c>
    </row>
    <row r="160" spans="1:3" x14ac:dyDescent="0.25">
      <c r="A160" s="29" t="s">
        <v>605</v>
      </c>
      <c r="B160" s="17" t="b">
        <v>0</v>
      </c>
      <c r="C160" s="17" t="b">
        <v>1</v>
      </c>
    </row>
    <row r="161" spans="1:3" x14ac:dyDescent="0.25">
      <c r="A161" s="29" t="s">
        <v>1978</v>
      </c>
      <c r="B161" s="17" t="b">
        <v>0</v>
      </c>
      <c r="C161" s="17" t="b">
        <v>1</v>
      </c>
    </row>
    <row r="162" spans="1:3" x14ac:dyDescent="0.25">
      <c r="A162" s="29" t="s">
        <v>6145</v>
      </c>
      <c r="B162" s="17" t="b">
        <v>0</v>
      </c>
      <c r="C162" s="17" t="b">
        <v>1</v>
      </c>
    </row>
    <row r="163" spans="1:3" x14ac:dyDescent="0.25">
      <c r="A163" s="29" t="s">
        <v>3459</v>
      </c>
      <c r="B163" s="17" t="b">
        <v>0</v>
      </c>
      <c r="C163" s="17" t="b">
        <v>1</v>
      </c>
    </row>
    <row r="164" spans="1:3" x14ac:dyDescent="0.25">
      <c r="A164" s="29" t="s">
        <v>115</v>
      </c>
      <c r="B164" s="17" t="b">
        <v>0</v>
      </c>
      <c r="C164" s="17" t="b">
        <v>1</v>
      </c>
    </row>
    <row r="165" spans="1:3" x14ac:dyDescent="0.25">
      <c r="A165" s="29" t="s">
        <v>566</v>
      </c>
      <c r="B165" s="17" t="b">
        <v>0</v>
      </c>
      <c r="C165" s="17" t="b">
        <v>1</v>
      </c>
    </row>
    <row r="166" spans="1:3" x14ac:dyDescent="0.25">
      <c r="A166" s="29" t="s">
        <v>3151</v>
      </c>
      <c r="B166" s="17" t="b">
        <v>0</v>
      </c>
      <c r="C166" s="17" t="b">
        <v>1</v>
      </c>
    </row>
    <row r="167" spans="1:3" x14ac:dyDescent="0.25">
      <c r="A167" s="29" t="s">
        <v>810</v>
      </c>
      <c r="B167" s="17" t="b">
        <v>0</v>
      </c>
      <c r="C167" s="17" t="b">
        <v>1</v>
      </c>
    </row>
    <row r="168" spans="1:3" x14ac:dyDescent="0.25">
      <c r="A168" s="29" t="s">
        <v>1752</v>
      </c>
      <c r="B168" s="17" t="b">
        <v>0</v>
      </c>
      <c r="C168" s="17" t="b">
        <v>1</v>
      </c>
    </row>
    <row r="169" spans="1:3" x14ac:dyDescent="0.25">
      <c r="A169" s="29" t="s">
        <v>139</v>
      </c>
      <c r="B169" s="17" t="b">
        <v>0</v>
      </c>
      <c r="C169" s="17" t="b">
        <v>1</v>
      </c>
    </row>
    <row r="170" spans="1:3" x14ac:dyDescent="0.25">
      <c r="A170" s="29" t="s">
        <v>501</v>
      </c>
      <c r="B170" s="17" t="b">
        <v>0</v>
      </c>
      <c r="C170" s="17" t="b">
        <v>1</v>
      </c>
    </row>
    <row r="171" spans="1:3" x14ac:dyDescent="0.25">
      <c r="A171" s="29" t="s">
        <v>7318</v>
      </c>
      <c r="B171" s="17" t="b">
        <v>0</v>
      </c>
      <c r="C171" s="17" t="b">
        <v>1</v>
      </c>
    </row>
    <row r="172" spans="1:3" x14ac:dyDescent="0.25">
      <c r="A172" s="29" t="s">
        <v>11786</v>
      </c>
      <c r="B172" s="17" t="b">
        <v>0</v>
      </c>
      <c r="C172" s="17" t="b">
        <v>1</v>
      </c>
    </row>
    <row r="173" spans="1:3" x14ac:dyDescent="0.25">
      <c r="A173" s="29" t="s">
        <v>11857</v>
      </c>
      <c r="B173" s="17" t="b">
        <v>0</v>
      </c>
      <c r="C173" s="17" t="b">
        <v>1</v>
      </c>
    </row>
    <row r="174" spans="1:3" x14ac:dyDescent="0.25">
      <c r="A174" s="29" t="s">
        <v>2696</v>
      </c>
      <c r="B174" s="17" t="b">
        <v>0</v>
      </c>
      <c r="C174" s="17" t="b">
        <v>1</v>
      </c>
    </row>
    <row r="175" spans="1:3" x14ac:dyDescent="0.25">
      <c r="A175" s="29" t="s">
        <v>67</v>
      </c>
      <c r="B175" s="17" t="b">
        <v>0</v>
      </c>
      <c r="C175" s="17" t="b">
        <v>1</v>
      </c>
    </row>
    <row r="176" spans="1:3" x14ac:dyDescent="0.25">
      <c r="A176" s="29" t="s">
        <v>571</v>
      </c>
      <c r="B176" s="17" t="b">
        <v>0</v>
      </c>
      <c r="C176" s="17" t="b">
        <v>1</v>
      </c>
    </row>
    <row r="177" spans="1:3" x14ac:dyDescent="0.25">
      <c r="A177" s="29" t="s">
        <v>375</v>
      </c>
      <c r="B177" s="17" t="b">
        <v>0</v>
      </c>
      <c r="C177" s="17" t="b">
        <v>1</v>
      </c>
    </row>
    <row r="178" spans="1:3" x14ac:dyDescent="0.25">
      <c r="A178" s="29" t="s">
        <v>6105</v>
      </c>
      <c r="B178" s="17" t="b">
        <v>0</v>
      </c>
      <c r="C178" s="17" t="b">
        <v>1</v>
      </c>
    </row>
    <row r="179" spans="1:3" x14ac:dyDescent="0.25">
      <c r="A179" s="29" t="s">
        <v>4894</v>
      </c>
      <c r="B179" s="17" t="b">
        <v>0</v>
      </c>
      <c r="C179" s="17" t="b">
        <v>1</v>
      </c>
    </row>
    <row r="180" spans="1:3" x14ac:dyDescent="0.25">
      <c r="A180" s="29" t="s">
        <v>6862</v>
      </c>
      <c r="B180" s="17" t="b">
        <v>0</v>
      </c>
      <c r="C180" s="17" t="b">
        <v>1</v>
      </c>
    </row>
    <row r="181" spans="1:3" x14ac:dyDescent="0.25">
      <c r="A181" s="29" t="s">
        <v>268</v>
      </c>
      <c r="B181" s="17" t="b">
        <v>0</v>
      </c>
      <c r="C181" s="17" t="b">
        <v>1</v>
      </c>
    </row>
    <row r="182" spans="1:3" x14ac:dyDescent="0.25">
      <c r="A182" s="29" t="s">
        <v>5279</v>
      </c>
      <c r="B182" s="17" t="b">
        <v>0</v>
      </c>
      <c r="C182" s="17" t="b">
        <v>1</v>
      </c>
    </row>
    <row r="183" spans="1:3" x14ac:dyDescent="0.25">
      <c r="A183" s="29" t="s">
        <v>9957</v>
      </c>
      <c r="B183" s="17" t="b">
        <v>0</v>
      </c>
      <c r="C183" s="17" t="b">
        <v>1</v>
      </c>
    </row>
    <row r="184" spans="1:3" x14ac:dyDescent="0.25">
      <c r="A184" s="29" t="s">
        <v>1831</v>
      </c>
      <c r="B184" s="17" t="b">
        <v>0</v>
      </c>
      <c r="C184" s="17" t="b">
        <v>1</v>
      </c>
    </row>
    <row r="185" spans="1:3" x14ac:dyDescent="0.25">
      <c r="A185" s="29" t="s">
        <v>409</v>
      </c>
      <c r="B185" s="17" t="b">
        <v>0</v>
      </c>
      <c r="C185" s="17" t="b">
        <v>1</v>
      </c>
    </row>
    <row r="186" spans="1:3" x14ac:dyDescent="0.25">
      <c r="A186" s="29" t="s">
        <v>54</v>
      </c>
      <c r="B186" s="17" t="b">
        <v>0</v>
      </c>
      <c r="C186" s="17" t="b">
        <v>1</v>
      </c>
    </row>
    <row r="187" spans="1:3" x14ac:dyDescent="0.25">
      <c r="A187" s="29" t="s">
        <v>323</v>
      </c>
      <c r="B187" s="17" t="b">
        <v>0</v>
      </c>
      <c r="C187" s="17" t="b">
        <v>1</v>
      </c>
    </row>
    <row r="188" spans="1:3" x14ac:dyDescent="0.25">
      <c r="A188" s="29" t="s">
        <v>663</v>
      </c>
      <c r="B188" s="17" t="b">
        <v>0</v>
      </c>
      <c r="C188" s="17" t="b">
        <v>1</v>
      </c>
    </row>
    <row r="189" spans="1:3" x14ac:dyDescent="0.25">
      <c r="A189" s="29" t="s">
        <v>2395</v>
      </c>
      <c r="B189" s="17" t="b">
        <v>0</v>
      </c>
      <c r="C189" s="17" t="b">
        <v>1</v>
      </c>
    </row>
    <row r="190" spans="1:3" x14ac:dyDescent="0.25">
      <c r="A190" s="29" t="s">
        <v>1345</v>
      </c>
      <c r="B190" s="17" t="b">
        <v>0</v>
      </c>
      <c r="C190" s="17" t="b">
        <v>1</v>
      </c>
    </row>
    <row r="191" spans="1:3" x14ac:dyDescent="0.25">
      <c r="A191" s="29" t="s">
        <v>1787</v>
      </c>
      <c r="B191" s="17" t="b">
        <v>0</v>
      </c>
      <c r="C191" s="17" t="b">
        <v>1</v>
      </c>
    </row>
    <row r="192" spans="1:3" x14ac:dyDescent="0.25">
      <c r="A192" s="29" t="s">
        <v>1240</v>
      </c>
      <c r="B192" s="17" t="b">
        <v>0</v>
      </c>
      <c r="C192" s="17" t="b">
        <v>1</v>
      </c>
    </row>
    <row r="193" spans="1:3" x14ac:dyDescent="0.25">
      <c r="A193" s="29" t="s">
        <v>1716</v>
      </c>
      <c r="B193" s="17" t="b">
        <v>0</v>
      </c>
      <c r="C193" s="17" t="b">
        <v>1</v>
      </c>
    </row>
    <row r="194" spans="1:3" x14ac:dyDescent="0.25">
      <c r="A194" s="29" t="s">
        <v>356</v>
      </c>
      <c r="B194" s="17" t="b">
        <v>0</v>
      </c>
      <c r="C194" s="17" t="b">
        <v>1</v>
      </c>
    </row>
    <row r="195" spans="1:3" x14ac:dyDescent="0.25">
      <c r="A195" s="29" t="s">
        <v>6760</v>
      </c>
      <c r="B195" s="17" t="b">
        <v>0</v>
      </c>
      <c r="C195" s="17" t="b">
        <v>1</v>
      </c>
    </row>
    <row r="196" spans="1:3" x14ac:dyDescent="0.25">
      <c r="A196" s="29" t="s">
        <v>512</v>
      </c>
      <c r="B196" s="17" t="b">
        <v>0</v>
      </c>
      <c r="C196" s="17" t="b">
        <v>1</v>
      </c>
    </row>
    <row r="197" spans="1:3" x14ac:dyDescent="0.25">
      <c r="A197" s="29" t="s">
        <v>1064</v>
      </c>
      <c r="B197" s="17" t="b">
        <v>0</v>
      </c>
      <c r="C197" s="17" t="b">
        <v>1</v>
      </c>
    </row>
    <row r="198" spans="1:3" x14ac:dyDescent="0.25">
      <c r="A198" s="29" t="s">
        <v>3418</v>
      </c>
      <c r="B198" s="17" t="b">
        <v>0</v>
      </c>
      <c r="C198" s="17" t="b">
        <v>1</v>
      </c>
    </row>
    <row r="199" spans="1:3" x14ac:dyDescent="0.25">
      <c r="A199" s="29" t="s">
        <v>209</v>
      </c>
      <c r="B199" s="17" t="b">
        <v>0</v>
      </c>
      <c r="C199" s="17" t="b">
        <v>1</v>
      </c>
    </row>
    <row r="200" spans="1:3" x14ac:dyDescent="0.25">
      <c r="A200" s="29" t="s">
        <v>4169</v>
      </c>
      <c r="B200" s="17" t="b">
        <v>0</v>
      </c>
      <c r="C200" s="17" t="b">
        <v>1</v>
      </c>
    </row>
    <row r="201" spans="1:3" x14ac:dyDescent="0.25">
      <c r="A201" s="29" t="s">
        <v>390</v>
      </c>
      <c r="B201" s="17" t="b">
        <v>0</v>
      </c>
      <c r="C201" s="17" t="b">
        <v>1</v>
      </c>
    </row>
    <row r="202" spans="1:3" x14ac:dyDescent="0.25">
      <c r="A202" s="29" t="s">
        <v>221</v>
      </c>
      <c r="B202" s="17" t="b">
        <v>0</v>
      </c>
      <c r="C202" s="17" t="b">
        <v>1</v>
      </c>
    </row>
    <row r="203" spans="1:3" x14ac:dyDescent="0.25">
      <c r="A203" s="29" t="s">
        <v>3688</v>
      </c>
      <c r="B203" s="17" t="b">
        <v>0</v>
      </c>
      <c r="C203" s="17" t="b">
        <v>1</v>
      </c>
    </row>
    <row r="204" spans="1:3" x14ac:dyDescent="0.25">
      <c r="A204" s="29" t="s">
        <v>151</v>
      </c>
      <c r="B204" s="17" t="b">
        <v>0</v>
      </c>
      <c r="C204" s="17" t="b">
        <v>1</v>
      </c>
    </row>
    <row r="205" spans="1:3" x14ac:dyDescent="0.25">
      <c r="A205" s="29" t="s">
        <v>424</v>
      </c>
      <c r="B205" s="17" t="b">
        <v>0</v>
      </c>
      <c r="C205" s="17" t="b">
        <v>1</v>
      </c>
    </row>
    <row r="206" spans="1:3" x14ac:dyDescent="0.25">
      <c r="A206" s="29" t="s">
        <v>8352</v>
      </c>
      <c r="B206" s="17" t="b">
        <v>0</v>
      </c>
      <c r="C206" s="17" t="b">
        <v>1</v>
      </c>
    </row>
    <row r="207" spans="1:3" x14ac:dyDescent="0.25">
      <c r="A207" s="29" t="s">
        <v>6534</v>
      </c>
      <c r="B207" s="17" t="b">
        <v>0</v>
      </c>
      <c r="C207" s="17" t="b">
        <v>1</v>
      </c>
    </row>
    <row r="208" spans="1:3" x14ac:dyDescent="0.25">
      <c r="A208" s="29" t="s">
        <v>2624</v>
      </c>
      <c r="B208" s="17" t="b">
        <v>0</v>
      </c>
      <c r="C208" s="17" t="b">
        <v>1</v>
      </c>
    </row>
  </sheetData>
  <conditionalFormatting sqref="A2">
    <cfRule type="expression" dxfId="1" priority="1">
      <formula>$F2=TRUE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K259"/>
  <sheetViews>
    <sheetView showGridLines="0" workbookViewId="0">
      <selection activeCell="A26" sqref="A26"/>
    </sheetView>
  </sheetViews>
  <sheetFormatPr defaultRowHeight="15" x14ac:dyDescent="0.25"/>
  <cols>
    <col min="1" max="1" width="26.140625" style="18" customWidth="1"/>
    <col min="2" max="2" width="8.7109375" style="18" bestFit="1" customWidth="1"/>
    <col min="3" max="3" width="12.42578125" style="18" customWidth="1"/>
    <col min="4" max="4" width="12.7109375" style="18" customWidth="1"/>
    <col min="5" max="5" width="13.7109375" style="18" customWidth="1"/>
    <col min="6" max="6" width="13.5703125" style="18" customWidth="1"/>
    <col min="7" max="7" width="13" style="18" customWidth="1"/>
    <col min="8" max="8" width="11.85546875" style="18" customWidth="1"/>
    <col min="9" max="9" width="0.28515625" style="18" customWidth="1"/>
    <col min="10" max="10" width="9.140625" style="18" customWidth="1"/>
    <col min="11" max="11" width="8.140625" style="18" customWidth="1"/>
    <col min="12" max="16384" width="9.140625" style="18"/>
  </cols>
  <sheetData>
    <row r="1" spans="1:11" ht="17.45" customHeight="1" x14ac:dyDescent="0.25">
      <c r="A1" s="18" t="s">
        <v>14930</v>
      </c>
    </row>
    <row r="2" spans="1:11" ht="48" customHeight="1" x14ac:dyDescent="0.3">
      <c r="A2" s="40" t="s">
        <v>14931</v>
      </c>
      <c r="B2" s="41"/>
      <c r="C2" s="42"/>
      <c r="D2" s="42"/>
      <c r="E2" s="42"/>
      <c r="F2" s="42"/>
      <c r="G2" s="42"/>
      <c r="H2" s="43"/>
    </row>
    <row r="3" spans="1:11" ht="55.15" customHeight="1" x14ac:dyDescent="0.25">
      <c r="A3" s="19" t="s">
        <v>14932</v>
      </c>
      <c r="B3" s="20">
        <v>2010</v>
      </c>
      <c r="C3" s="19" t="s">
        <v>14933</v>
      </c>
      <c r="D3" s="19" t="s">
        <v>14934</v>
      </c>
      <c r="E3" s="19" t="s">
        <v>14935</v>
      </c>
      <c r="F3" s="19" t="s">
        <v>14936</v>
      </c>
      <c r="G3" s="19" t="s">
        <v>14937</v>
      </c>
      <c r="H3" s="19" t="s">
        <v>14938</v>
      </c>
      <c r="J3" s="19" t="s">
        <v>14939</v>
      </c>
      <c r="K3" s="19" t="s">
        <v>14940</v>
      </c>
    </row>
    <row r="4" spans="1:11" x14ac:dyDescent="0.25">
      <c r="A4" s="21" t="s">
        <v>1249</v>
      </c>
      <c r="B4" s="22">
        <f>VLOOKUP(A4,[2]Sheet1!$B$3:$E$264,4,FALSE)</f>
        <v>58458</v>
      </c>
      <c r="C4" s="23">
        <v>61016</v>
      </c>
      <c r="D4" s="23">
        <v>63017</v>
      </c>
      <c r="E4" s="23">
        <v>63746</v>
      </c>
      <c r="F4" s="23">
        <v>63746</v>
      </c>
      <c r="G4" s="23">
        <v>63746</v>
      </c>
      <c r="H4" s="23">
        <v>63746</v>
      </c>
      <c r="J4" s="24">
        <f>((H4/B4)^(1/($H$3-$B$3))-1)</f>
        <v>1.4443402110657644E-3</v>
      </c>
      <c r="K4" s="24">
        <f>((H4/C4)^(1/($H$3-$C$3))-1)</f>
        <v>8.7578952207811867E-4</v>
      </c>
    </row>
    <row r="5" spans="1:11" x14ac:dyDescent="0.25">
      <c r="A5" s="21" t="s">
        <v>3485</v>
      </c>
      <c r="B5" s="22">
        <f>VLOOKUP(A5,[2]Sheet1!$B$3:$E$264,4,FALSE)</f>
        <v>14786</v>
      </c>
      <c r="C5" s="23">
        <v>19089</v>
      </c>
      <c r="D5" s="23">
        <v>22847</v>
      </c>
      <c r="E5" s="23">
        <v>26246</v>
      </c>
      <c r="F5" s="23">
        <v>30111</v>
      </c>
      <c r="G5" s="23">
        <v>34526</v>
      </c>
      <c r="H5" s="23">
        <v>39574</v>
      </c>
      <c r="J5" s="24">
        <f t="shared" ref="J5:J68" si="0">((H5/B5)^(1/($H$3-$B$3))-1)</f>
        <v>1.6543546177490542E-2</v>
      </c>
      <c r="K5" s="24">
        <f t="shared" ref="K5:K68" si="1">((H5/C5)^(1/($H$3-$C$3))-1)</f>
        <v>1.4688025979638697E-2</v>
      </c>
    </row>
    <row r="6" spans="1:11" x14ac:dyDescent="0.25">
      <c r="A6" s="21" t="s">
        <v>1013</v>
      </c>
      <c r="B6" s="22">
        <f>VLOOKUP(A6,[2]Sheet1!$B$3:$E$264,4,FALSE)</f>
        <v>86771</v>
      </c>
      <c r="C6" s="23">
        <v>93316</v>
      </c>
      <c r="D6" s="23">
        <v>99848</v>
      </c>
      <c r="E6" s="23">
        <v>105329</v>
      </c>
      <c r="F6" s="23">
        <v>110332</v>
      </c>
      <c r="G6" s="23">
        <v>114808</v>
      </c>
      <c r="H6" s="23">
        <v>118772</v>
      </c>
      <c r="J6" s="24">
        <f t="shared" si="0"/>
        <v>5.2459323770150945E-3</v>
      </c>
      <c r="K6" s="24">
        <f t="shared" si="1"/>
        <v>4.8359377036231166E-3</v>
      </c>
    </row>
    <row r="7" spans="1:11" x14ac:dyDescent="0.25">
      <c r="A7" s="21" t="s">
        <v>951</v>
      </c>
      <c r="B7" s="22">
        <f>VLOOKUP(A7,[2]Sheet1!$B$3:$E$264,4,FALSE)</f>
        <v>23158</v>
      </c>
      <c r="C7" s="23">
        <v>24463</v>
      </c>
      <c r="D7" s="23">
        <v>24991</v>
      </c>
      <c r="E7" s="23">
        <v>24937</v>
      </c>
      <c r="F7" s="23">
        <v>25102</v>
      </c>
      <c r="G7" s="23">
        <v>25103</v>
      </c>
      <c r="H7" s="23">
        <v>25104</v>
      </c>
      <c r="J7" s="24">
        <f t="shared" si="0"/>
        <v>1.3456863377334649E-3</v>
      </c>
      <c r="K7" s="24">
        <f t="shared" si="1"/>
        <v>5.1744230769235067E-4</v>
      </c>
    </row>
    <row r="8" spans="1:11" x14ac:dyDescent="0.25">
      <c r="A8" s="21" t="s">
        <v>306</v>
      </c>
      <c r="B8" s="22">
        <f>VLOOKUP(A8,[2]Sheet1!$B$3:$E$264,4,FALSE)</f>
        <v>9054</v>
      </c>
      <c r="C8" s="23">
        <v>9409</v>
      </c>
      <c r="D8" s="23">
        <v>9845</v>
      </c>
      <c r="E8" s="23">
        <v>9960</v>
      </c>
      <c r="F8" s="23">
        <v>9960</v>
      </c>
      <c r="G8" s="23">
        <v>9960</v>
      </c>
      <c r="H8" s="23">
        <v>9960</v>
      </c>
      <c r="J8" s="24">
        <f t="shared" si="0"/>
        <v>1.5907709789553248E-3</v>
      </c>
      <c r="K8" s="24">
        <f t="shared" si="1"/>
        <v>1.1388558758480549E-3</v>
      </c>
    </row>
    <row r="9" spans="1:11" x14ac:dyDescent="0.25">
      <c r="A9" s="21" t="s">
        <v>14941</v>
      </c>
      <c r="B9" s="22">
        <f>VLOOKUP(A9,[2]Sheet1!$B$3:$E$264,4,FALSE)</f>
        <v>1901</v>
      </c>
      <c r="C9" s="23">
        <v>1911</v>
      </c>
      <c r="D9" s="23">
        <v>1911</v>
      </c>
      <c r="E9" s="23">
        <v>1911</v>
      </c>
      <c r="F9" s="23">
        <v>1911</v>
      </c>
      <c r="G9" s="23">
        <v>1911</v>
      </c>
      <c r="H9" s="23">
        <v>1911</v>
      </c>
      <c r="J9" s="24">
        <f t="shared" si="0"/>
        <v>8.7447185812994377E-5</v>
      </c>
      <c r="K9" s="24">
        <f t="shared" si="1"/>
        <v>0</v>
      </c>
    </row>
    <row r="10" spans="1:11" x14ac:dyDescent="0.25">
      <c r="A10" s="21" t="s">
        <v>3105</v>
      </c>
      <c r="B10" s="22">
        <f>VLOOKUP(A10,[2]Sheet1!$B$3:$E$264,4,FALSE)</f>
        <v>44911</v>
      </c>
      <c r="C10" s="23">
        <v>52574</v>
      </c>
      <c r="D10" s="23">
        <v>60755</v>
      </c>
      <c r="E10" s="23">
        <v>68210</v>
      </c>
      <c r="F10" s="23">
        <v>75481</v>
      </c>
      <c r="G10" s="23">
        <v>82324</v>
      </c>
      <c r="H10" s="23">
        <v>88676</v>
      </c>
      <c r="J10" s="24">
        <f>((H10/B10)^(1/($H$3-$B$3))-1)</f>
        <v>1.1402965838756884E-2</v>
      </c>
      <c r="K10" s="24">
        <f t="shared" si="1"/>
        <v>1.0510199708929635E-2</v>
      </c>
    </row>
    <row r="11" spans="1:11" x14ac:dyDescent="0.25">
      <c r="A11" s="21" t="s">
        <v>1074</v>
      </c>
      <c r="B11" s="22">
        <f>VLOOKUP(A11,[2]Sheet1!$B$3:$E$264,4,FALSE)</f>
        <v>28417</v>
      </c>
      <c r="C11" s="23">
        <v>33014</v>
      </c>
      <c r="D11" s="23">
        <v>38257</v>
      </c>
      <c r="E11" s="23">
        <v>43886</v>
      </c>
      <c r="F11" s="23">
        <v>50483</v>
      </c>
      <c r="G11" s="23">
        <v>57721</v>
      </c>
      <c r="H11" s="23">
        <v>65756</v>
      </c>
      <c r="J11" s="24">
        <f t="shared" si="0"/>
        <v>1.4080938240604413E-2</v>
      </c>
      <c r="K11" s="24">
        <f t="shared" si="1"/>
        <v>1.3875771301711692E-2</v>
      </c>
    </row>
    <row r="12" spans="1:11" x14ac:dyDescent="0.25">
      <c r="A12" s="21" t="s">
        <v>14942</v>
      </c>
      <c r="B12" s="22">
        <f>VLOOKUP(A12,[2]Sheet1!$B$3:$E$264,4,FALSE)</f>
        <v>7165</v>
      </c>
      <c r="C12" s="23">
        <v>8012</v>
      </c>
      <c r="D12" s="23">
        <v>8962</v>
      </c>
      <c r="E12" s="23">
        <v>9906</v>
      </c>
      <c r="F12" s="23">
        <v>10880</v>
      </c>
      <c r="G12" s="23">
        <v>11844</v>
      </c>
      <c r="H12" s="23">
        <v>12790</v>
      </c>
      <c r="J12" s="24">
        <f t="shared" si="0"/>
        <v>9.7043776079688282E-3</v>
      </c>
      <c r="K12" s="24">
        <f t="shared" si="1"/>
        <v>9.3983537019592944E-3</v>
      </c>
    </row>
    <row r="13" spans="1:11" x14ac:dyDescent="0.25">
      <c r="A13" s="21" t="s">
        <v>526</v>
      </c>
      <c r="B13" s="22">
        <f>VLOOKUP(A13,[2]Sheet1!$B$3:$E$264,4,FALSE)</f>
        <v>20485</v>
      </c>
      <c r="C13" s="23">
        <v>24991</v>
      </c>
      <c r="D13" s="23">
        <v>28780</v>
      </c>
      <c r="E13" s="23">
        <v>30881</v>
      </c>
      <c r="F13" s="23">
        <v>31742</v>
      </c>
      <c r="G13" s="23">
        <v>32265</v>
      </c>
      <c r="H13" s="23">
        <v>32537</v>
      </c>
      <c r="J13" s="24">
        <f t="shared" si="0"/>
        <v>7.741226086521058E-3</v>
      </c>
      <c r="K13" s="24">
        <f t="shared" si="1"/>
        <v>5.2911920383718059E-3</v>
      </c>
    </row>
    <row r="14" spans="1:11" x14ac:dyDescent="0.25">
      <c r="A14" s="21" t="s">
        <v>456</v>
      </c>
      <c r="B14" s="22">
        <f>VLOOKUP(A14,[2]Sheet1!$B$3:$E$264,4,FALSE)</f>
        <v>74171</v>
      </c>
      <c r="C14" s="23">
        <v>95487</v>
      </c>
      <c r="D14" s="23">
        <v>125559</v>
      </c>
      <c r="E14" s="23">
        <v>164648</v>
      </c>
      <c r="F14" s="23">
        <v>217608</v>
      </c>
      <c r="G14" s="23">
        <v>289140</v>
      </c>
      <c r="H14" s="23">
        <v>384244</v>
      </c>
      <c r="J14" s="24">
        <f t="shared" si="0"/>
        <v>2.7794326468964181E-2</v>
      </c>
      <c r="K14" s="24">
        <f t="shared" si="1"/>
        <v>2.8237069806219983E-2</v>
      </c>
    </row>
    <row r="15" spans="1:11" x14ac:dyDescent="0.25">
      <c r="A15" s="21" t="s">
        <v>7482</v>
      </c>
      <c r="B15" s="22">
        <f>VLOOKUP(A15,[2]Sheet1!$B$3:$E$264,4,FALSE)</f>
        <v>3726</v>
      </c>
      <c r="C15" s="23">
        <v>3726</v>
      </c>
      <c r="D15" s="23">
        <v>3726</v>
      </c>
      <c r="E15" s="23">
        <v>3726</v>
      </c>
      <c r="F15" s="23">
        <v>3726</v>
      </c>
      <c r="G15" s="23">
        <v>3726</v>
      </c>
      <c r="H15" s="23">
        <v>3726</v>
      </c>
      <c r="J15" s="24">
        <f t="shared" si="0"/>
        <v>0</v>
      </c>
      <c r="K15" s="24">
        <f t="shared" si="1"/>
        <v>0</v>
      </c>
    </row>
    <row r="16" spans="1:11" x14ac:dyDescent="0.25">
      <c r="A16" s="21" t="s">
        <v>4377</v>
      </c>
      <c r="B16" s="22">
        <f>VLOOKUP(A16,[2]Sheet1!$B$3:$E$264,4,FALSE)</f>
        <v>31861</v>
      </c>
      <c r="C16" s="23">
        <v>33478</v>
      </c>
      <c r="D16" s="23">
        <v>34879</v>
      </c>
      <c r="E16" s="23">
        <v>35487</v>
      </c>
      <c r="F16" s="23">
        <v>35545</v>
      </c>
      <c r="G16" s="23">
        <v>35579</v>
      </c>
      <c r="H16" s="23">
        <v>35590</v>
      </c>
      <c r="J16" s="24">
        <f t="shared" si="0"/>
        <v>1.8464026428950397E-3</v>
      </c>
      <c r="K16" s="24">
        <f t="shared" si="1"/>
        <v>1.2242726675122384E-3</v>
      </c>
    </row>
    <row r="17" spans="1:11" x14ac:dyDescent="0.25">
      <c r="A17" s="21" t="s">
        <v>253</v>
      </c>
      <c r="B17" s="22">
        <f>VLOOKUP(A17,[2]Sheet1!$B$3:$E$264,4,FALSE)</f>
        <v>310235</v>
      </c>
      <c r="C17" s="23">
        <v>371956</v>
      </c>
      <c r="D17" s="23">
        <v>433618</v>
      </c>
      <c r="E17" s="23">
        <v>497830</v>
      </c>
      <c r="F17" s="23">
        <v>560252</v>
      </c>
      <c r="G17" s="23">
        <v>624686</v>
      </c>
      <c r="H17" s="23">
        <v>688107</v>
      </c>
      <c r="J17" s="24">
        <f t="shared" si="0"/>
        <v>1.3365434034154688E-2</v>
      </c>
      <c r="K17" s="24">
        <f t="shared" si="1"/>
        <v>1.2379373510714275E-2</v>
      </c>
    </row>
    <row r="18" spans="1:11" x14ac:dyDescent="0.25">
      <c r="A18" s="21" t="s">
        <v>873</v>
      </c>
      <c r="B18" s="22">
        <f>VLOOKUP(A18,[2]Sheet1!$B$3:$E$264,4,FALSE)</f>
        <v>1714773</v>
      </c>
      <c r="C18" s="23">
        <v>1974041</v>
      </c>
      <c r="D18" s="23">
        <v>2231550</v>
      </c>
      <c r="E18" s="23">
        <v>2468254</v>
      </c>
      <c r="F18" s="23">
        <v>2695668</v>
      </c>
      <c r="G18" s="23">
        <v>2904319</v>
      </c>
      <c r="H18" s="23">
        <v>3094726</v>
      </c>
      <c r="J18" s="24">
        <f t="shared" si="0"/>
        <v>9.8888860942654144E-3</v>
      </c>
      <c r="K18" s="24">
        <f t="shared" si="1"/>
        <v>9.0328857216581682E-3</v>
      </c>
    </row>
    <row r="19" spans="1:11" x14ac:dyDescent="0.25">
      <c r="A19" s="21" t="s">
        <v>4816</v>
      </c>
      <c r="B19" s="22">
        <f>VLOOKUP(A19,[2]Sheet1!$B$3:$E$264,4,FALSE)</f>
        <v>10497</v>
      </c>
      <c r="C19" s="23">
        <v>13015</v>
      </c>
      <c r="D19" s="23">
        <v>15475</v>
      </c>
      <c r="E19" s="23">
        <v>16917</v>
      </c>
      <c r="F19" s="23">
        <v>17672</v>
      </c>
      <c r="G19" s="23">
        <v>18175</v>
      </c>
      <c r="H19" s="23">
        <v>18472</v>
      </c>
      <c r="J19" s="24">
        <f t="shared" si="0"/>
        <v>9.4639454050136074E-3</v>
      </c>
      <c r="K19" s="24">
        <f t="shared" si="1"/>
        <v>7.02764951382151E-3</v>
      </c>
    </row>
    <row r="20" spans="1:11" x14ac:dyDescent="0.25">
      <c r="A20" s="21" t="s">
        <v>14943</v>
      </c>
      <c r="B20" s="22">
        <f>VLOOKUP(A20,[2]Sheet1!$B$3:$E$264,4,FALSE)</f>
        <v>641</v>
      </c>
      <c r="C20" s="23">
        <v>659</v>
      </c>
      <c r="D20" s="23">
        <v>671</v>
      </c>
      <c r="E20" s="23">
        <v>671</v>
      </c>
      <c r="F20" s="23">
        <v>671</v>
      </c>
      <c r="G20" s="23">
        <v>671</v>
      </c>
      <c r="H20" s="23">
        <v>671</v>
      </c>
      <c r="J20" s="24">
        <f t="shared" si="0"/>
        <v>7.626186466918039E-4</v>
      </c>
      <c r="K20" s="24">
        <f t="shared" si="1"/>
        <v>3.6097718597316586E-4</v>
      </c>
    </row>
    <row r="21" spans="1:11" x14ac:dyDescent="0.25">
      <c r="A21" s="21" t="s">
        <v>1209</v>
      </c>
      <c r="B21" s="22">
        <f>VLOOKUP(A21,[2]Sheet1!$B$3:$E$264,4,FALSE)</f>
        <v>18212</v>
      </c>
      <c r="C21" s="23">
        <v>20310</v>
      </c>
      <c r="D21" s="23">
        <v>22184</v>
      </c>
      <c r="E21" s="23">
        <v>23147</v>
      </c>
      <c r="F21" s="23">
        <v>23747</v>
      </c>
      <c r="G21" s="23">
        <v>24129</v>
      </c>
      <c r="H21" s="23">
        <v>24362</v>
      </c>
      <c r="J21" s="24">
        <f t="shared" si="0"/>
        <v>4.8608394656868281E-3</v>
      </c>
      <c r="K21" s="24">
        <f t="shared" si="1"/>
        <v>3.6448496817815812E-3</v>
      </c>
    </row>
    <row r="22" spans="1:11" x14ac:dyDescent="0.25">
      <c r="A22" s="21" t="s">
        <v>548</v>
      </c>
      <c r="B22" s="22">
        <f>VLOOKUP(A22,[2]Sheet1!$B$3:$E$264,4,FALSE)</f>
        <v>92565</v>
      </c>
      <c r="C22" s="23">
        <v>95703</v>
      </c>
      <c r="D22" s="23">
        <v>98413</v>
      </c>
      <c r="E22" s="23">
        <v>99263</v>
      </c>
      <c r="F22" s="23">
        <v>103909</v>
      </c>
      <c r="G22" s="23">
        <v>107829</v>
      </c>
      <c r="H22" s="23">
        <v>111008</v>
      </c>
      <c r="J22" s="24">
        <f t="shared" si="0"/>
        <v>3.0327757597230498E-3</v>
      </c>
      <c r="K22" s="24">
        <f t="shared" si="1"/>
        <v>2.971458553997719E-3</v>
      </c>
    </row>
    <row r="23" spans="1:11" x14ac:dyDescent="0.25">
      <c r="A23" s="21" t="s">
        <v>162</v>
      </c>
      <c r="B23" s="22">
        <f>VLOOKUP(A23,[2]Sheet1!$B$3:$E$264,4,FALSE)</f>
        <v>313166</v>
      </c>
      <c r="C23" s="23">
        <v>359935</v>
      </c>
      <c r="D23" s="23">
        <v>411387</v>
      </c>
      <c r="E23" s="23">
        <v>463886</v>
      </c>
      <c r="F23" s="23">
        <v>519696</v>
      </c>
      <c r="G23" s="23">
        <v>581368</v>
      </c>
      <c r="H23" s="23">
        <v>648568</v>
      </c>
      <c r="J23" s="24">
        <f t="shared" si="0"/>
        <v>1.2207805211600586E-2</v>
      </c>
      <c r="K23" s="24">
        <f t="shared" si="1"/>
        <v>1.1846488264375843E-2</v>
      </c>
    </row>
    <row r="24" spans="1:11" x14ac:dyDescent="0.25">
      <c r="A24" s="21" t="s">
        <v>1861</v>
      </c>
      <c r="B24" s="22">
        <f>VLOOKUP(A24,[2]Sheet1!$B$3:$E$264,4,FALSE)</f>
        <v>194851</v>
      </c>
      <c r="C24" s="23">
        <v>227654</v>
      </c>
      <c r="D24" s="23">
        <v>282453</v>
      </c>
      <c r="E24" s="23">
        <v>342487</v>
      </c>
      <c r="F24" s="23">
        <v>401051</v>
      </c>
      <c r="G24" s="23">
        <v>433781</v>
      </c>
      <c r="H24" s="23">
        <v>484546</v>
      </c>
      <c r="J24" s="24">
        <f t="shared" si="0"/>
        <v>1.5298800028427761E-2</v>
      </c>
      <c r="K24" s="24">
        <f t="shared" si="1"/>
        <v>1.5222407065625276E-2</v>
      </c>
    </row>
    <row r="25" spans="1:11" x14ac:dyDescent="0.25">
      <c r="A25" s="21" t="s">
        <v>2831</v>
      </c>
      <c r="B25" s="22">
        <f>VLOOKUP(A25,[2]Sheet1!$B$3:$E$264,4,FALSE)</f>
        <v>9232</v>
      </c>
      <c r="C25" s="23">
        <v>9727</v>
      </c>
      <c r="D25" s="23">
        <v>10091</v>
      </c>
      <c r="E25" s="23">
        <v>10230</v>
      </c>
      <c r="F25" s="23">
        <v>10334</v>
      </c>
      <c r="G25" s="23">
        <v>10387</v>
      </c>
      <c r="H25" s="23">
        <v>10417</v>
      </c>
      <c r="J25" s="24">
        <f t="shared" si="0"/>
        <v>2.0147498404130548E-3</v>
      </c>
      <c r="K25" s="24">
        <f t="shared" si="1"/>
        <v>1.3716110614909738E-3</v>
      </c>
    </row>
    <row r="26" spans="1:11" x14ac:dyDescent="0.25">
      <c r="A26" s="21" t="s">
        <v>14944</v>
      </c>
      <c r="B26" s="22">
        <f>VLOOKUP(A26,[2]Sheet1!$B$3:$E$264,4,FALSE)</f>
        <v>1637</v>
      </c>
      <c r="C26" s="23">
        <v>1673</v>
      </c>
      <c r="D26" s="23">
        <v>1673</v>
      </c>
      <c r="E26" s="23">
        <v>1673</v>
      </c>
      <c r="F26" s="23">
        <v>1673</v>
      </c>
      <c r="G26" s="23">
        <v>1673</v>
      </c>
      <c r="H26" s="23">
        <v>1673</v>
      </c>
      <c r="J26" s="24">
        <f t="shared" si="0"/>
        <v>3.6261779020296814E-4</v>
      </c>
      <c r="K26" s="24">
        <f t="shared" si="1"/>
        <v>0</v>
      </c>
    </row>
    <row r="27" spans="1:11" x14ac:dyDescent="0.25">
      <c r="A27" s="21" t="s">
        <v>14945</v>
      </c>
      <c r="B27" s="22">
        <f>VLOOKUP(A27,[2]Sheet1!$B$3:$E$264,4,FALSE)</f>
        <v>7223</v>
      </c>
      <c r="C27" s="23">
        <v>7783</v>
      </c>
      <c r="D27" s="23">
        <v>8252</v>
      </c>
      <c r="E27" s="23">
        <v>8722</v>
      </c>
      <c r="F27" s="23">
        <v>9181</v>
      </c>
      <c r="G27" s="23">
        <v>9595</v>
      </c>
      <c r="H27" s="23">
        <v>9979</v>
      </c>
      <c r="J27" s="24">
        <f t="shared" si="0"/>
        <v>5.4014103971087302E-3</v>
      </c>
      <c r="K27" s="24">
        <f t="shared" si="1"/>
        <v>4.9831953620937952E-3</v>
      </c>
    </row>
    <row r="28" spans="1:11" x14ac:dyDescent="0.25">
      <c r="A28" s="21" t="s">
        <v>626</v>
      </c>
      <c r="B28" s="22">
        <f>VLOOKUP(A28,[2]Sheet1!$B$3:$E$264,4,FALSE)</f>
        <v>38106</v>
      </c>
      <c r="C28" s="23">
        <v>39761</v>
      </c>
      <c r="D28" s="23">
        <v>40717</v>
      </c>
      <c r="E28" s="23">
        <v>40717</v>
      </c>
      <c r="F28" s="23">
        <v>40717</v>
      </c>
      <c r="G28" s="23">
        <v>40717</v>
      </c>
      <c r="H28" s="23">
        <v>40717</v>
      </c>
      <c r="J28" s="24">
        <f t="shared" si="0"/>
        <v>1.1051760175782022E-3</v>
      </c>
      <c r="K28" s="24">
        <f t="shared" si="1"/>
        <v>4.7529618305985899E-4</v>
      </c>
    </row>
    <row r="29" spans="1:11" x14ac:dyDescent="0.25">
      <c r="A29" s="21" t="s">
        <v>2340</v>
      </c>
      <c r="B29" s="22">
        <f>VLOOKUP(A29,[2]Sheet1!$B$3:$E$264,4,FALSE)</f>
        <v>17187</v>
      </c>
      <c r="C29" s="23">
        <v>18539</v>
      </c>
      <c r="D29" s="23">
        <v>19946</v>
      </c>
      <c r="E29" s="23">
        <v>20838</v>
      </c>
      <c r="F29" s="23">
        <v>21735</v>
      </c>
      <c r="G29" s="23">
        <v>22442</v>
      </c>
      <c r="H29" s="23">
        <v>23022</v>
      </c>
      <c r="J29" s="24">
        <f t="shared" si="0"/>
        <v>4.8835022237048165E-3</v>
      </c>
      <c r="K29" s="24">
        <f t="shared" si="1"/>
        <v>4.3408675737743874E-3</v>
      </c>
    </row>
    <row r="30" spans="1:11" x14ac:dyDescent="0.25">
      <c r="A30" s="21" t="s">
        <v>3504</v>
      </c>
      <c r="B30" s="22">
        <f>VLOOKUP(A30,[2]Sheet1!$B$3:$E$264,4,FALSE)</f>
        <v>42750</v>
      </c>
      <c r="C30" s="23">
        <v>53114</v>
      </c>
      <c r="D30" s="23">
        <v>64268</v>
      </c>
      <c r="E30" s="23">
        <v>73673</v>
      </c>
      <c r="F30" s="23">
        <v>82668</v>
      </c>
      <c r="G30" s="23">
        <v>90571</v>
      </c>
      <c r="H30" s="23">
        <v>97426</v>
      </c>
      <c r="J30" s="24">
        <f t="shared" si="0"/>
        <v>1.3823403787858846E-2</v>
      </c>
      <c r="K30" s="24">
        <f t="shared" si="1"/>
        <v>1.2206955429167499E-2</v>
      </c>
    </row>
    <row r="31" spans="1:11" x14ac:dyDescent="0.25">
      <c r="A31" s="21" t="s">
        <v>2137</v>
      </c>
      <c r="B31" s="22">
        <f>VLOOKUP(A31,[2]Sheet1!$B$3:$E$264,4,FALSE)</f>
        <v>38066</v>
      </c>
      <c r="C31" s="23">
        <v>47008</v>
      </c>
      <c r="D31" s="23">
        <v>57553</v>
      </c>
      <c r="E31" s="23">
        <v>67955</v>
      </c>
      <c r="F31" s="23">
        <v>78243</v>
      </c>
      <c r="G31" s="23">
        <v>88639</v>
      </c>
      <c r="H31" s="23">
        <v>98754</v>
      </c>
      <c r="J31" s="24">
        <f t="shared" si="0"/>
        <v>1.6015400384739475E-2</v>
      </c>
      <c r="K31" s="24">
        <f t="shared" si="1"/>
        <v>1.4957035646956607E-2</v>
      </c>
    </row>
    <row r="32" spans="1:11" x14ac:dyDescent="0.25">
      <c r="A32" s="21" t="s">
        <v>84</v>
      </c>
      <c r="B32" s="22">
        <f>VLOOKUP(A32,[2]Sheet1!$B$3:$E$264,4,FALSE)</f>
        <v>21381</v>
      </c>
      <c r="C32" s="23">
        <v>24037</v>
      </c>
      <c r="D32" s="23">
        <v>26866</v>
      </c>
      <c r="E32" s="23">
        <v>29622</v>
      </c>
      <c r="F32" s="23">
        <v>32276</v>
      </c>
      <c r="G32" s="23">
        <v>34906</v>
      </c>
      <c r="H32" s="23">
        <v>37454</v>
      </c>
      <c r="J32" s="24">
        <f t="shared" si="0"/>
        <v>9.3873008304115046E-3</v>
      </c>
      <c r="K32" s="24">
        <f t="shared" si="1"/>
        <v>8.9098425104205958E-3</v>
      </c>
    </row>
    <row r="33" spans="1:11" x14ac:dyDescent="0.25">
      <c r="A33" s="21" t="s">
        <v>7376</v>
      </c>
      <c r="B33" s="22">
        <f>VLOOKUP(A33,[2]Sheet1!$B$3:$E$264,4,FALSE)</f>
        <v>13544</v>
      </c>
      <c r="C33" s="23">
        <v>14482</v>
      </c>
      <c r="D33" s="23">
        <v>15504</v>
      </c>
      <c r="E33" s="23">
        <v>16061</v>
      </c>
      <c r="F33" s="23">
        <v>16351</v>
      </c>
      <c r="G33" s="23">
        <v>16564</v>
      </c>
      <c r="H33" s="23">
        <v>16700</v>
      </c>
      <c r="J33" s="24">
        <f t="shared" si="0"/>
        <v>3.4971855098502314E-3</v>
      </c>
      <c r="K33" s="24">
        <f t="shared" si="1"/>
        <v>2.8541096468071014E-3</v>
      </c>
    </row>
    <row r="34" spans="1:11" x14ac:dyDescent="0.25">
      <c r="A34" s="21" t="s">
        <v>90</v>
      </c>
      <c r="B34" s="22">
        <f>VLOOKUP(A34,[2]Sheet1!$B$3:$E$264,4,FALSE)</f>
        <v>406220</v>
      </c>
      <c r="C34" s="23">
        <v>478974</v>
      </c>
      <c r="D34" s="23">
        <v>559593</v>
      </c>
      <c r="E34" s="23">
        <v>641376</v>
      </c>
      <c r="F34" s="23">
        <v>729461</v>
      </c>
      <c r="G34" s="23">
        <v>820068</v>
      </c>
      <c r="H34" s="23">
        <v>912941</v>
      </c>
      <c r="J34" s="24">
        <f t="shared" si="0"/>
        <v>1.3587758660002391E-2</v>
      </c>
      <c r="K34" s="24">
        <f t="shared" si="1"/>
        <v>1.2984069218582084E-2</v>
      </c>
    </row>
    <row r="35" spans="1:11" x14ac:dyDescent="0.25">
      <c r="A35" s="21" t="s">
        <v>6919</v>
      </c>
      <c r="B35" s="22">
        <f>VLOOKUP(A35,[2]Sheet1!$B$3:$E$264,4,FALSE)</f>
        <v>12401</v>
      </c>
      <c r="C35" s="23">
        <v>13555</v>
      </c>
      <c r="D35" s="23">
        <v>14873</v>
      </c>
      <c r="E35" s="23">
        <v>15904</v>
      </c>
      <c r="F35" s="23">
        <v>17127</v>
      </c>
      <c r="G35" s="23">
        <v>18264</v>
      </c>
      <c r="H35" s="23">
        <v>19372</v>
      </c>
      <c r="J35" s="24">
        <f t="shared" si="0"/>
        <v>7.4618957221823656E-3</v>
      </c>
      <c r="K35" s="24">
        <f t="shared" si="1"/>
        <v>7.1670259033811412E-3</v>
      </c>
    </row>
    <row r="36" spans="1:11" x14ac:dyDescent="0.25">
      <c r="A36" s="21" t="s">
        <v>1178</v>
      </c>
      <c r="B36" s="22">
        <f>VLOOKUP(A36,[2]Sheet1!$B$3:$E$264,4,FALSE)</f>
        <v>6182</v>
      </c>
      <c r="C36" s="23">
        <v>6354</v>
      </c>
      <c r="D36" s="23">
        <v>6520</v>
      </c>
      <c r="E36" s="23">
        <v>6632</v>
      </c>
      <c r="F36" s="23">
        <v>6632</v>
      </c>
      <c r="G36" s="23">
        <v>6632</v>
      </c>
      <c r="H36" s="23">
        <v>6632</v>
      </c>
      <c r="J36" s="24">
        <f t="shared" si="0"/>
        <v>1.1717622129101546E-3</v>
      </c>
      <c r="K36" s="24">
        <f t="shared" si="1"/>
        <v>8.5680448714864355E-4</v>
      </c>
    </row>
    <row r="37" spans="1:11" x14ac:dyDescent="0.25">
      <c r="A37" s="21" t="s">
        <v>883</v>
      </c>
      <c r="B37" s="22">
        <f>VLOOKUP(A37,[2]Sheet1!$B$3:$E$264,4,FALSE)</f>
        <v>30464</v>
      </c>
      <c r="C37" s="23">
        <v>31016</v>
      </c>
      <c r="D37" s="23">
        <v>31229</v>
      </c>
      <c r="E37" s="23">
        <v>31229</v>
      </c>
      <c r="F37" s="23">
        <v>31229</v>
      </c>
      <c r="G37" s="23">
        <v>31229</v>
      </c>
      <c r="H37" s="23">
        <v>31229</v>
      </c>
      <c r="J37" s="24">
        <f t="shared" si="0"/>
        <v>4.1344363894202374E-4</v>
      </c>
      <c r="K37" s="24">
        <f t="shared" si="1"/>
        <v>1.3688836676917226E-4</v>
      </c>
    </row>
    <row r="38" spans="1:11" x14ac:dyDescent="0.25">
      <c r="A38" s="21" t="s">
        <v>14946</v>
      </c>
      <c r="B38" s="22">
        <f>VLOOKUP(A38,[2]Sheet1!$B$3:$E$264,4,FALSE)</f>
        <v>8062</v>
      </c>
      <c r="C38" s="23">
        <v>8890</v>
      </c>
      <c r="D38" s="23">
        <v>9650</v>
      </c>
      <c r="E38" s="23">
        <v>10194</v>
      </c>
      <c r="F38" s="23">
        <v>10698</v>
      </c>
      <c r="G38" s="23">
        <v>11091</v>
      </c>
      <c r="H38" s="23">
        <v>11407</v>
      </c>
      <c r="J38" s="24">
        <f t="shared" si="0"/>
        <v>5.8011877165144998E-3</v>
      </c>
      <c r="K38" s="24">
        <f t="shared" si="1"/>
        <v>4.9984538482459318E-3</v>
      </c>
    </row>
    <row r="39" spans="1:11" x14ac:dyDescent="0.25">
      <c r="A39" s="21" t="s">
        <v>853</v>
      </c>
      <c r="B39" s="22">
        <f>VLOOKUP(A39,[2]Sheet1!$B$3:$E$264,4,FALSE)</f>
        <v>35096</v>
      </c>
      <c r="C39" s="23">
        <v>42162</v>
      </c>
      <c r="D39" s="23">
        <v>50543</v>
      </c>
      <c r="E39" s="23">
        <v>59210</v>
      </c>
      <c r="F39" s="23">
        <v>68541</v>
      </c>
      <c r="G39" s="23">
        <v>78519</v>
      </c>
      <c r="H39" s="23">
        <v>88999</v>
      </c>
      <c r="J39" s="24">
        <f t="shared" si="0"/>
        <v>1.5629854321493664E-2</v>
      </c>
      <c r="K39" s="24">
        <f t="shared" si="1"/>
        <v>1.5054307354842589E-2</v>
      </c>
    </row>
    <row r="40" spans="1:11" x14ac:dyDescent="0.25">
      <c r="A40" s="21" t="s">
        <v>72</v>
      </c>
      <c r="B40" s="22">
        <f>VLOOKUP(A40,[2]Sheet1!$B$3:$E$264,4,FALSE)</f>
        <v>50845</v>
      </c>
      <c r="C40" s="23">
        <v>55634</v>
      </c>
      <c r="D40" s="23">
        <v>61005</v>
      </c>
      <c r="E40" s="23">
        <v>66277</v>
      </c>
      <c r="F40" s="23">
        <v>72560</v>
      </c>
      <c r="G40" s="23">
        <v>79148</v>
      </c>
      <c r="H40" s="23">
        <v>86269</v>
      </c>
      <c r="J40" s="24">
        <f t="shared" si="0"/>
        <v>8.8504108634972489E-3</v>
      </c>
      <c r="K40" s="24">
        <f t="shared" si="1"/>
        <v>8.8121160215588468E-3</v>
      </c>
    </row>
    <row r="41" spans="1:11" x14ac:dyDescent="0.25">
      <c r="A41" s="21" t="s">
        <v>8917</v>
      </c>
      <c r="B41" s="22">
        <f>VLOOKUP(A41,[2]Sheet1!$B$3:$E$264,4,FALSE)</f>
        <v>7041</v>
      </c>
      <c r="C41" s="23">
        <v>7269</v>
      </c>
      <c r="D41" s="23">
        <v>7546</v>
      </c>
      <c r="E41" s="23">
        <v>7776</v>
      </c>
      <c r="F41" s="23">
        <v>8001</v>
      </c>
      <c r="G41" s="23">
        <v>8225</v>
      </c>
      <c r="H41" s="23">
        <v>8443</v>
      </c>
      <c r="J41" s="24">
        <f t="shared" si="0"/>
        <v>3.031042517310345E-3</v>
      </c>
      <c r="K41" s="24">
        <f t="shared" si="1"/>
        <v>2.9988669355105468E-3</v>
      </c>
    </row>
    <row r="42" spans="1:11" x14ac:dyDescent="0.25">
      <c r="A42" s="21" t="s">
        <v>226</v>
      </c>
      <c r="B42" s="22">
        <f>VLOOKUP(A42,[2]Sheet1!$B$3:$E$264,4,FALSE)</f>
        <v>10752</v>
      </c>
      <c r="C42" s="23">
        <v>11154</v>
      </c>
      <c r="D42" s="23">
        <v>11503</v>
      </c>
      <c r="E42" s="23">
        <v>11503</v>
      </c>
      <c r="F42" s="23">
        <v>11503</v>
      </c>
      <c r="G42" s="23">
        <v>11503</v>
      </c>
      <c r="H42" s="23">
        <v>11503</v>
      </c>
      <c r="J42" s="24">
        <f t="shared" si="0"/>
        <v>1.1259014705955472E-3</v>
      </c>
      <c r="K42" s="24">
        <f t="shared" si="1"/>
        <v>6.1638374536632234E-4</v>
      </c>
    </row>
    <row r="43" spans="1:11" x14ac:dyDescent="0.25">
      <c r="A43" s="21" t="s">
        <v>14947</v>
      </c>
      <c r="B43" s="22">
        <f>VLOOKUP(A43,[2]Sheet1!$B$3:$E$264,4,FALSE)</f>
        <v>3127</v>
      </c>
      <c r="C43" s="23">
        <v>3491</v>
      </c>
      <c r="D43" s="23">
        <v>3687</v>
      </c>
      <c r="E43" s="23">
        <v>3717</v>
      </c>
      <c r="F43" s="23">
        <v>3667</v>
      </c>
      <c r="G43" s="23">
        <v>3772</v>
      </c>
      <c r="H43" s="23">
        <v>3807</v>
      </c>
      <c r="J43" s="24">
        <f t="shared" si="0"/>
        <v>3.28483994985862E-3</v>
      </c>
      <c r="K43" s="24">
        <f t="shared" si="1"/>
        <v>1.7345676105948726E-3</v>
      </c>
    </row>
    <row r="44" spans="1:11" x14ac:dyDescent="0.25">
      <c r="A44" s="21" t="s">
        <v>9488</v>
      </c>
      <c r="B44" s="22">
        <f>VLOOKUP(A44,[2]Sheet1!$B$3:$E$264,4,FALSE)</f>
        <v>3320</v>
      </c>
      <c r="C44" s="23">
        <v>3320</v>
      </c>
      <c r="D44" s="23">
        <v>3320</v>
      </c>
      <c r="E44" s="23">
        <v>3320</v>
      </c>
      <c r="F44" s="23">
        <v>3320</v>
      </c>
      <c r="G44" s="23">
        <v>3320</v>
      </c>
      <c r="H44" s="23">
        <v>3320</v>
      </c>
      <c r="J44" s="24">
        <f t="shared" si="0"/>
        <v>0</v>
      </c>
      <c r="K44" s="24">
        <f t="shared" si="1"/>
        <v>0</v>
      </c>
    </row>
    <row r="45" spans="1:11" x14ac:dyDescent="0.25">
      <c r="A45" s="21" t="s">
        <v>5908</v>
      </c>
      <c r="B45" s="22">
        <f>VLOOKUP(A45,[2]Sheet1!$B$3:$E$264,4,FALSE)</f>
        <v>8895</v>
      </c>
      <c r="C45" s="23">
        <v>9103</v>
      </c>
      <c r="D45" s="23">
        <v>9307</v>
      </c>
      <c r="E45" s="23">
        <v>9307</v>
      </c>
      <c r="F45" s="23">
        <v>9307</v>
      </c>
      <c r="G45" s="23">
        <v>9307</v>
      </c>
      <c r="H45" s="23">
        <v>9307</v>
      </c>
      <c r="J45" s="24">
        <f t="shared" si="0"/>
        <v>7.5490953564272267E-4</v>
      </c>
      <c r="K45" s="24">
        <f t="shared" si="1"/>
        <v>4.433537658499187E-4</v>
      </c>
    </row>
    <row r="46" spans="1:11" x14ac:dyDescent="0.25">
      <c r="A46" s="21" t="s">
        <v>239</v>
      </c>
      <c r="B46" s="22">
        <f>VLOOKUP(A46,[2]Sheet1!$B$3:$E$264,4,FALSE)</f>
        <v>782341</v>
      </c>
      <c r="C46" s="23">
        <v>1050506</v>
      </c>
      <c r="D46" s="23">
        <v>1239303</v>
      </c>
      <c r="E46" s="23">
        <v>1497921</v>
      </c>
      <c r="F46" s="23">
        <v>1807279</v>
      </c>
      <c r="G46" s="23">
        <v>2093720</v>
      </c>
      <c r="H46" s="23">
        <v>2373092</v>
      </c>
      <c r="J46" s="24">
        <f t="shared" si="0"/>
        <v>1.8666384158609661E-2</v>
      </c>
      <c r="K46" s="24">
        <f t="shared" si="1"/>
        <v>1.6431979905825234E-2</v>
      </c>
    </row>
    <row r="47" spans="1:11" x14ac:dyDescent="0.25">
      <c r="A47" s="21" t="s">
        <v>14948</v>
      </c>
      <c r="B47" s="22">
        <f>VLOOKUP(A47,[2]Sheet1!$B$3:$E$264,4,FALSE)</f>
        <v>3057</v>
      </c>
      <c r="C47" s="23">
        <v>3236</v>
      </c>
      <c r="D47" s="23">
        <v>3408</v>
      </c>
      <c r="E47" s="23">
        <v>3522</v>
      </c>
      <c r="F47" s="23">
        <v>3653</v>
      </c>
      <c r="G47" s="23">
        <v>3755</v>
      </c>
      <c r="H47" s="23">
        <v>3844</v>
      </c>
      <c r="J47" s="24">
        <f t="shared" si="0"/>
        <v>3.8252886149130472E-3</v>
      </c>
      <c r="K47" s="24">
        <f t="shared" si="1"/>
        <v>3.4494455294871162E-3</v>
      </c>
    </row>
    <row r="48" spans="1:11" x14ac:dyDescent="0.25">
      <c r="A48" s="21" t="s">
        <v>3523</v>
      </c>
      <c r="B48" s="22">
        <f>VLOOKUP(A48,[2]Sheet1!$B$3:$E$264,4,FALSE)</f>
        <v>20874</v>
      </c>
      <c r="C48" s="23">
        <v>21884</v>
      </c>
      <c r="D48" s="23">
        <v>22836</v>
      </c>
      <c r="E48" s="23">
        <v>23544</v>
      </c>
      <c r="F48" s="23">
        <v>24582</v>
      </c>
      <c r="G48" s="23">
        <v>25449</v>
      </c>
      <c r="H48" s="23">
        <v>26293</v>
      </c>
      <c r="J48" s="24">
        <f t="shared" si="0"/>
        <v>3.8540474580155415E-3</v>
      </c>
      <c r="K48" s="24">
        <f t="shared" si="1"/>
        <v>3.677685507449846E-3</v>
      </c>
    </row>
    <row r="49" spans="1:11" x14ac:dyDescent="0.25">
      <c r="A49" s="21" t="s">
        <v>274</v>
      </c>
      <c r="B49" s="22">
        <f>VLOOKUP(A49,[2]Sheet1!$B$3:$E$264,4,FALSE)</f>
        <v>108472</v>
      </c>
      <c r="C49" s="23">
        <v>152499</v>
      </c>
      <c r="D49" s="23">
        <v>193188</v>
      </c>
      <c r="E49" s="23">
        <v>234515</v>
      </c>
      <c r="F49" s="23">
        <v>276239</v>
      </c>
      <c r="G49" s="23">
        <v>317682</v>
      </c>
      <c r="H49" s="23">
        <v>357464</v>
      </c>
      <c r="J49" s="24">
        <f t="shared" si="0"/>
        <v>2.0074546786141401E-2</v>
      </c>
      <c r="K49" s="24">
        <f t="shared" si="1"/>
        <v>1.7183498928736052E-2</v>
      </c>
    </row>
    <row r="50" spans="1:11" x14ac:dyDescent="0.25">
      <c r="A50" s="21" t="s">
        <v>1323</v>
      </c>
      <c r="B50" s="22">
        <f>VLOOKUP(A50,[2]Sheet1!$B$3:$E$264,4,FALSE)</f>
        <v>13974</v>
      </c>
      <c r="C50" s="23">
        <v>14502</v>
      </c>
      <c r="D50" s="23">
        <v>15078</v>
      </c>
      <c r="E50" s="23">
        <v>15467</v>
      </c>
      <c r="F50" s="23">
        <v>15974</v>
      </c>
      <c r="G50" s="23">
        <v>16406</v>
      </c>
      <c r="H50" s="23">
        <v>16814</v>
      </c>
      <c r="J50" s="24">
        <f t="shared" si="0"/>
        <v>3.0883159282308892E-3</v>
      </c>
      <c r="K50" s="24">
        <f t="shared" si="1"/>
        <v>2.962886733296255E-3</v>
      </c>
    </row>
    <row r="51" spans="1:11" x14ac:dyDescent="0.25">
      <c r="A51" s="21" t="s">
        <v>11279</v>
      </c>
      <c r="B51" s="22">
        <f>VLOOKUP(A51,[2]Sheet1!$B$3:$E$264,4,FALSE)</f>
        <v>4087</v>
      </c>
      <c r="C51" s="23">
        <v>2781</v>
      </c>
      <c r="D51" s="23">
        <v>2852</v>
      </c>
      <c r="E51" s="23">
        <v>2852</v>
      </c>
      <c r="F51" s="23">
        <v>2852</v>
      </c>
      <c r="G51" s="23">
        <v>2852</v>
      </c>
      <c r="H51" s="23">
        <v>2852</v>
      </c>
      <c r="J51" s="24">
        <f t="shared" si="0"/>
        <v>-5.9785685076515493E-3</v>
      </c>
      <c r="K51" s="24">
        <f t="shared" si="1"/>
        <v>5.0432567545666274E-4</v>
      </c>
    </row>
    <row r="52" spans="1:11" x14ac:dyDescent="0.25">
      <c r="A52" s="21" t="s">
        <v>726</v>
      </c>
      <c r="B52" s="22">
        <f>VLOOKUP(A52,[2]Sheet1!$B$3:$E$264,4,FALSE)</f>
        <v>38437</v>
      </c>
      <c r="C52" s="23">
        <v>40903</v>
      </c>
      <c r="D52" s="23">
        <v>44035</v>
      </c>
      <c r="E52" s="23">
        <v>46984</v>
      </c>
      <c r="F52" s="23">
        <v>52427</v>
      </c>
      <c r="G52" s="23">
        <v>62905</v>
      </c>
      <c r="H52" s="23">
        <v>95351</v>
      </c>
      <c r="J52" s="24">
        <f t="shared" si="0"/>
        <v>1.5257631785782433E-2</v>
      </c>
      <c r="K52" s="24">
        <f t="shared" si="1"/>
        <v>1.7071305515890867E-2</v>
      </c>
    </row>
    <row r="53" spans="1:11" x14ac:dyDescent="0.25">
      <c r="A53" s="21" t="s">
        <v>2273</v>
      </c>
      <c r="B53" s="22">
        <f>VLOOKUP(A53,[2]Sheet1!$B$3:$E$264,4,FALSE)</f>
        <v>75388</v>
      </c>
      <c r="C53" s="23">
        <v>86105</v>
      </c>
      <c r="D53" s="23">
        <v>97771</v>
      </c>
      <c r="E53" s="23">
        <v>110752</v>
      </c>
      <c r="F53" s="23">
        <v>122101</v>
      </c>
      <c r="G53" s="23">
        <v>134199</v>
      </c>
      <c r="H53" s="23">
        <v>146240</v>
      </c>
      <c r="J53" s="24">
        <f t="shared" si="0"/>
        <v>1.1104552818941293E-2</v>
      </c>
      <c r="K53" s="24">
        <f t="shared" si="1"/>
        <v>1.0649943714992505E-2</v>
      </c>
    </row>
    <row r="54" spans="1:11" x14ac:dyDescent="0.25">
      <c r="A54" s="21" t="s">
        <v>14949</v>
      </c>
      <c r="B54" s="22">
        <f>VLOOKUP(A54,[2]Sheet1!$B$3:$E$264,4,FALSE)</f>
        <v>1505</v>
      </c>
      <c r="C54" s="23">
        <v>1552</v>
      </c>
      <c r="D54" s="23">
        <v>1552</v>
      </c>
      <c r="E54" s="23">
        <v>1552</v>
      </c>
      <c r="F54" s="23">
        <v>1552</v>
      </c>
      <c r="G54" s="23">
        <v>1552</v>
      </c>
      <c r="H54" s="23">
        <v>1552</v>
      </c>
      <c r="J54" s="24">
        <f t="shared" si="0"/>
        <v>5.1265675625034035E-4</v>
      </c>
      <c r="K54" s="24">
        <f t="shared" si="1"/>
        <v>0</v>
      </c>
    </row>
    <row r="55" spans="1:11" x14ac:dyDescent="0.25">
      <c r="A55" s="21" t="s">
        <v>14950</v>
      </c>
      <c r="B55" s="22">
        <f>VLOOKUP(A55,[2]Sheet1!$B$3:$E$264,4,FALSE)</f>
        <v>4375</v>
      </c>
      <c r="C55" s="23">
        <v>5056</v>
      </c>
      <c r="D55" s="23">
        <v>5713</v>
      </c>
      <c r="E55" s="23">
        <v>6241</v>
      </c>
      <c r="F55" s="23">
        <v>6737</v>
      </c>
      <c r="G55" s="23">
        <v>7151</v>
      </c>
      <c r="H55" s="23">
        <v>7501</v>
      </c>
      <c r="J55" s="24">
        <f t="shared" si="0"/>
        <v>9.0259878509266755E-3</v>
      </c>
      <c r="K55" s="24">
        <f t="shared" si="1"/>
        <v>7.9204156084609068E-3</v>
      </c>
    </row>
    <row r="56" spans="1:11" x14ac:dyDescent="0.25">
      <c r="A56" s="21" t="s">
        <v>11773</v>
      </c>
      <c r="B56" s="22">
        <f>VLOOKUP(A56,[2]Sheet1!$B$3:$E$264,4,FALSE)</f>
        <v>3719</v>
      </c>
      <c r="C56" s="23">
        <v>4111</v>
      </c>
      <c r="D56" s="23">
        <v>4386</v>
      </c>
      <c r="E56" s="23">
        <v>4446</v>
      </c>
      <c r="F56" s="23">
        <v>4486</v>
      </c>
      <c r="G56" s="23">
        <v>4500</v>
      </c>
      <c r="H56" s="23">
        <v>4506</v>
      </c>
      <c r="J56" s="24">
        <f t="shared" si="0"/>
        <v>3.2043735147073704E-3</v>
      </c>
      <c r="K56" s="24">
        <f t="shared" si="1"/>
        <v>1.8365550871601855E-3</v>
      </c>
    </row>
    <row r="57" spans="1:11" x14ac:dyDescent="0.25">
      <c r="A57" s="21" t="s">
        <v>9105</v>
      </c>
      <c r="B57" s="22">
        <f>VLOOKUP(A57,[2]Sheet1!$B$3:$E$264,4,FALSE)</f>
        <v>6059</v>
      </c>
      <c r="C57" s="23">
        <v>6526</v>
      </c>
      <c r="D57" s="23">
        <v>7023</v>
      </c>
      <c r="E57" s="23">
        <v>7433</v>
      </c>
      <c r="F57" s="23">
        <v>7850</v>
      </c>
      <c r="G57" s="23">
        <v>8299</v>
      </c>
      <c r="H57" s="23">
        <v>8715</v>
      </c>
      <c r="J57" s="24">
        <f t="shared" si="0"/>
        <v>6.0767373933781066E-3</v>
      </c>
      <c r="K57" s="24">
        <f t="shared" si="1"/>
        <v>5.8017952140816398E-3</v>
      </c>
    </row>
    <row r="58" spans="1:11" x14ac:dyDescent="0.25">
      <c r="A58" s="21" t="s">
        <v>1670</v>
      </c>
      <c r="B58" s="22">
        <f>VLOOKUP(A58,[2]Sheet1!$B$3:$E$264,4,FALSE)</f>
        <v>2398</v>
      </c>
      <c r="C58" s="23">
        <v>2695</v>
      </c>
      <c r="D58" s="23">
        <v>2954</v>
      </c>
      <c r="E58" s="23">
        <v>3069</v>
      </c>
      <c r="F58" s="23">
        <v>3173</v>
      </c>
      <c r="G58" s="23">
        <v>3233</v>
      </c>
      <c r="H58" s="23">
        <v>3272</v>
      </c>
      <c r="J58" s="24">
        <f t="shared" si="0"/>
        <v>5.1928758528094754E-3</v>
      </c>
      <c r="K58" s="24">
        <f t="shared" si="1"/>
        <v>3.8876014821422888E-3</v>
      </c>
    </row>
    <row r="59" spans="1:11" x14ac:dyDescent="0.25">
      <c r="A59" s="21" t="s">
        <v>14951</v>
      </c>
      <c r="B59" s="22">
        <f>VLOOKUP(A59,[2]Sheet1!$B$3:$E$264,4,FALSE)</f>
        <v>6703</v>
      </c>
      <c r="C59" s="23">
        <v>7718</v>
      </c>
      <c r="D59" s="23">
        <v>8668</v>
      </c>
      <c r="E59" s="23">
        <v>9667</v>
      </c>
      <c r="F59" s="23">
        <v>10650</v>
      </c>
      <c r="G59" s="23">
        <v>11594</v>
      </c>
      <c r="H59" s="23">
        <v>12503</v>
      </c>
      <c r="J59" s="24">
        <f t="shared" si="0"/>
        <v>1.0444389613369909E-2</v>
      </c>
      <c r="K59" s="24">
        <f t="shared" si="1"/>
        <v>9.6949616295731733E-3</v>
      </c>
    </row>
    <row r="60" spans="1:11" x14ac:dyDescent="0.25">
      <c r="A60" s="21" t="s">
        <v>471</v>
      </c>
      <c r="B60" s="22">
        <f>VLOOKUP(A60,[2]Sheet1!$B$3:$E$264,4,FALSE)</f>
        <v>2368139</v>
      </c>
      <c r="C60" s="23">
        <v>2587960</v>
      </c>
      <c r="D60" s="23">
        <v>2871662</v>
      </c>
      <c r="E60" s="23">
        <v>3180529</v>
      </c>
      <c r="F60" s="23">
        <v>3429783</v>
      </c>
      <c r="G60" s="23">
        <v>3627334</v>
      </c>
      <c r="H60" s="23">
        <v>3770858</v>
      </c>
      <c r="J60" s="24">
        <f t="shared" si="0"/>
        <v>7.7834371327052398E-3</v>
      </c>
      <c r="K60" s="24">
        <f t="shared" si="1"/>
        <v>7.5570643862667986E-3</v>
      </c>
    </row>
    <row r="61" spans="1:11" x14ac:dyDescent="0.25">
      <c r="A61" s="21" t="s">
        <v>2875</v>
      </c>
      <c r="B61" s="22">
        <f>VLOOKUP(A61,[2]Sheet1!$B$3:$E$264,4,FALSE)</f>
        <v>13833</v>
      </c>
      <c r="C61" s="23">
        <v>14807</v>
      </c>
      <c r="D61" s="23">
        <v>15577</v>
      </c>
      <c r="E61" s="23">
        <v>16177</v>
      </c>
      <c r="F61" s="23">
        <v>16440</v>
      </c>
      <c r="G61" s="23">
        <v>17098</v>
      </c>
      <c r="H61" s="23">
        <v>17575</v>
      </c>
      <c r="J61" s="24">
        <f t="shared" si="0"/>
        <v>3.9983119365911701E-3</v>
      </c>
      <c r="K61" s="24">
        <f t="shared" si="1"/>
        <v>3.4334286747010889E-3</v>
      </c>
    </row>
    <row r="62" spans="1:11" x14ac:dyDescent="0.25">
      <c r="A62" s="21" t="s">
        <v>5895</v>
      </c>
      <c r="B62" s="22">
        <f>VLOOKUP(A62,[2]Sheet1!$B$3:$E$264,4,FALSE)</f>
        <v>19372</v>
      </c>
      <c r="C62" s="23">
        <v>22151</v>
      </c>
      <c r="D62" s="23">
        <v>25573</v>
      </c>
      <c r="E62" s="23">
        <v>29314</v>
      </c>
      <c r="F62" s="23">
        <v>33554</v>
      </c>
      <c r="G62" s="23">
        <v>36887</v>
      </c>
      <c r="H62" s="23">
        <v>40531</v>
      </c>
      <c r="J62" s="24">
        <f t="shared" si="0"/>
        <v>1.2379978427982552E-2</v>
      </c>
      <c r="K62" s="24">
        <f t="shared" si="1"/>
        <v>1.2156992157690949E-2</v>
      </c>
    </row>
    <row r="63" spans="1:11" x14ac:dyDescent="0.25">
      <c r="A63" s="21" t="s">
        <v>4483</v>
      </c>
      <c r="B63" s="22">
        <f>VLOOKUP(A63,[2]Sheet1!$B$3:$E$264,4,FALSE)</f>
        <v>5231</v>
      </c>
      <c r="C63" s="23">
        <v>5320</v>
      </c>
      <c r="D63" s="23">
        <v>5376</v>
      </c>
      <c r="E63" s="23">
        <v>5376</v>
      </c>
      <c r="F63" s="23">
        <v>5376</v>
      </c>
      <c r="G63" s="23">
        <v>5376</v>
      </c>
      <c r="H63" s="23">
        <v>5376</v>
      </c>
      <c r="J63" s="24">
        <f t="shared" si="0"/>
        <v>4.5580616194640378E-4</v>
      </c>
      <c r="K63" s="24">
        <f t="shared" si="1"/>
        <v>2.0944792850108307E-4</v>
      </c>
    </row>
    <row r="64" spans="1:11" x14ac:dyDescent="0.25">
      <c r="A64" s="21" t="s">
        <v>168</v>
      </c>
      <c r="B64" s="22">
        <f>VLOOKUP(A64,[2]Sheet1!$B$3:$E$264,4,FALSE)</f>
        <v>662614</v>
      </c>
      <c r="C64" s="23">
        <v>891063</v>
      </c>
      <c r="D64" s="23">
        <v>1115119</v>
      </c>
      <c r="E64" s="23">
        <v>1329551</v>
      </c>
      <c r="F64" s="23">
        <v>1584015</v>
      </c>
      <c r="G64" s="23">
        <v>1866215</v>
      </c>
      <c r="H64" s="23">
        <v>2113136</v>
      </c>
      <c r="J64" s="24">
        <f t="shared" si="0"/>
        <v>1.9516942506767831E-2</v>
      </c>
      <c r="K64" s="24">
        <f t="shared" si="1"/>
        <v>1.7420258195172567E-2</v>
      </c>
    </row>
    <row r="65" spans="1:11" x14ac:dyDescent="0.25">
      <c r="A65" s="21" t="s">
        <v>7844</v>
      </c>
      <c r="B65" s="22">
        <f>VLOOKUP(A65,[2]Sheet1!$B$3:$E$264,4,FALSE)</f>
        <v>20097</v>
      </c>
      <c r="C65" s="23">
        <v>20855</v>
      </c>
      <c r="D65" s="23">
        <v>21555</v>
      </c>
      <c r="E65" s="23">
        <v>21900</v>
      </c>
      <c r="F65" s="23">
        <v>22216</v>
      </c>
      <c r="G65" s="23">
        <v>22425</v>
      </c>
      <c r="H65" s="23">
        <v>22572</v>
      </c>
      <c r="J65" s="24">
        <f t="shared" si="0"/>
        <v>1.9375354326409688E-3</v>
      </c>
      <c r="K65" s="24">
        <f t="shared" si="1"/>
        <v>1.5835819929610473E-3</v>
      </c>
    </row>
    <row r="66" spans="1:11" x14ac:dyDescent="0.25">
      <c r="A66" s="21" t="s">
        <v>14952</v>
      </c>
      <c r="B66" s="22">
        <f>VLOOKUP(A66,[2]Sheet1!$B$3:$E$264,4,FALSE)</f>
        <v>2444</v>
      </c>
      <c r="C66" s="23">
        <v>2164</v>
      </c>
      <c r="D66" s="23">
        <v>2164</v>
      </c>
      <c r="E66" s="23">
        <v>2164</v>
      </c>
      <c r="F66" s="23">
        <v>2164</v>
      </c>
      <c r="G66" s="23">
        <v>2164</v>
      </c>
      <c r="H66" s="23">
        <v>2164</v>
      </c>
      <c r="J66" s="24">
        <f t="shared" si="0"/>
        <v>-2.0259064144931838E-3</v>
      </c>
      <c r="K66" s="24">
        <f t="shared" si="1"/>
        <v>0</v>
      </c>
    </row>
    <row r="67" spans="1:11" x14ac:dyDescent="0.25">
      <c r="A67" s="21" t="s">
        <v>5842</v>
      </c>
      <c r="B67" s="22">
        <f>VLOOKUP(A67,[2]Sheet1!$B$3:$E$264,4,FALSE)</f>
        <v>9996</v>
      </c>
      <c r="C67" s="23">
        <v>10875</v>
      </c>
      <c r="D67" s="23">
        <v>11725</v>
      </c>
      <c r="E67" s="23">
        <v>12275</v>
      </c>
      <c r="F67" s="23">
        <v>12825</v>
      </c>
      <c r="G67" s="23">
        <v>13246</v>
      </c>
      <c r="H67" s="23">
        <v>13585</v>
      </c>
      <c r="J67" s="24">
        <f t="shared" si="0"/>
        <v>5.1261142945060456E-3</v>
      </c>
      <c r="K67" s="24">
        <f t="shared" si="1"/>
        <v>4.4599092414783215E-3</v>
      </c>
    </row>
    <row r="68" spans="1:11" x14ac:dyDescent="0.25">
      <c r="A68" s="21" t="s">
        <v>14953</v>
      </c>
      <c r="B68" s="22">
        <f>VLOOKUP(A68,[2]Sheet1!$B$3:$E$264,4,FALSE)</f>
        <v>3677</v>
      </c>
      <c r="C68" s="23">
        <v>3788</v>
      </c>
      <c r="D68" s="23">
        <v>3788</v>
      </c>
      <c r="E68" s="23">
        <v>3788</v>
      </c>
      <c r="F68" s="23">
        <v>3788</v>
      </c>
      <c r="G68" s="23">
        <v>3788</v>
      </c>
      <c r="H68" s="23">
        <v>3788</v>
      </c>
      <c r="J68" s="24">
        <f t="shared" si="0"/>
        <v>4.9580575447283337E-4</v>
      </c>
      <c r="K68" s="24">
        <f t="shared" si="1"/>
        <v>0</v>
      </c>
    </row>
    <row r="69" spans="1:11" x14ac:dyDescent="0.25">
      <c r="A69" s="21" t="s">
        <v>1464</v>
      </c>
      <c r="B69" s="22">
        <f>VLOOKUP(A69,[2]Sheet1!$B$3:$E$264,4,FALSE)</f>
        <v>11782</v>
      </c>
      <c r="C69" s="23">
        <v>12715</v>
      </c>
      <c r="D69" s="23">
        <v>13470</v>
      </c>
      <c r="E69" s="23">
        <v>14098</v>
      </c>
      <c r="F69" s="23">
        <v>14644</v>
      </c>
      <c r="G69" s="23">
        <v>15080</v>
      </c>
      <c r="H69" s="23">
        <v>15435</v>
      </c>
      <c r="J69" s="24">
        <f t="shared" ref="J69:J132" si="2">((H69/B69)^(1/($H$3-$B$3))-1)</f>
        <v>4.5112236506472669E-3</v>
      </c>
      <c r="K69" s="24">
        <f t="shared" ref="K69:K132" si="3">((H69/C69)^(1/($H$3-$C$3))-1)</f>
        <v>3.884630876722639E-3</v>
      </c>
    </row>
    <row r="70" spans="1:11" x14ac:dyDescent="0.25">
      <c r="A70" s="21" t="s">
        <v>682</v>
      </c>
      <c r="B70" s="22">
        <f>VLOOKUP(A70,[2]Sheet1!$B$3:$E$264,4,FALSE)</f>
        <v>18583</v>
      </c>
      <c r="C70" s="23">
        <v>19289</v>
      </c>
      <c r="D70" s="23">
        <v>19712</v>
      </c>
      <c r="E70" s="23">
        <v>19730</v>
      </c>
      <c r="F70" s="23">
        <v>19732</v>
      </c>
      <c r="G70" s="23">
        <v>19732</v>
      </c>
      <c r="H70" s="23">
        <v>19732</v>
      </c>
      <c r="J70" s="24">
        <f t="shared" si="2"/>
        <v>1.000408392984431E-3</v>
      </c>
      <c r="K70" s="24">
        <f t="shared" si="3"/>
        <v>4.5423709702752113E-4</v>
      </c>
    </row>
    <row r="71" spans="1:11" x14ac:dyDescent="0.25">
      <c r="A71" s="21" t="s">
        <v>4746</v>
      </c>
      <c r="B71" s="22">
        <f>VLOOKUP(A71,[2]Sheet1!$B$3:$E$264,4,FALSE)</f>
        <v>137130</v>
      </c>
      <c r="C71" s="23">
        <v>164289</v>
      </c>
      <c r="D71" s="23">
        <v>187604</v>
      </c>
      <c r="E71" s="23">
        <v>210926</v>
      </c>
      <c r="F71" s="23">
        <v>233048</v>
      </c>
      <c r="G71" s="23">
        <v>255083</v>
      </c>
      <c r="H71" s="23">
        <v>278740</v>
      </c>
      <c r="J71" s="24">
        <f t="shared" si="2"/>
        <v>1.1892663101705336E-2</v>
      </c>
      <c r="K71" s="24">
        <f t="shared" si="3"/>
        <v>1.0629139692758915E-2</v>
      </c>
    </row>
    <row r="72" spans="1:11" x14ac:dyDescent="0.25">
      <c r="A72" s="21" t="s">
        <v>6755</v>
      </c>
      <c r="B72" s="22">
        <f>VLOOKUP(A72,[2]Sheet1!$B$3:$E$264,4,FALSE)</f>
        <v>2002</v>
      </c>
      <c r="C72" s="23">
        <v>2123</v>
      </c>
      <c r="D72" s="23">
        <v>2123</v>
      </c>
      <c r="E72" s="23">
        <v>2123</v>
      </c>
      <c r="F72" s="23">
        <v>2123</v>
      </c>
      <c r="G72" s="23">
        <v>2123</v>
      </c>
      <c r="H72" s="23">
        <v>2123</v>
      </c>
      <c r="J72" s="24">
        <f t="shared" si="2"/>
        <v>9.7853681885595734E-4</v>
      </c>
      <c r="K72" s="24">
        <f t="shared" si="3"/>
        <v>0</v>
      </c>
    </row>
    <row r="73" spans="1:11" x14ac:dyDescent="0.25">
      <c r="A73" s="21" t="s">
        <v>2178</v>
      </c>
      <c r="B73" s="22">
        <f>VLOOKUP(A73,[2]Sheet1!$B$3:$E$264,4,FALSE)</f>
        <v>800647</v>
      </c>
      <c r="C73" s="23">
        <v>925565</v>
      </c>
      <c r="D73" s="23">
        <v>1055903</v>
      </c>
      <c r="E73" s="23">
        <v>1176945</v>
      </c>
      <c r="F73" s="23">
        <v>1296927</v>
      </c>
      <c r="G73" s="23">
        <v>1410527</v>
      </c>
      <c r="H73" s="23">
        <v>1517340</v>
      </c>
      <c r="J73" s="24">
        <f t="shared" si="2"/>
        <v>1.0711864408879501E-2</v>
      </c>
      <c r="K73" s="24">
        <f t="shared" si="3"/>
        <v>9.935224238301954E-3</v>
      </c>
    </row>
    <row r="74" spans="1:11" x14ac:dyDescent="0.25">
      <c r="A74" s="21" t="s">
        <v>1288</v>
      </c>
      <c r="B74" s="22">
        <f>VLOOKUP(A74,[2]Sheet1!$B$3:$E$264,4,FALSE)</f>
        <v>149610</v>
      </c>
      <c r="C74" s="23">
        <v>191638</v>
      </c>
      <c r="D74" s="23">
        <v>241778</v>
      </c>
      <c r="E74" s="23">
        <v>280745</v>
      </c>
      <c r="F74" s="23">
        <v>360584</v>
      </c>
      <c r="G74" s="23">
        <v>479939</v>
      </c>
      <c r="H74" s="23">
        <v>670845</v>
      </c>
      <c r="J74" s="24">
        <f t="shared" si="2"/>
        <v>2.5323770863510786E-2</v>
      </c>
      <c r="K74" s="24">
        <f t="shared" si="3"/>
        <v>2.5375204439554988E-2</v>
      </c>
    </row>
    <row r="75" spans="1:11" x14ac:dyDescent="0.25">
      <c r="A75" s="21" t="s">
        <v>3656</v>
      </c>
      <c r="B75" s="22">
        <f>VLOOKUP(A75,[2]Sheet1!$B$3:$E$264,4,FALSE)</f>
        <v>37890</v>
      </c>
      <c r="C75" s="23">
        <v>42135</v>
      </c>
      <c r="D75" s="23">
        <v>46923</v>
      </c>
      <c r="E75" s="23">
        <v>50968</v>
      </c>
      <c r="F75" s="23">
        <v>54827</v>
      </c>
      <c r="G75" s="23">
        <v>58474</v>
      </c>
      <c r="H75" s="23">
        <v>61844</v>
      </c>
      <c r="J75" s="24">
        <f t="shared" si="2"/>
        <v>8.1988926647429405E-3</v>
      </c>
      <c r="K75" s="24">
        <f t="shared" si="3"/>
        <v>7.7042529222794975E-3</v>
      </c>
    </row>
    <row r="76" spans="1:11" x14ac:dyDescent="0.25">
      <c r="A76" s="21" t="s">
        <v>2646</v>
      </c>
      <c r="B76" s="22">
        <f>VLOOKUP(A76,[2]Sheet1!$B$3:$E$264,4,FALSE)</f>
        <v>17866</v>
      </c>
      <c r="C76" s="23">
        <v>19413</v>
      </c>
      <c r="D76" s="23">
        <v>20397</v>
      </c>
      <c r="E76" s="23">
        <v>20610</v>
      </c>
      <c r="F76" s="23">
        <v>20126</v>
      </c>
      <c r="G76" s="23">
        <v>20736</v>
      </c>
      <c r="H76" s="23">
        <v>21364</v>
      </c>
      <c r="J76" s="24">
        <f t="shared" si="2"/>
        <v>2.9845749550314604E-3</v>
      </c>
      <c r="K76" s="24">
        <f t="shared" si="3"/>
        <v>1.9171216871378682E-3</v>
      </c>
    </row>
    <row r="77" spans="1:11" x14ac:dyDescent="0.25">
      <c r="A77" s="21" t="s">
        <v>45</v>
      </c>
      <c r="B77" s="22">
        <f>VLOOKUP(A77,[2]Sheet1!$B$3:$E$264,4,FALSE)</f>
        <v>33915</v>
      </c>
      <c r="C77" s="23">
        <v>38330</v>
      </c>
      <c r="D77" s="23">
        <v>43084</v>
      </c>
      <c r="E77" s="23">
        <v>52891</v>
      </c>
      <c r="F77" s="23">
        <v>69328</v>
      </c>
      <c r="G77" s="23">
        <v>101706</v>
      </c>
      <c r="H77" s="23">
        <v>137732</v>
      </c>
      <c r="J77" s="24">
        <f t="shared" si="2"/>
        <v>2.3632463227563294E-2</v>
      </c>
      <c r="K77" s="24">
        <f t="shared" si="3"/>
        <v>2.5911553402448106E-2</v>
      </c>
    </row>
    <row r="78" spans="1:11" x14ac:dyDescent="0.25">
      <c r="A78" s="21" t="s">
        <v>296</v>
      </c>
      <c r="B78" s="22">
        <f>VLOOKUP(A78,[2]Sheet1!$B$3:$E$264,4,FALSE)</f>
        <v>24554</v>
      </c>
      <c r="C78" s="23">
        <v>28373</v>
      </c>
      <c r="D78" s="23">
        <v>32384</v>
      </c>
      <c r="E78" s="23">
        <v>35108</v>
      </c>
      <c r="F78" s="23">
        <v>37351</v>
      </c>
      <c r="G78" s="23">
        <v>39119</v>
      </c>
      <c r="H78" s="23">
        <v>40476</v>
      </c>
      <c r="J78" s="24">
        <f t="shared" si="2"/>
        <v>8.3653696548120493E-3</v>
      </c>
      <c r="K78" s="24">
        <f t="shared" si="3"/>
        <v>7.1307277651917467E-3</v>
      </c>
    </row>
    <row r="79" spans="1:11" x14ac:dyDescent="0.25">
      <c r="A79" s="21" t="s">
        <v>14954</v>
      </c>
      <c r="B79" s="22">
        <f>VLOOKUP(A79,[2]Sheet1!$B$3:$E$264,4,FALSE)</f>
        <v>3974</v>
      </c>
      <c r="C79" s="23">
        <v>4001</v>
      </c>
      <c r="D79" s="23">
        <v>4001</v>
      </c>
      <c r="E79" s="23">
        <v>4001</v>
      </c>
      <c r="F79" s="23">
        <v>4001</v>
      </c>
      <c r="G79" s="23">
        <v>4001</v>
      </c>
      <c r="H79" s="23">
        <v>4001</v>
      </c>
      <c r="J79" s="24">
        <f t="shared" si="2"/>
        <v>1.1285946390815482E-4</v>
      </c>
      <c r="K79" s="24">
        <f t="shared" si="3"/>
        <v>0</v>
      </c>
    </row>
    <row r="80" spans="1:11" x14ac:dyDescent="0.25">
      <c r="A80" s="21" t="s">
        <v>14955</v>
      </c>
      <c r="B80" s="22">
        <f>VLOOKUP(A80,[2]Sheet1!$B$3:$E$264,4,FALSE)</f>
        <v>6446</v>
      </c>
      <c r="C80" s="23">
        <v>6869</v>
      </c>
      <c r="D80" s="23">
        <v>7294</v>
      </c>
      <c r="E80" s="23">
        <v>7563</v>
      </c>
      <c r="F80" s="23">
        <v>7854</v>
      </c>
      <c r="G80" s="23">
        <v>8081</v>
      </c>
      <c r="H80" s="23">
        <v>8270</v>
      </c>
      <c r="J80" s="24">
        <f t="shared" si="2"/>
        <v>4.1615473831970728E-3</v>
      </c>
      <c r="K80" s="24">
        <f t="shared" si="3"/>
        <v>3.7192186687173834E-3</v>
      </c>
    </row>
    <row r="81" spans="1:11" x14ac:dyDescent="0.25">
      <c r="A81" s="21" t="s">
        <v>9074</v>
      </c>
      <c r="B81" s="22">
        <f>VLOOKUP(A81,[2]Sheet1!$B$3:$E$264,4,FALSE)</f>
        <v>1336</v>
      </c>
      <c r="C81" s="23">
        <v>1389</v>
      </c>
      <c r="D81" s="23">
        <v>1401</v>
      </c>
      <c r="E81" s="23">
        <v>1401</v>
      </c>
      <c r="F81" s="23">
        <v>1401</v>
      </c>
      <c r="G81" s="23">
        <v>1401</v>
      </c>
      <c r="H81" s="23">
        <v>1401</v>
      </c>
      <c r="J81" s="24">
        <f t="shared" si="2"/>
        <v>7.9208340318071002E-4</v>
      </c>
      <c r="K81" s="24">
        <f t="shared" si="3"/>
        <v>1.7205887208326942E-4</v>
      </c>
    </row>
    <row r="82" spans="1:11" x14ac:dyDescent="0.25">
      <c r="A82" s="21" t="s">
        <v>132</v>
      </c>
      <c r="B82" s="22">
        <f>VLOOKUP(A82,[2]Sheet1!$B$3:$E$264,4,FALSE)</f>
        <v>585375</v>
      </c>
      <c r="C82" s="23">
        <v>881966</v>
      </c>
      <c r="D82" s="23">
        <v>1095123</v>
      </c>
      <c r="E82" s="23">
        <v>1259307</v>
      </c>
      <c r="F82" s="23">
        <v>1421933</v>
      </c>
      <c r="G82" s="23">
        <v>1583782</v>
      </c>
      <c r="H82" s="23">
        <v>1755164</v>
      </c>
      <c r="J82" s="24">
        <f t="shared" si="2"/>
        <v>1.8469572940834178E-2</v>
      </c>
      <c r="K82" s="24">
        <f t="shared" si="3"/>
        <v>1.3858431428617868E-2</v>
      </c>
    </row>
    <row r="83" spans="1:11" x14ac:dyDescent="0.25">
      <c r="A83" s="21" t="s">
        <v>4566</v>
      </c>
      <c r="B83" s="22">
        <f>VLOOKUP(A83,[2]Sheet1!$B$3:$E$264,4,FALSE)</f>
        <v>10605</v>
      </c>
      <c r="C83" s="23">
        <v>11124</v>
      </c>
      <c r="D83" s="23">
        <v>11627</v>
      </c>
      <c r="E83" s="23">
        <v>11930</v>
      </c>
      <c r="F83" s="23">
        <v>12226</v>
      </c>
      <c r="G83" s="23">
        <v>12447</v>
      </c>
      <c r="H83" s="23">
        <v>12622</v>
      </c>
      <c r="J83" s="24">
        <f t="shared" si="2"/>
        <v>2.9061435907220545E-3</v>
      </c>
      <c r="K83" s="24">
        <f t="shared" si="3"/>
        <v>2.5299226026183064E-3</v>
      </c>
    </row>
    <row r="84" spans="1:11" x14ac:dyDescent="0.25">
      <c r="A84" s="21" t="s">
        <v>1275</v>
      </c>
      <c r="B84" s="22">
        <f>VLOOKUP(A84,[2]Sheet1!$B$3:$E$264,4,FALSE)</f>
        <v>19816</v>
      </c>
      <c r="C84" s="23">
        <v>20437</v>
      </c>
      <c r="D84" s="23">
        <v>21077</v>
      </c>
      <c r="E84" s="23">
        <v>22947</v>
      </c>
      <c r="F84" s="23">
        <v>31142</v>
      </c>
      <c r="G84" s="23">
        <v>44475</v>
      </c>
      <c r="H84" s="23">
        <v>73287</v>
      </c>
      <c r="J84" s="24">
        <f t="shared" si="2"/>
        <v>2.2037542850207981E-2</v>
      </c>
      <c r="K84" s="24">
        <f t="shared" si="3"/>
        <v>2.5869684091773149E-2</v>
      </c>
    </row>
    <row r="85" spans="1:11" x14ac:dyDescent="0.25">
      <c r="A85" s="21" t="s">
        <v>1676</v>
      </c>
      <c r="B85" s="22">
        <f>VLOOKUP(A85,[2]Sheet1!$B$3:$E$264,4,FALSE)</f>
        <v>17217</v>
      </c>
      <c r="C85" s="23">
        <v>19186</v>
      </c>
      <c r="D85" s="23">
        <v>21144</v>
      </c>
      <c r="E85" s="23">
        <v>22846</v>
      </c>
      <c r="F85" s="23">
        <v>24488</v>
      </c>
      <c r="G85" s="23">
        <v>25967</v>
      </c>
      <c r="H85" s="23">
        <v>27304</v>
      </c>
      <c r="J85" s="24">
        <f t="shared" si="2"/>
        <v>7.7152090883012558E-3</v>
      </c>
      <c r="K85" s="24">
        <f t="shared" si="3"/>
        <v>7.0820069417356635E-3</v>
      </c>
    </row>
    <row r="86" spans="1:11" x14ac:dyDescent="0.25">
      <c r="A86" s="21" t="s">
        <v>1120</v>
      </c>
      <c r="B86" s="22">
        <f>VLOOKUP(A86,[2]Sheet1!$B$3:$E$264,4,FALSE)</f>
        <v>17526</v>
      </c>
      <c r="C86" s="23">
        <v>21316</v>
      </c>
      <c r="D86" s="23">
        <v>25746</v>
      </c>
      <c r="E86" s="23">
        <v>30997</v>
      </c>
      <c r="F86" s="23">
        <v>36654</v>
      </c>
      <c r="G86" s="23">
        <v>41666</v>
      </c>
      <c r="H86" s="23">
        <v>46886</v>
      </c>
      <c r="J86" s="24">
        <f t="shared" si="2"/>
        <v>1.6535787962987936E-2</v>
      </c>
      <c r="K86" s="24">
        <f t="shared" si="3"/>
        <v>1.5890149946871768E-2</v>
      </c>
    </row>
    <row r="87" spans="1:11" x14ac:dyDescent="0.25">
      <c r="A87" s="21" t="s">
        <v>215</v>
      </c>
      <c r="B87" s="22">
        <f>VLOOKUP(A87,[2]Sheet1!$B$3:$E$264,4,FALSE)</f>
        <v>291309</v>
      </c>
      <c r="C87" s="23">
        <v>343570</v>
      </c>
      <c r="D87" s="23">
        <v>377373</v>
      </c>
      <c r="E87" s="23">
        <v>403820</v>
      </c>
      <c r="F87" s="23">
        <v>427547</v>
      </c>
      <c r="G87" s="23">
        <v>447126</v>
      </c>
      <c r="H87" s="23">
        <v>465193</v>
      </c>
      <c r="J87" s="24">
        <f t="shared" si="2"/>
        <v>7.8316383268446366E-3</v>
      </c>
      <c r="K87" s="24">
        <f t="shared" si="3"/>
        <v>6.0796363793784725E-3</v>
      </c>
    </row>
    <row r="88" spans="1:11" x14ac:dyDescent="0.25">
      <c r="A88" s="21" t="s">
        <v>14956</v>
      </c>
      <c r="B88" s="22">
        <f>VLOOKUP(A88,[2]Sheet1!$B$3:$E$264,4,FALSE)</f>
        <v>6461</v>
      </c>
      <c r="C88" s="23">
        <v>7077</v>
      </c>
      <c r="D88" s="23">
        <v>7510</v>
      </c>
      <c r="E88" s="23">
        <v>7899</v>
      </c>
      <c r="F88" s="23">
        <v>8166</v>
      </c>
      <c r="G88" s="23">
        <v>8569</v>
      </c>
      <c r="H88" s="23">
        <v>8905</v>
      </c>
      <c r="J88" s="24">
        <f t="shared" si="2"/>
        <v>5.3614683742662095E-3</v>
      </c>
      <c r="K88" s="24">
        <f t="shared" si="3"/>
        <v>4.6058309354823912E-3</v>
      </c>
    </row>
    <row r="89" spans="1:11" x14ac:dyDescent="0.25">
      <c r="A89" s="21" t="s">
        <v>7304</v>
      </c>
      <c r="B89" s="22">
        <f>VLOOKUP(A89,[2]Sheet1!$B$3:$E$264,4,FALSE)</f>
        <v>24837</v>
      </c>
      <c r="C89" s="23">
        <v>26795</v>
      </c>
      <c r="D89" s="23">
        <v>28852</v>
      </c>
      <c r="E89" s="23">
        <v>30548</v>
      </c>
      <c r="F89" s="23">
        <v>32536</v>
      </c>
      <c r="G89" s="23">
        <v>34365</v>
      </c>
      <c r="H89" s="23">
        <v>36142</v>
      </c>
      <c r="J89" s="24">
        <f t="shared" si="2"/>
        <v>6.2716037840129246E-3</v>
      </c>
      <c r="K89" s="24">
        <f t="shared" si="3"/>
        <v>6.0027511552558366E-3</v>
      </c>
    </row>
    <row r="90" spans="1:11" x14ac:dyDescent="0.25">
      <c r="A90" s="21" t="s">
        <v>14957</v>
      </c>
      <c r="B90" s="22">
        <f>VLOOKUP(A90,[2]Sheet1!$B$3:$E$264,4,FALSE)</f>
        <v>1226</v>
      </c>
      <c r="C90" s="23">
        <v>1341</v>
      </c>
      <c r="D90" s="23">
        <v>1429</v>
      </c>
      <c r="E90" s="23">
        <v>1429</v>
      </c>
      <c r="F90" s="23">
        <v>1429</v>
      </c>
      <c r="G90" s="23">
        <v>1429</v>
      </c>
      <c r="H90" s="23">
        <v>1429</v>
      </c>
      <c r="J90" s="24">
        <f t="shared" si="2"/>
        <v>2.5568976586121117E-3</v>
      </c>
      <c r="K90" s="24">
        <f t="shared" si="3"/>
        <v>1.2719941922143541E-3</v>
      </c>
    </row>
    <row r="91" spans="1:11" x14ac:dyDescent="0.25">
      <c r="A91" s="21" t="s">
        <v>3863</v>
      </c>
      <c r="B91" s="22">
        <f>VLOOKUP(A91,[2]Sheet1!$B$3:$E$264,4,FALSE)</f>
        <v>7210</v>
      </c>
      <c r="C91" s="23">
        <v>8427</v>
      </c>
      <c r="D91" s="23">
        <v>9519</v>
      </c>
      <c r="E91" s="23">
        <v>10239</v>
      </c>
      <c r="F91" s="23">
        <v>10545</v>
      </c>
      <c r="G91" s="23">
        <v>10759</v>
      </c>
      <c r="H91" s="23">
        <v>10884</v>
      </c>
      <c r="J91" s="24">
        <f t="shared" si="2"/>
        <v>6.8873573298331436E-3</v>
      </c>
      <c r="K91" s="24">
        <f t="shared" si="3"/>
        <v>5.1301741922142874E-3</v>
      </c>
    </row>
    <row r="92" spans="1:11" x14ac:dyDescent="0.25">
      <c r="A92" s="21" t="s">
        <v>3079</v>
      </c>
      <c r="B92" s="22">
        <f>VLOOKUP(A92,[2]Sheet1!$B$3:$E$264,4,FALSE)</f>
        <v>19807</v>
      </c>
      <c r="C92" s="23">
        <v>21751</v>
      </c>
      <c r="D92" s="23">
        <v>23921</v>
      </c>
      <c r="E92" s="23">
        <v>25963</v>
      </c>
      <c r="F92" s="23">
        <v>28330</v>
      </c>
      <c r="G92" s="23">
        <v>30738</v>
      </c>
      <c r="H92" s="23">
        <v>33256</v>
      </c>
      <c r="J92" s="24">
        <f t="shared" si="2"/>
        <v>8.6740667682709827E-3</v>
      </c>
      <c r="K92" s="24">
        <f t="shared" si="3"/>
        <v>8.5276644996572504E-3</v>
      </c>
    </row>
    <row r="93" spans="1:11" x14ac:dyDescent="0.25">
      <c r="A93" s="21" t="s">
        <v>7519</v>
      </c>
      <c r="B93" s="22">
        <f>VLOOKUP(A93,[2]Sheet1!$B$3:$E$264,4,FALSE)</f>
        <v>22535</v>
      </c>
      <c r="C93" s="23">
        <v>24439</v>
      </c>
      <c r="D93" s="23">
        <v>27046</v>
      </c>
      <c r="E93" s="23">
        <v>30168</v>
      </c>
      <c r="F93" s="23">
        <v>34186</v>
      </c>
      <c r="G93" s="23">
        <v>37388</v>
      </c>
      <c r="H93" s="23">
        <v>40730</v>
      </c>
      <c r="J93" s="24">
        <f t="shared" si="2"/>
        <v>9.9137398249646846E-3</v>
      </c>
      <c r="K93" s="24">
        <f t="shared" si="3"/>
        <v>1.0268052437790276E-2</v>
      </c>
    </row>
    <row r="94" spans="1:11" x14ac:dyDescent="0.25">
      <c r="A94" s="21" t="s">
        <v>2101</v>
      </c>
      <c r="B94" s="22">
        <f>VLOOKUP(A94,[2]Sheet1!$B$3:$E$264,4,FALSE)</f>
        <v>120877</v>
      </c>
      <c r="C94" s="23">
        <v>135311</v>
      </c>
      <c r="D94" s="23">
        <v>149527</v>
      </c>
      <c r="E94" s="23">
        <v>159610</v>
      </c>
      <c r="F94" s="23">
        <v>178907</v>
      </c>
      <c r="G94" s="23">
        <v>242865</v>
      </c>
      <c r="H94" s="23">
        <v>337120</v>
      </c>
      <c r="J94" s="24">
        <f t="shared" si="2"/>
        <v>1.7241369966011E-2</v>
      </c>
      <c r="K94" s="24">
        <f t="shared" si="3"/>
        <v>1.8424945083048705E-2</v>
      </c>
    </row>
    <row r="95" spans="1:11" x14ac:dyDescent="0.25">
      <c r="A95" s="21" t="s">
        <v>1611</v>
      </c>
      <c r="B95" s="22">
        <f>VLOOKUP(A95,[2]Sheet1!$B$3:$E$264,4,FALSE)</f>
        <v>121730</v>
      </c>
      <c r="C95" s="23">
        <v>133347</v>
      </c>
      <c r="D95" s="23">
        <v>146034</v>
      </c>
      <c r="E95" s="23">
        <v>160540</v>
      </c>
      <c r="F95" s="23">
        <v>176927</v>
      </c>
      <c r="G95" s="23">
        <v>195352</v>
      </c>
      <c r="H95" s="23">
        <v>216203</v>
      </c>
      <c r="J95" s="24">
        <f t="shared" si="2"/>
        <v>9.6195113048589409E-3</v>
      </c>
      <c r="K95" s="24">
        <f t="shared" si="3"/>
        <v>9.7121200381036221E-3</v>
      </c>
    </row>
    <row r="96" spans="1:11" x14ac:dyDescent="0.25">
      <c r="A96" s="21" t="s">
        <v>576</v>
      </c>
      <c r="B96" s="22">
        <f>VLOOKUP(A96,[2]Sheet1!$B$3:$E$264,4,FALSE)</f>
        <v>26604</v>
      </c>
      <c r="C96" s="23">
        <v>29441</v>
      </c>
      <c r="D96" s="23">
        <v>32179</v>
      </c>
      <c r="E96" s="23">
        <v>34258</v>
      </c>
      <c r="F96" s="23">
        <v>36454</v>
      </c>
      <c r="G96" s="23">
        <v>38277</v>
      </c>
      <c r="H96" s="23">
        <v>39867</v>
      </c>
      <c r="J96" s="24">
        <f t="shared" si="2"/>
        <v>6.7642303210373456E-3</v>
      </c>
      <c r="K96" s="24">
        <f t="shared" si="3"/>
        <v>6.0816315494398587E-3</v>
      </c>
    </row>
    <row r="97" spans="1:11" x14ac:dyDescent="0.25">
      <c r="A97" s="21" t="s">
        <v>1032</v>
      </c>
      <c r="B97" s="22">
        <f>VLOOKUP(A97,[2]Sheet1!$B$3:$E$264,4,FALSE)</f>
        <v>131533</v>
      </c>
      <c r="C97" s="23">
        <v>182693</v>
      </c>
      <c r="D97" s="23">
        <v>235318</v>
      </c>
      <c r="E97" s="23">
        <v>276064</v>
      </c>
      <c r="F97" s="23">
        <v>315934</v>
      </c>
      <c r="G97" s="23">
        <v>356480</v>
      </c>
      <c r="H97" s="23">
        <v>396261</v>
      </c>
      <c r="J97" s="24">
        <f t="shared" si="2"/>
        <v>1.8550211815429707E-2</v>
      </c>
      <c r="K97" s="24">
        <f t="shared" si="3"/>
        <v>1.5605837567066905E-2</v>
      </c>
    </row>
    <row r="98" spans="1:11" x14ac:dyDescent="0.25">
      <c r="A98" s="21" t="s">
        <v>4424</v>
      </c>
      <c r="B98" s="22">
        <f>VLOOKUP(A98,[2]Sheet1!$B$3:$E$264,4,FALSE)</f>
        <v>36273</v>
      </c>
      <c r="C98" s="23">
        <v>38314</v>
      </c>
      <c r="D98" s="23">
        <v>39965</v>
      </c>
      <c r="E98" s="23">
        <v>40647</v>
      </c>
      <c r="F98" s="23">
        <v>40307</v>
      </c>
      <c r="G98" s="23">
        <v>41369</v>
      </c>
      <c r="H98" s="23">
        <v>41814</v>
      </c>
      <c r="J98" s="24">
        <f t="shared" si="2"/>
        <v>2.3721014718351974E-3</v>
      </c>
      <c r="K98" s="24">
        <f t="shared" si="3"/>
        <v>1.7498461379372721E-3</v>
      </c>
    </row>
    <row r="99" spans="1:11" x14ac:dyDescent="0.25">
      <c r="A99" s="21" t="s">
        <v>5416</v>
      </c>
      <c r="B99" s="22">
        <f>VLOOKUP(A99,[2]Sheet1!$B$3:$E$264,4,FALSE)</f>
        <v>3353</v>
      </c>
      <c r="C99" s="23">
        <v>3393</v>
      </c>
      <c r="D99" s="23">
        <v>3487</v>
      </c>
      <c r="E99" s="23">
        <v>3487</v>
      </c>
      <c r="F99" s="23">
        <v>3487</v>
      </c>
      <c r="G99" s="23">
        <v>3487</v>
      </c>
      <c r="H99" s="23">
        <v>3487</v>
      </c>
      <c r="J99" s="24">
        <f t="shared" si="2"/>
        <v>6.5331832300064008E-4</v>
      </c>
      <c r="K99" s="24">
        <f t="shared" si="3"/>
        <v>5.4669502110926693E-4</v>
      </c>
    </row>
    <row r="100" spans="1:11" x14ac:dyDescent="0.25">
      <c r="A100" s="21" t="s">
        <v>6844</v>
      </c>
      <c r="B100" s="22">
        <f>VLOOKUP(A100,[2]Sheet1!$B$3:$E$264,4,FALSE)</f>
        <v>8517</v>
      </c>
      <c r="C100" s="23">
        <v>8562</v>
      </c>
      <c r="D100" s="23">
        <v>8703</v>
      </c>
      <c r="E100" s="23">
        <v>8703</v>
      </c>
      <c r="F100" s="23">
        <v>8703</v>
      </c>
      <c r="G100" s="23">
        <v>8703</v>
      </c>
      <c r="H100" s="23">
        <v>8703</v>
      </c>
      <c r="J100" s="24">
        <f t="shared" si="2"/>
        <v>3.6012529035556184E-4</v>
      </c>
      <c r="K100" s="24">
        <f t="shared" si="3"/>
        <v>3.2673308732378281E-4</v>
      </c>
    </row>
    <row r="101" spans="1:11" x14ac:dyDescent="0.25">
      <c r="A101" s="21" t="s">
        <v>2526</v>
      </c>
      <c r="B101" s="22">
        <f>VLOOKUP(A101,[2]Sheet1!$B$3:$E$264,4,FALSE)</f>
        <v>5613</v>
      </c>
      <c r="C101" s="23">
        <v>5959</v>
      </c>
      <c r="D101" s="23">
        <v>6368</v>
      </c>
      <c r="E101" s="23">
        <v>6710</v>
      </c>
      <c r="F101" s="23">
        <v>7017</v>
      </c>
      <c r="G101" s="23">
        <v>7330</v>
      </c>
      <c r="H101" s="23">
        <v>7634</v>
      </c>
      <c r="J101" s="24">
        <f t="shared" si="2"/>
        <v>5.1386011954659416E-3</v>
      </c>
      <c r="K101" s="24">
        <f t="shared" si="3"/>
        <v>4.9664777189142306E-3</v>
      </c>
    </row>
    <row r="102" spans="1:11" x14ac:dyDescent="0.25">
      <c r="A102" s="21" t="s">
        <v>3204</v>
      </c>
      <c r="B102" s="22">
        <f>VLOOKUP(A102,[2]Sheet1!$B$3:$E$264,4,FALSE)</f>
        <v>4139</v>
      </c>
      <c r="C102" s="23">
        <v>4274</v>
      </c>
      <c r="D102" s="23">
        <v>4383</v>
      </c>
      <c r="E102" s="23">
        <v>4420</v>
      </c>
      <c r="F102" s="23">
        <v>4507</v>
      </c>
      <c r="G102" s="23">
        <v>4552</v>
      </c>
      <c r="H102" s="23">
        <v>4587</v>
      </c>
      <c r="J102" s="24">
        <f t="shared" si="2"/>
        <v>1.714334508256421E-3</v>
      </c>
      <c r="K102" s="24">
        <f t="shared" si="3"/>
        <v>1.41452066629566E-3</v>
      </c>
    </row>
    <row r="103" spans="1:11" x14ac:dyDescent="0.25">
      <c r="A103" s="21" t="s">
        <v>145</v>
      </c>
      <c r="B103" s="22">
        <f>VLOOKUP(A103,[2]Sheet1!$B$3:$E$264,4,FALSE)</f>
        <v>54635</v>
      </c>
      <c r="C103" s="23">
        <v>59477</v>
      </c>
      <c r="D103" s="23">
        <v>63986</v>
      </c>
      <c r="E103" s="23">
        <v>67194</v>
      </c>
      <c r="F103" s="23">
        <v>69560</v>
      </c>
      <c r="G103" s="23">
        <v>71410</v>
      </c>
      <c r="H103" s="23">
        <v>72798</v>
      </c>
      <c r="J103" s="24">
        <f t="shared" si="2"/>
        <v>4.7950224904789174E-3</v>
      </c>
      <c r="K103" s="24">
        <f t="shared" si="3"/>
        <v>4.0501557840517677E-3</v>
      </c>
    </row>
    <row r="104" spans="1:11" x14ac:dyDescent="0.25">
      <c r="A104" s="21" t="s">
        <v>35</v>
      </c>
      <c r="B104" s="22">
        <f>VLOOKUP(A104,[2]Sheet1!$B$3:$E$264,4,FALSE)</f>
        <v>4092459</v>
      </c>
      <c r="C104" s="23">
        <v>4707870</v>
      </c>
      <c r="D104" s="23">
        <v>5058144</v>
      </c>
      <c r="E104" s="23">
        <v>5376099</v>
      </c>
      <c r="F104" s="23">
        <v>5678242</v>
      </c>
      <c r="G104" s="23">
        <v>5974068</v>
      </c>
      <c r="H104" s="23">
        <v>6272346</v>
      </c>
      <c r="J104" s="24">
        <f t="shared" si="2"/>
        <v>7.1421247710663494E-3</v>
      </c>
      <c r="K104" s="24">
        <f t="shared" si="3"/>
        <v>5.7547929836969658E-3</v>
      </c>
    </row>
    <row r="105" spans="1:11" x14ac:dyDescent="0.25">
      <c r="A105" s="21" t="s">
        <v>781</v>
      </c>
      <c r="B105" s="22">
        <f>VLOOKUP(A105,[2]Sheet1!$B$3:$E$264,4,FALSE)</f>
        <v>65631</v>
      </c>
      <c r="C105" s="23">
        <v>70337</v>
      </c>
      <c r="D105" s="23">
        <v>75538</v>
      </c>
      <c r="E105" s="23">
        <v>80921</v>
      </c>
      <c r="F105" s="23">
        <v>88474</v>
      </c>
      <c r="G105" s="23">
        <v>96706</v>
      </c>
      <c r="H105" s="23">
        <v>106413</v>
      </c>
      <c r="J105" s="24">
        <f t="shared" si="2"/>
        <v>8.0871861210927154E-3</v>
      </c>
      <c r="K105" s="24">
        <f t="shared" si="3"/>
        <v>8.3149744328350206E-3</v>
      </c>
    </row>
    <row r="106" spans="1:11" x14ac:dyDescent="0.25">
      <c r="A106" s="21" t="s">
        <v>10445</v>
      </c>
      <c r="B106" s="22">
        <f>VLOOKUP(A106,[2]Sheet1!$B$3:$E$264,4,FALSE)</f>
        <v>6062</v>
      </c>
      <c r="C106" s="23">
        <v>6281</v>
      </c>
      <c r="D106" s="23">
        <v>6631</v>
      </c>
      <c r="E106" s="23">
        <v>6817</v>
      </c>
      <c r="F106" s="23">
        <v>6950</v>
      </c>
      <c r="G106" s="23">
        <v>7069</v>
      </c>
      <c r="H106" s="23">
        <v>7164</v>
      </c>
      <c r="J106" s="24">
        <f t="shared" si="2"/>
        <v>2.7876901614154459E-3</v>
      </c>
      <c r="K106" s="24">
        <f t="shared" si="3"/>
        <v>2.6342491676218938E-3</v>
      </c>
    </row>
    <row r="107" spans="1:11" x14ac:dyDescent="0.25">
      <c r="A107" s="21" t="s">
        <v>4083</v>
      </c>
      <c r="B107" s="22">
        <f>VLOOKUP(A107,[2]Sheet1!$B$3:$E$264,4,FALSE)</f>
        <v>5899</v>
      </c>
      <c r="C107" s="23">
        <v>5913</v>
      </c>
      <c r="D107" s="23">
        <v>5973</v>
      </c>
      <c r="E107" s="23">
        <v>6004</v>
      </c>
      <c r="F107" s="23">
        <v>6064</v>
      </c>
      <c r="G107" s="23">
        <v>6153</v>
      </c>
      <c r="H107" s="23">
        <v>6285</v>
      </c>
      <c r="J107" s="24">
        <f t="shared" si="2"/>
        <v>1.0569414530385846E-3</v>
      </c>
      <c r="K107" s="24">
        <f t="shared" si="3"/>
        <v>1.2209953126369744E-3</v>
      </c>
    </row>
    <row r="108" spans="1:11" x14ac:dyDescent="0.25">
      <c r="A108" s="21" t="s">
        <v>753</v>
      </c>
      <c r="B108" s="22">
        <f>VLOOKUP(A108,[2]Sheet1!$B$3:$E$264,4,FALSE)</f>
        <v>36559.333372407498</v>
      </c>
      <c r="C108" s="23">
        <v>238862</v>
      </c>
      <c r="D108" s="23">
        <v>313792</v>
      </c>
      <c r="E108" s="23">
        <v>398384</v>
      </c>
      <c r="F108" s="23">
        <v>474801</v>
      </c>
      <c r="G108" s="23">
        <v>593384</v>
      </c>
      <c r="H108" s="23">
        <v>728344</v>
      </c>
      <c r="J108" s="24">
        <f t="shared" si="2"/>
        <v>5.1128079821510131E-2</v>
      </c>
      <c r="K108" s="24">
        <f t="shared" si="3"/>
        <v>2.2548202563478226E-2</v>
      </c>
    </row>
    <row r="109" spans="1:11" x14ac:dyDescent="0.25">
      <c r="A109" s="21" t="s">
        <v>9839</v>
      </c>
      <c r="B109" s="22">
        <f>VLOOKUP(A109,[2]Sheet1!$B$3:$E$264,4,FALSE)</f>
        <v>3807</v>
      </c>
      <c r="C109" s="23">
        <v>4209</v>
      </c>
      <c r="D109" s="23">
        <v>4609</v>
      </c>
      <c r="E109" s="23">
        <v>4948</v>
      </c>
      <c r="F109" s="23">
        <v>5297</v>
      </c>
      <c r="G109" s="23">
        <v>5609</v>
      </c>
      <c r="H109" s="23">
        <v>5895</v>
      </c>
      <c r="J109" s="24">
        <f t="shared" si="2"/>
        <v>7.3143376509523517E-3</v>
      </c>
      <c r="K109" s="24">
        <f t="shared" si="3"/>
        <v>6.760337497573321E-3</v>
      </c>
    </row>
    <row r="110" spans="1:11" x14ac:dyDescent="0.25">
      <c r="A110" s="21" t="s">
        <v>2267</v>
      </c>
      <c r="B110" s="22">
        <f>VLOOKUP(A110,[2]Sheet1!$B$3:$E$264,4,FALSE)</f>
        <v>55609.775356264494</v>
      </c>
      <c r="C110" s="23">
        <v>92383</v>
      </c>
      <c r="D110" s="23">
        <v>99236</v>
      </c>
      <c r="E110" s="23">
        <v>106681</v>
      </c>
      <c r="F110" s="23">
        <v>116100</v>
      </c>
      <c r="G110" s="23">
        <v>142441</v>
      </c>
      <c r="H110" s="23">
        <v>175525</v>
      </c>
      <c r="J110" s="24">
        <f t="shared" si="2"/>
        <v>1.9341714853364778E-2</v>
      </c>
      <c r="K110" s="24">
        <f t="shared" si="3"/>
        <v>1.2919515090838996E-2</v>
      </c>
    </row>
    <row r="111" spans="1:11" x14ac:dyDescent="0.25">
      <c r="A111" s="21" t="s">
        <v>480</v>
      </c>
      <c r="B111" s="22">
        <f>VLOOKUP(A111,[2]Sheet1!$B$3:$E$264,4,FALSE)</f>
        <v>774769</v>
      </c>
      <c r="C111" s="23">
        <v>981890</v>
      </c>
      <c r="D111" s="23">
        <v>1219225</v>
      </c>
      <c r="E111" s="23">
        <v>1457502</v>
      </c>
      <c r="F111" s="23">
        <v>1696257</v>
      </c>
      <c r="G111" s="23">
        <v>1935015</v>
      </c>
      <c r="H111" s="23">
        <v>2167137</v>
      </c>
      <c r="J111" s="24">
        <f t="shared" si="2"/>
        <v>1.7291077828462287E-2</v>
      </c>
      <c r="K111" s="24">
        <f t="shared" si="3"/>
        <v>1.595967529248199E-2</v>
      </c>
    </row>
    <row r="112" spans="1:11" x14ac:dyDescent="0.25">
      <c r="A112" s="21" t="s">
        <v>1451</v>
      </c>
      <c r="B112" s="22">
        <f>VLOOKUP(A112,[2]Sheet1!$B$3:$E$264,4,FALSE)</f>
        <v>35089</v>
      </c>
      <c r="C112" s="23">
        <v>37828</v>
      </c>
      <c r="D112" s="23">
        <v>40277</v>
      </c>
      <c r="E112" s="23">
        <v>41935</v>
      </c>
      <c r="F112" s="23">
        <v>43643</v>
      </c>
      <c r="G112" s="23">
        <v>44937</v>
      </c>
      <c r="H112" s="23">
        <v>45989</v>
      </c>
      <c r="J112" s="24">
        <f t="shared" si="2"/>
        <v>4.5187546930913758E-3</v>
      </c>
      <c r="K112" s="24">
        <f t="shared" si="3"/>
        <v>3.9146958490536843E-3</v>
      </c>
    </row>
    <row r="113" spans="1:11" x14ac:dyDescent="0.25">
      <c r="A113" s="21" t="s">
        <v>14958</v>
      </c>
      <c r="B113" s="22">
        <f>VLOOKUP(A113,[2]Sheet1!$B$3:$E$264,4,FALSE)</f>
        <v>22935</v>
      </c>
      <c r="C113" s="23">
        <v>25130</v>
      </c>
      <c r="D113" s="23">
        <v>26734</v>
      </c>
      <c r="E113" s="23">
        <v>27707</v>
      </c>
      <c r="F113" s="23">
        <v>27888</v>
      </c>
      <c r="G113" s="23">
        <v>29134</v>
      </c>
      <c r="H113" s="23">
        <v>29935</v>
      </c>
      <c r="J113" s="24">
        <f t="shared" si="2"/>
        <v>4.4492726908569313E-3</v>
      </c>
      <c r="K113" s="24">
        <f t="shared" si="3"/>
        <v>3.5054500254876331E-3</v>
      </c>
    </row>
    <row r="114" spans="1:11" x14ac:dyDescent="0.25">
      <c r="A114" s="21" t="s">
        <v>312</v>
      </c>
      <c r="B114" s="22">
        <f>VLOOKUP(A114,[2]Sheet1!$B$3:$E$264,4,FALSE)</f>
        <v>51182</v>
      </c>
      <c r="C114" s="23">
        <v>61316</v>
      </c>
      <c r="D114" s="23">
        <v>71099</v>
      </c>
      <c r="E114" s="23">
        <v>78111</v>
      </c>
      <c r="F114" s="23">
        <v>84147</v>
      </c>
      <c r="G114" s="23">
        <v>88785</v>
      </c>
      <c r="H114" s="23">
        <v>92339</v>
      </c>
      <c r="J114" s="24">
        <f t="shared" si="2"/>
        <v>9.8831637056331356E-3</v>
      </c>
      <c r="K114" s="24">
        <f t="shared" si="3"/>
        <v>8.2221329319631664E-3</v>
      </c>
    </row>
    <row r="115" spans="1:11" x14ac:dyDescent="0.25">
      <c r="A115" s="21" t="s">
        <v>957</v>
      </c>
      <c r="B115" s="22">
        <f>VLOOKUP(A115,[2]Sheet1!$B$3:$E$264,4,FALSE)</f>
        <v>35161</v>
      </c>
      <c r="C115" s="23">
        <v>37978</v>
      </c>
      <c r="D115" s="23">
        <v>40895</v>
      </c>
      <c r="E115" s="23">
        <v>43555</v>
      </c>
      <c r="F115" s="23">
        <v>46610</v>
      </c>
      <c r="G115" s="23">
        <v>49556</v>
      </c>
      <c r="H115" s="23">
        <v>52517</v>
      </c>
      <c r="J115" s="24">
        <f t="shared" si="2"/>
        <v>6.7090624831951384E-3</v>
      </c>
      <c r="K115" s="24">
        <f t="shared" si="3"/>
        <v>6.5036551540165188E-3</v>
      </c>
    </row>
    <row r="116" spans="1:11" x14ac:dyDescent="0.25">
      <c r="A116" s="21" t="s">
        <v>1382</v>
      </c>
      <c r="B116" s="22">
        <f>VLOOKUP(A116,[2]Sheet1!$B$3:$E$264,4,FALSE)</f>
        <v>23732</v>
      </c>
      <c r="C116" s="23">
        <v>24151</v>
      </c>
      <c r="D116" s="23">
        <v>24260</v>
      </c>
      <c r="E116" s="23">
        <v>24260</v>
      </c>
      <c r="F116" s="23">
        <v>24260</v>
      </c>
      <c r="G116" s="23">
        <v>24260</v>
      </c>
      <c r="H116" s="23">
        <v>24260</v>
      </c>
      <c r="J116" s="24">
        <f t="shared" si="2"/>
        <v>3.6680984360892843E-4</v>
      </c>
      <c r="K116" s="24">
        <f t="shared" si="3"/>
        <v>9.00663838754312E-5</v>
      </c>
    </row>
    <row r="117" spans="1:11" x14ac:dyDescent="0.25">
      <c r="A117" s="21" t="s">
        <v>3250</v>
      </c>
      <c r="B117" s="22">
        <f>VLOOKUP(A117,[2]Sheet1!$B$3:$E$264,4,FALSE)</f>
        <v>35012</v>
      </c>
      <c r="C117" s="23">
        <v>37310</v>
      </c>
      <c r="D117" s="23">
        <v>38936</v>
      </c>
      <c r="E117" s="23">
        <v>39603</v>
      </c>
      <c r="F117" s="23">
        <v>39603</v>
      </c>
      <c r="G117" s="23">
        <v>39603</v>
      </c>
      <c r="H117" s="23">
        <v>39603</v>
      </c>
      <c r="J117" s="24">
        <f t="shared" si="2"/>
        <v>2.0556768975212858E-3</v>
      </c>
      <c r="K117" s="24">
        <f t="shared" si="3"/>
        <v>1.1935814667325406E-3</v>
      </c>
    </row>
    <row r="118" spans="1:11" x14ac:dyDescent="0.25">
      <c r="A118" s="21" t="s">
        <v>946</v>
      </c>
      <c r="B118" s="22">
        <f>VLOOKUP(A118,[2]Sheet1!$B$3:$E$264,4,FALSE)</f>
        <v>3476</v>
      </c>
      <c r="C118" s="23">
        <v>3913</v>
      </c>
      <c r="D118" s="23">
        <v>4304</v>
      </c>
      <c r="E118" s="23">
        <v>4424</v>
      </c>
      <c r="F118" s="23">
        <v>4511</v>
      </c>
      <c r="G118" s="23">
        <v>4553</v>
      </c>
      <c r="H118" s="23">
        <v>4575</v>
      </c>
      <c r="J118" s="24">
        <f t="shared" si="2"/>
        <v>4.589239976155346E-3</v>
      </c>
      <c r="K118" s="24">
        <f t="shared" si="3"/>
        <v>3.1309382906101746E-3</v>
      </c>
    </row>
    <row r="119" spans="1:11" x14ac:dyDescent="0.25">
      <c r="A119" s="21" t="s">
        <v>461</v>
      </c>
      <c r="B119" s="22">
        <f>VLOOKUP(A119,[2]Sheet1!$B$3:$E$264,4,FALSE)</f>
        <v>86129</v>
      </c>
      <c r="C119" s="23">
        <v>104894</v>
      </c>
      <c r="D119" s="23">
        <v>130351</v>
      </c>
      <c r="E119" s="23">
        <v>164886</v>
      </c>
      <c r="F119" s="23">
        <v>207929</v>
      </c>
      <c r="G119" s="23">
        <v>271952</v>
      </c>
      <c r="H119" s="23">
        <v>367505</v>
      </c>
      <c r="J119" s="24">
        <f t="shared" si="2"/>
        <v>2.4476256289257314E-2</v>
      </c>
      <c r="K119" s="24">
        <f t="shared" si="3"/>
        <v>2.5392772784654571E-2</v>
      </c>
    </row>
    <row r="120" spans="1:11" x14ac:dyDescent="0.25">
      <c r="A120" s="21" t="s">
        <v>692</v>
      </c>
      <c r="B120" s="22">
        <f>VLOOKUP(A120,[2]Sheet1!$B$3:$E$264,4,FALSE)</f>
        <v>22150</v>
      </c>
      <c r="C120" s="23">
        <v>22957</v>
      </c>
      <c r="D120" s="23">
        <v>23779</v>
      </c>
      <c r="E120" s="23">
        <v>23990</v>
      </c>
      <c r="F120" s="23">
        <v>23990</v>
      </c>
      <c r="G120" s="23">
        <v>23990</v>
      </c>
      <c r="H120" s="23">
        <v>23990</v>
      </c>
      <c r="J120" s="24">
        <f t="shared" si="2"/>
        <v>1.3308778389360398E-3</v>
      </c>
      <c r="K120" s="24">
        <f t="shared" si="3"/>
        <v>8.8067108241385306E-4</v>
      </c>
    </row>
    <row r="121" spans="1:11" x14ac:dyDescent="0.25">
      <c r="A121" s="21" t="s">
        <v>1894</v>
      </c>
      <c r="B121" s="22">
        <f>VLOOKUP(A121,[2]Sheet1!$B$3:$E$264,4,FALSE)</f>
        <v>1599</v>
      </c>
      <c r="C121" s="23">
        <v>1684</v>
      </c>
      <c r="D121" s="23">
        <v>1702</v>
      </c>
      <c r="E121" s="23">
        <v>1702</v>
      </c>
      <c r="F121" s="23">
        <v>1702</v>
      </c>
      <c r="G121" s="23">
        <v>1702</v>
      </c>
      <c r="H121" s="23">
        <v>1702</v>
      </c>
      <c r="J121" s="24">
        <f t="shared" si="2"/>
        <v>1.040968036506662E-3</v>
      </c>
      <c r="K121" s="24">
        <f t="shared" si="3"/>
        <v>2.126648965945499E-4</v>
      </c>
    </row>
    <row r="122" spans="1:11" x14ac:dyDescent="0.25">
      <c r="A122" s="21" t="s">
        <v>2301</v>
      </c>
      <c r="B122" s="22">
        <f>VLOOKUP(A122,[2]Sheet1!$B$3:$E$264,4,FALSE)</f>
        <v>9044</v>
      </c>
      <c r="C122" s="23">
        <v>9751</v>
      </c>
      <c r="D122" s="23">
        <v>10409</v>
      </c>
      <c r="E122" s="23">
        <v>10817</v>
      </c>
      <c r="F122" s="23">
        <v>11033</v>
      </c>
      <c r="G122" s="23">
        <v>11190</v>
      </c>
      <c r="H122" s="23">
        <v>11291</v>
      </c>
      <c r="J122" s="24">
        <f t="shared" si="2"/>
        <v>3.7052541076627588E-3</v>
      </c>
      <c r="K122" s="24">
        <f t="shared" si="3"/>
        <v>2.9370267233996827E-3</v>
      </c>
    </row>
    <row r="123" spans="1:11" x14ac:dyDescent="0.25">
      <c r="A123" s="21" t="s">
        <v>4135</v>
      </c>
      <c r="B123" s="22">
        <f>VLOOKUP(A123,[2]Sheet1!$B$3:$E$264,4,FALSE)</f>
        <v>14075</v>
      </c>
      <c r="C123" s="23">
        <v>14606</v>
      </c>
      <c r="D123" s="23">
        <v>15119</v>
      </c>
      <c r="E123" s="23">
        <v>15336</v>
      </c>
      <c r="F123" s="23">
        <v>15515</v>
      </c>
      <c r="G123" s="23">
        <v>15627</v>
      </c>
      <c r="H123" s="23">
        <v>15699</v>
      </c>
      <c r="J123" s="24">
        <f t="shared" si="2"/>
        <v>1.821604476548222E-3</v>
      </c>
      <c r="K123" s="24">
        <f t="shared" si="3"/>
        <v>1.4443343047412238E-3</v>
      </c>
    </row>
    <row r="124" spans="1:11" x14ac:dyDescent="0.25">
      <c r="A124" s="21" t="s">
        <v>2287</v>
      </c>
      <c r="B124" s="22">
        <f>VLOOKUP(A124,[2]Sheet1!$B$3:$E$264,4,FALSE)</f>
        <v>35710</v>
      </c>
      <c r="C124" s="23">
        <v>36878</v>
      </c>
      <c r="D124" s="23">
        <v>37695</v>
      </c>
      <c r="E124" s="23">
        <v>37849</v>
      </c>
      <c r="F124" s="23">
        <v>37849</v>
      </c>
      <c r="G124" s="23">
        <v>37849</v>
      </c>
      <c r="H124" s="23">
        <v>37849</v>
      </c>
      <c r="J124" s="24">
        <f t="shared" si="2"/>
        <v>9.7003347591795297E-4</v>
      </c>
      <c r="K124" s="24">
        <f t="shared" si="3"/>
        <v>5.1992295655423071E-4</v>
      </c>
    </row>
    <row r="125" spans="1:11" x14ac:dyDescent="0.25">
      <c r="A125" s="21" t="s">
        <v>2531</v>
      </c>
      <c r="B125" s="22">
        <f>VLOOKUP(A125,[2]Sheet1!$B$3:$E$264,4,FALSE)</f>
        <v>2342</v>
      </c>
      <c r="C125" s="23">
        <v>2398</v>
      </c>
      <c r="D125" s="23">
        <v>2398</v>
      </c>
      <c r="E125" s="23">
        <v>2398</v>
      </c>
      <c r="F125" s="23">
        <v>2398</v>
      </c>
      <c r="G125" s="23">
        <v>2398</v>
      </c>
      <c r="H125" s="23">
        <v>2398</v>
      </c>
      <c r="J125" s="24">
        <f t="shared" si="2"/>
        <v>3.9390741832301401E-4</v>
      </c>
      <c r="K125" s="24">
        <f t="shared" si="3"/>
        <v>0</v>
      </c>
    </row>
    <row r="126" spans="1:11" x14ac:dyDescent="0.25">
      <c r="A126" s="21" t="s">
        <v>385</v>
      </c>
      <c r="B126" s="22">
        <f>VLOOKUP(A126,[2]Sheet1!$B$3:$E$264,4,FALSE)</f>
        <v>252273</v>
      </c>
      <c r="C126" s="23">
        <v>267379</v>
      </c>
      <c r="D126" s="23">
        <v>284620</v>
      </c>
      <c r="E126" s="23">
        <v>302744</v>
      </c>
      <c r="F126" s="23">
        <v>323802</v>
      </c>
      <c r="G126" s="23">
        <v>347030</v>
      </c>
      <c r="H126" s="23">
        <v>373041</v>
      </c>
      <c r="J126" s="24">
        <f t="shared" si="2"/>
        <v>6.5409072198152618E-3</v>
      </c>
      <c r="K126" s="24">
        <f t="shared" si="3"/>
        <v>6.6826540633408982E-3</v>
      </c>
    </row>
    <row r="127" spans="1:11" x14ac:dyDescent="0.25">
      <c r="A127" s="21" t="s">
        <v>3730</v>
      </c>
      <c r="B127" s="22">
        <f>VLOOKUP(A127,[2]Sheet1!$B$3:$E$264,4,FALSE)</f>
        <v>5300</v>
      </c>
      <c r="C127" s="23">
        <v>5853</v>
      </c>
      <c r="D127" s="23">
        <v>6356</v>
      </c>
      <c r="E127" s="23">
        <v>6790</v>
      </c>
      <c r="F127" s="23">
        <v>7274</v>
      </c>
      <c r="G127" s="23">
        <v>7694</v>
      </c>
      <c r="H127" s="23">
        <v>8082</v>
      </c>
      <c r="J127" s="24">
        <f t="shared" si="2"/>
        <v>7.0569931455266577E-3</v>
      </c>
      <c r="K127" s="24">
        <f t="shared" si="3"/>
        <v>6.4745703229764917E-3</v>
      </c>
    </row>
    <row r="128" spans="1:11" x14ac:dyDescent="0.25">
      <c r="A128" s="21" t="s">
        <v>3230</v>
      </c>
      <c r="B128" s="22">
        <f>VLOOKUP(A128,[2]Sheet1!$B$3:$E$264,4,FALSE)</f>
        <v>40838</v>
      </c>
      <c r="C128" s="23">
        <v>44987</v>
      </c>
      <c r="D128" s="23">
        <v>48690</v>
      </c>
      <c r="E128" s="23">
        <v>52052</v>
      </c>
      <c r="F128" s="23">
        <v>55533</v>
      </c>
      <c r="G128" s="23">
        <v>58600</v>
      </c>
      <c r="H128" s="23">
        <v>61410</v>
      </c>
      <c r="J128" s="24">
        <f t="shared" si="2"/>
        <v>6.8224957055575963E-3</v>
      </c>
      <c r="K128" s="24">
        <f t="shared" si="3"/>
        <v>6.2433918101967301E-3</v>
      </c>
    </row>
    <row r="129" spans="1:11" x14ac:dyDescent="0.25">
      <c r="A129" s="21" t="s">
        <v>2768</v>
      </c>
      <c r="B129" s="22">
        <f>VLOOKUP(A129,[2]Sheet1!$B$3:$E$264,4,FALSE)</f>
        <v>150934</v>
      </c>
      <c r="C129" s="23">
        <v>173835</v>
      </c>
      <c r="D129" s="23">
        <v>200573</v>
      </c>
      <c r="E129" s="23">
        <v>228160</v>
      </c>
      <c r="F129" s="23">
        <v>258414</v>
      </c>
      <c r="G129" s="23">
        <v>291047</v>
      </c>
      <c r="H129" s="23">
        <v>325967</v>
      </c>
      <c r="J129" s="24">
        <f t="shared" si="2"/>
        <v>1.2915248842140237E-2</v>
      </c>
      <c r="K129" s="24">
        <f t="shared" si="3"/>
        <v>1.2653173996440392E-2</v>
      </c>
    </row>
    <row r="130" spans="1:11" x14ac:dyDescent="0.25">
      <c r="A130" s="21" t="s">
        <v>3176</v>
      </c>
      <c r="B130" s="22">
        <f>VLOOKUP(A130,[2]Sheet1!$B$3:$E$264,4,FALSE)</f>
        <v>20202</v>
      </c>
      <c r="C130" s="23">
        <v>21424</v>
      </c>
      <c r="D130" s="23">
        <v>22676</v>
      </c>
      <c r="E130" s="23">
        <v>23558</v>
      </c>
      <c r="F130" s="23">
        <v>24312</v>
      </c>
      <c r="G130" s="23">
        <v>24937</v>
      </c>
      <c r="H130" s="23">
        <v>25446</v>
      </c>
      <c r="J130" s="24">
        <f t="shared" si="2"/>
        <v>3.8536889424858334E-3</v>
      </c>
      <c r="K130" s="24">
        <f t="shared" si="3"/>
        <v>3.4468622296790485E-3</v>
      </c>
    </row>
    <row r="131" spans="1:11" x14ac:dyDescent="0.25">
      <c r="A131" s="21" t="s">
        <v>1853</v>
      </c>
      <c r="B131" s="22">
        <f>VLOOKUP(A131,[2]Sheet1!$B$3:$E$264,4,FALSE)</f>
        <v>14824</v>
      </c>
      <c r="C131" s="23">
        <v>15456</v>
      </c>
      <c r="D131" s="23">
        <v>15938</v>
      </c>
      <c r="E131" s="23">
        <v>15968</v>
      </c>
      <c r="F131" s="23">
        <v>15968</v>
      </c>
      <c r="G131" s="23">
        <v>15968</v>
      </c>
      <c r="H131" s="23">
        <v>15968</v>
      </c>
      <c r="J131" s="24">
        <f t="shared" si="2"/>
        <v>1.2397550381366695E-3</v>
      </c>
      <c r="K131" s="24">
        <f t="shared" si="3"/>
        <v>6.5200130248355137E-4</v>
      </c>
    </row>
    <row r="132" spans="1:11" x14ac:dyDescent="0.25">
      <c r="A132" s="21" t="s">
        <v>104</v>
      </c>
      <c r="B132" s="22">
        <f>VLOOKUP(A132,[2]Sheet1!$B$3:$E$264,4,FALSE)</f>
        <v>103350</v>
      </c>
      <c r="C132" s="23">
        <v>146389</v>
      </c>
      <c r="D132" s="23">
        <v>195107</v>
      </c>
      <c r="E132" s="23">
        <v>242354</v>
      </c>
      <c r="F132" s="23">
        <v>306833</v>
      </c>
      <c r="G132" s="23">
        <v>423277</v>
      </c>
      <c r="H132" s="23">
        <v>566840</v>
      </c>
      <c r="J132" s="24">
        <f t="shared" si="2"/>
        <v>2.8772073958916122E-2</v>
      </c>
      <c r="K132" s="24">
        <f t="shared" si="3"/>
        <v>2.7446083258688692E-2</v>
      </c>
    </row>
    <row r="133" spans="1:11" x14ac:dyDescent="0.25">
      <c r="A133" s="21" t="s">
        <v>2500</v>
      </c>
      <c r="B133" s="22">
        <f>VLOOKUP(A133,[2]Sheet1!$B$3:$E$264,4,FALSE)</f>
        <v>33410</v>
      </c>
      <c r="C133" s="23">
        <v>42185</v>
      </c>
      <c r="D133" s="23">
        <v>52213</v>
      </c>
      <c r="E133" s="23">
        <v>62807</v>
      </c>
      <c r="F133" s="23">
        <v>73308</v>
      </c>
      <c r="G133" s="23">
        <v>84028</v>
      </c>
      <c r="H133" s="23">
        <v>94549</v>
      </c>
      <c r="J133" s="24">
        <f t="shared" ref="J133:J196" si="4">((H133/B133)^(1/($H$3-$B$3))-1)</f>
        <v>1.7488886623638455E-2</v>
      </c>
      <c r="K133" s="24">
        <f t="shared" ref="K133:K196" si="5">((H133/C133)^(1/($H$3-$C$3))-1)</f>
        <v>1.6272041014991467E-2</v>
      </c>
    </row>
    <row r="134" spans="1:11" x14ac:dyDescent="0.25">
      <c r="A134" s="21" t="s">
        <v>6617</v>
      </c>
      <c r="B134" s="22">
        <f>VLOOKUP(A134,[2]Sheet1!$B$3:$E$264,4,FALSE)</f>
        <v>416</v>
      </c>
      <c r="C134" s="23">
        <v>463</v>
      </c>
      <c r="D134" s="23">
        <v>498</v>
      </c>
      <c r="E134" s="23">
        <v>504</v>
      </c>
      <c r="F134" s="23">
        <v>507</v>
      </c>
      <c r="G134" s="23">
        <v>508</v>
      </c>
      <c r="H134" s="23">
        <v>508</v>
      </c>
      <c r="J134" s="24">
        <f t="shared" si="4"/>
        <v>3.3354868527988302E-3</v>
      </c>
      <c r="K134" s="24">
        <f t="shared" si="5"/>
        <v>1.8568096098423581E-3</v>
      </c>
    </row>
    <row r="135" spans="1:11" x14ac:dyDescent="0.25">
      <c r="A135" s="21" t="s">
        <v>14959</v>
      </c>
      <c r="B135" s="22">
        <f>VLOOKUP(A135,[2]Sheet1!$B$3:$E$264,4,FALSE)</f>
        <v>808</v>
      </c>
      <c r="C135" s="23">
        <v>798</v>
      </c>
      <c r="D135" s="23">
        <v>816</v>
      </c>
      <c r="E135" s="23">
        <v>816</v>
      </c>
      <c r="F135" s="23">
        <v>816</v>
      </c>
      <c r="G135" s="23">
        <v>816</v>
      </c>
      <c r="H135" s="23">
        <v>816</v>
      </c>
      <c r="J135" s="24">
        <f t="shared" si="4"/>
        <v>1.6421842308611545E-4</v>
      </c>
      <c r="K135" s="24">
        <f t="shared" si="5"/>
        <v>4.4621467444883045E-4</v>
      </c>
    </row>
    <row r="136" spans="1:11" x14ac:dyDescent="0.25">
      <c r="A136" s="21" t="s">
        <v>561</v>
      </c>
      <c r="B136" s="22">
        <f>VLOOKUP(A136,[2]Sheet1!$B$3:$E$264,4,FALSE)</f>
        <v>49625</v>
      </c>
      <c r="C136" s="23">
        <v>52644</v>
      </c>
      <c r="D136" s="23">
        <v>55407</v>
      </c>
      <c r="E136" s="23">
        <v>57044</v>
      </c>
      <c r="F136" s="23">
        <v>58665</v>
      </c>
      <c r="G136" s="23">
        <v>59830</v>
      </c>
      <c r="H136" s="23">
        <v>60725</v>
      </c>
      <c r="J136" s="24">
        <f t="shared" si="4"/>
        <v>3.3700113607455506E-3</v>
      </c>
      <c r="K136" s="24">
        <f t="shared" si="5"/>
        <v>2.8601464949173927E-3</v>
      </c>
    </row>
    <row r="137" spans="1:11" x14ac:dyDescent="0.25">
      <c r="A137" s="21" t="s">
        <v>7055</v>
      </c>
      <c r="B137" s="22">
        <f>VLOOKUP(A137,[2]Sheet1!$B$3:$E$264,4,FALSE)</f>
        <v>4607</v>
      </c>
      <c r="C137" s="23">
        <v>4710</v>
      </c>
      <c r="D137" s="23">
        <v>4754</v>
      </c>
      <c r="E137" s="23">
        <v>4754</v>
      </c>
      <c r="F137" s="23">
        <v>4754</v>
      </c>
      <c r="G137" s="23">
        <v>4754</v>
      </c>
      <c r="H137" s="23">
        <v>4754</v>
      </c>
      <c r="J137" s="24">
        <f t="shared" si="4"/>
        <v>5.2362842859743353E-4</v>
      </c>
      <c r="K137" s="24">
        <f t="shared" si="5"/>
        <v>1.8598651154055901E-4</v>
      </c>
    </row>
    <row r="138" spans="1:11" x14ac:dyDescent="0.25">
      <c r="A138" s="21" t="s">
        <v>14960</v>
      </c>
      <c r="B138" s="22">
        <f>VLOOKUP(A138,[2]Sheet1!$B$3:$E$264,4,FALSE)</f>
        <v>286</v>
      </c>
      <c r="C138" s="23">
        <v>300</v>
      </c>
      <c r="D138" s="23">
        <v>316</v>
      </c>
      <c r="E138" s="23">
        <v>316</v>
      </c>
      <c r="F138" s="23">
        <v>316</v>
      </c>
      <c r="G138" s="23">
        <v>316</v>
      </c>
      <c r="H138" s="23">
        <v>316</v>
      </c>
      <c r="J138" s="24">
        <f t="shared" si="4"/>
        <v>1.6638894432294826E-3</v>
      </c>
      <c r="K138" s="24">
        <f t="shared" si="5"/>
        <v>1.0397349285988788E-3</v>
      </c>
    </row>
    <row r="139" spans="1:11" x14ac:dyDescent="0.25">
      <c r="A139" s="21" t="s">
        <v>6831</v>
      </c>
      <c r="B139" s="22">
        <f>VLOOKUP(A139,[2]Sheet1!$B$3:$E$264,4,FALSE)</f>
        <v>3598</v>
      </c>
      <c r="C139" s="23">
        <v>3695</v>
      </c>
      <c r="D139" s="23">
        <v>3720</v>
      </c>
      <c r="E139" s="23">
        <v>3720</v>
      </c>
      <c r="F139" s="23">
        <v>3720</v>
      </c>
      <c r="G139" s="23">
        <v>3720</v>
      </c>
      <c r="H139" s="23">
        <v>3720</v>
      </c>
      <c r="J139" s="24">
        <f t="shared" si="4"/>
        <v>5.5591334185778329E-4</v>
      </c>
      <c r="K139" s="24">
        <f t="shared" si="5"/>
        <v>1.3487137202350397E-4</v>
      </c>
    </row>
    <row r="140" spans="1:11" x14ac:dyDescent="0.25">
      <c r="A140" s="21" t="s">
        <v>185</v>
      </c>
      <c r="B140" s="22">
        <f>VLOOKUP(A140,[2]Sheet1!$B$3:$E$264,4,FALSE)</f>
        <v>32061</v>
      </c>
      <c r="C140" s="23">
        <v>35567</v>
      </c>
      <c r="D140" s="23">
        <v>38963</v>
      </c>
      <c r="E140" s="23">
        <v>42202</v>
      </c>
      <c r="F140" s="23">
        <v>45324</v>
      </c>
      <c r="G140" s="23">
        <v>48251</v>
      </c>
      <c r="H140" s="23">
        <v>50989</v>
      </c>
      <c r="J140" s="24">
        <f t="shared" si="4"/>
        <v>7.7628019337896426E-3</v>
      </c>
      <c r="K140" s="24">
        <f t="shared" si="5"/>
        <v>7.229843659668278E-3</v>
      </c>
    </row>
    <row r="141" spans="1:11" x14ac:dyDescent="0.25">
      <c r="A141" s="21" t="s">
        <v>6982</v>
      </c>
      <c r="B141" s="22">
        <f>VLOOKUP(A141,[2]Sheet1!$B$3:$E$264,4,FALSE)</f>
        <v>3719</v>
      </c>
      <c r="C141" s="23">
        <v>3847</v>
      </c>
      <c r="D141" s="23">
        <v>4003</v>
      </c>
      <c r="E141" s="23">
        <v>4086</v>
      </c>
      <c r="F141" s="23">
        <v>4183</v>
      </c>
      <c r="G141" s="23">
        <v>4260</v>
      </c>
      <c r="H141" s="23">
        <v>4325</v>
      </c>
      <c r="J141" s="24">
        <f t="shared" si="4"/>
        <v>2.5191230958796496E-3</v>
      </c>
      <c r="K141" s="24">
        <f t="shared" si="5"/>
        <v>2.345115824895494E-3</v>
      </c>
    </row>
    <row r="142" spans="1:11" x14ac:dyDescent="0.25">
      <c r="A142" s="21" t="s">
        <v>4114</v>
      </c>
      <c r="B142" s="22">
        <f>VLOOKUP(A142,[2]Sheet1!$B$3:$E$264,4,FALSE)</f>
        <v>6886</v>
      </c>
      <c r="C142" s="23">
        <v>7776</v>
      </c>
      <c r="D142" s="23">
        <v>8517</v>
      </c>
      <c r="E142" s="23">
        <v>9209</v>
      </c>
      <c r="F142" s="23">
        <v>9987</v>
      </c>
      <c r="G142" s="23">
        <v>10657</v>
      </c>
      <c r="H142" s="23">
        <v>11279</v>
      </c>
      <c r="J142" s="24">
        <f t="shared" si="4"/>
        <v>8.2581154110490385E-3</v>
      </c>
      <c r="K142" s="24">
        <f t="shared" si="5"/>
        <v>7.4657411608551882E-3</v>
      </c>
    </row>
    <row r="143" spans="1:11" x14ac:dyDescent="0.25">
      <c r="A143" s="21" t="s">
        <v>97</v>
      </c>
      <c r="B143" s="22">
        <f>VLOOKUP(A143,[2]Sheet1!$B$3:$E$264,4,FALSE)</f>
        <v>49793</v>
      </c>
      <c r="C143" s="23">
        <v>52170</v>
      </c>
      <c r="D143" s="23">
        <v>54189</v>
      </c>
      <c r="E143" s="23">
        <v>55683</v>
      </c>
      <c r="F143" s="23">
        <v>57037</v>
      </c>
      <c r="G143" s="23">
        <v>58092</v>
      </c>
      <c r="H143" s="23">
        <v>58943</v>
      </c>
      <c r="J143" s="24">
        <f t="shared" si="4"/>
        <v>2.8155639981541913E-3</v>
      </c>
      <c r="K143" s="24">
        <f t="shared" si="5"/>
        <v>2.4442474781694035E-3</v>
      </c>
    </row>
    <row r="144" spans="1:11" x14ac:dyDescent="0.25">
      <c r="A144" s="21" t="s">
        <v>14961</v>
      </c>
      <c r="B144" s="22">
        <f>VLOOKUP(A144,[2]Sheet1!$B$3:$E$264,4,FALSE)</f>
        <v>13977</v>
      </c>
      <c r="C144" s="23">
        <v>14615</v>
      </c>
      <c r="D144" s="23">
        <v>15175</v>
      </c>
      <c r="E144" s="23">
        <v>15438</v>
      </c>
      <c r="F144" s="23">
        <v>15419</v>
      </c>
      <c r="G144" s="23">
        <v>15791</v>
      </c>
      <c r="H144" s="23">
        <v>15975</v>
      </c>
      <c r="J144" s="24">
        <f t="shared" si="4"/>
        <v>2.2293459505908775E-3</v>
      </c>
      <c r="K144" s="24">
        <f t="shared" si="5"/>
        <v>1.78111634077327E-3</v>
      </c>
    </row>
    <row r="145" spans="1:11" x14ac:dyDescent="0.25">
      <c r="A145" s="21" t="s">
        <v>7038</v>
      </c>
      <c r="B145" s="22">
        <f>VLOOKUP(A145,[2]Sheet1!$B$3:$E$264,4,FALSE)</f>
        <v>19677</v>
      </c>
      <c r="C145" s="23">
        <v>21800</v>
      </c>
      <c r="D145" s="23">
        <v>24100</v>
      </c>
      <c r="E145" s="23">
        <v>25874</v>
      </c>
      <c r="F145" s="23">
        <v>27689</v>
      </c>
      <c r="G145" s="23">
        <v>29296</v>
      </c>
      <c r="H145" s="23">
        <v>30741</v>
      </c>
      <c r="J145" s="24">
        <f t="shared" si="4"/>
        <v>7.463494523260783E-3</v>
      </c>
      <c r="K145" s="24">
        <f t="shared" si="5"/>
        <v>6.8974243877122365E-3</v>
      </c>
    </row>
    <row r="146" spans="1:11" x14ac:dyDescent="0.25">
      <c r="A146" s="21" t="s">
        <v>6988</v>
      </c>
      <c r="B146" s="22">
        <f>VLOOKUP(A146,[2]Sheet1!$B$3:$E$264,4,FALSE)</f>
        <v>19263</v>
      </c>
      <c r="C146" s="23">
        <v>19263</v>
      </c>
      <c r="D146" s="23">
        <v>19263</v>
      </c>
      <c r="E146" s="23">
        <v>19263</v>
      </c>
      <c r="F146" s="23">
        <v>19263</v>
      </c>
      <c r="G146" s="23">
        <v>19263</v>
      </c>
      <c r="H146" s="23">
        <v>19263</v>
      </c>
      <c r="J146" s="24">
        <f t="shared" si="4"/>
        <v>0</v>
      </c>
      <c r="K146" s="24">
        <f t="shared" si="5"/>
        <v>0</v>
      </c>
    </row>
    <row r="147" spans="1:11" x14ac:dyDescent="0.25">
      <c r="A147" s="21" t="s">
        <v>590</v>
      </c>
      <c r="B147" s="22">
        <f>VLOOKUP(A147,[2]Sheet1!$B$3:$E$264,4,FALSE)</f>
        <v>16612</v>
      </c>
      <c r="C147" s="23">
        <v>19131</v>
      </c>
      <c r="D147" s="23">
        <v>21511</v>
      </c>
      <c r="E147" s="23">
        <v>22877</v>
      </c>
      <c r="F147" s="23">
        <v>23375</v>
      </c>
      <c r="G147" s="23">
        <v>23709</v>
      </c>
      <c r="H147" s="23">
        <v>23889</v>
      </c>
      <c r="J147" s="24">
        <f t="shared" si="4"/>
        <v>6.0732474393845326E-3</v>
      </c>
      <c r="K147" s="24">
        <f t="shared" si="5"/>
        <v>4.4520419412708012E-3</v>
      </c>
    </row>
    <row r="148" spans="1:11" x14ac:dyDescent="0.25">
      <c r="A148" s="21" t="s">
        <v>928</v>
      </c>
      <c r="B148" s="22">
        <f>VLOOKUP(A148,[2]Sheet1!$B$3:$E$264,4,FALSE)</f>
        <v>16801</v>
      </c>
      <c r="C148" s="23">
        <v>18211</v>
      </c>
      <c r="D148" s="23">
        <v>19536</v>
      </c>
      <c r="E148" s="23">
        <v>20603</v>
      </c>
      <c r="F148" s="23">
        <v>22071</v>
      </c>
      <c r="G148" s="23">
        <v>23340</v>
      </c>
      <c r="H148" s="23">
        <v>24582</v>
      </c>
      <c r="J148" s="24">
        <f t="shared" si="4"/>
        <v>6.3630933302167847E-3</v>
      </c>
      <c r="K148" s="24">
        <f t="shared" si="5"/>
        <v>6.0178079028641029E-3</v>
      </c>
    </row>
    <row r="149" spans="1:11" x14ac:dyDescent="0.25">
      <c r="A149" s="21" t="s">
        <v>1519</v>
      </c>
      <c r="B149" s="22">
        <f>VLOOKUP(A149,[2]Sheet1!$B$3:$E$264,4,FALSE)</f>
        <v>75643</v>
      </c>
      <c r="C149" s="23">
        <v>86303</v>
      </c>
      <c r="D149" s="23">
        <v>97227</v>
      </c>
      <c r="E149" s="23">
        <v>107618</v>
      </c>
      <c r="F149" s="23">
        <v>118048</v>
      </c>
      <c r="G149" s="23">
        <v>128028</v>
      </c>
      <c r="H149" s="23">
        <v>137560</v>
      </c>
      <c r="J149" s="24">
        <f t="shared" si="4"/>
        <v>1.0017093213201544E-2</v>
      </c>
      <c r="K149" s="24">
        <f t="shared" si="5"/>
        <v>9.3675196339391142E-3</v>
      </c>
    </row>
    <row r="150" spans="1:11" x14ac:dyDescent="0.25">
      <c r="A150" s="21" t="s">
        <v>1281</v>
      </c>
      <c r="B150" s="22">
        <f>VLOOKUP(A150,[2]Sheet1!$B$3:$E$264,4,FALSE)</f>
        <v>23384</v>
      </c>
      <c r="C150" s="23">
        <v>25136</v>
      </c>
      <c r="D150" s="23">
        <v>26615</v>
      </c>
      <c r="E150" s="23">
        <v>27817</v>
      </c>
      <c r="F150" s="23">
        <v>29134</v>
      </c>
      <c r="G150" s="23">
        <v>30206</v>
      </c>
      <c r="H150" s="23">
        <v>31152</v>
      </c>
      <c r="J150" s="24">
        <f t="shared" si="4"/>
        <v>4.7918848813413017E-3</v>
      </c>
      <c r="K150" s="24">
        <f t="shared" si="5"/>
        <v>4.300769218948064E-3</v>
      </c>
    </row>
    <row r="151" spans="1:11" x14ac:dyDescent="0.25">
      <c r="A151" s="21" t="s">
        <v>5543</v>
      </c>
      <c r="B151" s="22">
        <f>VLOOKUP(A151,[2]Sheet1!$B$3:$E$264,4,FALSE)</f>
        <v>3302</v>
      </c>
      <c r="C151" s="23">
        <v>3599</v>
      </c>
      <c r="D151" s="23">
        <v>3858</v>
      </c>
      <c r="E151" s="23">
        <v>4011</v>
      </c>
      <c r="F151" s="23">
        <v>4211</v>
      </c>
      <c r="G151" s="23">
        <v>4350</v>
      </c>
      <c r="H151" s="23">
        <v>4465</v>
      </c>
      <c r="J151" s="24">
        <f t="shared" si="4"/>
        <v>5.0416811986326859E-3</v>
      </c>
      <c r="K151" s="24">
        <f t="shared" si="5"/>
        <v>4.3215748930494069E-3</v>
      </c>
    </row>
    <row r="152" spans="1:11" x14ac:dyDescent="0.25">
      <c r="A152" s="21" t="s">
        <v>1336</v>
      </c>
      <c r="B152" s="22">
        <f>VLOOKUP(A152,[2]Sheet1!$B$3:$E$264,4,FALSE)</f>
        <v>11531</v>
      </c>
      <c r="C152" s="23">
        <v>11683</v>
      </c>
      <c r="D152" s="23">
        <v>11690</v>
      </c>
      <c r="E152" s="23">
        <v>11690</v>
      </c>
      <c r="F152" s="23">
        <v>11690</v>
      </c>
      <c r="G152" s="23">
        <v>11690</v>
      </c>
      <c r="H152" s="23">
        <v>11690</v>
      </c>
      <c r="J152" s="24">
        <f t="shared" si="4"/>
        <v>2.2827129484448427E-4</v>
      </c>
      <c r="K152" s="24">
        <f t="shared" si="5"/>
        <v>1.1979706735498752E-5</v>
      </c>
    </row>
    <row r="153" spans="1:11" x14ac:dyDescent="0.25">
      <c r="A153" s="21" t="s">
        <v>889</v>
      </c>
      <c r="B153" s="22">
        <f>VLOOKUP(A153,[2]Sheet1!$B$3:$E$264,4,FALSE)</f>
        <v>19301</v>
      </c>
      <c r="C153" s="23">
        <v>21291</v>
      </c>
      <c r="D153" s="23">
        <v>22453</v>
      </c>
      <c r="E153" s="23">
        <v>22422</v>
      </c>
      <c r="F153" s="23">
        <v>22035</v>
      </c>
      <c r="G153" s="23">
        <v>22779</v>
      </c>
      <c r="H153" s="23">
        <v>23549</v>
      </c>
      <c r="J153" s="24">
        <f t="shared" si="4"/>
        <v>3.3209429641563037E-3</v>
      </c>
      <c r="K153" s="24">
        <f t="shared" si="5"/>
        <v>2.0180116203230014E-3</v>
      </c>
    </row>
    <row r="154" spans="1:11" x14ac:dyDescent="0.25">
      <c r="A154" s="21" t="s">
        <v>14962</v>
      </c>
      <c r="B154" s="22">
        <f>VLOOKUP(A154,[2]Sheet1!$B$3:$E$264,4,FALSE)</f>
        <v>82</v>
      </c>
      <c r="C154" s="23">
        <v>82</v>
      </c>
      <c r="D154" s="23">
        <v>82</v>
      </c>
      <c r="E154" s="23">
        <v>82</v>
      </c>
      <c r="F154" s="23">
        <v>82</v>
      </c>
      <c r="G154" s="23">
        <v>82</v>
      </c>
      <c r="H154" s="23">
        <v>82</v>
      </c>
      <c r="J154" s="24">
        <f t="shared" si="4"/>
        <v>0</v>
      </c>
      <c r="K154" s="24">
        <f t="shared" si="5"/>
        <v>0</v>
      </c>
    </row>
    <row r="155" spans="1:11" x14ac:dyDescent="0.25">
      <c r="A155" s="21" t="s">
        <v>3198</v>
      </c>
      <c r="B155" s="22">
        <f>VLOOKUP(A155,[2]Sheet1!$B$3:$E$264,4,FALSE)</f>
        <v>278831</v>
      </c>
      <c r="C155" s="23">
        <v>309769</v>
      </c>
      <c r="D155" s="23">
        <v>343977</v>
      </c>
      <c r="E155" s="23">
        <v>378320</v>
      </c>
      <c r="F155" s="23">
        <v>414938</v>
      </c>
      <c r="G155" s="23">
        <v>449770</v>
      </c>
      <c r="H155" s="23">
        <v>484316</v>
      </c>
      <c r="J155" s="24">
        <f t="shared" si="4"/>
        <v>9.2446657520572906E-3</v>
      </c>
      <c r="K155" s="24">
        <f t="shared" si="5"/>
        <v>8.9782796773536511E-3</v>
      </c>
    </row>
    <row r="156" spans="1:11" x14ac:dyDescent="0.25">
      <c r="A156" s="21" t="s">
        <v>14963</v>
      </c>
      <c r="B156" s="22">
        <f>VLOOKUP(A156,[2]Sheet1!$B$3:$E$264,4,FALSE)</f>
        <v>5915</v>
      </c>
      <c r="C156" s="23">
        <v>6279</v>
      </c>
      <c r="D156" s="23">
        <v>6605</v>
      </c>
      <c r="E156" s="23">
        <v>6624</v>
      </c>
      <c r="F156" s="23">
        <v>6594</v>
      </c>
      <c r="G156" s="23">
        <v>6924</v>
      </c>
      <c r="H156" s="23">
        <v>7074</v>
      </c>
      <c r="J156" s="24">
        <f t="shared" si="4"/>
        <v>2.9866945337324591E-3</v>
      </c>
      <c r="K156" s="24">
        <f t="shared" si="5"/>
        <v>2.3871518938207714E-3</v>
      </c>
    </row>
    <row r="157" spans="1:11" x14ac:dyDescent="0.25">
      <c r="A157" s="21" t="s">
        <v>1727</v>
      </c>
      <c r="B157" s="22">
        <f>VLOOKUP(A157,[2]Sheet1!$B$3:$E$264,4,FALSE)</f>
        <v>13664</v>
      </c>
      <c r="C157" s="23">
        <v>14753</v>
      </c>
      <c r="D157" s="23">
        <v>15817</v>
      </c>
      <c r="E157" s="23">
        <v>16786</v>
      </c>
      <c r="F157" s="23">
        <v>17872</v>
      </c>
      <c r="G157" s="23">
        <v>18886</v>
      </c>
      <c r="H157" s="23">
        <v>19877</v>
      </c>
      <c r="J157" s="24">
        <f t="shared" si="4"/>
        <v>6.2661950922180409E-3</v>
      </c>
      <c r="K157" s="24">
        <f t="shared" si="5"/>
        <v>5.9801467576474643E-3</v>
      </c>
    </row>
    <row r="158" spans="1:11" x14ac:dyDescent="0.25">
      <c r="A158" s="21" t="s">
        <v>2106</v>
      </c>
      <c r="B158" s="22">
        <f>VLOOKUP(A158,[2]Sheet1!$B$3:$E$264,4,FALSE)</f>
        <v>10546</v>
      </c>
      <c r="C158" s="23">
        <v>10601</v>
      </c>
      <c r="D158" s="23">
        <v>10601</v>
      </c>
      <c r="E158" s="23">
        <v>10601</v>
      </c>
      <c r="F158" s="23">
        <v>10601</v>
      </c>
      <c r="G158" s="23">
        <v>10601</v>
      </c>
      <c r="H158" s="23">
        <v>10601</v>
      </c>
      <c r="J158" s="24">
        <f t="shared" si="4"/>
        <v>8.6698677824514903E-5</v>
      </c>
      <c r="K158" s="24">
        <f t="shared" si="5"/>
        <v>0</v>
      </c>
    </row>
    <row r="159" spans="1:11" x14ac:dyDescent="0.25">
      <c r="A159" s="21" t="s">
        <v>14964</v>
      </c>
      <c r="B159" s="22">
        <f>VLOOKUP(A159,[2]Sheet1!$B$3:$E$264,4,FALSE)</f>
        <v>4799</v>
      </c>
      <c r="C159" s="23">
        <v>5433</v>
      </c>
      <c r="D159" s="23">
        <v>5986</v>
      </c>
      <c r="E159" s="23">
        <v>6382</v>
      </c>
      <c r="F159" s="23">
        <v>6735</v>
      </c>
      <c r="G159" s="23">
        <v>7000</v>
      </c>
      <c r="H159" s="23">
        <v>7205</v>
      </c>
      <c r="J159" s="24">
        <f t="shared" si="4"/>
        <v>6.7957816818506878E-3</v>
      </c>
      <c r="K159" s="24">
        <f t="shared" si="5"/>
        <v>5.661642095843078E-3</v>
      </c>
    </row>
    <row r="160" spans="1:11" x14ac:dyDescent="0.25">
      <c r="A160" s="21" t="s">
        <v>3045</v>
      </c>
      <c r="B160" s="22">
        <f>VLOOKUP(A160,[2]Sheet1!$B$3:$E$264,4,FALSE)</f>
        <v>4012</v>
      </c>
      <c r="C160" s="23">
        <v>4012</v>
      </c>
      <c r="D160" s="23">
        <v>4012</v>
      </c>
      <c r="E160" s="23">
        <v>4012</v>
      </c>
      <c r="F160" s="23">
        <v>4012</v>
      </c>
      <c r="G160" s="23">
        <v>4012</v>
      </c>
      <c r="H160" s="23">
        <v>4012</v>
      </c>
      <c r="J160" s="24">
        <f t="shared" si="4"/>
        <v>0</v>
      </c>
      <c r="K160" s="24">
        <f t="shared" si="5"/>
        <v>0</v>
      </c>
    </row>
    <row r="161" spans="1:11" x14ac:dyDescent="0.25">
      <c r="A161" s="21" t="s">
        <v>290</v>
      </c>
      <c r="B161" s="22">
        <f>VLOOKUP(A161,[2]Sheet1!$B$3:$E$264,4,FALSE)</f>
        <v>36702</v>
      </c>
      <c r="C161" s="23">
        <v>39166</v>
      </c>
      <c r="D161" s="23">
        <v>41226</v>
      </c>
      <c r="E161" s="23">
        <v>42548</v>
      </c>
      <c r="F161" s="23">
        <v>43570</v>
      </c>
      <c r="G161" s="23">
        <v>44296</v>
      </c>
      <c r="H161" s="23">
        <v>44815</v>
      </c>
      <c r="J161" s="24">
        <f t="shared" si="4"/>
        <v>3.3340732879323376E-3</v>
      </c>
      <c r="K161" s="24">
        <f t="shared" si="5"/>
        <v>2.6983115333847341E-3</v>
      </c>
    </row>
    <row r="162" spans="1:11" x14ac:dyDescent="0.25">
      <c r="A162" s="21" t="s">
        <v>2891</v>
      </c>
      <c r="B162" s="22">
        <f>VLOOKUP(A162,[2]Sheet1!$B$3:$E$264,4,FALSE)</f>
        <v>54258</v>
      </c>
      <c r="C162" s="23">
        <v>63107</v>
      </c>
      <c r="D162" s="23">
        <v>72491</v>
      </c>
      <c r="E162" s="23">
        <v>81243</v>
      </c>
      <c r="F162" s="23">
        <v>90304</v>
      </c>
      <c r="G162" s="23">
        <v>98988</v>
      </c>
      <c r="H162" s="23">
        <v>107327</v>
      </c>
      <c r="J162" s="24">
        <f t="shared" si="4"/>
        <v>1.143370078221051E-2</v>
      </c>
      <c r="K162" s="24">
        <f t="shared" si="5"/>
        <v>1.0677573737206458E-2</v>
      </c>
    </row>
    <row r="163" spans="1:11" x14ac:dyDescent="0.25">
      <c r="A163" s="21" t="s">
        <v>10708</v>
      </c>
      <c r="B163" s="22">
        <f>VLOOKUP(A163,[2]Sheet1!$B$3:$E$264,4,FALSE)</f>
        <v>8283</v>
      </c>
      <c r="C163" s="23">
        <v>8635</v>
      </c>
      <c r="D163" s="23">
        <v>9000</v>
      </c>
      <c r="E163" s="23">
        <v>9030</v>
      </c>
      <c r="F163" s="23">
        <v>9125</v>
      </c>
      <c r="G163" s="23">
        <v>9152</v>
      </c>
      <c r="H163" s="23">
        <v>9165</v>
      </c>
      <c r="J163" s="24">
        <f t="shared" si="4"/>
        <v>1.6878671748996599E-3</v>
      </c>
      <c r="K163" s="24">
        <f t="shared" si="5"/>
        <v>1.1920733491388447E-3</v>
      </c>
    </row>
    <row r="164" spans="1:11" x14ac:dyDescent="0.25">
      <c r="A164" s="21" t="s">
        <v>122</v>
      </c>
      <c r="B164" s="22">
        <f>VLOOKUP(A164,[2]Sheet1!$B$3:$E$264,4,FALSE)</f>
        <v>234906</v>
      </c>
      <c r="C164" s="23">
        <v>252211</v>
      </c>
      <c r="D164" s="23">
        <v>272216</v>
      </c>
      <c r="E164" s="23">
        <v>289887</v>
      </c>
      <c r="F164" s="23">
        <v>307661</v>
      </c>
      <c r="G164" s="23">
        <v>325373</v>
      </c>
      <c r="H164" s="23">
        <v>342757</v>
      </c>
      <c r="J164" s="24">
        <f t="shared" si="4"/>
        <v>6.3171412879605704E-3</v>
      </c>
      <c r="K164" s="24">
        <f t="shared" si="5"/>
        <v>6.1539724090502457E-3</v>
      </c>
    </row>
    <row r="165" spans="1:11" x14ac:dyDescent="0.25">
      <c r="A165" s="21" t="s">
        <v>1645</v>
      </c>
      <c r="B165" s="22">
        <f>VLOOKUP(A165,[2]Sheet1!$B$3:$E$264,4,FALSE)</f>
        <v>707</v>
      </c>
      <c r="C165" s="23">
        <v>734</v>
      </c>
      <c r="D165" s="23">
        <v>734</v>
      </c>
      <c r="E165" s="23">
        <v>734</v>
      </c>
      <c r="F165" s="23">
        <v>734</v>
      </c>
      <c r="G165" s="23">
        <v>734</v>
      </c>
      <c r="H165" s="23">
        <v>734</v>
      </c>
      <c r="J165" s="24">
        <f t="shared" si="4"/>
        <v>6.2483450643502358E-4</v>
      </c>
      <c r="K165" s="24">
        <f t="shared" si="5"/>
        <v>0</v>
      </c>
    </row>
    <row r="166" spans="1:11" x14ac:dyDescent="0.25">
      <c r="A166" s="21" t="s">
        <v>234</v>
      </c>
      <c r="B166" s="22">
        <f>VLOOKUP(A166,[2]Sheet1!$B$3:$E$264,4,FALSE)</f>
        <v>46006</v>
      </c>
      <c r="C166" s="23">
        <v>52653</v>
      </c>
      <c r="D166" s="23">
        <v>59694</v>
      </c>
      <c r="E166" s="23">
        <v>65676</v>
      </c>
      <c r="F166" s="23">
        <v>70896</v>
      </c>
      <c r="G166" s="23">
        <v>75605</v>
      </c>
      <c r="H166" s="23">
        <v>79700</v>
      </c>
      <c r="J166" s="24">
        <f t="shared" si="4"/>
        <v>9.2003615618496681E-3</v>
      </c>
      <c r="K166" s="24">
        <f t="shared" si="5"/>
        <v>8.3253922968993255E-3</v>
      </c>
    </row>
    <row r="167" spans="1:11" x14ac:dyDescent="0.25">
      <c r="A167" s="21" t="s">
        <v>7802</v>
      </c>
      <c r="B167" s="22">
        <f>VLOOKUP(A167,[2]Sheet1!$B$3:$E$264,4,FALSE)</f>
        <v>2242</v>
      </c>
      <c r="C167" s="23">
        <v>2242</v>
      </c>
      <c r="D167" s="23">
        <v>2242</v>
      </c>
      <c r="E167" s="23">
        <v>2242</v>
      </c>
      <c r="F167" s="23">
        <v>2242</v>
      </c>
      <c r="G167" s="23">
        <v>2242</v>
      </c>
      <c r="H167" s="23">
        <v>2242</v>
      </c>
      <c r="J167" s="24">
        <f t="shared" si="4"/>
        <v>0</v>
      </c>
      <c r="K167" s="24">
        <f t="shared" si="5"/>
        <v>0</v>
      </c>
    </row>
    <row r="168" spans="1:11" x14ac:dyDescent="0.25">
      <c r="A168" s="21" t="s">
        <v>5940</v>
      </c>
      <c r="B168" s="22">
        <f>VLOOKUP(A168,[2]Sheet1!$B$3:$E$264,4,FALSE)</f>
        <v>136872</v>
      </c>
      <c r="C168" s="23">
        <v>169062</v>
      </c>
      <c r="D168" s="23">
        <v>195286</v>
      </c>
      <c r="E168" s="23">
        <v>213581</v>
      </c>
      <c r="F168" s="23">
        <v>232357</v>
      </c>
      <c r="G168" s="23">
        <v>250264</v>
      </c>
      <c r="H168" s="23">
        <v>269070</v>
      </c>
      <c r="J168" s="24">
        <f t="shared" si="4"/>
        <v>1.1329116938078698E-2</v>
      </c>
      <c r="K168" s="24">
        <f t="shared" si="5"/>
        <v>9.337445605792416E-3</v>
      </c>
    </row>
    <row r="169" spans="1:11" x14ac:dyDescent="0.25">
      <c r="A169" s="21" t="s">
        <v>4455</v>
      </c>
      <c r="B169" s="22">
        <f>VLOOKUP(A169,[2]Sheet1!$B$3:$E$264,4,FALSE)</f>
        <v>24757</v>
      </c>
      <c r="C169" s="23">
        <v>26234</v>
      </c>
      <c r="D169" s="23">
        <v>27793</v>
      </c>
      <c r="E169" s="23">
        <v>28896</v>
      </c>
      <c r="F169" s="23">
        <v>30300</v>
      </c>
      <c r="G169" s="23">
        <v>31501</v>
      </c>
      <c r="H169" s="23">
        <v>32629</v>
      </c>
      <c r="J169" s="24">
        <f t="shared" si="4"/>
        <v>4.6121565063204084E-3</v>
      </c>
      <c r="K169" s="24">
        <f t="shared" si="5"/>
        <v>4.3724350026086434E-3</v>
      </c>
    </row>
    <row r="170" spans="1:11" x14ac:dyDescent="0.25">
      <c r="A170" s="21" t="s">
        <v>8552</v>
      </c>
      <c r="B170" s="22">
        <f>VLOOKUP(A170,[2]Sheet1!$B$3:$E$264,4,FALSE)</f>
        <v>4936</v>
      </c>
      <c r="C170" s="23">
        <v>4912</v>
      </c>
      <c r="D170" s="23">
        <v>5076</v>
      </c>
      <c r="E170" s="23">
        <v>5213</v>
      </c>
      <c r="F170" s="23">
        <v>5417</v>
      </c>
      <c r="G170" s="23">
        <v>5625</v>
      </c>
      <c r="H170" s="23">
        <v>5859</v>
      </c>
      <c r="J170" s="24">
        <f t="shared" si="4"/>
        <v>2.8611461875298616E-3</v>
      </c>
      <c r="K170" s="24">
        <f t="shared" si="5"/>
        <v>3.5321784861015448E-3</v>
      </c>
    </row>
    <row r="171" spans="1:11" x14ac:dyDescent="0.25">
      <c r="A171" s="21" t="s">
        <v>8080</v>
      </c>
      <c r="B171" s="22">
        <f>VLOOKUP(A171,[2]Sheet1!$B$3:$E$264,4,FALSE)</f>
        <v>9403</v>
      </c>
      <c r="C171" s="23">
        <v>10531</v>
      </c>
      <c r="D171" s="23">
        <v>11329</v>
      </c>
      <c r="E171" s="23">
        <v>11566</v>
      </c>
      <c r="F171" s="23">
        <v>11706</v>
      </c>
      <c r="G171" s="23">
        <v>11826</v>
      </c>
      <c r="H171" s="23">
        <v>11930</v>
      </c>
      <c r="J171" s="24">
        <f t="shared" si="4"/>
        <v>3.9750036000572031E-3</v>
      </c>
      <c r="K171" s="24">
        <f t="shared" si="5"/>
        <v>2.4977732050022183E-3</v>
      </c>
    </row>
    <row r="172" spans="1:11" x14ac:dyDescent="0.25">
      <c r="A172" s="21" t="s">
        <v>4338</v>
      </c>
      <c r="B172" s="22">
        <f>VLOOKUP(A172,[2]Sheet1!$B$3:$E$264,4,FALSE)</f>
        <v>19719</v>
      </c>
      <c r="C172" s="23">
        <v>20507</v>
      </c>
      <c r="D172" s="23">
        <v>21260</v>
      </c>
      <c r="E172" s="23">
        <v>21600</v>
      </c>
      <c r="F172" s="23">
        <v>21979</v>
      </c>
      <c r="G172" s="23">
        <v>22223</v>
      </c>
      <c r="H172" s="23">
        <v>22401</v>
      </c>
      <c r="J172" s="24">
        <f t="shared" si="4"/>
        <v>2.1276429397054653E-3</v>
      </c>
      <c r="K172" s="24">
        <f t="shared" si="5"/>
        <v>1.7683478752661408E-3</v>
      </c>
    </row>
    <row r="173" spans="1:11" x14ac:dyDescent="0.25">
      <c r="A173" s="21" t="s">
        <v>26</v>
      </c>
      <c r="B173" s="22">
        <f>VLOOKUP(A173,[2]Sheet1!$B$3:$E$264,4,FALSE)</f>
        <v>455746</v>
      </c>
      <c r="C173" s="23">
        <v>627917</v>
      </c>
      <c r="D173" s="23">
        <v>811252</v>
      </c>
      <c r="E173" s="23">
        <v>1019278</v>
      </c>
      <c r="F173" s="23">
        <v>1267916</v>
      </c>
      <c r="G173" s="23">
        <v>1576135</v>
      </c>
      <c r="H173" s="23">
        <v>1946063</v>
      </c>
      <c r="J173" s="24">
        <f t="shared" si="4"/>
        <v>2.4488844583058889E-2</v>
      </c>
      <c r="K173" s="24">
        <f t="shared" si="5"/>
        <v>2.2880956237364192E-2</v>
      </c>
    </row>
    <row r="174" spans="1:11" x14ac:dyDescent="0.25">
      <c r="A174" s="21" t="s">
        <v>1405</v>
      </c>
      <c r="B174" s="22">
        <f>VLOOKUP(A174,[2]Sheet1!$B$3:$E$264,4,FALSE)</f>
        <v>21904</v>
      </c>
      <c r="C174" s="23">
        <v>25513</v>
      </c>
      <c r="D174" s="23">
        <v>28864</v>
      </c>
      <c r="E174" s="23">
        <v>32429</v>
      </c>
      <c r="F174" s="23">
        <v>36050</v>
      </c>
      <c r="G174" s="23">
        <v>39824</v>
      </c>
      <c r="H174" s="23">
        <v>43690</v>
      </c>
      <c r="J174" s="24">
        <f t="shared" si="4"/>
        <v>1.1573965554579013E-2</v>
      </c>
      <c r="K174" s="24">
        <f t="shared" si="5"/>
        <v>1.0816704420470558E-2</v>
      </c>
    </row>
    <row r="175" spans="1:11" x14ac:dyDescent="0.25">
      <c r="A175" s="21" t="s">
        <v>2583</v>
      </c>
      <c r="B175" s="22">
        <f>VLOOKUP(A175,[2]Sheet1!$B$3:$E$264,4,FALSE)</f>
        <v>12934</v>
      </c>
      <c r="C175" s="23">
        <v>13364</v>
      </c>
      <c r="D175" s="23">
        <v>13612</v>
      </c>
      <c r="E175" s="23">
        <v>13886</v>
      </c>
      <c r="F175" s="23">
        <v>14293</v>
      </c>
      <c r="G175" s="23">
        <v>14618</v>
      </c>
      <c r="H175" s="23">
        <v>14942</v>
      </c>
      <c r="J175" s="24">
        <f t="shared" si="4"/>
        <v>2.4081706048197926E-3</v>
      </c>
      <c r="K175" s="24">
        <f t="shared" si="5"/>
        <v>2.234723582088094E-3</v>
      </c>
    </row>
    <row r="176" spans="1:11" x14ac:dyDescent="0.25">
      <c r="A176" s="21" t="s">
        <v>14965</v>
      </c>
      <c r="B176" s="22">
        <f>VLOOKUP(A176,[2]Sheet1!$B$3:$E$264,4,FALSE)</f>
        <v>1210</v>
      </c>
      <c r="C176" s="23">
        <v>1212</v>
      </c>
      <c r="D176" s="23">
        <v>1212</v>
      </c>
      <c r="E176" s="23">
        <v>1212</v>
      </c>
      <c r="F176" s="23">
        <v>1212</v>
      </c>
      <c r="G176" s="23">
        <v>1212</v>
      </c>
      <c r="H176" s="23">
        <v>1212</v>
      </c>
      <c r="J176" s="24">
        <f t="shared" si="4"/>
        <v>2.7525846137077536E-5</v>
      </c>
      <c r="K176" s="24">
        <f t="shared" si="5"/>
        <v>0</v>
      </c>
    </row>
    <row r="177" spans="1:11" x14ac:dyDescent="0.25">
      <c r="A177" s="21" t="s">
        <v>645</v>
      </c>
      <c r="B177" s="22">
        <f>VLOOKUP(A177,[2]Sheet1!$B$3:$E$264,4,FALSE)</f>
        <v>64524</v>
      </c>
      <c r="C177" s="23">
        <v>72136</v>
      </c>
      <c r="D177" s="23">
        <v>81040</v>
      </c>
      <c r="E177" s="23">
        <v>89815</v>
      </c>
      <c r="F177" s="23">
        <v>99155</v>
      </c>
      <c r="G177" s="23">
        <v>109035</v>
      </c>
      <c r="H177" s="23">
        <v>119364</v>
      </c>
      <c r="J177" s="24">
        <f t="shared" si="4"/>
        <v>1.030507530951863E-2</v>
      </c>
      <c r="K177" s="24">
        <f t="shared" si="5"/>
        <v>1.0123386694022463E-2</v>
      </c>
    </row>
    <row r="178" spans="1:11" x14ac:dyDescent="0.25">
      <c r="A178" s="21" t="s">
        <v>982</v>
      </c>
      <c r="B178" s="22">
        <f>VLOOKUP(A178,[2]Sheet1!$B$3:$E$264,4,FALSE)</f>
        <v>47735</v>
      </c>
      <c r="C178" s="23">
        <v>52505</v>
      </c>
      <c r="D178" s="23">
        <v>59556</v>
      </c>
      <c r="E178" s="23">
        <v>65958</v>
      </c>
      <c r="F178" s="23">
        <v>74213</v>
      </c>
      <c r="G178" s="23">
        <v>83221</v>
      </c>
      <c r="H178" s="23">
        <v>99056</v>
      </c>
      <c r="J178" s="24">
        <f t="shared" si="4"/>
        <v>1.2241326902330929E-2</v>
      </c>
      <c r="K178" s="24">
        <f t="shared" si="5"/>
        <v>1.2776469348701802E-2</v>
      </c>
    </row>
    <row r="179" spans="1:11" x14ac:dyDescent="0.25">
      <c r="A179" s="21" t="s">
        <v>798</v>
      </c>
      <c r="B179" s="22">
        <f>VLOOKUP(A179,[2]Sheet1!$B$3:$E$264,4,FALSE)</f>
        <v>14445</v>
      </c>
      <c r="C179" s="23">
        <v>14445</v>
      </c>
      <c r="D179" s="23">
        <v>14445</v>
      </c>
      <c r="E179" s="23">
        <v>14445</v>
      </c>
      <c r="F179" s="23">
        <v>14445</v>
      </c>
      <c r="G179" s="23">
        <v>14445</v>
      </c>
      <c r="H179" s="23">
        <v>14445</v>
      </c>
      <c r="J179" s="24">
        <f t="shared" si="4"/>
        <v>0</v>
      </c>
      <c r="K179" s="24">
        <f t="shared" si="5"/>
        <v>0</v>
      </c>
    </row>
    <row r="180" spans="1:11" x14ac:dyDescent="0.25">
      <c r="A180" s="21" t="s">
        <v>5773</v>
      </c>
      <c r="B180" s="22">
        <f>VLOOKUP(A180,[2]Sheet1!$B$3:$E$264,4,FALSE)</f>
        <v>15216</v>
      </c>
      <c r="C180" s="23">
        <v>16134</v>
      </c>
      <c r="D180" s="23">
        <v>17039</v>
      </c>
      <c r="E180" s="23">
        <v>17657</v>
      </c>
      <c r="F180" s="23">
        <v>18325</v>
      </c>
      <c r="G180" s="23">
        <v>18863</v>
      </c>
      <c r="H180" s="23">
        <v>19325</v>
      </c>
      <c r="J180" s="24">
        <f t="shared" si="4"/>
        <v>3.9921489598333526E-3</v>
      </c>
      <c r="K180" s="24">
        <f t="shared" si="5"/>
        <v>3.6159367415935506E-3</v>
      </c>
    </row>
    <row r="181" spans="1:11" x14ac:dyDescent="0.25">
      <c r="A181" s="21" t="s">
        <v>13</v>
      </c>
      <c r="B181" s="22">
        <f>VLOOKUP(A181,[2]Sheet1!$B$3:$E$264,4,FALSE)</f>
        <v>340223</v>
      </c>
      <c r="C181" s="23">
        <v>374157</v>
      </c>
      <c r="D181" s="23">
        <v>407534</v>
      </c>
      <c r="E181" s="23">
        <v>428513</v>
      </c>
      <c r="F181" s="23">
        <v>440797</v>
      </c>
      <c r="G181" s="23">
        <v>449936</v>
      </c>
      <c r="H181" s="23">
        <v>456056</v>
      </c>
      <c r="J181" s="24">
        <f t="shared" si="4"/>
        <v>4.8955161404904413E-3</v>
      </c>
      <c r="K181" s="24">
        <f t="shared" si="5"/>
        <v>3.9666486797516054E-3</v>
      </c>
    </row>
    <row r="182" spans="1:11" x14ac:dyDescent="0.25">
      <c r="A182" s="21" t="s">
        <v>14966</v>
      </c>
      <c r="B182" s="22">
        <f>VLOOKUP(A182,[2]Sheet1!$B$3:$E$264,4,FALSE)</f>
        <v>10223</v>
      </c>
      <c r="C182" s="23">
        <v>11305</v>
      </c>
      <c r="D182" s="23">
        <v>12158</v>
      </c>
      <c r="E182" s="23">
        <v>13075</v>
      </c>
      <c r="F182" s="23">
        <v>14061</v>
      </c>
      <c r="G182" s="23">
        <v>15122</v>
      </c>
      <c r="H182" s="23">
        <v>16264</v>
      </c>
      <c r="J182" s="24">
        <f t="shared" si="4"/>
        <v>7.7685866361196787E-3</v>
      </c>
      <c r="K182" s="24">
        <f t="shared" si="5"/>
        <v>7.3007005224190458E-3</v>
      </c>
    </row>
    <row r="183" spans="1:11" x14ac:dyDescent="0.25">
      <c r="A183" s="21" t="s">
        <v>14967</v>
      </c>
      <c r="B183" s="22">
        <f>VLOOKUP(A183,[2]Sheet1!$B$3:$E$264,4,FALSE)</f>
        <v>2052</v>
      </c>
      <c r="C183" s="23">
        <v>2230</v>
      </c>
      <c r="D183" s="23">
        <v>2376</v>
      </c>
      <c r="E183" s="23">
        <v>2376</v>
      </c>
      <c r="F183" s="23">
        <v>2376</v>
      </c>
      <c r="G183" s="23">
        <v>2376</v>
      </c>
      <c r="H183" s="23">
        <v>2376</v>
      </c>
      <c r="J183" s="24">
        <f t="shared" si="4"/>
        <v>2.4463787496242784E-3</v>
      </c>
      <c r="K183" s="24">
        <f t="shared" si="5"/>
        <v>1.2691409992435787E-3</v>
      </c>
    </row>
    <row r="184" spans="1:11" x14ac:dyDescent="0.25">
      <c r="A184" s="21" t="s">
        <v>632</v>
      </c>
      <c r="B184" s="22">
        <f>VLOOKUP(A184,[2]Sheet1!$B$3:$E$264,4,FALSE)</f>
        <v>81837</v>
      </c>
      <c r="C184" s="23">
        <v>86327</v>
      </c>
      <c r="D184" s="23">
        <v>90233</v>
      </c>
      <c r="E184" s="23">
        <v>92984</v>
      </c>
      <c r="F184" s="23">
        <v>94848</v>
      </c>
      <c r="G184" s="23">
        <v>96269</v>
      </c>
      <c r="H184" s="23">
        <v>97298</v>
      </c>
      <c r="J184" s="24">
        <f t="shared" si="4"/>
        <v>2.8883126591976449E-3</v>
      </c>
      <c r="K184" s="24">
        <f t="shared" si="5"/>
        <v>2.3955852946309086E-3</v>
      </c>
    </row>
    <row r="185" spans="1:11" x14ac:dyDescent="0.25">
      <c r="A185" s="21" t="s">
        <v>776</v>
      </c>
      <c r="B185" s="22">
        <f>VLOOKUP(A185,[2]Sheet1!$B$3:$E$264,4,FALSE)</f>
        <v>28111</v>
      </c>
      <c r="C185" s="23">
        <v>30535</v>
      </c>
      <c r="D185" s="23">
        <v>32771</v>
      </c>
      <c r="E185" s="23">
        <v>34280</v>
      </c>
      <c r="F185" s="23">
        <v>35675</v>
      </c>
      <c r="G185" s="23">
        <v>36739</v>
      </c>
      <c r="H185" s="23">
        <v>37579</v>
      </c>
      <c r="J185" s="24">
        <f t="shared" si="4"/>
        <v>4.8497961243816334E-3</v>
      </c>
      <c r="K185" s="24">
        <f t="shared" si="5"/>
        <v>4.1600654899816014E-3</v>
      </c>
    </row>
    <row r="186" spans="1:11" x14ac:dyDescent="0.25">
      <c r="A186" s="21" t="s">
        <v>1690</v>
      </c>
      <c r="B186" s="22">
        <f>VLOOKUP(A186,[2]Sheet1!$B$3:$E$264,4,FALSE)</f>
        <v>23796</v>
      </c>
      <c r="C186" s="23">
        <v>25111</v>
      </c>
      <c r="D186" s="23">
        <v>26378</v>
      </c>
      <c r="E186" s="23">
        <v>27154</v>
      </c>
      <c r="F186" s="23">
        <v>27873</v>
      </c>
      <c r="G186" s="23">
        <v>28412</v>
      </c>
      <c r="H186" s="23">
        <v>28832</v>
      </c>
      <c r="J186" s="24">
        <f t="shared" si="4"/>
        <v>3.2045968118601387E-3</v>
      </c>
      <c r="K186" s="24">
        <f t="shared" si="5"/>
        <v>2.7674199419005507E-3</v>
      </c>
    </row>
    <row r="187" spans="1:11" x14ac:dyDescent="0.25">
      <c r="A187" s="21" t="s">
        <v>904</v>
      </c>
      <c r="B187" s="22">
        <f>VLOOKUP(A187,[2]Sheet1!$B$3:$E$264,4,FALSE)</f>
        <v>116927</v>
      </c>
      <c r="C187" s="23">
        <v>201491</v>
      </c>
      <c r="D187" s="23">
        <v>260194</v>
      </c>
      <c r="E187" s="23">
        <v>276979</v>
      </c>
      <c r="F187" s="23">
        <v>360125</v>
      </c>
      <c r="G187" s="23">
        <v>472097</v>
      </c>
      <c r="H187" s="23">
        <v>593000</v>
      </c>
      <c r="J187" s="24">
        <f t="shared" si="4"/>
        <v>2.7430210241977226E-2</v>
      </c>
      <c r="K187" s="24">
        <f t="shared" si="5"/>
        <v>2.1823722136741441E-2</v>
      </c>
    </row>
    <row r="188" spans="1:11" x14ac:dyDescent="0.25">
      <c r="A188" s="21" t="s">
        <v>14968</v>
      </c>
      <c r="B188" s="22">
        <f>VLOOKUP(A188,[2]Sheet1!$B$3:$E$264,4,FALSE)</f>
        <v>10269</v>
      </c>
      <c r="C188" s="23">
        <v>11424</v>
      </c>
      <c r="D188" s="23">
        <v>12648</v>
      </c>
      <c r="E188" s="23">
        <v>13748</v>
      </c>
      <c r="F188" s="23">
        <v>14827</v>
      </c>
      <c r="G188" s="23">
        <v>16091</v>
      </c>
      <c r="H188" s="23">
        <v>17244</v>
      </c>
      <c r="J188" s="24">
        <f t="shared" si="4"/>
        <v>8.6763332159460749E-3</v>
      </c>
      <c r="K188" s="24">
        <f t="shared" si="5"/>
        <v>8.268957551233358E-3</v>
      </c>
    </row>
    <row r="189" spans="1:11" x14ac:dyDescent="0.25">
      <c r="A189" s="21" t="s">
        <v>14969</v>
      </c>
      <c r="B189" s="22">
        <f>VLOOKUP(A189,[2]Sheet1!$B$3:$E$264,4,FALSE)</f>
        <v>15507</v>
      </c>
      <c r="C189" s="23">
        <v>17718</v>
      </c>
      <c r="D189" s="23">
        <v>19224</v>
      </c>
      <c r="E189" s="23">
        <v>20802</v>
      </c>
      <c r="F189" s="23">
        <v>22021</v>
      </c>
      <c r="G189" s="23">
        <v>23109</v>
      </c>
      <c r="H189" s="23">
        <v>24090</v>
      </c>
      <c r="J189" s="24">
        <f t="shared" si="4"/>
        <v>7.3687714530832338E-3</v>
      </c>
      <c r="K189" s="24">
        <f t="shared" si="5"/>
        <v>6.16322991559759E-3</v>
      </c>
    </row>
    <row r="190" spans="1:11" x14ac:dyDescent="0.25">
      <c r="A190" s="21" t="s">
        <v>318</v>
      </c>
      <c r="B190" s="22">
        <f>VLOOKUP(A190,[2]Sheet1!$B$3:$E$264,4,FALSE)</f>
        <v>37569.254732986308</v>
      </c>
      <c r="C190" s="23">
        <v>51870</v>
      </c>
      <c r="D190" s="23">
        <v>57943</v>
      </c>
      <c r="E190" s="23">
        <v>62722</v>
      </c>
      <c r="F190" s="23">
        <v>66796</v>
      </c>
      <c r="G190" s="23">
        <v>70120</v>
      </c>
      <c r="H190" s="23">
        <v>72799</v>
      </c>
      <c r="J190" s="24">
        <f t="shared" si="4"/>
        <v>1.1086272208194359E-2</v>
      </c>
      <c r="K190" s="24">
        <f t="shared" si="5"/>
        <v>6.8022636217941468E-3</v>
      </c>
    </row>
    <row r="191" spans="1:11" x14ac:dyDescent="0.25">
      <c r="A191" s="21" t="s">
        <v>537</v>
      </c>
      <c r="B191" s="22">
        <f>VLOOKUP(A191,[2]Sheet1!$B$3:$E$264,4,FALSE)</f>
        <v>121073</v>
      </c>
      <c r="C191" s="23">
        <v>134031</v>
      </c>
      <c r="D191" s="23">
        <v>148960</v>
      </c>
      <c r="E191" s="23">
        <v>164757</v>
      </c>
      <c r="F191" s="23">
        <v>180486</v>
      </c>
      <c r="G191" s="23">
        <v>197638</v>
      </c>
      <c r="H191" s="23">
        <v>215701</v>
      </c>
      <c r="J191" s="24">
        <f t="shared" si="4"/>
        <v>9.67146120419482E-3</v>
      </c>
      <c r="K191" s="24">
        <f t="shared" si="5"/>
        <v>9.5618667699337578E-3</v>
      </c>
    </row>
    <row r="192" spans="1:11" x14ac:dyDescent="0.25">
      <c r="A192" s="21" t="s">
        <v>2897</v>
      </c>
      <c r="B192" s="22">
        <f>VLOOKUP(A192,[2]Sheet1!$B$3:$E$264,4,FALSE)</f>
        <v>7818</v>
      </c>
      <c r="C192" s="23">
        <v>8692</v>
      </c>
      <c r="D192" s="23">
        <v>9445</v>
      </c>
      <c r="E192" s="23">
        <v>10174</v>
      </c>
      <c r="F192" s="23">
        <v>10972</v>
      </c>
      <c r="G192" s="23">
        <v>11688</v>
      </c>
      <c r="H192" s="23">
        <v>12367</v>
      </c>
      <c r="J192" s="24">
        <f t="shared" si="4"/>
        <v>7.6726663257558059E-3</v>
      </c>
      <c r="K192" s="24">
        <f t="shared" si="5"/>
        <v>7.0774993969155986E-3</v>
      </c>
    </row>
    <row r="193" spans="1:11" x14ac:dyDescent="0.25">
      <c r="A193" s="21" t="s">
        <v>110</v>
      </c>
      <c r="B193" s="22">
        <f>VLOOKUP(A193,[2]Sheet1!$B$3:$E$264,4,FALSE)</f>
        <v>10914</v>
      </c>
      <c r="C193" s="23">
        <v>11888</v>
      </c>
      <c r="D193" s="23">
        <v>12605</v>
      </c>
      <c r="E193" s="23">
        <v>12809</v>
      </c>
      <c r="F193" s="23">
        <v>12947</v>
      </c>
      <c r="G193" s="23">
        <v>13007</v>
      </c>
      <c r="H193" s="23">
        <v>13035</v>
      </c>
      <c r="J193" s="24">
        <f t="shared" si="4"/>
        <v>2.964246024826922E-3</v>
      </c>
      <c r="K193" s="24">
        <f t="shared" si="5"/>
        <v>1.8438690279549697E-3</v>
      </c>
    </row>
    <row r="194" spans="1:11" x14ac:dyDescent="0.25">
      <c r="A194" s="21" t="s">
        <v>9707</v>
      </c>
      <c r="B194" s="22">
        <f>VLOOKUP(A194,[2]Sheet1!$B$3:$E$264,4,FALSE)</f>
        <v>120725</v>
      </c>
      <c r="C194" s="23">
        <v>134269</v>
      </c>
      <c r="D194" s="23">
        <v>150044</v>
      </c>
      <c r="E194" s="23">
        <v>165835</v>
      </c>
      <c r="F194" s="23">
        <v>182010</v>
      </c>
      <c r="G194" s="23">
        <v>199219</v>
      </c>
      <c r="H194" s="23">
        <v>217095</v>
      </c>
      <c r="J194" s="24">
        <f t="shared" si="4"/>
        <v>9.8283139677137754E-3</v>
      </c>
      <c r="K194" s="24">
        <f t="shared" si="5"/>
        <v>9.6561182601910822E-3</v>
      </c>
    </row>
    <row r="195" spans="1:11" x14ac:dyDescent="0.25">
      <c r="A195" s="21" t="s">
        <v>14970</v>
      </c>
      <c r="B195" s="22">
        <f>VLOOKUP(A195,[2]Sheet1!$B$3:$E$264,4,FALSE)</f>
        <v>3367</v>
      </c>
      <c r="C195" s="23">
        <v>3853</v>
      </c>
      <c r="D195" s="23">
        <v>4303</v>
      </c>
      <c r="E195" s="23">
        <v>4571</v>
      </c>
      <c r="F195" s="23">
        <v>4812</v>
      </c>
      <c r="G195" s="23">
        <v>4980</v>
      </c>
      <c r="H195" s="23">
        <v>5102</v>
      </c>
      <c r="J195" s="24">
        <f t="shared" si="4"/>
        <v>6.9508873800576687E-3</v>
      </c>
      <c r="K195" s="24">
        <f t="shared" si="5"/>
        <v>5.6314081817019357E-3</v>
      </c>
    </row>
    <row r="196" spans="1:11" x14ac:dyDescent="0.25">
      <c r="A196" s="21" t="s">
        <v>14971</v>
      </c>
      <c r="B196" s="22">
        <f>VLOOKUP(A196,[2]Sheet1!$B$3:$E$264,4,FALSE)</f>
        <v>3309</v>
      </c>
      <c r="C196" s="23">
        <v>3329</v>
      </c>
      <c r="D196" s="23">
        <v>3329</v>
      </c>
      <c r="E196" s="23">
        <v>3329</v>
      </c>
      <c r="F196" s="23">
        <v>3329</v>
      </c>
      <c r="G196" s="23">
        <v>3329</v>
      </c>
      <c r="H196" s="23">
        <v>3329</v>
      </c>
      <c r="J196" s="24">
        <f t="shared" si="4"/>
        <v>1.0043720436847536E-4</v>
      </c>
      <c r="K196" s="24">
        <f t="shared" si="5"/>
        <v>0</v>
      </c>
    </row>
    <row r="197" spans="1:11" x14ac:dyDescent="0.25">
      <c r="A197" s="21" t="s">
        <v>395</v>
      </c>
      <c r="B197" s="22">
        <f>VLOOKUP(A197,[2]Sheet1!$B$3:$E$264,4,FALSE)</f>
        <v>12860</v>
      </c>
      <c r="C197" s="23">
        <v>12976</v>
      </c>
      <c r="D197" s="23">
        <v>12976</v>
      </c>
      <c r="E197" s="23">
        <v>12976</v>
      </c>
      <c r="F197" s="23">
        <v>12976</v>
      </c>
      <c r="G197" s="23">
        <v>12976</v>
      </c>
      <c r="H197" s="23">
        <v>12976</v>
      </c>
      <c r="J197" s="24">
        <f t="shared" ref="J197:J258" si="6">((H197/B197)^(1/($H$3-$B$3))-1)</f>
        <v>1.4967417612177236E-4</v>
      </c>
      <c r="K197" s="24">
        <f t="shared" ref="K197:K258" si="7">((H197/C197)^(1/($H$3-$C$3))-1)</f>
        <v>0</v>
      </c>
    </row>
    <row r="198" spans="1:11" x14ac:dyDescent="0.25">
      <c r="A198" s="21" t="s">
        <v>605</v>
      </c>
      <c r="B198" s="22">
        <f>VLOOKUP(A198,[2]Sheet1!$B$3:$E$264,4,FALSE)</f>
        <v>13783</v>
      </c>
      <c r="C198" s="23">
        <v>15125</v>
      </c>
      <c r="D198" s="23">
        <v>16193</v>
      </c>
      <c r="E198" s="23">
        <v>17057</v>
      </c>
      <c r="F198" s="23">
        <v>17650</v>
      </c>
      <c r="G198" s="23">
        <v>18106</v>
      </c>
      <c r="H198" s="23">
        <v>18443</v>
      </c>
      <c r="J198" s="24">
        <f t="shared" si="6"/>
        <v>4.86594956756492E-3</v>
      </c>
      <c r="K198" s="24">
        <f t="shared" si="7"/>
        <v>3.9745956537324822E-3</v>
      </c>
    </row>
    <row r="199" spans="1:11" x14ac:dyDescent="0.25">
      <c r="A199" s="21" t="s">
        <v>1978</v>
      </c>
      <c r="B199" s="22">
        <f>VLOOKUP(A199,[2]Sheet1!$B$3:$E$264,4,FALSE)</f>
        <v>7383</v>
      </c>
      <c r="C199" s="23">
        <v>7687</v>
      </c>
      <c r="D199" s="23">
        <v>7929</v>
      </c>
      <c r="E199" s="23">
        <v>7985</v>
      </c>
      <c r="F199" s="23">
        <v>8119</v>
      </c>
      <c r="G199" s="23">
        <v>8175</v>
      </c>
      <c r="H199" s="23">
        <v>8213</v>
      </c>
      <c r="J199" s="24">
        <f t="shared" si="6"/>
        <v>1.7772141210858905E-3</v>
      </c>
      <c r="K199" s="24">
        <f t="shared" si="7"/>
        <v>1.3246300362048657E-3</v>
      </c>
    </row>
    <row r="200" spans="1:11" x14ac:dyDescent="0.25">
      <c r="A200" s="21" t="s">
        <v>6145</v>
      </c>
      <c r="B200" s="22">
        <f>VLOOKUP(A200,[2]Sheet1!$B$3:$E$264,4,FALSE)</f>
        <v>929</v>
      </c>
      <c r="C200" s="23">
        <v>1003</v>
      </c>
      <c r="D200" s="23">
        <v>1047</v>
      </c>
      <c r="E200" s="23">
        <v>1047</v>
      </c>
      <c r="F200" s="23">
        <v>1047</v>
      </c>
      <c r="G200" s="23">
        <v>1047</v>
      </c>
      <c r="H200" s="23">
        <v>1047</v>
      </c>
      <c r="J200" s="24">
        <f t="shared" si="6"/>
        <v>1.994911728267823E-3</v>
      </c>
      <c r="K200" s="24">
        <f t="shared" si="7"/>
        <v>8.5903721947300227E-4</v>
      </c>
    </row>
    <row r="201" spans="1:11" x14ac:dyDescent="0.25">
      <c r="A201" s="21" t="s">
        <v>3459</v>
      </c>
      <c r="B201" s="22">
        <f>VLOOKUP(A201,[2]Sheet1!$B$3:$E$264,4,FALSE)</f>
        <v>16622</v>
      </c>
      <c r="C201" s="23">
        <v>19694</v>
      </c>
      <c r="D201" s="23">
        <v>22035</v>
      </c>
      <c r="E201" s="23">
        <v>24731</v>
      </c>
      <c r="F201" s="23">
        <v>26441</v>
      </c>
      <c r="G201" s="23">
        <v>28217</v>
      </c>
      <c r="H201" s="23">
        <v>30009</v>
      </c>
      <c r="J201" s="24">
        <f t="shared" si="6"/>
        <v>9.8948033123302803E-3</v>
      </c>
      <c r="K201" s="24">
        <f t="shared" si="7"/>
        <v>8.4592452254705908E-3</v>
      </c>
    </row>
    <row r="202" spans="1:11" x14ac:dyDescent="0.25">
      <c r="A202" s="21" t="s">
        <v>115</v>
      </c>
      <c r="B202" s="22">
        <f>VLOOKUP(A202,[2]Sheet1!$B$3:$E$264,4,FALSE)</f>
        <v>78337</v>
      </c>
      <c r="C202" s="23">
        <v>119410</v>
      </c>
      <c r="D202" s="23">
        <v>160315</v>
      </c>
      <c r="E202" s="23">
        <v>213619</v>
      </c>
      <c r="F202" s="23">
        <v>246938</v>
      </c>
      <c r="G202" s="23">
        <v>291850</v>
      </c>
      <c r="H202" s="23">
        <v>325052</v>
      </c>
      <c r="J202" s="24">
        <f t="shared" si="6"/>
        <v>2.3999548409288973E-2</v>
      </c>
      <c r="K202" s="24">
        <f t="shared" si="7"/>
        <v>2.0230359454180613E-2</v>
      </c>
    </row>
    <row r="203" spans="1:11" x14ac:dyDescent="0.25">
      <c r="A203" s="21" t="s">
        <v>14972</v>
      </c>
      <c r="B203" s="22">
        <f>VLOOKUP(A203,[2]Sheet1!$B$3:$E$264,4,FALSE)</f>
        <v>10501</v>
      </c>
      <c r="C203" s="23">
        <v>10883</v>
      </c>
      <c r="D203" s="23">
        <v>11300</v>
      </c>
      <c r="E203" s="23">
        <v>11300</v>
      </c>
      <c r="F203" s="23">
        <v>11300</v>
      </c>
      <c r="G203" s="23">
        <v>11300</v>
      </c>
      <c r="H203" s="23">
        <v>11300</v>
      </c>
      <c r="J203" s="24">
        <f t="shared" si="6"/>
        <v>1.2229511121581993E-3</v>
      </c>
      <c r="K203" s="24">
        <f t="shared" si="7"/>
        <v>7.5229857481828866E-4</v>
      </c>
    </row>
    <row r="204" spans="1:11" x14ac:dyDescent="0.25">
      <c r="A204" s="21" t="s">
        <v>566</v>
      </c>
      <c r="B204" s="22">
        <f>VLOOKUP(A204,[2]Sheet1!$B$3:$E$264,4,FALSE)</f>
        <v>53330</v>
      </c>
      <c r="C204" s="23">
        <v>59272</v>
      </c>
      <c r="D204" s="23">
        <v>66067</v>
      </c>
      <c r="E204" s="23">
        <v>72669</v>
      </c>
      <c r="F204" s="23">
        <v>79763</v>
      </c>
      <c r="G204" s="23">
        <v>87138</v>
      </c>
      <c r="H204" s="23">
        <v>94780</v>
      </c>
      <c r="J204" s="24">
        <f t="shared" si="6"/>
        <v>9.6303999114271122E-3</v>
      </c>
      <c r="K204" s="24">
        <f t="shared" si="7"/>
        <v>9.4326374825381976E-3</v>
      </c>
    </row>
    <row r="205" spans="1:11" x14ac:dyDescent="0.25">
      <c r="A205" s="21" t="s">
        <v>3151</v>
      </c>
      <c r="B205" s="22">
        <f>VLOOKUP(A205,[2]Sheet1!$B$3:$E$264,4,FALSE)</f>
        <v>10834</v>
      </c>
      <c r="C205" s="23">
        <v>11217</v>
      </c>
      <c r="D205" s="23">
        <v>11249</v>
      </c>
      <c r="E205" s="23">
        <v>11249</v>
      </c>
      <c r="F205" s="23">
        <v>11249</v>
      </c>
      <c r="G205" s="23">
        <v>11249</v>
      </c>
      <c r="H205" s="23">
        <v>11249</v>
      </c>
      <c r="J205" s="24">
        <f t="shared" si="6"/>
        <v>6.2669460063879967E-4</v>
      </c>
      <c r="K205" s="24">
        <f t="shared" si="7"/>
        <v>5.6976646059414549E-5</v>
      </c>
    </row>
    <row r="206" spans="1:11" x14ac:dyDescent="0.25">
      <c r="A206" s="21" t="s">
        <v>810</v>
      </c>
      <c r="B206" s="22">
        <f>VLOOKUP(A206,[2]Sheet1!$B$3:$E$264,4,FALSE)</f>
        <v>8865</v>
      </c>
      <c r="C206" s="23">
        <v>8917</v>
      </c>
      <c r="D206" s="23">
        <v>8917</v>
      </c>
      <c r="E206" s="23">
        <v>8917</v>
      </c>
      <c r="F206" s="23">
        <v>8917</v>
      </c>
      <c r="G206" s="23">
        <v>8917</v>
      </c>
      <c r="H206" s="23">
        <v>8917</v>
      </c>
      <c r="J206" s="24">
        <f t="shared" si="6"/>
        <v>9.7481878158944824E-5</v>
      </c>
      <c r="K206" s="24">
        <f t="shared" si="7"/>
        <v>0</v>
      </c>
    </row>
    <row r="207" spans="1:11" x14ac:dyDescent="0.25">
      <c r="A207" s="21" t="s">
        <v>1752</v>
      </c>
      <c r="B207" s="22">
        <f>VLOOKUP(A207,[2]Sheet1!$B$3:$E$264,4,FALSE)</f>
        <v>26384</v>
      </c>
      <c r="C207" s="23">
        <v>29610</v>
      </c>
      <c r="D207" s="23">
        <v>32627</v>
      </c>
      <c r="E207" s="23">
        <v>34996</v>
      </c>
      <c r="F207" s="23">
        <v>37614</v>
      </c>
      <c r="G207" s="23">
        <v>39789</v>
      </c>
      <c r="H207" s="23">
        <v>41714</v>
      </c>
      <c r="J207" s="24">
        <f t="shared" si="6"/>
        <v>7.6638688891650375E-3</v>
      </c>
      <c r="K207" s="24">
        <f t="shared" si="7"/>
        <v>6.8780390414204806E-3</v>
      </c>
    </row>
    <row r="208" spans="1:11" x14ac:dyDescent="0.25">
      <c r="A208" s="21" t="s">
        <v>139</v>
      </c>
      <c r="B208" s="22">
        <f>VLOOKUP(A208,[2]Sheet1!$B$3:$E$264,4,FALSE)</f>
        <v>64804</v>
      </c>
      <c r="C208" s="23">
        <v>68760</v>
      </c>
      <c r="D208" s="23">
        <v>72114</v>
      </c>
      <c r="E208" s="23">
        <v>74043</v>
      </c>
      <c r="F208" s="23">
        <v>75451</v>
      </c>
      <c r="G208" s="23">
        <v>76405</v>
      </c>
      <c r="H208" s="23">
        <v>77049</v>
      </c>
      <c r="J208" s="24">
        <f t="shared" si="6"/>
        <v>2.8887352652606779E-3</v>
      </c>
      <c r="K208" s="24">
        <f t="shared" si="7"/>
        <v>2.2789809900571889E-3</v>
      </c>
    </row>
    <row r="209" spans="1:11" x14ac:dyDescent="0.25">
      <c r="A209" s="21" t="s">
        <v>501</v>
      </c>
      <c r="B209" s="22">
        <f>VLOOKUP(A209,[2]Sheet1!$B$3:$E$264,4,FALSE)</f>
        <v>6131</v>
      </c>
      <c r="C209" s="23">
        <v>6484</v>
      </c>
      <c r="D209" s="23">
        <v>6793</v>
      </c>
      <c r="E209" s="23">
        <v>6833</v>
      </c>
      <c r="F209" s="23">
        <v>6722</v>
      </c>
      <c r="G209" s="23">
        <v>6879</v>
      </c>
      <c r="H209" s="23">
        <v>7039</v>
      </c>
      <c r="J209" s="24">
        <f t="shared" si="6"/>
        <v>2.3044552822546471E-3</v>
      </c>
      <c r="K209" s="24">
        <f t="shared" si="7"/>
        <v>1.6439199724296305E-3</v>
      </c>
    </row>
    <row r="210" spans="1:11" x14ac:dyDescent="0.25">
      <c r="A210" s="21" t="s">
        <v>7318</v>
      </c>
      <c r="B210" s="22">
        <f>VLOOKUP(A210,[2]Sheet1!$B$3:$E$264,4,FALSE)</f>
        <v>3461</v>
      </c>
      <c r="C210" s="23">
        <v>3811</v>
      </c>
      <c r="D210" s="23">
        <v>4106</v>
      </c>
      <c r="E210" s="23">
        <v>4259</v>
      </c>
      <c r="F210" s="23">
        <v>4350</v>
      </c>
      <c r="G210" s="23">
        <v>4406</v>
      </c>
      <c r="H210" s="23">
        <v>4440</v>
      </c>
      <c r="J210" s="24">
        <f t="shared" si="6"/>
        <v>4.1602434158169999E-3</v>
      </c>
      <c r="K210" s="24">
        <f t="shared" si="7"/>
        <v>3.0599271397724337E-3</v>
      </c>
    </row>
    <row r="211" spans="1:11" x14ac:dyDescent="0.25">
      <c r="A211" s="21" t="s">
        <v>11786</v>
      </c>
      <c r="B211" s="22">
        <f>VLOOKUP(A211,[2]Sheet1!$B$3:$E$264,4,FALSE)</f>
        <v>16921</v>
      </c>
      <c r="C211" s="23">
        <v>19911</v>
      </c>
      <c r="D211" s="23">
        <v>22497</v>
      </c>
      <c r="E211" s="23">
        <v>24249</v>
      </c>
      <c r="F211" s="23">
        <v>26236</v>
      </c>
      <c r="G211" s="23">
        <v>28246</v>
      </c>
      <c r="H211" s="23">
        <v>30322</v>
      </c>
      <c r="J211" s="24">
        <f t="shared" si="6"/>
        <v>9.7693796426983059E-3</v>
      </c>
      <c r="K211" s="24">
        <f t="shared" si="7"/>
        <v>8.4475040646634358E-3</v>
      </c>
    </row>
    <row r="212" spans="1:11" x14ac:dyDescent="0.25">
      <c r="A212" s="21" t="s">
        <v>11857</v>
      </c>
      <c r="B212" s="22">
        <f>VLOOKUP(A212,[2]Sheet1!$B$3:$E$264,4,FALSE)</f>
        <v>3378</v>
      </c>
      <c r="C212" s="23">
        <v>3558</v>
      </c>
      <c r="D212" s="23">
        <v>3666</v>
      </c>
      <c r="E212" s="23">
        <v>3657</v>
      </c>
      <c r="F212" s="23">
        <v>3667</v>
      </c>
      <c r="G212" s="23">
        <v>3667</v>
      </c>
      <c r="H212" s="23">
        <v>3667</v>
      </c>
      <c r="J212" s="24">
        <f t="shared" si="6"/>
        <v>1.3691042136736442E-3</v>
      </c>
      <c r="K212" s="24">
        <f t="shared" si="7"/>
        <v>6.0368814329536669E-4</v>
      </c>
    </row>
    <row r="213" spans="1:11" x14ac:dyDescent="0.25">
      <c r="A213" s="21" t="s">
        <v>2696</v>
      </c>
      <c r="B213" s="22">
        <f>VLOOKUP(A213,[2]Sheet1!$B$3:$E$264,4,FALSE)</f>
        <v>25448</v>
      </c>
      <c r="C213" s="23">
        <v>27461</v>
      </c>
      <c r="D213" s="23">
        <v>29532</v>
      </c>
      <c r="E213" s="23">
        <v>31362</v>
      </c>
      <c r="F213" s="23">
        <v>33095</v>
      </c>
      <c r="G213" s="23">
        <v>34715</v>
      </c>
      <c r="H213" s="23">
        <v>36213</v>
      </c>
      <c r="J213" s="24">
        <f t="shared" si="6"/>
        <v>5.8970028659148799E-3</v>
      </c>
      <c r="K213" s="24">
        <f t="shared" si="7"/>
        <v>5.5483625472347864E-3</v>
      </c>
    </row>
    <row r="214" spans="1:11" x14ac:dyDescent="0.25">
      <c r="A214" s="21" t="s">
        <v>14973</v>
      </c>
      <c r="B214" s="22">
        <f>VLOOKUP(A214,[2]Sheet1!$B$3:$E$264,4,FALSE)</f>
        <v>3034</v>
      </c>
      <c r="C214" s="23">
        <v>3294</v>
      </c>
      <c r="D214" s="23">
        <v>3571</v>
      </c>
      <c r="E214" s="23">
        <v>3720</v>
      </c>
      <c r="F214" s="23">
        <v>3853</v>
      </c>
      <c r="G214" s="23">
        <v>3949</v>
      </c>
      <c r="H214" s="23">
        <v>4020</v>
      </c>
      <c r="J214" s="24">
        <f t="shared" si="6"/>
        <v>4.7010156272402348E-3</v>
      </c>
      <c r="K214" s="24">
        <f t="shared" si="7"/>
        <v>3.9915304402879936E-3</v>
      </c>
    </row>
    <row r="215" spans="1:11" x14ac:dyDescent="0.25">
      <c r="A215" s="21" t="s">
        <v>67</v>
      </c>
      <c r="B215" s="22">
        <f>VLOOKUP(A215,[2]Sheet1!$B$3:$E$264,4,FALSE)</f>
        <v>39992.556773420103</v>
      </c>
      <c r="C215" s="23">
        <v>233560</v>
      </c>
      <c r="D215" s="23">
        <v>259400</v>
      </c>
      <c r="E215" s="23">
        <v>286140</v>
      </c>
      <c r="F215" s="23">
        <v>315587</v>
      </c>
      <c r="G215" s="23">
        <v>346896</v>
      </c>
      <c r="H215" s="23">
        <v>380621</v>
      </c>
      <c r="J215" s="24">
        <f t="shared" si="6"/>
        <v>3.8265825845581247E-2</v>
      </c>
      <c r="K215" s="24">
        <f t="shared" si="7"/>
        <v>9.8151582988912356E-3</v>
      </c>
    </row>
    <row r="216" spans="1:11" x14ac:dyDescent="0.25">
      <c r="A216" s="21" t="s">
        <v>571</v>
      </c>
      <c r="B216" s="22">
        <f>VLOOKUP(A216,[2]Sheet1!$B$3:$E$264,4,FALSE)</f>
        <v>8490</v>
      </c>
      <c r="C216" s="23">
        <v>9482</v>
      </c>
      <c r="D216" s="23">
        <v>10594</v>
      </c>
      <c r="E216" s="23">
        <v>11395</v>
      </c>
      <c r="F216" s="23">
        <v>12013</v>
      </c>
      <c r="G216" s="23">
        <v>12539</v>
      </c>
      <c r="H216" s="23">
        <v>12958</v>
      </c>
      <c r="J216" s="24">
        <f t="shared" si="6"/>
        <v>7.0719616753474046E-3</v>
      </c>
      <c r="K216" s="24">
        <f t="shared" si="7"/>
        <v>6.2659110718663591E-3</v>
      </c>
    </row>
    <row r="217" spans="1:11" x14ac:dyDescent="0.25">
      <c r="A217" s="21" t="s">
        <v>375</v>
      </c>
      <c r="B217" s="22">
        <f>VLOOKUP(A217,[2]Sheet1!$B$3:$E$264,4,FALSE)</f>
        <v>60968</v>
      </c>
      <c r="C217" s="23">
        <v>70803</v>
      </c>
      <c r="D217" s="23">
        <v>80085</v>
      </c>
      <c r="E217" s="23">
        <v>88633</v>
      </c>
      <c r="F217" s="23">
        <v>97107</v>
      </c>
      <c r="G217" s="23">
        <v>104687</v>
      </c>
      <c r="H217" s="23">
        <v>111555</v>
      </c>
      <c r="J217" s="24">
        <f t="shared" si="6"/>
        <v>1.0120344549508165E-2</v>
      </c>
      <c r="K217" s="24">
        <f t="shared" si="7"/>
        <v>9.1337881746365035E-3</v>
      </c>
    </row>
    <row r="218" spans="1:11" x14ac:dyDescent="0.25">
      <c r="A218" s="21" t="s">
        <v>6105</v>
      </c>
      <c r="B218" s="22">
        <f>VLOOKUP(A218,[2]Sheet1!$B$3:$E$264,4,FALSE)</f>
        <v>9630</v>
      </c>
      <c r="C218" s="23">
        <v>9927</v>
      </c>
      <c r="D218" s="23">
        <v>10293</v>
      </c>
      <c r="E218" s="23">
        <v>10455</v>
      </c>
      <c r="F218" s="23">
        <v>10563</v>
      </c>
      <c r="G218" s="23">
        <v>10641</v>
      </c>
      <c r="H218" s="23">
        <v>10693</v>
      </c>
      <c r="J218" s="24">
        <f t="shared" si="6"/>
        <v>1.7466251753401885E-3</v>
      </c>
      <c r="K218" s="24">
        <f t="shared" si="7"/>
        <v>1.4877256507597192E-3</v>
      </c>
    </row>
    <row r="219" spans="1:11" x14ac:dyDescent="0.25">
      <c r="A219" s="21" t="s">
        <v>14974</v>
      </c>
      <c r="B219" s="22">
        <f>VLOOKUP(A219,[2]Sheet1!$B$3:$E$264,4,FALSE)</f>
        <v>1143</v>
      </c>
      <c r="C219" s="23">
        <v>1215</v>
      </c>
      <c r="D219" s="23">
        <v>1260</v>
      </c>
      <c r="E219" s="23">
        <v>1275</v>
      </c>
      <c r="F219" s="23">
        <v>1275</v>
      </c>
      <c r="G219" s="23">
        <v>1275</v>
      </c>
      <c r="H219" s="23">
        <v>1275</v>
      </c>
      <c r="J219" s="24">
        <f t="shared" si="6"/>
        <v>1.8231564958610669E-3</v>
      </c>
      <c r="K219" s="24">
        <f t="shared" si="7"/>
        <v>9.645068742438756E-4</v>
      </c>
    </row>
    <row r="220" spans="1:11" x14ac:dyDescent="0.25">
      <c r="A220" s="21" t="s">
        <v>14975</v>
      </c>
      <c r="B220" s="22">
        <f>VLOOKUP(A220,[2]Sheet1!$B$3:$E$264,4,FALSE)</f>
        <v>1490</v>
      </c>
      <c r="C220" s="23">
        <v>1501</v>
      </c>
      <c r="D220" s="23">
        <v>1504</v>
      </c>
      <c r="E220" s="23">
        <v>1504</v>
      </c>
      <c r="F220" s="23">
        <v>1504</v>
      </c>
      <c r="G220" s="23">
        <v>1504</v>
      </c>
      <c r="H220" s="23">
        <v>1504</v>
      </c>
      <c r="J220" s="24">
        <f t="shared" si="6"/>
        <v>1.5588057428561619E-4</v>
      </c>
      <c r="K220" s="24">
        <f t="shared" si="7"/>
        <v>3.9934254877582731E-5</v>
      </c>
    </row>
    <row r="221" spans="1:11" x14ac:dyDescent="0.25">
      <c r="A221" s="21" t="s">
        <v>4894</v>
      </c>
      <c r="B221" s="22">
        <f>VLOOKUP(A221,[2]Sheet1!$B$3:$E$264,4,FALSE)</f>
        <v>4128</v>
      </c>
      <c r="C221" s="23">
        <v>3817</v>
      </c>
      <c r="D221" s="23">
        <v>4094</v>
      </c>
      <c r="E221" s="23">
        <v>4198</v>
      </c>
      <c r="F221" s="23">
        <v>4279</v>
      </c>
      <c r="G221" s="23">
        <v>4322</v>
      </c>
      <c r="H221" s="23">
        <v>4347</v>
      </c>
      <c r="J221" s="24">
        <f t="shared" si="6"/>
        <v>8.6191997017004418E-4</v>
      </c>
      <c r="K221" s="24">
        <f t="shared" si="7"/>
        <v>2.6038075989012199E-3</v>
      </c>
    </row>
    <row r="222" spans="1:11" x14ac:dyDescent="0.25">
      <c r="A222" s="21" t="s">
        <v>6862</v>
      </c>
      <c r="B222" s="22">
        <f>VLOOKUP(A222,[2]Sheet1!$B$3:$E$264,4,FALSE)</f>
        <v>7854</v>
      </c>
      <c r="C222" s="23">
        <v>8257</v>
      </c>
      <c r="D222" s="23">
        <v>8670</v>
      </c>
      <c r="E222" s="23">
        <v>8798</v>
      </c>
      <c r="F222" s="23">
        <v>8744</v>
      </c>
      <c r="G222" s="23">
        <v>9175</v>
      </c>
      <c r="H222" s="23">
        <v>9380</v>
      </c>
      <c r="J222" s="24">
        <f t="shared" si="6"/>
        <v>2.9636631062033292E-3</v>
      </c>
      <c r="K222" s="24">
        <f t="shared" si="7"/>
        <v>2.5536237085668212E-3</v>
      </c>
    </row>
    <row r="223" spans="1:11" x14ac:dyDescent="0.25">
      <c r="A223" s="21" t="s">
        <v>268</v>
      </c>
      <c r="B223" s="22">
        <f>VLOOKUP(A223,[2]Sheet1!$B$3:$E$264,4,FALSE)</f>
        <v>1809034</v>
      </c>
      <c r="C223" s="23">
        <v>2004609</v>
      </c>
      <c r="D223" s="23">
        <v>2279113</v>
      </c>
      <c r="E223" s="23">
        <v>2580325</v>
      </c>
      <c r="F223" s="23">
        <v>2799127</v>
      </c>
      <c r="G223" s="23">
        <v>2978034</v>
      </c>
      <c r="H223" s="23">
        <v>3167377</v>
      </c>
      <c r="J223" s="24">
        <f t="shared" si="6"/>
        <v>9.3788886867365306E-3</v>
      </c>
      <c r="K223" s="24">
        <f t="shared" si="7"/>
        <v>9.1910763309976939E-3</v>
      </c>
    </row>
    <row r="224" spans="1:11" x14ac:dyDescent="0.25">
      <c r="A224" s="21" t="s">
        <v>5279</v>
      </c>
      <c r="B224" s="22">
        <f>VLOOKUP(A224,[2]Sheet1!$B$3:$E$264,4,FALSE)</f>
        <v>131506</v>
      </c>
      <c r="C224" s="23">
        <v>140675</v>
      </c>
      <c r="D224" s="23">
        <v>147183</v>
      </c>
      <c r="E224" s="23">
        <v>152561</v>
      </c>
      <c r="F224" s="23">
        <v>156822</v>
      </c>
      <c r="G224" s="23">
        <v>160004</v>
      </c>
      <c r="H224" s="23">
        <v>162423</v>
      </c>
      <c r="J224" s="24">
        <f t="shared" si="6"/>
        <v>3.5253923852911484E-3</v>
      </c>
      <c r="K224" s="24">
        <f t="shared" si="7"/>
        <v>2.879172438263522E-3</v>
      </c>
    </row>
    <row r="225" spans="1:11" x14ac:dyDescent="0.25">
      <c r="A225" s="21" t="s">
        <v>14976</v>
      </c>
      <c r="B225" s="22">
        <f>VLOOKUP(A225,[2]Sheet1!$B$3:$E$264,4,FALSE)</f>
        <v>984</v>
      </c>
      <c r="C225" s="23">
        <v>1045</v>
      </c>
      <c r="D225" s="23">
        <v>1069</v>
      </c>
      <c r="E225" s="23">
        <v>1069</v>
      </c>
      <c r="F225" s="23">
        <v>1069</v>
      </c>
      <c r="G225" s="23">
        <v>1069</v>
      </c>
      <c r="H225" s="23">
        <v>1069</v>
      </c>
      <c r="J225" s="24">
        <f t="shared" si="6"/>
        <v>1.3818374249303655E-3</v>
      </c>
      <c r="K225" s="24">
        <f t="shared" si="7"/>
        <v>4.5423806740285677E-4</v>
      </c>
    </row>
    <row r="226" spans="1:11" x14ac:dyDescent="0.25">
      <c r="A226" s="21" t="s">
        <v>14977</v>
      </c>
      <c r="B226" s="22">
        <f>VLOOKUP(A226,[2]Sheet1!$B$3:$E$264,4,FALSE)</f>
        <v>12651</v>
      </c>
      <c r="C226" s="23">
        <v>13599</v>
      </c>
      <c r="D226" s="23">
        <v>14457</v>
      </c>
      <c r="E226" s="23">
        <v>15321</v>
      </c>
      <c r="F226" s="23">
        <v>16108</v>
      </c>
      <c r="G226" s="23">
        <v>16847</v>
      </c>
      <c r="H226" s="23">
        <v>17535</v>
      </c>
      <c r="J226" s="24">
        <f t="shared" si="6"/>
        <v>5.4558730309679504E-3</v>
      </c>
      <c r="K226" s="24">
        <f t="shared" si="7"/>
        <v>5.0969981836266331E-3</v>
      </c>
    </row>
    <row r="227" spans="1:11" x14ac:dyDescent="0.25">
      <c r="A227" s="21" t="s">
        <v>9957</v>
      </c>
      <c r="B227" s="22">
        <f>VLOOKUP(A227,[2]Sheet1!$B$3:$E$264,4,FALSE)</f>
        <v>1641</v>
      </c>
      <c r="C227" s="23">
        <v>1646</v>
      </c>
      <c r="D227" s="23">
        <v>1646</v>
      </c>
      <c r="E227" s="23">
        <v>1646</v>
      </c>
      <c r="F227" s="23">
        <v>1646</v>
      </c>
      <c r="G227" s="23">
        <v>1646</v>
      </c>
      <c r="H227" s="23">
        <v>1646</v>
      </c>
      <c r="J227" s="24">
        <f t="shared" si="6"/>
        <v>5.0706121293986328E-5</v>
      </c>
      <c r="K227" s="24">
        <f t="shared" si="7"/>
        <v>0</v>
      </c>
    </row>
    <row r="228" spans="1:11" x14ac:dyDescent="0.25">
      <c r="A228" s="21" t="s">
        <v>1831</v>
      </c>
      <c r="B228" s="22">
        <f>VLOOKUP(A228,[2]Sheet1!$B$3:$E$264,4,FALSE)</f>
        <v>32334</v>
      </c>
      <c r="C228" s="23">
        <v>36643</v>
      </c>
      <c r="D228" s="23">
        <v>41381</v>
      </c>
      <c r="E228" s="23">
        <v>46283</v>
      </c>
      <c r="F228" s="23">
        <v>51665</v>
      </c>
      <c r="G228" s="23">
        <v>57330</v>
      </c>
      <c r="H228" s="23">
        <v>63315</v>
      </c>
      <c r="J228" s="24">
        <f t="shared" si="6"/>
        <v>1.126300469607866E-2</v>
      </c>
      <c r="K228" s="24">
        <f t="shared" si="7"/>
        <v>1.0998035665354067E-2</v>
      </c>
    </row>
    <row r="229" spans="1:11" x14ac:dyDescent="0.25">
      <c r="A229" s="21" t="s">
        <v>14978</v>
      </c>
      <c r="B229" s="22">
        <f>VLOOKUP(A229,[2]Sheet1!$B$3:$E$264,4,FALSE)</f>
        <v>110224</v>
      </c>
      <c r="C229" s="23">
        <v>123052</v>
      </c>
      <c r="D229" s="23">
        <v>137486</v>
      </c>
      <c r="E229" s="23">
        <v>145685</v>
      </c>
      <c r="F229" s="23">
        <v>154230</v>
      </c>
      <c r="G229" s="23">
        <v>163215</v>
      </c>
      <c r="H229" s="23">
        <v>172642</v>
      </c>
      <c r="J229" s="24">
        <f t="shared" si="6"/>
        <v>7.5064570390013241E-3</v>
      </c>
      <c r="K229" s="24">
        <f t="shared" si="7"/>
        <v>6.7952447343828659E-3</v>
      </c>
    </row>
    <row r="230" spans="1:11" x14ac:dyDescent="0.25">
      <c r="A230" s="21" t="s">
        <v>409</v>
      </c>
      <c r="B230" s="22">
        <f>VLOOKUP(A230,[2]Sheet1!$B$3:$E$264,4,FALSE)</f>
        <v>1024266</v>
      </c>
      <c r="C230" s="23">
        <v>1298624</v>
      </c>
      <c r="D230" s="23">
        <v>1538784</v>
      </c>
      <c r="E230" s="23">
        <v>1767636</v>
      </c>
      <c r="F230" s="23">
        <v>1936583</v>
      </c>
      <c r="G230" s="23">
        <v>2075875</v>
      </c>
      <c r="H230" s="23">
        <v>2233259</v>
      </c>
      <c r="J230" s="24">
        <f t="shared" si="6"/>
        <v>1.3076183488229365E-2</v>
      </c>
      <c r="K230" s="24">
        <f t="shared" si="7"/>
        <v>1.0902134059382673E-2</v>
      </c>
    </row>
    <row r="231" spans="1:11" x14ac:dyDescent="0.25">
      <c r="A231" s="21" t="s">
        <v>54</v>
      </c>
      <c r="B231" s="22">
        <f>VLOOKUP(A231,[2]Sheet1!$B$3:$E$264,4,FALSE)</f>
        <v>11272.3966791904</v>
      </c>
      <c r="C231" s="23">
        <v>16502</v>
      </c>
      <c r="D231" s="23">
        <v>17847</v>
      </c>
      <c r="E231" s="23">
        <v>17981</v>
      </c>
      <c r="F231" s="23">
        <v>17473</v>
      </c>
      <c r="G231" s="23">
        <v>18283</v>
      </c>
      <c r="H231" s="23">
        <v>19131</v>
      </c>
      <c r="J231" s="24">
        <f t="shared" si="6"/>
        <v>8.8548592009087823E-3</v>
      </c>
      <c r="K231" s="24">
        <f t="shared" si="7"/>
        <v>2.9609443682729886E-3</v>
      </c>
    </row>
    <row r="232" spans="1:11" x14ac:dyDescent="0.25">
      <c r="A232" s="21" t="s">
        <v>323</v>
      </c>
      <c r="B232" s="22">
        <f>VLOOKUP(A232,[2]Sheet1!$B$3:$E$264,4,FALSE)</f>
        <v>21766</v>
      </c>
      <c r="C232" s="23">
        <v>22288</v>
      </c>
      <c r="D232" s="23">
        <v>22396</v>
      </c>
      <c r="E232" s="23">
        <v>22396</v>
      </c>
      <c r="F232" s="23">
        <v>22396</v>
      </c>
      <c r="G232" s="23">
        <v>22396</v>
      </c>
      <c r="H232" s="23">
        <v>22396</v>
      </c>
      <c r="J232" s="24">
        <f t="shared" si="6"/>
        <v>4.7566729737313906E-4</v>
      </c>
      <c r="K232" s="24">
        <f t="shared" si="7"/>
        <v>9.6683762557780994E-5</v>
      </c>
    </row>
    <row r="233" spans="1:11" x14ac:dyDescent="0.25">
      <c r="A233" s="21" t="s">
        <v>663</v>
      </c>
      <c r="B233" s="22">
        <f>VLOOKUP(A233,[2]Sheet1!$B$3:$E$264,4,FALSE)</f>
        <v>39309</v>
      </c>
      <c r="C233" s="23">
        <v>42696</v>
      </c>
      <c r="D233" s="23">
        <v>46129</v>
      </c>
      <c r="E233" s="23">
        <v>49089</v>
      </c>
      <c r="F233" s="23">
        <v>52128</v>
      </c>
      <c r="G233" s="23">
        <v>54915</v>
      </c>
      <c r="H233" s="23">
        <v>57519</v>
      </c>
      <c r="J233" s="24">
        <f t="shared" si="6"/>
        <v>6.3645318999185907E-3</v>
      </c>
      <c r="K233" s="24">
        <f t="shared" si="7"/>
        <v>5.9779991230977103E-3</v>
      </c>
    </row>
    <row r="234" spans="1:11" x14ac:dyDescent="0.25">
      <c r="A234" s="21" t="s">
        <v>14979</v>
      </c>
      <c r="B234" s="22">
        <f>VLOOKUP(A234,[2]Sheet1!$B$3:$E$264,4,FALSE)</f>
        <v>3355</v>
      </c>
      <c r="C234" s="23">
        <v>3690</v>
      </c>
      <c r="D234" s="23">
        <v>3990</v>
      </c>
      <c r="E234" s="23">
        <v>4128</v>
      </c>
      <c r="F234" s="23">
        <v>4272</v>
      </c>
      <c r="G234" s="23">
        <v>4360</v>
      </c>
      <c r="H234" s="23">
        <v>4421</v>
      </c>
      <c r="J234" s="24">
        <f t="shared" si="6"/>
        <v>4.6091587186192218E-3</v>
      </c>
      <c r="K234" s="24">
        <f t="shared" si="7"/>
        <v>3.6213303654286655E-3</v>
      </c>
    </row>
    <row r="235" spans="1:11" x14ac:dyDescent="0.25">
      <c r="A235" s="21" t="s">
        <v>2395</v>
      </c>
      <c r="B235" s="22">
        <f>VLOOKUP(A235,[2]Sheet1!$B$3:$E$264,4,FALSE)</f>
        <v>26405</v>
      </c>
      <c r="C235" s="23">
        <v>28846</v>
      </c>
      <c r="D235" s="23">
        <v>31548</v>
      </c>
      <c r="E235" s="23">
        <v>33861</v>
      </c>
      <c r="F235" s="23">
        <v>36257</v>
      </c>
      <c r="G235" s="23">
        <v>38543</v>
      </c>
      <c r="H235" s="23">
        <v>40734</v>
      </c>
      <c r="J235" s="24">
        <f t="shared" si="6"/>
        <v>7.2513267678564475E-3</v>
      </c>
      <c r="K235" s="24">
        <f t="shared" si="7"/>
        <v>6.9257083462352931E-3</v>
      </c>
    </row>
    <row r="236" spans="1:11" x14ac:dyDescent="0.25">
      <c r="A236" s="21" t="s">
        <v>1345</v>
      </c>
      <c r="B236" s="22">
        <f>VLOOKUP(A236,[2]Sheet1!$B$3:$E$264,4,FALSE)</f>
        <v>48879</v>
      </c>
      <c r="C236" s="23">
        <v>54694</v>
      </c>
      <c r="D236" s="23">
        <v>60389</v>
      </c>
      <c r="E236" s="23">
        <v>65902</v>
      </c>
      <c r="F236" s="23">
        <v>71566</v>
      </c>
      <c r="G236" s="23">
        <v>76960</v>
      </c>
      <c r="H236" s="23">
        <v>82161</v>
      </c>
      <c r="J236" s="24">
        <f t="shared" si="6"/>
        <v>8.6931155755705092E-3</v>
      </c>
      <c r="K236" s="24">
        <f t="shared" si="7"/>
        <v>8.1717423527043476E-3</v>
      </c>
    </row>
    <row r="237" spans="1:11" x14ac:dyDescent="0.25">
      <c r="A237" s="21" t="s">
        <v>1787</v>
      </c>
      <c r="B237" s="22">
        <f>VLOOKUP(A237,[2]Sheet1!$B$3:$E$264,4,FALSE)</f>
        <v>52579</v>
      </c>
      <c r="C237" s="23">
        <v>58455</v>
      </c>
      <c r="D237" s="23">
        <v>64146</v>
      </c>
      <c r="E237" s="23">
        <v>68496</v>
      </c>
      <c r="F237" s="23">
        <v>72817</v>
      </c>
      <c r="G237" s="23">
        <v>76407</v>
      </c>
      <c r="H237" s="23">
        <v>79478</v>
      </c>
      <c r="J237" s="24">
        <f t="shared" si="6"/>
        <v>6.9098209637665775E-3</v>
      </c>
      <c r="K237" s="24">
        <f t="shared" si="7"/>
        <v>6.1633764473476571E-3</v>
      </c>
    </row>
    <row r="238" spans="1:11" x14ac:dyDescent="0.25">
      <c r="A238" s="21" t="s">
        <v>1240</v>
      </c>
      <c r="B238" s="22">
        <f>VLOOKUP(A238,[2]Sheet1!$B$3:$E$264,4,FALSE)</f>
        <v>86793</v>
      </c>
      <c r="C238" s="23">
        <v>93857</v>
      </c>
      <c r="D238" s="23">
        <v>100260</v>
      </c>
      <c r="E238" s="23">
        <v>105298</v>
      </c>
      <c r="F238" s="23">
        <v>109785</v>
      </c>
      <c r="G238" s="23">
        <v>113470</v>
      </c>
      <c r="H238" s="23">
        <v>116522</v>
      </c>
      <c r="J238" s="24">
        <f t="shared" si="6"/>
        <v>4.9213054249435118E-3</v>
      </c>
      <c r="K238" s="24">
        <f t="shared" si="7"/>
        <v>4.3355262979298814E-3</v>
      </c>
    </row>
    <row r="239" spans="1:11" x14ac:dyDescent="0.25">
      <c r="A239" s="21" t="s">
        <v>1716</v>
      </c>
      <c r="B239" s="22">
        <f>VLOOKUP(A239,[2]Sheet1!$B$3:$E$264,4,FALSE)</f>
        <v>67861</v>
      </c>
      <c r="C239" s="23">
        <v>71800</v>
      </c>
      <c r="D239" s="23">
        <v>75243</v>
      </c>
      <c r="E239" s="23">
        <v>77724</v>
      </c>
      <c r="F239" s="23">
        <v>80050</v>
      </c>
      <c r="G239" s="23">
        <v>81859</v>
      </c>
      <c r="H239" s="23">
        <v>83324</v>
      </c>
      <c r="J239" s="24">
        <f t="shared" si="6"/>
        <v>3.4271112872432674E-3</v>
      </c>
      <c r="K239" s="24">
        <f t="shared" si="7"/>
        <v>2.9814787304318635E-3</v>
      </c>
    </row>
    <row r="240" spans="1:11" x14ac:dyDescent="0.25">
      <c r="A240" s="21" t="s">
        <v>356</v>
      </c>
      <c r="B240" s="22">
        <f>VLOOKUP(A240,[2]Sheet1!$B$3:$E$264,4,FALSE)</f>
        <v>43205</v>
      </c>
      <c r="C240" s="23">
        <v>52538</v>
      </c>
      <c r="D240" s="23">
        <v>63443</v>
      </c>
      <c r="E240" s="23">
        <v>75535</v>
      </c>
      <c r="F240" s="23">
        <v>88736</v>
      </c>
      <c r="G240" s="23">
        <v>103314</v>
      </c>
      <c r="H240" s="23">
        <v>119122</v>
      </c>
      <c r="J240" s="24">
        <f t="shared" si="6"/>
        <v>1.7046866554322415E-2</v>
      </c>
      <c r="K240" s="24">
        <f t="shared" si="7"/>
        <v>1.6506988591956873E-2</v>
      </c>
    </row>
    <row r="241" spans="1:11" x14ac:dyDescent="0.25">
      <c r="A241" s="21" t="s">
        <v>14980</v>
      </c>
      <c r="B241" s="22">
        <f>VLOOKUP(A241,[2]Sheet1!$B$3:$E$264,4,FALSE)</f>
        <v>10658</v>
      </c>
      <c r="C241" s="23">
        <v>11454</v>
      </c>
      <c r="D241" s="23">
        <v>12144</v>
      </c>
      <c r="E241" s="23">
        <v>12634</v>
      </c>
      <c r="F241" s="23">
        <v>13029</v>
      </c>
      <c r="G241" s="23">
        <v>13329</v>
      </c>
      <c r="H241" s="23">
        <v>13557</v>
      </c>
      <c r="J241" s="24">
        <f t="shared" si="6"/>
        <v>4.0179208747141981E-3</v>
      </c>
      <c r="K241" s="24">
        <f t="shared" si="7"/>
        <v>3.3769692587264366E-3</v>
      </c>
    </row>
    <row r="242" spans="1:11" x14ac:dyDescent="0.25">
      <c r="A242" s="21" t="s">
        <v>6760</v>
      </c>
      <c r="B242" s="22">
        <f>VLOOKUP(A242,[2]Sheet1!$B$3:$E$264,4,FALSE)</f>
        <v>33718</v>
      </c>
      <c r="C242" s="23">
        <v>36199</v>
      </c>
      <c r="D242" s="23">
        <v>38516</v>
      </c>
      <c r="E242" s="23">
        <v>40095</v>
      </c>
      <c r="F242" s="23">
        <v>41664</v>
      </c>
      <c r="G242" s="23">
        <v>42884</v>
      </c>
      <c r="H242" s="23">
        <v>43880</v>
      </c>
      <c r="J242" s="24">
        <f t="shared" si="6"/>
        <v>4.4000990662509398E-3</v>
      </c>
      <c r="K242" s="24">
        <f t="shared" si="7"/>
        <v>3.8559579757206919E-3</v>
      </c>
    </row>
    <row r="243" spans="1:11" x14ac:dyDescent="0.25">
      <c r="A243" s="21" t="s">
        <v>512</v>
      </c>
      <c r="B243" s="22">
        <f>VLOOKUP(A243,[2]Sheet1!$B$3:$E$264,4,FALSE)</f>
        <v>250304</v>
      </c>
      <c r="C243" s="23">
        <v>318028</v>
      </c>
      <c r="D243" s="23">
        <v>393284</v>
      </c>
      <c r="E243" s="23">
        <v>464960</v>
      </c>
      <c r="F243" s="23">
        <v>530330</v>
      </c>
      <c r="G243" s="23">
        <v>591945</v>
      </c>
      <c r="H243" s="23">
        <v>647433</v>
      </c>
      <c r="J243" s="24">
        <f t="shared" si="6"/>
        <v>1.5965087195914052E-2</v>
      </c>
      <c r="K243" s="24">
        <f t="shared" si="7"/>
        <v>1.4319067276794772E-2</v>
      </c>
    </row>
    <row r="244" spans="1:11" x14ac:dyDescent="0.25">
      <c r="A244" s="21" t="s">
        <v>1064</v>
      </c>
      <c r="B244" s="22">
        <f>VLOOKUP(A244,[2]Sheet1!$B$3:$E$264,4,FALSE)</f>
        <v>25617.649529723316</v>
      </c>
      <c r="C244" s="23">
        <v>43804</v>
      </c>
      <c r="D244" s="23">
        <v>46614</v>
      </c>
      <c r="E244" s="23">
        <v>48860</v>
      </c>
      <c r="F244" s="23">
        <v>50804</v>
      </c>
      <c r="G244" s="23">
        <v>52599</v>
      </c>
      <c r="H244" s="23">
        <v>54189</v>
      </c>
      <c r="J244" s="24">
        <f t="shared" si="6"/>
        <v>1.2564889613515762E-2</v>
      </c>
      <c r="K244" s="24">
        <f t="shared" si="7"/>
        <v>4.2641215724035231E-3</v>
      </c>
    </row>
    <row r="245" spans="1:11" x14ac:dyDescent="0.25">
      <c r="A245" s="21" t="s">
        <v>3418</v>
      </c>
      <c r="B245" s="22">
        <f>VLOOKUP(A245,[2]Sheet1!$B$3:$E$264,4,FALSE)</f>
        <v>5410</v>
      </c>
      <c r="C245" s="23">
        <v>5587</v>
      </c>
      <c r="D245" s="23">
        <v>5809</v>
      </c>
      <c r="E245" s="23">
        <v>6019</v>
      </c>
      <c r="F245" s="23">
        <v>6239</v>
      </c>
      <c r="G245" s="23">
        <v>6478</v>
      </c>
      <c r="H245" s="23">
        <v>6733</v>
      </c>
      <c r="J245" s="24">
        <f t="shared" si="6"/>
        <v>3.6528507349897765E-3</v>
      </c>
      <c r="K245" s="24">
        <f t="shared" si="7"/>
        <v>3.7385377452208157E-3</v>
      </c>
    </row>
    <row r="246" spans="1:11" x14ac:dyDescent="0.25">
      <c r="A246" s="21" t="s">
        <v>209</v>
      </c>
      <c r="B246" s="22">
        <f>VLOOKUP(A246,[2]Sheet1!$B$3:$E$264,4,FALSE)</f>
        <v>131500</v>
      </c>
      <c r="C246" s="23">
        <v>135627</v>
      </c>
      <c r="D246" s="23">
        <v>140573</v>
      </c>
      <c r="E246" s="23">
        <v>144448</v>
      </c>
      <c r="F246" s="23">
        <v>147171</v>
      </c>
      <c r="G246" s="23">
        <v>149771</v>
      </c>
      <c r="H246" s="23">
        <v>151982</v>
      </c>
      <c r="J246" s="24">
        <f t="shared" si="6"/>
        <v>2.4154999834467006E-3</v>
      </c>
      <c r="K246" s="24">
        <f t="shared" si="7"/>
        <v>2.2796669393949642E-3</v>
      </c>
    </row>
    <row r="247" spans="1:11" x14ac:dyDescent="0.25">
      <c r="A247" s="21" t="s">
        <v>4169</v>
      </c>
      <c r="B247" s="22">
        <f>VLOOKUP(A247,[2]Sheet1!$B$3:$E$264,4,FALSE)</f>
        <v>13535</v>
      </c>
      <c r="C247" s="23">
        <v>14465</v>
      </c>
      <c r="D247" s="23">
        <v>15252</v>
      </c>
      <c r="E247" s="23">
        <v>15728</v>
      </c>
      <c r="F247" s="23">
        <v>16208</v>
      </c>
      <c r="G247" s="23">
        <v>16542</v>
      </c>
      <c r="H247" s="23">
        <v>16796</v>
      </c>
      <c r="J247" s="24">
        <f t="shared" si="6"/>
        <v>3.6041768103716176E-3</v>
      </c>
      <c r="K247" s="24">
        <f t="shared" si="7"/>
        <v>2.9926455375659522E-3</v>
      </c>
    </row>
    <row r="248" spans="1:11" x14ac:dyDescent="0.25">
      <c r="A248" s="21" t="s">
        <v>390</v>
      </c>
      <c r="B248" s="22">
        <f>VLOOKUP(A248,[2]Sheet1!$B$3:$E$264,4,FALSE)</f>
        <v>22134</v>
      </c>
      <c r="C248" s="23">
        <v>25264</v>
      </c>
      <c r="D248" s="23">
        <v>28479</v>
      </c>
      <c r="E248" s="23">
        <v>31559</v>
      </c>
      <c r="F248" s="23">
        <v>34840</v>
      </c>
      <c r="G248" s="23">
        <v>38012</v>
      </c>
      <c r="H248" s="23">
        <v>41121</v>
      </c>
      <c r="J248" s="24">
        <f>((H248/B248)^(1/($H$3-$B$3))-1)</f>
        <v>1.0376871010157496E-2</v>
      </c>
      <c r="K248" s="24">
        <f t="shared" si="7"/>
        <v>9.7903849375924334E-3</v>
      </c>
    </row>
    <row r="249" spans="1:11" x14ac:dyDescent="0.25">
      <c r="A249" s="21" t="s">
        <v>221</v>
      </c>
      <c r="B249" s="22">
        <f>VLOOKUP(A249,[2]Sheet1!$B$3:$E$264,4,FALSE)</f>
        <v>375442.20754609583</v>
      </c>
      <c r="C249" s="23">
        <v>631097</v>
      </c>
      <c r="D249" s="23">
        <v>771834</v>
      </c>
      <c r="E249" s="23">
        <v>941827</v>
      </c>
      <c r="F249" s="23">
        <v>1141301</v>
      </c>
      <c r="G249" s="23">
        <v>1394412</v>
      </c>
      <c r="H249" s="23">
        <v>1643646</v>
      </c>
      <c r="J249" s="24">
        <f t="shared" si="6"/>
        <v>2.4914773378576394E-2</v>
      </c>
      <c r="K249" s="24">
        <f t="shared" si="7"/>
        <v>1.9328679211691346E-2</v>
      </c>
    </row>
    <row r="250" spans="1:11" x14ac:dyDescent="0.25">
      <c r="A250" s="21" t="s">
        <v>3688</v>
      </c>
      <c r="B250" s="22">
        <f>VLOOKUP(A250,[2]Sheet1!$B$3:$E$264,4,FALSE)</f>
        <v>42918</v>
      </c>
      <c r="C250" s="23">
        <v>54266</v>
      </c>
      <c r="D250" s="23">
        <v>66837</v>
      </c>
      <c r="E250" s="23">
        <v>79044</v>
      </c>
      <c r="F250" s="23">
        <v>90016</v>
      </c>
      <c r="G250" s="23">
        <v>100411</v>
      </c>
      <c r="H250" s="23">
        <v>109771</v>
      </c>
      <c r="J250" s="24">
        <f t="shared" si="6"/>
        <v>1.5774881204566604E-2</v>
      </c>
      <c r="K250" s="24">
        <f t="shared" si="7"/>
        <v>1.4189701436750246E-2</v>
      </c>
    </row>
    <row r="251" spans="1:11" x14ac:dyDescent="0.25">
      <c r="A251" s="21" t="s">
        <v>14981</v>
      </c>
      <c r="B251" s="22">
        <f>VLOOKUP(A251,[2]Sheet1!$B$3:$E$264,4,FALSE)</f>
        <v>7110</v>
      </c>
      <c r="C251" s="23">
        <v>8033</v>
      </c>
      <c r="D251" s="23">
        <v>8817</v>
      </c>
      <c r="E251" s="23">
        <v>9459</v>
      </c>
      <c r="F251" s="23">
        <v>10147</v>
      </c>
      <c r="G251" s="23">
        <v>10702</v>
      </c>
      <c r="H251" s="23">
        <v>11181</v>
      </c>
      <c r="J251" s="24">
        <f t="shared" si="6"/>
        <v>7.5737647142442022E-3</v>
      </c>
      <c r="K251" s="24">
        <f t="shared" si="7"/>
        <v>6.6350722454167066E-3</v>
      </c>
    </row>
    <row r="252" spans="1:11" x14ac:dyDescent="0.25">
      <c r="A252" s="21" t="s">
        <v>151</v>
      </c>
      <c r="B252" s="22">
        <f>VLOOKUP(A252,[2]Sheet1!$B$3:$E$264,4,FALSE)</f>
        <v>59127</v>
      </c>
      <c r="C252" s="23">
        <v>79882</v>
      </c>
      <c r="D252" s="23">
        <v>95086</v>
      </c>
      <c r="E252" s="23">
        <v>110343</v>
      </c>
      <c r="F252" s="23">
        <v>135797</v>
      </c>
      <c r="G252" s="23">
        <v>162282</v>
      </c>
      <c r="H252" s="23">
        <v>208872</v>
      </c>
      <c r="J252" s="24">
        <f t="shared" si="6"/>
        <v>2.1256670822571211E-2</v>
      </c>
      <c r="K252" s="24">
        <f t="shared" si="7"/>
        <v>1.9409381217941446E-2</v>
      </c>
    </row>
    <row r="253" spans="1:11" x14ac:dyDescent="0.25">
      <c r="A253" s="21" t="s">
        <v>424</v>
      </c>
      <c r="B253" s="22">
        <f>VLOOKUP(A253,[2]Sheet1!$B$3:$E$264,4,FALSE)</f>
        <v>41964</v>
      </c>
      <c r="C253" s="23">
        <v>44862</v>
      </c>
      <c r="D253" s="23">
        <v>46735</v>
      </c>
      <c r="E253" s="23">
        <v>47488</v>
      </c>
      <c r="F253" s="23">
        <v>48651</v>
      </c>
      <c r="G253" s="23">
        <v>49229</v>
      </c>
      <c r="H253" s="23">
        <v>49622</v>
      </c>
      <c r="J253" s="24">
        <f t="shared" si="6"/>
        <v>2.7976089564500928E-3</v>
      </c>
      <c r="K253" s="24">
        <f t="shared" si="7"/>
        <v>2.0188986877971438E-3</v>
      </c>
    </row>
    <row r="254" spans="1:11" x14ac:dyDescent="0.25">
      <c r="A254" s="21" t="s">
        <v>14982</v>
      </c>
      <c r="B254" s="22">
        <f>VLOOKUP(A254,[2]Sheet1!$B$3:$E$264,4,FALSE)</f>
        <v>7879</v>
      </c>
      <c r="C254" s="23">
        <v>8920</v>
      </c>
      <c r="D254" s="23">
        <v>10089</v>
      </c>
      <c r="E254" s="23">
        <v>11128</v>
      </c>
      <c r="F254" s="23">
        <v>12232</v>
      </c>
      <c r="G254" s="23">
        <v>13401</v>
      </c>
      <c r="H254" s="23">
        <v>14511</v>
      </c>
      <c r="J254" s="24">
        <f t="shared" si="6"/>
        <v>1.0230409618249503E-2</v>
      </c>
      <c r="K254" s="24">
        <f t="shared" si="7"/>
        <v>9.7797327859534544E-3</v>
      </c>
    </row>
    <row r="255" spans="1:11" x14ac:dyDescent="0.25">
      <c r="A255" s="21" t="s">
        <v>8352</v>
      </c>
      <c r="B255" s="22">
        <f>VLOOKUP(A255,[2]Sheet1!$B$3:$E$264,4,FALSE)</f>
        <v>3745.3040959867603</v>
      </c>
      <c r="C255" s="23">
        <v>19336</v>
      </c>
      <c r="D255" s="23">
        <v>20400</v>
      </c>
      <c r="E255" s="23">
        <v>21166</v>
      </c>
      <c r="F255" s="23">
        <v>21972</v>
      </c>
      <c r="G255" s="23">
        <v>22759</v>
      </c>
      <c r="H255" s="23">
        <v>23519</v>
      </c>
      <c r="J255" s="24">
        <f t="shared" si="6"/>
        <v>3.1095431866112078E-2</v>
      </c>
      <c r="K255" s="24">
        <f t="shared" si="7"/>
        <v>3.924479917116086E-3</v>
      </c>
    </row>
    <row r="256" spans="1:11" x14ac:dyDescent="0.25">
      <c r="A256" s="21" t="s">
        <v>6534</v>
      </c>
      <c r="B256" s="22">
        <f>VLOOKUP(A256,[2]Sheet1!$B$3:$E$264,4,FALSE)</f>
        <v>14018</v>
      </c>
      <c r="C256" s="23">
        <v>16819</v>
      </c>
      <c r="D256" s="23">
        <v>19709</v>
      </c>
      <c r="E256" s="23">
        <v>22876</v>
      </c>
      <c r="F256" s="23">
        <v>26365</v>
      </c>
      <c r="G256" s="23">
        <v>29976</v>
      </c>
      <c r="H256" s="23">
        <v>33742</v>
      </c>
      <c r="J256" s="24">
        <f t="shared" si="6"/>
        <v>1.4747708864409459E-2</v>
      </c>
      <c r="K256" s="24">
        <f t="shared" si="7"/>
        <v>1.4022083010554853E-2</v>
      </c>
    </row>
    <row r="257" spans="1:11" x14ac:dyDescent="0.25">
      <c r="A257" s="21" t="s">
        <v>2624</v>
      </c>
      <c r="B257" s="22">
        <f>VLOOKUP(A257,[2]Sheet1!$B$3:$E$264,4,FALSE)</f>
        <v>11677</v>
      </c>
      <c r="C257" s="23">
        <v>13189</v>
      </c>
      <c r="D257" s="23">
        <v>14758</v>
      </c>
      <c r="E257" s="23">
        <v>16161</v>
      </c>
      <c r="F257" s="23">
        <v>17521</v>
      </c>
      <c r="G257" s="23">
        <v>18786</v>
      </c>
      <c r="H257" s="23">
        <v>19956</v>
      </c>
      <c r="J257" s="24">
        <f t="shared" si="6"/>
        <v>8.9718202446893436E-3</v>
      </c>
      <c r="K257" s="24">
        <f t="shared" si="7"/>
        <v>8.317332428767088E-3</v>
      </c>
    </row>
    <row r="258" spans="1:11" x14ac:dyDescent="0.25">
      <c r="A258" s="25" t="s">
        <v>14983</v>
      </c>
      <c r="B258" s="26">
        <f>SUM(B4:B257)</f>
        <v>24743509.478086069</v>
      </c>
      <c r="C258" s="27">
        <v>29695345</v>
      </c>
      <c r="D258" s="27">
        <v>33913233</v>
      </c>
      <c r="E258" s="27">
        <v>38063056</v>
      </c>
      <c r="F258" s="27">
        <v>42294281</v>
      </c>
      <c r="G258" s="27">
        <v>46763473</v>
      </c>
      <c r="H258" s="27">
        <v>51486113</v>
      </c>
      <c r="J258" s="24">
        <f t="shared" si="6"/>
        <v>1.2287358681600136E-2</v>
      </c>
      <c r="K258" s="28">
        <f t="shared" si="7"/>
        <v>1.1067230083268154E-2</v>
      </c>
    </row>
    <row r="259" spans="1:11" ht="0" hidden="1" customHeight="1" x14ac:dyDescent="0.25"/>
  </sheetData>
  <mergeCells count="1">
    <mergeCell ref="A2:H2"/>
  </mergeCells>
  <pageMargins left="0.5" right="0.25" top="0.25" bottom="0.58680984251968504" header="0.25" footer="0.25"/>
  <pageSetup orientation="portrait" horizontalDpi="300" verticalDpi="300"/>
  <headerFooter alignWithMargins="0">
    <oddFooter>&amp;L&amp;"Calibri,Regular"&amp;8 Texas Water Development Board &amp;C&amp;"Calibri,Regular"&amp;8&amp;P of &amp;N &amp;R&amp;"Calibri,Regular"&amp;8 March 28, 2019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G2328"/>
  <sheetViews>
    <sheetView workbookViewId="0">
      <pane ySplit="1" topLeftCell="A17" activePane="bottomLeft" state="frozen"/>
      <selection pane="bottomLeft" activeCell="A2" sqref="A2:A48"/>
    </sheetView>
  </sheetViews>
  <sheetFormatPr defaultRowHeight="15" x14ac:dyDescent="0.25"/>
  <cols>
    <col min="1" max="1" width="11" bestFit="1" customWidth="1"/>
    <col min="2" max="2" width="15.85546875" style="34" bestFit="1" customWidth="1"/>
    <col min="3" max="3" width="17" style="34" bestFit="1" customWidth="1"/>
    <col min="4" max="4" width="10.5703125" customWidth="1"/>
    <col min="5" max="5" width="15" style="34" bestFit="1" customWidth="1"/>
    <col min="6" max="6" width="15.5703125" bestFit="1" customWidth="1"/>
    <col min="7" max="7" width="12" bestFit="1" customWidth="1"/>
  </cols>
  <sheetData>
    <row r="1" spans="1:7" x14ac:dyDescent="0.25">
      <c r="A1" t="s">
        <v>14988</v>
      </c>
      <c r="B1" s="34" t="s">
        <v>14989</v>
      </c>
      <c r="C1" s="34" t="s">
        <v>14990</v>
      </c>
      <c r="D1" t="s">
        <v>12505</v>
      </c>
      <c r="E1" s="34" t="s">
        <v>14991</v>
      </c>
      <c r="F1" t="s">
        <v>14992</v>
      </c>
      <c r="G1" s="34" t="s">
        <v>17325</v>
      </c>
    </row>
    <row r="2" spans="1:7" x14ac:dyDescent="0.25">
      <c r="A2" t="s">
        <v>13669</v>
      </c>
      <c r="B2" s="34">
        <v>15569554.312058</v>
      </c>
      <c r="C2" s="34">
        <v>1297462.8593381599</v>
      </c>
      <c r="D2" t="s">
        <v>35</v>
      </c>
      <c r="E2" s="34">
        <v>25949257.186763301</v>
      </c>
      <c r="F2" t="s">
        <v>16137</v>
      </c>
      <c r="G2" t="b">
        <v>1</v>
      </c>
    </row>
    <row r="3" spans="1:7" x14ac:dyDescent="0.25">
      <c r="A3" t="s">
        <v>14697</v>
      </c>
      <c r="B3" s="34">
        <v>6575583.4446077999</v>
      </c>
      <c r="C3" s="34">
        <v>547965.28705064999</v>
      </c>
      <c r="D3" t="s">
        <v>253</v>
      </c>
      <c r="E3" s="34">
        <v>32877917.223039001</v>
      </c>
      <c r="F3" t="s">
        <v>17149</v>
      </c>
      <c r="G3" t="b">
        <v>1</v>
      </c>
    </row>
    <row r="4" spans="1:7" x14ac:dyDescent="0.25">
      <c r="A4" t="s">
        <v>14692</v>
      </c>
      <c r="B4" s="34">
        <v>773261.61319910001</v>
      </c>
      <c r="C4" s="34">
        <v>64438.467766591602</v>
      </c>
      <c r="D4" t="s">
        <v>480</v>
      </c>
      <c r="E4" s="34">
        <v>3866308.0659955</v>
      </c>
      <c r="F4" t="s">
        <v>17144</v>
      </c>
      <c r="G4" t="b">
        <v>1</v>
      </c>
    </row>
    <row r="5" spans="1:7" x14ac:dyDescent="0.25">
      <c r="A5" t="s">
        <v>12570</v>
      </c>
      <c r="B5" s="34">
        <v>336676.95982619998</v>
      </c>
      <c r="C5" s="34">
        <v>28056.413318850002</v>
      </c>
      <c r="D5" t="s">
        <v>215</v>
      </c>
      <c r="E5" s="34">
        <v>1683384.7991309999</v>
      </c>
      <c r="F5" t="s">
        <v>15045</v>
      </c>
      <c r="G5" t="b">
        <v>1</v>
      </c>
    </row>
    <row r="6" spans="1:7" x14ac:dyDescent="0.25">
      <c r="A6" t="s">
        <v>13380</v>
      </c>
      <c r="B6" s="34">
        <v>33807.352939999997</v>
      </c>
      <c r="C6" s="34">
        <v>2817.2794116666601</v>
      </c>
      <c r="D6" t="s">
        <v>571</v>
      </c>
      <c r="E6" s="34">
        <v>56345.588233333299</v>
      </c>
      <c r="F6" t="s">
        <v>15850</v>
      </c>
      <c r="G6" t="b">
        <v>1</v>
      </c>
    </row>
    <row r="7" spans="1:7" x14ac:dyDescent="0.25">
      <c r="A7" t="s">
        <v>13362</v>
      </c>
      <c r="B7" s="34">
        <v>21876.873790000001</v>
      </c>
      <c r="C7" s="34">
        <v>1823.07281583333</v>
      </c>
      <c r="D7" t="s">
        <v>873</v>
      </c>
      <c r="E7" s="34">
        <v>27346.092237499899</v>
      </c>
      <c r="F7" t="s">
        <v>15832</v>
      </c>
      <c r="G7" t="b">
        <v>1</v>
      </c>
    </row>
    <row r="8" spans="1:7" x14ac:dyDescent="0.25">
      <c r="A8" t="s">
        <v>13236</v>
      </c>
      <c r="B8" s="34">
        <v>20878.968560000001</v>
      </c>
      <c r="C8" s="34">
        <v>1739.9140466666599</v>
      </c>
      <c r="D8" t="s">
        <v>1831</v>
      </c>
      <c r="E8" s="34">
        <v>104394.84279999899</v>
      </c>
      <c r="F8" t="s">
        <v>15710</v>
      </c>
      <c r="G8" t="b">
        <v>1</v>
      </c>
    </row>
    <row r="9" spans="1:7" x14ac:dyDescent="0.25">
      <c r="A9" t="s">
        <v>13402</v>
      </c>
      <c r="B9" s="34">
        <v>17606.269299999902</v>
      </c>
      <c r="C9" s="34">
        <v>1467.1891083333301</v>
      </c>
      <c r="D9" t="s">
        <v>3459</v>
      </c>
      <c r="E9" s="34">
        <v>88031.346499999898</v>
      </c>
      <c r="F9" t="s">
        <v>15872</v>
      </c>
      <c r="G9" t="b">
        <v>1</v>
      </c>
    </row>
    <row r="10" spans="1:7" x14ac:dyDescent="0.25">
      <c r="A10" t="s">
        <v>12622</v>
      </c>
      <c r="B10" s="34">
        <v>15736.983199999901</v>
      </c>
      <c r="C10" s="34">
        <v>1311.41526666666</v>
      </c>
      <c r="D10" t="s">
        <v>35</v>
      </c>
      <c r="E10" s="34">
        <v>19671.228999999999</v>
      </c>
      <c r="F10" t="s">
        <v>15097</v>
      </c>
      <c r="G10" t="b">
        <v>1</v>
      </c>
    </row>
    <row r="11" spans="1:7" x14ac:dyDescent="0.25">
      <c r="A11" t="s">
        <v>12627</v>
      </c>
      <c r="B11" s="34">
        <v>13083.8776</v>
      </c>
      <c r="C11" s="34">
        <v>1090.3231333333299</v>
      </c>
      <c r="D11" t="s">
        <v>632</v>
      </c>
      <c r="E11" s="34">
        <v>65419.387999999999</v>
      </c>
      <c r="F11" t="s">
        <v>15102</v>
      </c>
      <c r="G11" t="b">
        <v>1</v>
      </c>
    </row>
    <row r="12" spans="1:7" x14ac:dyDescent="0.25">
      <c r="A12" t="s">
        <v>13503</v>
      </c>
      <c r="B12" s="34">
        <v>11175.887000000001</v>
      </c>
      <c r="C12" s="34">
        <v>931.32391666666604</v>
      </c>
      <c r="D12" t="s">
        <v>889</v>
      </c>
      <c r="E12" s="34">
        <v>27939.717499999999</v>
      </c>
      <c r="F12" t="s">
        <v>15972</v>
      </c>
      <c r="G12" t="b">
        <v>1</v>
      </c>
    </row>
    <row r="13" spans="1:7" x14ac:dyDescent="0.25">
      <c r="A13" t="s">
        <v>13355</v>
      </c>
      <c r="B13" s="34">
        <v>8574.4079999999994</v>
      </c>
      <c r="C13" s="34">
        <v>714.53399999999999</v>
      </c>
      <c r="D13" t="s">
        <v>1611</v>
      </c>
      <c r="E13" s="34">
        <v>21436.02</v>
      </c>
      <c r="F13" t="s">
        <v>15825</v>
      </c>
      <c r="G13" t="b">
        <v>1</v>
      </c>
    </row>
    <row r="14" spans="1:7" x14ac:dyDescent="0.25">
      <c r="A14" t="s">
        <v>12624</v>
      </c>
      <c r="B14" s="34">
        <v>7327.9</v>
      </c>
      <c r="C14" s="34">
        <v>610.65833333333296</v>
      </c>
      <c r="D14" t="s">
        <v>35</v>
      </c>
      <c r="E14" s="34">
        <v>9159.875</v>
      </c>
      <c r="F14" t="s">
        <v>15099</v>
      </c>
      <c r="G14" t="b">
        <v>1</v>
      </c>
    </row>
    <row r="15" spans="1:7" x14ac:dyDescent="0.25">
      <c r="A15" t="s">
        <v>12519</v>
      </c>
      <c r="B15" s="34">
        <v>6678.4116400000003</v>
      </c>
      <c r="C15" s="34">
        <v>556.53430333333301</v>
      </c>
      <c r="D15" t="s">
        <v>1831</v>
      </c>
      <c r="E15" s="34">
        <v>33392.058199999999</v>
      </c>
      <c r="F15" t="s">
        <v>14994</v>
      </c>
      <c r="G15" t="b">
        <v>1</v>
      </c>
    </row>
    <row r="16" spans="1:7" x14ac:dyDescent="0.25">
      <c r="A16" t="s">
        <v>12623</v>
      </c>
      <c r="B16" s="34">
        <v>6184.8486000000003</v>
      </c>
      <c r="C16" s="34">
        <v>515.40404999999998</v>
      </c>
      <c r="D16" t="s">
        <v>35</v>
      </c>
      <c r="E16" s="34">
        <v>5154.0405000000001</v>
      </c>
      <c r="F16" t="s">
        <v>15098</v>
      </c>
      <c r="G16" t="b">
        <v>1</v>
      </c>
    </row>
    <row r="17" spans="1:7" x14ac:dyDescent="0.25">
      <c r="A17" t="s">
        <v>13750</v>
      </c>
      <c r="B17" s="34">
        <v>5620.5569999999998</v>
      </c>
      <c r="C17" s="34">
        <v>468.37974999999898</v>
      </c>
      <c r="D17" t="s">
        <v>781</v>
      </c>
      <c r="E17" s="34">
        <v>624.50633333333303</v>
      </c>
      <c r="F17" t="s">
        <v>16218</v>
      </c>
      <c r="G17" t="b">
        <v>1</v>
      </c>
    </row>
    <row r="18" spans="1:7" x14ac:dyDescent="0.25">
      <c r="A18" t="s">
        <v>13367</v>
      </c>
      <c r="B18" s="34">
        <v>5560.9654</v>
      </c>
      <c r="C18" s="34">
        <v>463.41378333333301</v>
      </c>
      <c r="D18" t="s">
        <v>456</v>
      </c>
      <c r="E18" s="34">
        <v>13902.413500000001</v>
      </c>
      <c r="F18" t="s">
        <v>15837</v>
      </c>
      <c r="G18" t="b">
        <v>1</v>
      </c>
    </row>
    <row r="19" spans="1:7" x14ac:dyDescent="0.25">
      <c r="A19" t="s">
        <v>13219</v>
      </c>
      <c r="B19" s="34">
        <v>5288.1444000000001</v>
      </c>
      <c r="C19" s="34">
        <v>440.67869999999999</v>
      </c>
      <c r="D19" t="s">
        <v>35</v>
      </c>
      <c r="E19" s="34">
        <v>26440.722000000002</v>
      </c>
      <c r="F19" t="s">
        <v>15693</v>
      </c>
      <c r="G19" t="b">
        <v>1</v>
      </c>
    </row>
    <row r="20" spans="1:7" x14ac:dyDescent="0.25">
      <c r="A20" t="s">
        <v>13726</v>
      </c>
      <c r="B20" s="34">
        <v>4966.9949999999899</v>
      </c>
      <c r="C20" s="34">
        <v>413.91624999999999</v>
      </c>
      <c r="D20" t="s">
        <v>1611</v>
      </c>
      <c r="E20" s="34">
        <v>12417.487499999899</v>
      </c>
      <c r="F20" t="s">
        <v>16194</v>
      </c>
      <c r="G20" t="b">
        <v>1</v>
      </c>
    </row>
    <row r="21" spans="1:7" x14ac:dyDescent="0.25">
      <c r="A21" t="s">
        <v>13363</v>
      </c>
      <c r="B21" s="34">
        <v>4934.2577700000002</v>
      </c>
      <c r="C21" s="34">
        <v>411.18814749999899</v>
      </c>
      <c r="D21" t="s">
        <v>873</v>
      </c>
      <c r="E21" s="34">
        <v>2741.2543166666601</v>
      </c>
      <c r="F21" t="s">
        <v>15833</v>
      </c>
      <c r="G21" t="b">
        <v>1</v>
      </c>
    </row>
    <row r="22" spans="1:7" x14ac:dyDescent="0.25">
      <c r="A22" t="s">
        <v>13400</v>
      </c>
      <c r="B22" s="34">
        <v>4588.7113069999996</v>
      </c>
      <c r="C22" s="34">
        <v>382.39260891666601</v>
      </c>
      <c r="D22" t="s">
        <v>632</v>
      </c>
      <c r="E22" s="34">
        <v>11471.7782675</v>
      </c>
      <c r="F22" t="s">
        <v>15870</v>
      </c>
      <c r="G22" t="b">
        <v>1</v>
      </c>
    </row>
    <row r="23" spans="1:7" x14ac:dyDescent="0.25">
      <c r="A23" t="s">
        <v>13436</v>
      </c>
      <c r="B23" s="34">
        <v>4582.4657999999999</v>
      </c>
      <c r="C23" s="34">
        <v>381.87214999999901</v>
      </c>
      <c r="D23" t="s">
        <v>3863</v>
      </c>
      <c r="E23" s="34">
        <v>11456.164500000001</v>
      </c>
      <c r="F23" t="s">
        <v>15905</v>
      </c>
      <c r="G23" t="b">
        <v>1</v>
      </c>
    </row>
    <row r="24" spans="1:7" x14ac:dyDescent="0.25">
      <c r="A24" t="s">
        <v>14756</v>
      </c>
      <c r="B24" s="34">
        <v>4328.3712168399898</v>
      </c>
      <c r="C24" s="34">
        <v>360.69760140333301</v>
      </c>
      <c r="D24" t="s">
        <v>873</v>
      </c>
      <c r="E24" s="34">
        <v>10820.9280421</v>
      </c>
      <c r="F24" t="s">
        <v>17205</v>
      </c>
      <c r="G24" t="b">
        <v>1</v>
      </c>
    </row>
    <row r="25" spans="1:7" x14ac:dyDescent="0.25">
      <c r="A25" t="s">
        <v>12529</v>
      </c>
      <c r="B25" s="34">
        <v>4091.3838799999999</v>
      </c>
      <c r="C25" s="34">
        <v>340.94865666666601</v>
      </c>
      <c r="D25" t="s">
        <v>1831</v>
      </c>
      <c r="E25" s="34">
        <v>20456.919399999999</v>
      </c>
      <c r="F25" t="s">
        <v>15004</v>
      </c>
      <c r="G25" t="b">
        <v>1</v>
      </c>
    </row>
    <row r="26" spans="1:7" x14ac:dyDescent="0.25">
      <c r="A26" t="s">
        <v>12531</v>
      </c>
      <c r="B26" s="34">
        <v>4037.8707999999901</v>
      </c>
      <c r="C26" s="34">
        <v>336.489233333333</v>
      </c>
      <c r="D26" t="s">
        <v>268</v>
      </c>
      <c r="E26" s="34">
        <v>20189.353999999999</v>
      </c>
      <c r="F26" t="s">
        <v>15006</v>
      </c>
      <c r="G26" t="b">
        <v>1</v>
      </c>
    </row>
    <row r="27" spans="1:7" x14ac:dyDescent="0.25">
      <c r="A27" t="s">
        <v>13017</v>
      </c>
      <c r="B27" s="34">
        <v>3949.9563699999899</v>
      </c>
      <c r="C27" s="34">
        <v>329.16303083333298</v>
      </c>
      <c r="D27" t="s">
        <v>1275</v>
      </c>
      <c r="E27" s="34">
        <v>9874.8909249999997</v>
      </c>
      <c r="F27" t="s">
        <v>15492</v>
      </c>
      <c r="G27" t="b">
        <v>1</v>
      </c>
    </row>
    <row r="28" spans="1:7" x14ac:dyDescent="0.25">
      <c r="A28" t="s">
        <v>13521</v>
      </c>
      <c r="B28" s="34">
        <v>3671.6096477000001</v>
      </c>
      <c r="C28" s="34">
        <v>305.96747064166601</v>
      </c>
      <c r="D28" t="s">
        <v>576</v>
      </c>
      <c r="E28" s="34">
        <v>9179.0241192499998</v>
      </c>
      <c r="F28" t="s">
        <v>15990</v>
      </c>
      <c r="G28" t="b">
        <v>1</v>
      </c>
    </row>
    <row r="29" spans="1:7" x14ac:dyDescent="0.25">
      <c r="A29" t="s">
        <v>13301</v>
      </c>
      <c r="B29" s="34">
        <v>3358.44</v>
      </c>
      <c r="C29" s="34">
        <v>279.86999999999898</v>
      </c>
      <c r="D29" t="s">
        <v>889</v>
      </c>
      <c r="E29" s="34">
        <v>16792.199999999899</v>
      </c>
      <c r="F29" t="s">
        <v>15771</v>
      </c>
      <c r="G29" t="b">
        <v>1</v>
      </c>
    </row>
    <row r="30" spans="1:7" x14ac:dyDescent="0.25">
      <c r="A30" t="s">
        <v>12563</v>
      </c>
      <c r="B30" s="34">
        <v>3322.2361999999898</v>
      </c>
      <c r="C30" s="34">
        <v>276.85301666666601</v>
      </c>
      <c r="D30" t="s">
        <v>13</v>
      </c>
      <c r="E30" s="34">
        <v>16611.180999999899</v>
      </c>
      <c r="F30" t="s">
        <v>15038</v>
      </c>
      <c r="G30" t="b">
        <v>1</v>
      </c>
    </row>
    <row r="31" spans="1:7" x14ac:dyDescent="0.25">
      <c r="A31" t="s">
        <v>12658</v>
      </c>
      <c r="B31" s="34">
        <v>3264.88</v>
      </c>
      <c r="C31" s="34">
        <v>272.07333333333298</v>
      </c>
      <c r="D31" t="s">
        <v>13</v>
      </c>
      <c r="E31" s="34">
        <v>16324.4</v>
      </c>
      <c r="F31" t="s">
        <v>15133</v>
      </c>
      <c r="G31" t="b">
        <v>1</v>
      </c>
    </row>
    <row r="32" spans="1:7" x14ac:dyDescent="0.25">
      <c r="A32" t="s">
        <v>13329</v>
      </c>
      <c r="B32" s="34">
        <v>2951.8645999999999</v>
      </c>
      <c r="C32" s="34">
        <v>245.98871666666599</v>
      </c>
      <c r="D32" t="s">
        <v>2106</v>
      </c>
      <c r="E32" s="34">
        <v>4919.7743333333301</v>
      </c>
      <c r="F32" t="s">
        <v>15799</v>
      </c>
      <c r="G32" t="b">
        <v>1</v>
      </c>
    </row>
    <row r="33" spans="1:7" x14ac:dyDescent="0.25">
      <c r="A33" t="s">
        <v>13690</v>
      </c>
      <c r="B33" s="34">
        <v>2891.95</v>
      </c>
      <c r="C33" s="34">
        <v>240.995833333333</v>
      </c>
      <c r="D33" t="s">
        <v>84</v>
      </c>
      <c r="E33" s="34">
        <v>1204.9791666666599</v>
      </c>
      <c r="F33" t="s">
        <v>16158</v>
      </c>
      <c r="G33" t="b">
        <v>1</v>
      </c>
    </row>
    <row r="34" spans="1:7" x14ac:dyDescent="0.25">
      <c r="A34" t="s">
        <v>13885</v>
      </c>
      <c r="B34" s="34">
        <v>2760.4175999999902</v>
      </c>
      <c r="C34" s="34">
        <v>230.03479999999999</v>
      </c>
      <c r="D34" t="s">
        <v>35</v>
      </c>
      <c r="E34" s="34">
        <v>4600.6959999999999</v>
      </c>
      <c r="F34" t="s">
        <v>16352</v>
      </c>
      <c r="G34" t="b">
        <v>1</v>
      </c>
    </row>
    <row r="35" spans="1:7" x14ac:dyDescent="0.25">
      <c r="A35" t="s">
        <v>13318</v>
      </c>
      <c r="B35" s="34">
        <v>2392.4055251999998</v>
      </c>
      <c r="C35" s="34">
        <v>199.3671271</v>
      </c>
      <c r="D35" t="s">
        <v>409</v>
      </c>
      <c r="E35" s="34">
        <v>5981.0138129999996</v>
      </c>
      <c r="F35" t="s">
        <v>15788</v>
      </c>
      <c r="G35" t="b">
        <v>1</v>
      </c>
    </row>
    <row r="36" spans="1:7" x14ac:dyDescent="0.25">
      <c r="A36" t="s">
        <v>13594</v>
      </c>
      <c r="B36" s="34">
        <v>2317.116</v>
      </c>
      <c r="C36" s="34">
        <v>193.09299999999899</v>
      </c>
      <c r="D36" t="s">
        <v>873</v>
      </c>
      <c r="E36" s="34">
        <v>1930.93</v>
      </c>
      <c r="F36" t="s">
        <v>16063</v>
      </c>
      <c r="G36" t="b">
        <v>1</v>
      </c>
    </row>
    <row r="37" spans="1:7" x14ac:dyDescent="0.25">
      <c r="A37" t="s">
        <v>12521</v>
      </c>
      <c r="B37" s="34">
        <v>2038.2529999999999</v>
      </c>
      <c r="C37" s="34">
        <v>169.854416666666</v>
      </c>
      <c r="D37" t="s">
        <v>1611</v>
      </c>
      <c r="E37" s="34">
        <v>10191.264999999999</v>
      </c>
      <c r="F37" t="s">
        <v>14996</v>
      </c>
      <c r="G37" t="b">
        <v>1</v>
      </c>
    </row>
    <row r="38" spans="1:7" x14ac:dyDescent="0.25">
      <c r="A38" t="s">
        <v>12538</v>
      </c>
      <c r="B38" s="34">
        <v>1835.857</v>
      </c>
      <c r="C38" s="34">
        <v>152.98808333333301</v>
      </c>
      <c r="D38" t="s">
        <v>239</v>
      </c>
      <c r="E38" s="34">
        <v>9179.2849999999999</v>
      </c>
      <c r="F38" t="s">
        <v>15013</v>
      </c>
      <c r="G38" t="b">
        <v>1</v>
      </c>
    </row>
    <row r="39" spans="1:7" x14ac:dyDescent="0.25">
      <c r="A39" t="s">
        <v>12773</v>
      </c>
      <c r="B39" s="34">
        <v>1813.4448</v>
      </c>
      <c r="C39" s="34">
        <v>151.12039999999999</v>
      </c>
      <c r="D39" t="s">
        <v>471</v>
      </c>
      <c r="E39" s="34">
        <v>9067.2240000000002</v>
      </c>
      <c r="F39" t="s">
        <v>15248</v>
      </c>
      <c r="G39" t="b">
        <v>1</v>
      </c>
    </row>
    <row r="40" spans="1:7" x14ac:dyDescent="0.25">
      <c r="A40" t="s">
        <v>13333</v>
      </c>
      <c r="B40" s="34">
        <v>1774.86119545</v>
      </c>
      <c r="C40" s="34">
        <v>147.905099620833</v>
      </c>
      <c r="D40" t="s">
        <v>776</v>
      </c>
      <c r="E40" s="34">
        <v>2958.1019924166599</v>
      </c>
      <c r="F40" t="s">
        <v>15803</v>
      </c>
      <c r="G40" t="b">
        <v>1</v>
      </c>
    </row>
    <row r="41" spans="1:7" x14ac:dyDescent="0.25">
      <c r="A41" t="s">
        <v>12526</v>
      </c>
      <c r="B41" s="34">
        <v>1665.029</v>
      </c>
      <c r="C41" s="34">
        <v>138.75241666666599</v>
      </c>
      <c r="D41" t="s">
        <v>471</v>
      </c>
      <c r="E41" s="34">
        <v>4162.5724999999902</v>
      </c>
      <c r="F41" t="s">
        <v>15001</v>
      </c>
      <c r="G41" t="b">
        <v>1</v>
      </c>
    </row>
    <row r="42" spans="1:7" x14ac:dyDescent="0.25">
      <c r="A42" t="s">
        <v>12530</v>
      </c>
      <c r="B42" s="34">
        <v>1600.4868799999899</v>
      </c>
      <c r="C42" s="34">
        <v>133.37390666666599</v>
      </c>
      <c r="D42" t="s">
        <v>1831</v>
      </c>
      <c r="E42" s="34">
        <v>4001.21719999999</v>
      </c>
      <c r="F42" t="s">
        <v>15005</v>
      </c>
      <c r="G42" t="b">
        <v>1</v>
      </c>
    </row>
    <row r="43" spans="1:7" x14ac:dyDescent="0.25">
      <c r="A43" t="s">
        <v>12527</v>
      </c>
      <c r="B43" s="34">
        <v>1569.6506400000001</v>
      </c>
      <c r="C43" s="34">
        <v>130.80421999999999</v>
      </c>
      <c r="D43" t="s">
        <v>1831</v>
      </c>
      <c r="E43" s="34">
        <v>7848.2532000000001</v>
      </c>
      <c r="F43" t="s">
        <v>15002</v>
      </c>
      <c r="G43" t="b">
        <v>1</v>
      </c>
    </row>
    <row r="44" spans="1:7" x14ac:dyDescent="0.25">
      <c r="A44" t="s">
        <v>13144</v>
      </c>
      <c r="B44" s="34">
        <v>1367.58599999999</v>
      </c>
      <c r="C44" s="34">
        <v>113.96550000000001</v>
      </c>
      <c r="D44" t="s">
        <v>268</v>
      </c>
      <c r="E44" s="34">
        <v>6837.9299999999903</v>
      </c>
      <c r="F44" t="s">
        <v>15619</v>
      </c>
      <c r="G44" t="b">
        <v>1</v>
      </c>
    </row>
    <row r="45" spans="1:7" x14ac:dyDescent="0.25">
      <c r="A45" t="s">
        <v>12605</v>
      </c>
      <c r="B45" s="34">
        <v>1363.5176999999901</v>
      </c>
      <c r="C45" s="34">
        <v>113.626474999999</v>
      </c>
      <c r="D45" t="s">
        <v>385</v>
      </c>
      <c r="E45" s="34">
        <v>3408.7942499999899</v>
      </c>
      <c r="F45" t="s">
        <v>15080</v>
      </c>
      <c r="G45" t="b">
        <v>1</v>
      </c>
    </row>
    <row r="46" spans="1:7" x14ac:dyDescent="0.25">
      <c r="A46" t="s">
        <v>12528</v>
      </c>
      <c r="B46" s="34">
        <v>1340.2691</v>
      </c>
      <c r="C46" s="34">
        <v>111.689091666666</v>
      </c>
      <c r="D46" t="s">
        <v>1831</v>
      </c>
      <c r="E46" s="34">
        <v>6701.3455000000004</v>
      </c>
      <c r="F46" t="s">
        <v>15003</v>
      </c>
      <c r="G46" t="b">
        <v>1</v>
      </c>
    </row>
    <row r="47" spans="1:7" x14ac:dyDescent="0.25">
      <c r="A47" t="s">
        <v>13159</v>
      </c>
      <c r="B47" s="34">
        <v>1192.45</v>
      </c>
      <c r="C47" s="34">
        <v>99.370833333333294</v>
      </c>
      <c r="D47" t="s">
        <v>104</v>
      </c>
      <c r="E47" s="34">
        <v>5962.25</v>
      </c>
      <c r="F47" t="s">
        <v>15634</v>
      </c>
      <c r="G47" t="b">
        <v>1</v>
      </c>
    </row>
    <row r="48" spans="1:7" x14ac:dyDescent="0.25">
      <c r="A48" t="s">
        <v>14660</v>
      </c>
      <c r="B48" s="34">
        <v>1058.7259999999901</v>
      </c>
      <c r="C48" s="34">
        <v>88.227166666666605</v>
      </c>
      <c r="D48" t="s">
        <v>566</v>
      </c>
      <c r="E48" s="34">
        <v>1323.4075</v>
      </c>
      <c r="F48" t="s">
        <v>17113</v>
      </c>
      <c r="G48" t="b">
        <v>1</v>
      </c>
    </row>
    <row r="49" spans="1:7" x14ac:dyDescent="0.25">
      <c r="A49" t="s">
        <v>13507</v>
      </c>
      <c r="B49" s="34">
        <v>936.37926000000004</v>
      </c>
      <c r="C49" s="34">
        <v>78.031604999999999</v>
      </c>
      <c r="D49" t="s">
        <v>1861</v>
      </c>
      <c r="E49" s="34">
        <v>1560.6321</v>
      </c>
      <c r="F49" t="s">
        <v>15976</v>
      </c>
      <c r="G49" t="b">
        <v>0</v>
      </c>
    </row>
    <row r="50" spans="1:7" x14ac:dyDescent="0.25">
      <c r="A50" t="s">
        <v>12524</v>
      </c>
      <c r="B50" s="34">
        <v>859.72170000000006</v>
      </c>
      <c r="C50" s="34">
        <v>71.643474999999995</v>
      </c>
      <c r="D50" t="s">
        <v>4455</v>
      </c>
      <c r="E50" s="34">
        <v>1432.8695</v>
      </c>
      <c r="F50" t="s">
        <v>14999</v>
      </c>
      <c r="G50" t="b">
        <v>0</v>
      </c>
    </row>
    <row r="51" spans="1:7" x14ac:dyDescent="0.25">
      <c r="A51" t="s">
        <v>13169</v>
      </c>
      <c r="B51" s="34">
        <v>773.29947999999899</v>
      </c>
      <c r="C51" s="34">
        <v>64.441623333333297</v>
      </c>
      <c r="D51" t="s">
        <v>873</v>
      </c>
      <c r="E51" s="34">
        <v>1288.8324666666599</v>
      </c>
      <c r="F51" t="s">
        <v>15644</v>
      </c>
      <c r="G51" t="b">
        <v>0</v>
      </c>
    </row>
    <row r="52" spans="1:7" x14ac:dyDescent="0.25">
      <c r="A52" t="s">
        <v>13160</v>
      </c>
      <c r="B52" s="34">
        <v>729.97</v>
      </c>
      <c r="C52" s="34">
        <v>60.830833333333302</v>
      </c>
      <c r="D52" t="s">
        <v>104</v>
      </c>
      <c r="E52" s="34">
        <v>3649.85</v>
      </c>
      <c r="F52" t="s">
        <v>15635</v>
      </c>
      <c r="G52" t="b">
        <v>0</v>
      </c>
    </row>
    <row r="53" spans="1:7" x14ac:dyDescent="0.25">
      <c r="A53" t="s">
        <v>14436</v>
      </c>
      <c r="B53" s="34">
        <v>707.84799999999996</v>
      </c>
      <c r="C53" s="34">
        <v>58.987333333333297</v>
      </c>
      <c r="D53" t="s">
        <v>139</v>
      </c>
      <c r="E53" s="34">
        <v>3539.24</v>
      </c>
      <c r="F53" t="s">
        <v>16897</v>
      </c>
      <c r="G53" t="b">
        <v>0</v>
      </c>
    </row>
    <row r="54" spans="1:7" x14ac:dyDescent="0.25">
      <c r="A54" t="s">
        <v>13125</v>
      </c>
      <c r="B54" s="34">
        <v>666.78</v>
      </c>
      <c r="C54" s="34">
        <v>55.564999999999998</v>
      </c>
      <c r="D54" t="s">
        <v>409</v>
      </c>
      <c r="E54" s="34">
        <v>3333.9</v>
      </c>
      <c r="F54" t="s">
        <v>15600</v>
      </c>
      <c r="G54" t="b">
        <v>0</v>
      </c>
    </row>
    <row r="55" spans="1:7" x14ac:dyDescent="0.25">
      <c r="A55" t="s">
        <v>13743</v>
      </c>
      <c r="B55" s="34">
        <v>613.83219999999903</v>
      </c>
      <c r="C55" s="34">
        <v>51.1526833333333</v>
      </c>
      <c r="D55" t="s">
        <v>115</v>
      </c>
      <c r="E55" s="34">
        <v>3069.1609999999901</v>
      </c>
      <c r="F55" t="s">
        <v>16211</v>
      </c>
      <c r="G55" t="b">
        <v>0</v>
      </c>
    </row>
    <row r="56" spans="1:7" x14ac:dyDescent="0.25">
      <c r="A56" t="s">
        <v>12561</v>
      </c>
      <c r="B56" s="34">
        <v>610.05898000000002</v>
      </c>
      <c r="C56" s="34">
        <v>50.838248333333297</v>
      </c>
      <c r="D56" t="s">
        <v>215</v>
      </c>
      <c r="E56" s="34">
        <v>762.57372499999997</v>
      </c>
      <c r="F56" t="s">
        <v>15036</v>
      </c>
      <c r="G56" t="b">
        <v>0</v>
      </c>
    </row>
    <row r="57" spans="1:7" x14ac:dyDescent="0.25">
      <c r="A57" t="s">
        <v>12602</v>
      </c>
      <c r="B57" s="34">
        <v>514.94460000000004</v>
      </c>
      <c r="C57" s="34">
        <v>42.912050000000001</v>
      </c>
      <c r="D57" t="s">
        <v>385</v>
      </c>
      <c r="E57" s="34">
        <v>429.12049999999999</v>
      </c>
      <c r="F57" t="s">
        <v>15077</v>
      </c>
      <c r="G57" t="b">
        <v>0</v>
      </c>
    </row>
    <row r="58" spans="1:7" x14ac:dyDescent="0.25">
      <c r="A58" t="s">
        <v>13472</v>
      </c>
      <c r="B58" s="34">
        <v>509.57</v>
      </c>
      <c r="C58" s="34">
        <v>42.4641666666666</v>
      </c>
      <c r="D58" t="s">
        <v>409</v>
      </c>
      <c r="E58" s="34">
        <v>2547.85</v>
      </c>
      <c r="F58" t="s">
        <v>15941</v>
      </c>
      <c r="G58" t="b">
        <v>0</v>
      </c>
    </row>
    <row r="59" spans="1:7" x14ac:dyDescent="0.25">
      <c r="A59" t="s">
        <v>12896</v>
      </c>
      <c r="B59" s="34">
        <v>505.08240000000001</v>
      </c>
      <c r="C59" s="34">
        <v>42.090200000000003</v>
      </c>
      <c r="D59" t="s">
        <v>268</v>
      </c>
      <c r="E59" s="34">
        <v>631.35299999999995</v>
      </c>
      <c r="F59" t="s">
        <v>15371</v>
      </c>
      <c r="G59" t="b">
        <v>0</v>
      </c>
    </row>
    <row r="60" spans="1:7" x14ac:dyDescent="0.25">
      <c r="A60" t="s">
        <v>12574</v>
      </c>
      <c r="B60" s="34">
        <v>503.02332000000001</v>
      </c>
      <c r="C60" s="34">
        <v>41.918610000000001</v>
      </c>
      <c r="D60" t="s">
        <v>632</v>
      </c>
      <c r="E60" s="34">
        <v>1257.5582999999999</v>
      </c>
      <c r="F60" t="s">
        <v>15049</v>
      </c>
      <c r="G60" t="b">
        <v>0</v>
      </c>
    </row>
    <row r="61" spans="1:7" x14ac:dyDescent="0.25">
      <c r="A61" t="s">
        <v>13328</v>
      </c>
      <c r="B61" s="34">
        <v>497.866999999999</v>
      </c>
      <c r="C61" s="34">
        <v>41.488916666666597</v>
      </c>
      <c r="D61" t="s">
        <v>1611</v>
      </c>
      <c r="E61" s="34">
        <v>2489.335</v>
      </c>
      <c r="F61" t="s">
        <v>15798</v>
      </c>
      <c r="G61" t="b">
        <v>0</v>
      </c>
    </row>
    <row r="62" spans="1:7" x14ac:dyDescent="0.25">
      <c r="A62" t="s">
        <v>14052</v>
      </c>
      <c r="B62" s="34">
        <v>459.75400000000002</v>
      </c>
      <c r="C62" s="34">
        <v>38.312833333333302</v>
      </c>
      <c r="D62" t="s">
        <v>3198</v>
      </c>
      <c r="E62" s="34">
        <v>328.39571428571401</v>
      </c>
      <c r="F62" t="s">
        <v>16519</v>
      </c>
      <c r="G62" t="b">
        <v>0</v>
      </c>
    </row>
    <row r="63" spans="1:7" x14ac:dyDescent="0.25">
      <c r="A63" t="s">
        <v>13345</v>
      </c>
      <c r="B63" s="34">
        <v>410.116999999999</v>
      </c>
      <c r="C63" s="34">
        <v>34.176416666666597</v>
      </c>
      <c r="D63" t="s">
        <v>35</v>
      </c>
      <c r="E63" s="34">
        <v>2050.585</v>
      </c>
      <c r="F63" t="s">
        <v>15815</v>
      </c>
      <c r="G63" t="b">
        <v>0</v>
      </c>
    </row>
    <row r="64" spans="1:7" x14ac:dyDescent="0.25">
      <c r="A64" t="s">
        <v>12630</v>
      </c>
      <c r="B64" s="34">
        <v>392.23339999999899</v>
      </c>
      <c r="C64" s="34">
        <v>32.686116666666599</v>
      </c>
      <c r="D64" t="s">
        <v>35</v>
      </c>
      <c r="E64" s="34">
        <v>490.29174999999998</v>
      </c>
      <c r="F64" t="s">
        <v>15105</v>
      </c>
      <c r="G64" t="b">
        <v>0</v>
      </c>
    </row>
    <row r="65" spans="1:7" x14ac:dyDescent="0.25">
      <c r="A65" t="s">
        <v>13957</v>
      </c>
      <c r="B65" s="34">
        <v>385.28300000000002</v>
      </c>
      <c r="C65" s="34">
        <v>32.106916666666599</v>
      </c>
      <c r="D65" t="s">
        <v>2178</v>
      </c>
      <c r="E65" s="34">
        <v>963.20749999999998</v>
      </c>
      <c r="F65" t="s">
        <v>16424</v>
      </c>
      <c r="G65" t="b">
        <v>0</v>
      </c>
    </row>
    <row r="66" spans="1:7" x14ac:dyDescent="0.25">
      <c r="A66" t="s">
        <v>12610</v>
      </c>
      <c r="B66" s="34">
        <v>361.15199999999902</v>
      </c>
      <c r="C66" s="34">
        <v>30.095999999999901</v>
      </c>
      <c r="D66" t="s">
        <v>1240</v>
      </c>
      <c r="E66" s="34">
        <v>902.87999999999897</v>
      </c>
      <c r="F66" t="s">
        <v>15085</v>
      </c>
      <c r="G66" t="b">
        <v>0</v>
      </c>
    </row>
    <row r="67" spans="1:7" x14ac:dyDescent="0.25">
      <c r="A67" t="s">
        <v>12573</v>
      </c>
      <c r="B67" s="34">
        <v>311.77838333333301</v>
      </c>
      <c r="C67" s="34">
        <v>25.981531944444399</v>
      </c>
      <c r="D67" t="s">
        <v>162</v>
      </c>
      <c r="E67" s="34">
        <v>222.698845238095</v>
      </c>
      <c r="F67" t="s">
        <v>15048</v>
      </c>
      <c r="G67" t="b">
        <v>0</v>
      </c>
    </row>
    <row r="68" spans="1:7" x14ac:dyDescent="0.25">
      <c r="A68" t="s">
        <v>12557</v>
      </c>
      <c r="B68" s="34">
        <v>307.63</v>
      </c>
      <c r="C68" s="34">
        <v>25.635833333333299</v>
      </c>
      <c r="D68" t="s">
        <v>883</v>
      </c>
      <c r="E68" s="34">
        <v>769.07500000000005</v>
      </c>
      <c r="F68" t="s">
        <v>15032</v>
      </c>
      <c r="G68" t="b">
        <v>0</v>
      </c>
    </row>
    <row r="69" spans="1:7" x14ac:dyDescent="0.25">
      <c r="A69" t="s">
        <v>12616</v>
      </c>
      <c r="B69" s="34">
        <v>303.25599999999997</v>
      </c>
      <c r="C69" s="34">
        <v>25.271333333333299</v>
      </c>
      <c r="D69" t="s">
        <v>35</v>
      </c>
      <c r="E69" s="34">
        <v>758.14</v>
      </c>
      <c r="F69" t="s">
        <v>15091</v>
      </c>
      <c r="G69" t="b">
        <v>0</v>
      </c>
    </row>
    <row r="70" spans="1:7" x14ac:dyDescent="0.25">
      <c r="A70" t="s">
        <v>13580</v>
      </c>
      <c r="B70" s="34">
        <v>297.37700000000001</v>
      </c>
      <c r="C70" s="34">
        <v>24.781416666666601</v>
      </c>
      <c r="D70" t="s">
        <v>35</v>
      </c>
      <c r="E70" s="34">
        <v>495.62833333333299</v>
      </c>
      <c r="F70" t="s">
        <v>16049</v>
      </c>
      <c r="G70" t="b">
        <v>0</v>
      </c>
    </row>
    <row r="71" spans="1:7" x14ac:dyDescent="0.25">
      <c r="A71" t="s">
        <v>12951</v>
      </c>
      <c r="B71" s="34">
        <v>295.98</v>
      </c>
      <c r="C71" s="34">
        <v>24.664999999999999</v>
      </c>
      <c r="D71" t="s">
        <v>122</v>
      </c>
      <c r="E71" s="34">
        <v>1479.9</v>
      </c>
      <c r="F71" t="s">
        <v>15426</v>
      </c>
      <c r="G71" t="b">
        <v>0</v>
      </c>
    </row>
    <row r="72" spans="1:7" x14ac:dyDescent="0.25">
      <c r="A72" t="s">
        <v>12525</v>
      </c>
      <c r="B72" s="34">
        <v>268.22609999999997</v>
      </c>
      <c r="C72" s="34">
        <v>22.352174999999999</v>
      </c>
      <c r="D72" t="s">
        <v>781</v>
      </c>
      <c r="E72" s="34">
        <v>447.04349999999999</v>
      </c>
      <c r="F72" t="s">
        <v>15000</v>
      </c>
      <c r="G72" t="b">
        <v>0</v>
      </c>
    </row>
    <row r="73" spans="1:7" x14ac:dyDescent="0.25">
      <c r="A73" t="s">
        <v>13126</v>
      </c>
      <c r="B73" s="34">
        <v>265.48</v>
      </c>
      <c r="C73" s="34">
        <v>22.123333333333299</v>
      </c>
      <c r="D73" t="s">
        <v>385</v>
      </c>
      <c r="E73" s="34">
        <v>1327.4</v>
      </c>
      <c r="F73" t="s">
        <v>15601</v>
      </c>
      <c r="G73" t="b">
        <v>0</v>
      </c>
    </row>
    <row r="74" spans="1:7" x14ac:dyDescent="0.25">
      <c r="A74" t="s">
        <v>13148</v>
      </c>
      <c r="B74" s="34">
        <v>248.99420000000001</v>
      </c>
      <c r="C74" s="34">
        <v>20.749516666666601</v>
      </c>
      <c r="D74" t="s">
        <v>115</v>
      </c>
      <c r="E74" s="34">
        <v>1244.971</v>
      </c>
      <c r="F74" t="s">
        <v>15623</v>
      </c>
      <c r="G74" t="b">
        <v>0</v>
      </c>
    </row>
    <row r="75" spans="1:7" x14ac:dyDescent="0.25">
      <c r="A75" t="s">
        <v>14011</v>
      </c>
      <c r="B75" s="34">
        <v>229.602</v>
      </c>
      <c r="C75" s="34">
        <v>19.133500000000002</v>
      </c>
      <c r="D75" t="s">
        <v>72</v>
      </c>
      <c r="E75" s="34">
        <v>287.0025</v>
      </c>
      <c r="F75" t="s">
        <v>16478</v>
      </c>
      <c r="G75" t="b">
        <v>0</v>
      </c>
    </row>
    <row r="76" spans="1:7" x14ac:dyDescent="0.25">
      <c r="A76" t="s">
        <v>12594</v>
      </c>
      <c r="B76" s="34">
        <v>229.46619999999999</v>
      </c>
      <c r="C76" s="34">
        <v>19.1221833333333</v>
      </c>
      <c r="D76" t="s">
        <v>35</v>
      </c>
      <c r="E76" s="34">
        <v>1147.3309999999999</v>
      </c>
      <c r="F76" t="s">
        <v>15069</v>
      </c>
      <c r="G76" t="b">
        <v>0</v>
      </c>
    </row>
    <row r="77" spans="1:7" x14ac:dyDescent="0.25">
      <c r="A77" t="s">
        <v>12590</v>
      </c>
      <c r="B77" s="34">
        <v>224.449199999999</v>
      </c>
      <c r="C77" s="34">
        <v>18.7041</v>
      </c>
      <c r="D77" t="s">
        <v>35</v>
      </c>
      <c r="E77" s="34">
        <v>160.32085714285699</v>
      </c>
      <c r="F77" t="s">
        <v>15065</v>
      </c>
      <c r="G77" t="b">
        <v>0</v>
      </c>
    </row>
    <row r="78" spans="1:7" x14ac:dyDescent="0.25">
      <c r="A78" t="s">
        <v>12518</v>
      </c>
      <c r="B78" s="34">
        <v>219.30869999999999</v>
      </c>
      <c r="C78" s="34">
        <v>18.275724999999898</v>
      </c>
      <c r="D78" t="s">
        <v>2583</v>
      </c>
      <c r="E78" s="34">
        <v>182.757249999999</v>
      </c>
      <c r="F78" t="s">
        <v>14993</v>
      </c>
      <c r="G78" t="b">
        <v>0</v>
      </c>
    </row>
    <row r="79" spans="1:7" x14ac:dyDescent="0.25">
      <c r="A79" t="s">
        <v>12640</v>
      </c>
      <c r="B79" s="34">
        <v>214.37719999999999</v>
      </c>
      <c r="C79" s="34">
        <v>17.864766666666601</v>
      </c>
      <c r="D79" t="s">
        <v>35</v>
      </c>
      <c r="E79" s="34">
        <v>267.97149999999999</v>
      </c>
      <c r="F79" t="s">
        <v>15115</v>
      </c>
      <c r="G79" t="b">
        <v>0</v>
      </c>
    </row>
    <row r="80" spans="1:7" x14ac:dyDescent="0.25">
      <c r="A80" t="s">
        <v>13956</v>
      </c>
      <c r="B80" s="34">
        <v>214.27875999999901</v>
      </c>
      <c r="C80" s="34">
        <v>17.856563333333298</v>
      </c>
      <c r="D80" t="s">
        <v>3459</v>
      </c>
      <c r="E80" s="34">
        <v>133.92422500000001</v>
      </c>
      <c r="F80" t="s">
        <v>16423</v>
      </c>
      <c r="G80" t="b">
        <v>0</v>
      </c>
    </row>
    <row r="81" spans="1:7" x14ac:dyDescent="0.25">
      <c r="A81" t="s">
        <v>12875</v>
      </c>
      <c r="B81" s="34">
        <v>210.12200000000001</v>
      </c>
      <c r="C81" s="34">
        <v>17.510166666666599</v>
      </c>
      <c r="D81" t="s">
        <v>239</v>
      </c>
      <c r="E81" s="34">
        <v>1050.6099999999999</v>
      </c>
      <c r="F81" t="s">
        <v>15350</v>
      </c>
      <c r="G81" t="b">
        <v>0</v>
      </c>
    </row>
    <row r="82" spans="1:7" x14ac:dyDescent="0.25">
      <c r="A82" t="s">
        <v>13162</v>
      </c>
      <c r="B82" s="34">
        <v>209.1087</v>
      </c>
      <c r="C82" s="34">
        <v>17.425725</v>
      </c>
      <c r="D82" t="s">
        <v>115</v>
      </c>
      <c r="E82" s="34">
        <v>1045.5435</v>
      </c>
      <c r="F82" t="s">
        <v>15637</v>
      </c>
      <c r="G82" t="b">
        <v>0</v>
      </c>
    </row>
    <row r="83" spans="1:7" x14ac:dyDescent="0.25">
      <c r="A83" t="s">
        <v>13967</v>
      </c>
      <c r="B83" s="34">
        <v>198.8186</v>
      </c>
      <c r="C83" s="34">
        <v>16.568216666666601</v>
      </c>
      <c r="D83" t="s">
        <v>221</v>
      </c>
      <c r="E83" s="34">
        <v>994.09299999999996</v>
      </c>
      <c r="F83" t="s">
        <v>16434</v>
      </c>
      <c r="G83" t="b">
        <v>0</v>
      </c>
    </row>
    <row r="84" spans="1:7" x14ac:dyDescent="0.25">
      <c r="A84" t="s">
        <v>13339</v>
      </c>
      <c r="B84" s="34">
        <v>196.322</v>
      </c>
      <c r="C84" s="34">
        <v>16.360166666666601</v>
      </c>
      <c r="D84" t="s">
        <v>385</v>
      </c>
      <c r="E84" s="34">
        <v>981.61</v>
      </c>
      <c r="F84" t="s">
        <v>15809</v>
      </c>
      <c r="G84" t="b">
        <v>0</v>
      </c>
    </row>
    <row r="85" spans="1:7" x14ac:dyDescent="0.25">
      <c r="A85" t="s">
        <v>13596</v>
      </c>
      <c r="B85" s="34">
        <v>192.30199999999999</v>
      </c>
      <c r="C85" s="34">
        <v>16.0251666666666</v>
      </c>
      <c r="D85" t="s">
        <v>35</v>
      </c>
      <c r="E85" s="34">
        <v>961.51</v>
      </c>
      <c r="F85" t="s">
        <v>16065</v>
      </c>
      <c r="G85" t="b">
        <v>0</v>
      </c>
    </row>
    <row r="86" spans="1:7" x14ac:dyDescent="0.25">
      <c r="A86" t="s">
        <v>12774</v>
      </c>
      <c r="B86" s="34">
        <v>185.6626</v>
      </c>
      <c r="C86" s="34">
        <v>15.471883333333301</v>
      </c>
      <c r="D86" t="s">
        <v>471</v>
      </c>
      <c r="E86" s="34">
        <v>928.31299999999999</v>
      </c>
      <c r="F86" t="s">
        <v>15249</v>
      </c>
      <c r="G86" t="b">
        <v>0</v>
      </c>
    </row>
    <row r="87" spans="1:7" x14ac:dyDescent="0.25">
      <c r="A87" t="s">
        <v>12592</v>
      </c>
      <c r="B87" s="34">
        <v>178.650668</v>
      </c>
      <c r="C87" s="34">
        <v>14.8875556666666</v>
      </c>
      <c r="D87" t="s">
        <v>385</v>
      </c>
      <c r="E87" s="34">
        <v>99.250371111111093</v>
      </c>
      <c r="F87" t="s">
        <v>15067</v>
      </c>
      <c r="G87" t="b">
        <v>0</v>
      </c>
    </row>
    <row r="88" spans="1:7" x14ac:dyDescent="0.25">
      <c r="A88" t="s">
        <v>12588</v>
      </c>
      <c r="B88" s="34">
        <v>176.65099999999899</v>
      </c>
      <c r="C88" s="34">
        <v>14.7209166666666</v>
      </c>
      <c r="D88" t="s">
        <v>35</v>
      </c>
      <c r="E88" s="34">
        <v>110.406874999999</v>
      </c>
      <c r="F88" t="s">
        <v>15063</v>
      </c>
      <c r="G88" t="b">
        <v>0</v>
      </c>
    </row>
    <row r="89" spans="1:7" x14ac:dyDescent="0.25">
      <c r="A89" t="s">
        <v>13710</v>
      </c>
      <c r="B89" s="34">
        <v>175.23759999999999</v>
      </c>
      <c r="C89" s="34">
        <v>14.6031333333333</v>
      </c>
      <c r="D89" t="s">
        <v>928</v>
      </c>
      <c r="E89" s="34">
        <v>292.06266666666602</v>
      </c>
      <c r="F89" t="s">
        <v>16178</v>
      </c>
      <c r="G89" t="b">
        <v>0</v>
      </c>
    </row>
    <row r="90" spans="1:7" x14ac:dyDescent="0.25">
      <c r="A90" t="s">
        <v>14305</v>
      </c>
      <c r="B90" s="34">
        <v>171.83879999999999</v>
      </c>
      <c r="C90" s="34">
        <v>14.319900000000001</v>
      </c>
      <c r="D90" t="s">
        <v>35</v>
      </c>
      <c r="E90" s="34">
        <v>143.19900000000001</v>
      </c>
      <c r="F90" t="s">
        <v>16768</v>
      </c>
      <c r="G90" t="b">
        <v>0</v>
      </c>
    </row>
    <row r="91" spans="1:7" x14ac:dyDescent="0.25">
      <c r="A91" t="s">
        <v>13139</v>
      </c>
      <c r="B91" s="34">
        <v>165.84599999999901</v>
      </c>
      <c r="C91" s="34">
        <v>13.820499999999999</v>
      </c>
      <c r="D91" t="s">
        <v>168</v>
      </c>
      <c r="E91" s="34">
        <v>829.229999999999</v>
      </c>
      <c r="F91" t="s">
        <v>15614</v>
      </c>
      <c r="G91" t="b">
        <v>0</v>
      </c>
    </row>
    <row r="92" spans="1:7" x14ac:dyDescent="0.25">
      <c r="A92" t="s">
        <v>12838</v>
      </c>
      <c r="B92" s="34">
        <v>159.46530000000001</v>
      </c>
      <c r="C92" s="34">
        <v>13.288774999999999</v>
      </c>
      <c r="D92" t="s">
        <v>3176</v>
      </c>
      <c r="E92" s="34">
        <v>265.77550000000002</v>
      </c>
      <c r="F92" t="s">
        <v>15313</v>
      </c>
      <c r="G92" t="b">
        <v>0</v>
      </c>
    </row>
    <row r="93" spans="1:7" x14ac:dyDescent="0.25">
      <c r="A93" t="s">
        <v>12876</v>
      </c>
      <c r="B93" s="34">
        <v>159.09100000000001</v>
      </c>
      <c r="C93" s="34">
        <v>13.257583333333301</v>
      </c>
      <c r="D93" t="s">
        <v>239</v>
      </c>
      <c r="E93" s="34">
        <v>795.45500000000004</v>
      </c>
      <c r="F93" t="s">
        <v>15351</v>
      </c>
      <c r="G93" t="b">
        <v>0</v>
      </c>
    </row>
    <row r="94" spans="1:7" x14ac:dyDescent="0.25">
      <c r="A94" t="s">
        <v>12963</v>
      </c>
      <c r="B94" s="34">
        <v>158.67599999999999</v>
      </c>
      <c r="C94" s="34">
        <v>13.2229999999999</v>
      </c>
      <c r="D94" t="s">
        <v>2178</v>
      </c>
      <c r="E94" s="34">
        <v>793.37999999999897</v>
      </c>
      <c r="F94" t="s">
        <v>15438</v>
      </c>
      <c r="G94" t="b">
        <v>0</v>
      </c>
    </row>
    <row r="95" spans="1:7" x14ac:dyDescent="0.25">
      <c r="A95" t="s">
        <v>12657</v>
      </c>
      <c r="B95" s="34">
        <v>156.06879999999899</v>
      </c>
      <c r="C95" s="34">
        <v>13.0057333333333</v>
      </c>
      <c r="D95" t="s">
        <v>162</v>
      </c>
      <c r="E95" s="34">
        <v>130.05733333333299</v>
      </c>
      <c r="F95" t="s">
        <v>15132</v>
      </c>
      <c r="G95" t="b">
        <v>0</v>
      </c>
    </row>
    <row r="96" spans="1:7" x14ac:dyDescent="0.25">
      <c r="A96" t="s">
        <v>13094</v>
      </c>
      <c r="B96" s="34">
        <v>155.74199999999999</v>
      </c>
      <c r="C96" s="34">
        <v>12.9785</v>
      </c>
      <c r="D96" t="s">
        <v>35</v>
      </c>
      <c r="E96" s="34">
        <v>778.70999999999901</v>
      </c>
      <c r="F96" t="s">
        <v>15569</v>
      </c>
      <c r="G96" t="b">
        <v>0</v>
      </c>
    </row>
    <row r="97" spans="1:7" x14ac:dyDescent="0.25">
      <c r="A97" t="s">
        <v>13989</v>
      </c>
      <c r="B97" s="34">
        <v>147.91807939999899</v>
      </c>
      <c r="C97" s="34">
        <v>12.326506616666601</v>
      </c>
      <c r="D97" t="s">
        <v>461</v>
      </c>
      <c r="E97" s="34">
        <v>739.59039699999903</v>
      </c>
      <c r="F97" t="s">
        <v>16456</v>
      </c>
      <c r="G97" t="b">
        <v>0</v>
      </c>
    </row>
    <row r="98" spans="1:7" x14ac:dyDescent="0.25">
      <c r="A98" t="s">
        <v>12872</v>
      </c>
      <c r="B98" s="34">
        <v>143.81199999999899</v>
      </c>
      <c r="C98" s="34">
        <v>11.9843333333333</v>
      </c>
      <c r="D98" t="s">
        <v>253</v>
      </c>
      <c r="E98" s="34">
        <v>719.06</v>
      </c>
      <c r="F98" t="s">
        <v>15347</v>
      </c>
      <c r="G98" t="b">
        <v>0</v>
      </c>
    </row>
    <row r="99" spans="1:7" x14ac:dyDescent="0.25">
      <c r="A99" t="s">
        <v>13131</v>
      </c>
      <c r="B99" s="34">
        <v>139.66899999999899</v>
      </c>
      <c r="C99" s="34">
        <v>11.6390833333333</v>
      </c>
      <c r="D99" t="s">
        <v>13</v>
      </c>
      <c r="E99" s="34">
        <v>698.344999999999</v>
      </c>
      <c r="F99" t="s">
        <v>15606</v>
      </c>
      <c r="G99" t="b">
        <v>0</v>
      </c>
    </row>
    <row r="100" spans="1:7" x14ac:dyDescent="0.25">
      <c r="A100" t="s">
        <v>13168</v>
      </c>
      <c r="B100" s="34">
        <v>138.98939999999999</v>
      </c>
      <c r="C100" s="34">
        <v>11.58245</v>
      </c>
      <c r="D100" t="s">
        <v>35</v>
      </c>
      <c r="E100" s="34">
        <v>694.947</v>
      </c>
      <c r="F100" t="s">
        <v>15643</v>
      </c>
      <c r="G100" t="b">
        <v>0</v>
      </c>
    </row>
    <row r="101" spans="1:7" x14ac:dyDescent="0.25">
      <c r="A101" t="s">
        <v>13907</v>
      </c>
      <c r="B101" s="34">
        <v>136.73500000000001</v>
      </c>
      <c r="C101" s="34">
        <v>11.3945833333333</v>
      </c>
      <c r="D101" t="s">
        <v>35</v>
      </c>
      <c r="E101" s="34">
        <v>683.67499999999995</v>
      </c>
      <c r="F101" t="s">
        <v>16374</v>
      </c>
      <c r="G101" t="b">
        <v>0</v>
      </c>
    </row>
    <row r="102" spans="1:7" x14ac:dyDescent="0.25">
      <c r="A102" t="s">
        <v>14255</v>
      </c>
      <c r="B102" s="34">
        <v>130.82299999999901</v>
      </c>
      <c r="C102" s="34">
        <v>10.901916666666599</v>
      </c>
      <c r="D102" t="s">
        <v>385</v>
      </c>
      <c r="E102" s="34">
        <v>654.11499999999899</v>
      </c>
      <c r="F102" t="s">
        <v>16719</v>
      </c>
      <c r="G102" t="b">
        <v>0</v>
      </c>
    </row>
    <row r="103" spans="1:7" x14ac:dyDescent="0.25">
      <c r="A103" t="s">
        <v>12732</v>
      </c>
      <c r="B103" s="34">
        <v>130.1138</v>
      </c>
      <c r="C103" s="34">
        <v>10.8428166666666</v>
      </c>
      <c r="D103" t="s">
        <v>1611</v>
      </c>
      <c r="E103" s="34">
        <v>650.56899999999996</v>
      </c>
      <c r="F103" t="s">
        <v>15207</v>
      </c>
      <c r="G103" t="b">
        <v>0</v>
      </c>
    </row>
    <row r="104" spans="1:7" x14ac:dyDescent="0.25">
      <c r="A104" t="s">
        <v>12634</v>
      </c>
      <c r="B104" s="34">
        <v>126.649999999999</v>
      </c>
      <c r="C104" s="34">
        <v>10.5541666666666</v>
      </c>
      <c r="D104" t="s">
        <v>385</v>
      </c>
      <c r="E104" s="34">
        <v>211.083333333333</v>
      </c>
      <c r="F104" t="s">
        <v>15109</v>
      </c>
      <c r="G104" t="b">
        <v>0</v>
      </c>
    </row>
    <row r="105" spans="1:7" x14ac:dyDescent="0.25">
      <c r="A105" t="s">
        <v>13156</v>
      </c>
      <c r="B105" s="34">
        <v>126.262</v>
      </c>
      <c r="C105" s="34">
        <v>10.5218333333333</v>
      </c>
      <c r="D105" t="s">
        <v>209</v>
      </c>
      <c r="E105" s="34">
        <v>315.65499999999997</v>
      </c>
      <c r="F105" t="s">
        <v>15631</v>
      </c>
      <c r="G105" t="b">
        <v>0</v>
      </c>
    </row>
    <row r="106" spans="1:7" x14ac:dyDescent="0.25">
      <c r="A106" t="s">
        <v>12913</v>
      </c>
      <c r="B106" s="34">
        <v>122.4126</v>
      </c>
      <c r="C106" s="34">
        <v>10.20105</v>
      </c>
      <c r="D106" t="s">
        <v>512</v>
      </c>
      <c r="E106" s="34">
        <v>612.06299999999999</v>
      </c>
      <c r="F106" t="s">
        <v>15388</v>
      </c>
      <c r="G106" t="b">
        <v>0</v>
      </c>
    </row>
    <row r="107" spans="1:7" x14ac:dyDescent="0.25">
      <c r="A107" t="s">
        <v>13166</v>
      </c>
      <c r="B107" s="34">
        <v>118.91500000000001</v>
      </c>
      <c r="C107" s="34">
        <v>9.9095833333333303</v>
      </c>
      <c r="D107" t="s">
        <v>67</v>
      </c>
      <c r="E107" s="34">
        <v>594.57500000000005</v>
      </c>
      <c r="F107" t="s">
        <v>15641</v>
      </c>
      <c r="G107" t="b">
        <v>0</v>
      </c>
    </row>
    <row r="108" spans="1:7" x14ac:dyDescent="0.25">
      <c r="A108" t="s">
        <v>14110</v>
      </c>
      <c r="B108" s="34">
        <v>118.152999999999</v>
      </c>
      <c r="C108" s="34">
        <v>9.8460833333333309</v>
      </c>
      <c r="D108" t="s">
        <v>290</v>
      </c>
      <c r="E108" s="34">
        <v>147.69125</v>
      </c>
      <c r="F108" t="s">
        <v>16577</v>
      </c>
      <c r="G108" t="b">
        <v>0</v>
      </c>
    </row>
    <row r="109" spans="1:7" x14ac:dyDescent="0.25">
      <c r="A109" t="s">
        <v>13346</v>
      </c>
      <c r="B109" s="34">
        <v>115.5514</v>
      </c>
      <c r="C109" s="34">
        <v>9.6292833333333299</v>
      </c>
      <c r="D109" t="s">
        <v>35</v>
      </c>
      <c r="E109" s="34">
        <v>577.75699999999995</v>
      </c>
      <c r="F109" t="s">
        <v>15816</v>
      </c>
      <c r="G109" t="b">
        <v>0</v>
      </c>
    </row>
    <row r="110" spans="1:7" x14ac:dyDescent="0.25">
      <c r="A110" t="s">
        <v>13347</v>
      </c>
      <c r="B110" s="34">
        <v>113.8524</v>
      </c>
      <c r="C110" s="34">
        <v>9.4876999999999896</v>
      </c>
      <c r="D110" t="s">
        <v>35</v>
      </c>
      <c r="E110" s="34">
        <v>569.26199999999994</v>
      </c>
      <c r="F110" t="s">
        <v>15817</v>
      </c>
      <c r="G110" t="b">
        <v>0</v>
      </c>
    </row>
    <row r="111" spans="1:7" x14ac:dyDescent="0.25">
      <c r="A111" t="s">
        <v>12606</v>
      </c>
      <c r="B111" s="34">
        <v>112.8038</v>
      </c>
      <c r="C111" s="34">
        <v>9.4003166666666598</v>
      </c>
      <c r="D111" t="s">
        <v>35</v>
      </c>
      <c r="E111" s="34">
        <v>112.8038</v>
      </c>
      <c r="F111" t="s">
        <v>15081</v>
      </c>
      <c r="G111" t="b">
        <v>0</v>
      </c>
    </row>
    <row r="112" spans="1:7" x14ac:dyDescent="0.25">
      <c r="A112" t="s">
        <v>13177</v>
      </c>
      <c r="B112" s="34">
        <v>110.97750000000001</v>
      </c>
      <c r="C112" s="34">
        <v>9.2481249999999999</v>
      </c>
      <c r="D112" t="s">
        <v>168</v>
      </c>
      <c r="E112" s="34">
        <v>554.88750000000005</v>
      </c>
      <c r="F112" t="s">
        <v>15651</v>
      </c>
      <c r="G112" t="b">
        <v>0</v>
      </c>
    </row>
    <row r="113" spans="1:7" x14ac:dyDescent="0.25">
      <c r="A113" t="s">
        <v>12582</v>
      </c>
      <c r="B113" s="34">
        <v>106.426044607999</v>
      </c>
      <c r="C113" s="34">
        <v>8.8688370506666594</v>
      </c>
      <c r="D113" t="s">
        <v>84</v>
      </c>
      <c r="E113" s="34">
        <v>40.933094079999996</v>
      </c>
      <c r="F113" t="s">
        <v>15057</v>
      </c>
      <c r="G113" t="b">
        <v>0</v>
      </c>
    </row>
    <row r="114" spans="1:7" x14ac:dyDescent="0.25">
      <c r="A114" t="s">
        <v>13961</v>
      </c>
      <c r="B114" s="34">
        <v>105.508</v>
      </c>
      <c r="C114" s="34">
        <v>8.79233333333333</v>
      </c>
      <c r="D114" t="s">
        <v>548</v>
      </c>
      <c r="E114" s="34">
        <v>527.54</v>
      </c>
      <c r="F114" t="s">
        <v>16428</v>
      </c>
      <c r="G114" t="b">
        <v>0</v>
      </c>
    </row>
    <row r="115" spans="1:7" x14ac:dyDescent="0.25">
      <c r="A115" t="s">
        <v>12609</v>
      </c>
      <c r="B115" s="34">
        <v>105.22320000000001</v>
      </c>
      <c r="C115" s="34">
        <v>8.7685999999999993</v>
      </c>
      <c r="D115" t="s">
        <v>162</v>
      </c>
      <c r="E115" s="34">
        <v>131.529</v>
      </c>
      <c r="F115" t="s">
        <v>15084</v>
      </c>
      <c r="G115" t="b">
        <v>0</v>
      </c>
    </row>
    <row r="116" spans="1:7" x14ac:dyDescent="0.25">
      <c r="A116" t="s">
        <v>13457</v>
      </c>
      <c r="B116" s="34">
        <v>103.9391</v>
      </c>
      <c r="C116" s="34">
        <v>8.6615916666666593</v>
      </c>
      <c r="D116" t="s">
        <v>90</v>
      </c>
      <c r="E116" s="34">
        <v>519.69550000000004</v>
      </c>
      <c r="F116" t="s">
        <v>15926</v>
      </c>
      <c r="G116" t="b">
        <v>0</v>
      </c>
    </row>
    <row r="117" spans="1:7" x14ac:dyDescent="0.25">
      <c r="A117" t="s">
        <v>12644</v>
      </c>
      <c r="B117" s="34">
        <v>101.58795869999901</v>
      </c>
      <c r="C117" s="34">
        <v>8.4656632249999895</v>
      </c>
      <c r="D117" t="s">
        <v>162</v>
      </c>
      <c r="E117" s="34">
        <v>126.98494837499899</v>
      </c>
      <c r="F117" t="s">
        <v>15119</v>
      </c>
      <c r="G117" t="b">
        <v>0</v>
      </c>
    </row>
    <row r="118" spans="1:7" x14ac:dyDescent="0.25">
      <c r="A118" t="s">
        <v>12618</v>
      </c>
      <c r="B118" s="34">
        <v>100.99379999999999</v>
      </c>
      <c r="C118" s="34">
        <v>8.41615</v>
      </c>
      <c r="D118" t="s">
        <v>632</v>
      </c>
      <c r="E118" s="34">
        <v>504.96899999999999</v>
      </c>
      <c r="F118" t="s">
        <v>15093</v>
      </c>
      <c r="G118" t="b">
        <v>0</v>
      </c>
    </row>
    <row r="119" spans="1:7" x14ac:dyDescent="0.25">
      <c r="A119" t="s">
        <v>12735</v>
      </c>
      <c r="B119" s="34">
        <v>98.87</v>
      </c>
      <c r="C119" s="34">
        <v>8.2391666666666605</v>
      </c>
      <c r="D119" t="s">
        <v>26</v>
      </c>
      <c r="E119" s="34">
        <v>494.35</v>
      </c>
      <c r="F119" t="s">
        <v>15210</v>
      </c>
      <c r="G119" t="b">
        <v>0</v>
      </c>
    </row>
    <row r="120" spans="1:7" x14ac:dyDescent="0.25">
      <c r="A120" t="s">
        <v>13736</v>
      </c>
      <c r="B120" s="34">
        <v>98.1892</v>
      </c>
      <c r="C120" s="34">
        <v>8.1824333333333303</v>
      </c>
      <c r="D120" t="s">
        <v>35</v>
      </c>
      <c r="E120" s="34">
        <v>490.945999999999</v>
      </c>
      <c r="F120" t="s">
        <v>16204</v>
      </c>
      <c r="G120" t="b">
        <v>0</v>
      </c>
    </row>
    <row r="121" spans="1:7" x14ac:dyDescent="0.25">
      <c r="A121" t="s">
        <v>12587</v>
      </c>
      <c r="B121" s="34">
        <v>96.578934599999997</v>
      </c>
      <c r="C121" s="34">
        <v>8.0482445499999997</v>
      </c>
      <c r="D121" t="s">
        <v>35</v>
      </c>
      <c r="E121" s="34">
        <v>120.72366824999899</v>
      </c>
      <c r="F121" t="s">
        <v>15062</v>
      </c>
      <c r="G121" t="b">
        <v>0</v>
      </c>
    </row>
    <row r="122" spans="1:7" x14ac:dyDescent="0.25">
      <c r="A122" t="s">
        <v>12843</v>
      </c>
      <c r="B122" s="34">
        <v>95.099100000000007</v>
      </c>
      <c r="C122" s="34">
        <v>7.924925</v>
      </c>
      <c r="D122" t="s">
        <v>480</v>
      </c>
      <c r="E122" s="34">
        <v>475.49549999999999</v>
      </c>
      <c r="F122" t="s">
        <v>15318</v>
      </c>
      <c r="G122" t="b">
        <v>0</v>
      </c>
    </row>
    <row r="123" spans="1:7" x14ac:dyDescent="0.25">
      <c r="A123" t="s">
        <v>12560</v>
      </c>
      <c r="B123" s="34">
        <v>93.730459999999994</v>
      </c>
      <c r="C123" s="34">
        <v>7.8108716666666602</v>
      </c>
      <c r="D123" t="s">
        <v>35</v>
      </c>
      <c r="E123" s="34">
        <v>468.65230000000003</v>
      </c>
      <c r="F123" t="s">
        <v>15035</v>
      </c>
      <c r="G123" t="b">
        <v>0</v>
      </c>
    </row>
    <row r="124" spans="1:7" x14ac:dyDescent="0.25">
      <c r="A124" t="s">
        <v>13351</v>
      </c>
      <c r="B124" s="34">
        <v>92.986999999999995</v>
      </c>
      <c r="C124" s="34">
        <v>7.74891666666666</v>
      </c>
      <c r="D124" t="s">
        <v>35</v>
      </c>
      <c r="E124" s="34">
        <v>232.4675</v>
      </c>
      <c r="F124" t="s">
        <v>15821</v>
      </c>
      <c r="G124" t="b">
        <v>0</v>
      </c>
    </row>
    <row r="125" spans="1:7" x14ac:dyDescent="0.25">
      <c r="A125" t="s">
        <v>12858</v>
      </c>
      <c r="B125" s="34">
        <v>90.638999999999996</v>
      </c>
      <c r="C125" s="34">
        <v>7.5532500000000002</v>
      </c>
      <c r="D125" t="s">
        <v>2101</v>
      </c>
      <c r="E125" s="34">
        <v>453.19499999999999</v>
      </c>
      <c r="F125" t="s">
        <v>15333</v>
      </c>
      <c r="G125" t="b">
        <v>0</v>
      </c>
    </row>
    <row r="126" spans="1:7" x14ac:dyDescent="0.25">
      <c r="A126" t="s">
        <v>13692</v>
      </c>
      <c r="B126" s="34">
        <v>90.133399999999995</v>
      </c>
      <c r="C126" s="34">
        <v>7.51111666666666</v>
      </c>
      <c r="D126" t="s">
        <v>215</v>
      </c>
      <c r="E126" s="34">
        <v>450.66699999999997</v>
      </c>
      <c r="F126" t="s">
        <v>16160</v>
      </c>
      <c r="G126" t="b">
        <v>0</v>
      </c>
    </row>
    <row r="127" spans="1:7" x14ac:dyDescent="0.25">
      <c r="A127" t="s">
        <v>12615</v>
      </c>
      <c r="B127" s="34">
        <v>90.074399999999997</v>
      </c>
      <c r="C127" s="34">
        <v>7.50619999999999</v>
      </c>
      <c r="D127" t="s">
        <v>13</v>
      </c>
      <c r="E127" s="34">
        <v>64.338857142857094</v>
      </c>
      <c r="F127" t="s">
        <v>15090</v>
      </c>
      <c r="G127" t="b">
        <v>0</v>
      </c>
    </row>
    <row r="128" spans="1:7" x14ac:dyDescent="0.25">
      <c r="A128" t="s">
        <v>12617</v>
      </c>
      <c r="B128" s="34">
        <v>89.18441</v>
      </c>
      <c r="C128" s="34">
        <v>7.4320341666666598</v>
      </c>
      <c r="D128" t="s">
        <v>13</v>
      </c>
      <c r="E128" s="34">
        <v>74.320341666666593</v>
      </c>
      <c r="F128" t="s">
        <v>15092</v>
      </c>
      <c r="G128" t="b">
        <v>0</v>
      </c>
    </row>
    <row r="129" spans="1:7" x14ac:dyDescent="0.25">
      <c r="A129" t="s">
        <v>13435</v>
      </c>
      <c r="B129" s="34">
        <v>89.008600000000001</v>
      </c>
      <c r="C129" s="34">
        <v>7.4173833333333299</v>
      </c>
      <c r="D129" t="s">
        <v>480</v>
      </c>
      <c r="E129" s="34">
        <v>445.04300000000001</v>
      </c>
      <c r="F129" t="s">
        <v>15904</v>
      </c>
      <c r="G129" t="b">
        <v>0</v>
      </c>
    </row>
    <row r="130" spans="1:7" x14ac:dyDescent="0.25">
      <c r="A130" t="s">
        <v>13975</v>
      </c>
      <c r="B130" s="34">
        <v>88.342199999999906</v>
      </c>
      <c r="C130" s="34">
        <v>7.3618499999999996</v>
      </c>
      <c r="D130" t="s">
        <v>853</v>
      </c>
      <c r="E130" s="34">
        <v>88.342199999999906</v>
      </c>
      <c r="F130" t="s">
        <v>16442</v>
      </c>
      <c r="G130" t="b">
        <v>0</v>
      </c>
    </row>
    <row r="131" spans="1:7" x14ac:dyDescent="0.25">
      <c r="A131" t="s">
        <v>14029</v>
      </c>
      <c r="B131" s="34">
        <v>85.452399999999997</v>
      </c>
      <c r="C131" s="34">
        <v>7.1210333333333304</v>
      </c>
      <c r="D131" t="s">
        <v>471</v>
      </c>
      <c r="E131" s="34">
        <v>213.631</v>
      </c>
      <c r="F131" t="s">
        <v>16496</v>
      </c>
      <c r="G131" t="b">
        <v>0</v>
      </c>
    </row>
    <row r="132" spans="1:7" x14ac:dyDescent="0.25">
      <c r="A132" t="s">
        <v>14198</v>
      </c>
      <c r="B132" s="34">
        <v>84.96</v>
      </c>
      <c r="C132" s="34">
        <v>7.08</v>
      </c>
      <c r="D132" t="s">
        <v>35</v>
      </c>
      <c r="E132" s="34">
        <v>424.8</v>
      </c>
      <c r="F132" t="s">
        <v>16662</v>
      </c>
      <c r="G132" t="b">
        <v>0</v>
      </c>
    </row>
    <row r="133" spans="1:7" x14ac:dyDescent="0.25">
      <c r="A133" t="s">
        <v>13999</v>
      </c>
      <c r="B133" s="34">
        <v>82.716799999999907</v>
      </c>
      <c r="C133" s="34">
        <v>6.8930666666666598</v>
      </c>
      <c r="D133" t="s">
        <v>97</v>
      </c>
      <c r="E133" s="34">
        <v>206.792</v>
      </c>
      <c r="F133" t="s">
        <v>16466</v>
      </c>
      <c r="G133" t="b">
        <v>0</v>
      </c>
    </row>
    <row r="134" spans="1:7" x14ac:dyDescent="0.25">
      <c r="A134" t="s">
        <v>13376</v>
      </c>
      <c r="B134" s="34">
        <v>82.355399999999904</v>
      </c>
      <c r="C134" s="34">
        <v>6.8629499999999899</v>
      </c>
      <c r="D134" t="s">
        <v>35</v>
      </c>
      <c r="E134" s="34">
        <v>411.77699999999902</v>
      </c>
      <c r="F134" t="s">
        <v>15846</v>
      </c>
      <c r="G134" t="b">
        <v>0</v>
      </c>
    </row>
    <row r="135" spans="1:7" x14ac:dyDescent="0.25">
      <c r="A135" t="s">
        <v>13251</v>
      </c>
      <c r="B135" s="34">
        <v>82.186399999999907</v>
      </c>
      <c r="C135" s="34">
        <v>6.8488666666666598</v>
      </c>
      <c r="D135" t="s">
        <v>645</v>
      </c>
      <c r="E135" s="34">
        <v>410.93200000000002</v>
      </c>
      <c r="F135" t="s">
        <v>15724</v>
      </c>
      <c r="G135" t="b">
        <v>0</v>
      </c>
    </row>
    <row r="136" spans="1:7" x14ac:dyDescent="0.25">
      <c r="A136" t="s">
        <v>14072</v>
      </c>
      <c r="B136" s="34">
        <v>82.086200000000005</v>
      </c>
      <c r="C136" s="34">
        <v>6.8405166666666597</v>
      </c>
      <c r="D136" t="s">
        <v>471</v>
      </c>
      <c r="E136" s="34">
        <v>410.43099999999998</v>
      </c>
      <c r="F136" t="s">
        <v>16539</v>
      </c>
      <c r="G136" t="b">
        <v>0</v>
      </c>
    </row>
    <row r="137" spans="1:7" x14ac:dyDescent="0.25">
      <c r="A137" t="s">
        <v>13684</v>
      </c>
      <c r="B137" s="34">
        <v>81.438000000000002</v>
      </c>
      <c r="C137" s="34">
        <v>6.7865000000000002</v>
      </c>
      <c r="D137" t="s">
        <v>512</v>
      </c>
      <c r="E137" s="34">
        <v>407.19</v>
      </c>
      <c r="F137" t="s">
        <v>16152</v>
      </c>
      <c r="G137" t="b">
        <v>0</v>
      </c>
    </row>
    <row r="138" spans="1:7" x14ac:dyDescent="0.25">
      <c r="A138" t="s">
        <v>13315</v>
      </c>
      <c r="B138" s="34">
        <v>81.400899999999993</v>
      </c>
      <c r="C138" s="34">
        <v>6.7834083333333304</v>
      </c>
      <c r="D138" t="s">
        <v>253</v>
      </c>
      <c r="E138" s="34">
        <v>407.00450000000001</v>
      </c>
      <c r="F138" t="s">
        <v>15785</v>
      </c>
      <c r="G138" t="b">
        <v>0</v>
      </c>
    </row>
    <row r="139" spans="1:7" x14ac:dyDescent="0.25">
      <c r="A139" t="s">
        <v>12549</v>
      </c>
      <c r="B139" s="34">
        <v>80.744100399999894</v>
      </c>
      <c r="C139" s="34">
        <v>6.7286750333333298</v>
      </c>
      <c r="D139" t="s">
        <v>853</v>
      </c>
      <c r="E139" s="34">
        <v>80.744100399999994</v>
      </c>
      <c r="F139" t="s">
        <v>15024</v>
      </c>
      <c r="G139" t="b">
        <v>0</v>
      </c>
    </row>
    <row r="140" spans="1:7" x14ac:dyDescent="0.25">
      <c r="A140" t="s">
        <v>12613</v>
      </c>
      <c r="B140" s="34">
        <v>80.602850000000004</v>
      </c>
      <c r="C140" s="34">
        <v>6.7169041666666596</v>
      </c>
      <c r="D140" t="s">
        <v>35</v>
      </c>
      <c r="E140" s="34">
        <v>134.338083333333</v>
      </c>
      <c r="F140" t="s">
        <v>15088</v>
      </c>
      <c r="G140" t="b">
        <v>0</v>
      </c>
    </row>
    <row r="141" spans="1:7" x14ac:dyDescent="0.25">
      <c r="A141" t="s">
        <v>13154</v>
      </c>
      <c r="B141" s="34">
        <v>80.486999999999995</v>
      </c>
      <c r="C141" s="34">
        <v>6.7072500000000002</v>
      </c>
      <c r="D141" t="s">
        <v>385</v>
      </c>
      <c r="E141" s="34">
        <v>402.435</v>
      </c>
      <c r="F141" t="s">
        <v>15629</v>
      </c>
      <c r="G141" t="b">
        <v>0</v>
      </c>
    </row>
    <row r="142" spans="1:7" x14ac:dyDescent="0.25">
      <c r="A142" t="s">
        <v>13837</v>
      </c>
      <c r="B142" s="34">
        <v>80.312799999999996</v>
      </c>
      <c r="C142" s="34">
        <v>6.6927333333333303</v>
      </c>
      <c r="D142" t="s">
        <v>480</v>
      </c>
      <c r="E142" s="34">
        <v>401.56400000000002</v>
      </c>
      <c r="F142" t="s">
        <v>16304</v>
      </c>
      <c r="G142" t="b">
        <v>0</v>
      </c>
    </row>
    <row r="143" spans="1:7" x14ac:dyDescent="0.25">
      <c r="A143" t="s">
        <v>12663</v>
      </c>
      <c r="B143" s="34">
        <v>79.949700000000007</v>
      </c>
      <c r="C143" s="34">
        <v>6.6624749999999997</v>
      </c>
      <c r="D143" t="s">
        <v>692</v>
      </c>
      <c r="E143" s="34">
        <v>99.937124999999995</v>
      </c>
      <c r="F143" t="s">
        <v>15138</v>
      </c>
      <c r="G143" t="b">
        <v>0</v>
      </c>
    </row>
    <row r="144" spans="1:7" x14ac:dyDescent="0.25">
      <c r="A144" t="s">
        <v>14077</v>
      </c>
      <c r="B144" s="34">
        <v>79.619</v>
      </c>
      <c r="C144" s="34">
        <v>6.6349166666666601</v>
      </c>
      <c r="D144" t="s">
        <v>4135</v>
      </c>
      <c r="E144" s="34">
        <v>132.69833333333301</v>
      </c>
      <c r="F144" t="s">
        <v>16544</v>
      </c>
      <c r="G144" t="b">
        <v>0</v>
      </c>
    </row>
    <row r="145" spans="1:7" x14ac:dyDescent="0.25">
      <c r="A145" t="s">
        <v>12562</v>
      </c>
      <c r="B145" s="34">
        <v>79.426599999999993</v>
      </c>
      <c r="C145" s="34">
        <v>6.6188833333333301</v>
      </c>
      <c r="D145" t="s">
        <v>35</v>
      </c>
      <c r="E145" s="34">
        <v>99.283249999999896</v>
      </c>
      <c r="F145" t="s">
        <v>15037</v>
      </c>
      <c r="G145" t="b">
        <v>0</v>
      </c>
    </row>
    <row r="146" spans="1:7" x14ac:dyDescent="0.25">
      <c r="A146" t="s">
        <v>13714</v>
      </c>
      <c r="B146" s="34">
        <v>79.045999999999907</v>
      </c>
      <c r="C146" s="34">
        <v>6.5871666666666604</v>
      </c>
      <c r="D146" t="s">
        <v>2178</v>
      </c>
      <c r="E146" s="34">
        <v>395.23</v>
      </c>
      <c r="F146" t="s">
        <v>16182</v>
      </c>
      <c r="G146" t="b">
        <v>0</v>
      </c>
    </row>
    <row r="147" spans="1:7" x14ac:dyDescent="0.25">
      <c r="A147" t="s">
        <v>12607</v>
      </c>
      <c r="B147" s="34">
        <v>77.400000000000006</v>
      </c>
      <c r="C147" s="34">
        <v>6.45</v>
      </c>
      <c r="D147" t="s">
        <v>290</v>
      </c>
      <c r="E147" s="34">
        <v>193.5</v>
      </c>
      <c r="F147" t="s">
        <v>15082</v>
      </c>
      <c r="G147" t="b">
        <v>0</v>
      </c>
    </row>
    <row r="148" spans="1:7" x14ac:dyDescent="0.25">
      <c r="A148" t="s">
        <v>14792</v>
      </c>
      <c r="B148" s="34">
        <v>77.301571079999903</v>
      </c>
      <c r="C148" s="34">
        <v>6.4417975899999904</v>
      </c>
      <c r="D148" t="s">
        <v>2178</v>
      </c>
      <c r="E148" s="34">
        <v>32.208987950000001</v>
      </c>
      <c r="F148" t="s">
        <v>17238</v>
      </c>
      <c r="G148" t="b">
        <v>0</v>
      </c>
    </row>
    <row r="149" spans="1:7" x14ac:dyDescent="0.25">
      <c r="A149" t="s">
        <v>12661</v>
      </c>
      <c r="B149" s="34">
        <v>77.012799999999999</v>
      </c>
      <c r="C149" s="34">
        <v>6.41773333333333</v>
      </c>
      <c r="D149" t="s">
        <v>139</v>
      </c>
      <c r="E149" s="34">
        <v>192.53199999999899</v>
      </c>
      <c r="F149" t="s">
        <v>15136</v>
      </c>
      <c r="G149" t="b">
        <v>0</v>
      </c>
    </row>
    <row r="150" spans="1:7" x14ac:dyDescent="0.25">
      <c r="A150" t="s">
        <v>13138</v>
      </c>
      <c r="B150" s="34">
        <v>76.176360200000005</v>
      </c>
      <c r="C150" s="34">
        <v>6.3480300166666597</v>
      </c>
      <c r="D150" t="s">
        <v>1861</v>
      </c>
      <c r="E150" s="34">
        <v>380.881801</v>
      </c>
      <c r="F150" t="s">
        <v>15613</v>
      </c>
      <c r="G150" t="b">
        <v>0</v>
      </c>
    </row>
    <row r="151" spans="1:7" x14ac:dyDescent="0.25">
      <c r="A151" t="s">
        <v>13259</v>
      </c>
      <c r="B151" s="34">
        <v>75.027099999999905</v>
      </c>
      <c r="C151" s="34">
        <v>6.2522583333333301</v>
      </c>
      <c r="D151" t="s">
        <v>90</v>
      </c>
      <c r="E151" s="34">
        <v>375.13549999999998</v>
      </c>
      <c r="F151" t="s">
        <v>15732</v>
      </c>
      <c r="G151" t="b">
        <v>0</v>
      </c>
    </row>
    <row r="152" spans="1:7" x14ac:dyDescent="0.25">
      <c r="A152" t="s">
        <v>13165</v>
      </c>
      <c r="B152" s="34">
        <v>74.486799999999903</v>
      </c>
      <c r="C152" s="34">
        <v>6.2072333333333303</v>
      </c>
      <c r="D152" t="s">
        <v>67</v>
      </c>
      <c r="E152" s="34">
        <v>372.433999999999</v>
      </c>
      <c r="F152" t="s">
        <v>15640</v>
      </c>
      <c r="G152" t="b">
        <v>0</v>
      </c>
    </row>
    <row r="153" spans="1:7" x14ac:dyDescent="0.25">
      <c r="A153" t="s">
        <v>12575</v>
      </c>
      <c r="B153" s="34">
        <v>73.521799999999999</v>
      </c>
      <c r="C153" s="34">
        <v>6.1268166666666604</v>
      </c>
      <c r="D153" t="s">
        <v>35</v>
      </c>
      <c r="E153" s="34">
        <v>91.902249999999995</v>
      </c>
      <c r="F153" t="s">
        <v>15050</v>
      </c>
      <c r="G153" t="b">
        <v>0</v>
      </c>
    </row>
    <row r="154" spans="1:7" x14ac:dyDescent="0.25">
      <c r="A154" t="s">
        <v>12755</v>
      </c>
      <c r="B154" s="34">
        <v>71.622510500000004</v>
      </c>
      <c r="C154" s="34">
        <v>5.9685425416666602</v>
      </c>
      <c r="D154" t="s">
        <v>35</v>
      </c>
      <c r="E154" s="34">
        <v>358.11255249999999</v>
      </c>
      <c r="F154" t="s">
        <v>15230</v>
      </c>
      <c r="G154" t="b">
        <v>0</v>
      </c>
    </row>
    <row r="155" spans="1:7" x14ac:dyDescent="0.25">
      <c r="A155" t="s">
        <v>13583</v>
      </c>
      <c r="B155" s="34">
        <v>68.919300000000007</v>
      </c>
      <c r="C155" s="34">
        <v>5.7432749999999997</v>
      </c>
      <c r="D155" t="s">
        <v>873</v>
      </c>
      <c r="E155" s="34">
        <v>344.59649999999999</v>
      </c>
      <c r="F155" t="s">
        <v>16052</v>
      </c>
      <c r="G155" t="b">
        <v>0</v>
      </c>
    </row>
    <row r="156" spans="1:7" x14ac:dyDescent="0.25">
      <c r="A156" t="s">
        <v>12926</v>
      </c>
      <c r="B156" s="34">
        <v>67.257800000000003</v>
      </c>
      <c r="C156" s="34">
        <v>5.6048166666666601</v>
      </c>
      <c r="D156" t="s">
        <v>537</v>
      </c>
      <c r="E156" s="34">
        <v>336.28899999999999</v>
      </c>
      <c r="F156" t="s">
        <v>15401</v>
      </c>
      <c r="G156" t="b">
        <v>0</v>
      </c>
    </row>
    <row r="157" spans="1:7" x14ac:dyDescent="0.25">
      <c r="A157" t="s">
        <v>12577</v>
      </c>
      <c r="B157" s="34">
        <v>67.159299999999902</v>
      </c>
      <c r="C157" s="34">
        <v>5.5966083333333296</v>
      </c>
      <c r="D157" t="s">
        <v>385</v>
      </c>
      <c r="E157" s="34">
        <v>47.970928571428502</v>
      </c>
      <c r="F157" t="s">
        <v>15052</v>
      </c>
      <c r="G157" t="b">
        <v>0</v>
      </c>
    </row>
    <row r="158" spans="1:7" x14ac:dyDescent="0.25">
      <c r="A158" t="s">
        <v>12857</v>
      </c>
      <c r="B158" s="34">
        <v>67.049109999999999</v>
      </c>
      <c r="C158" s="34">
        <v>5.58742583333333</v>
      </c>
      <c r="D158" t="s">
        <v>1013</v>
      </c>
      <c r="E158" s="34">
        <v>335.24554999999998</v>
      </c>
      <c r="F158" t="s">
        <v>15332</v>
      </c>
      <c r="G158" t="b">
        <v>0</v>
      </c>
    </row>
    <row r="159" spans="1:7" x14ac:dyDescent="0.25">
      <c r="A159" t="s">
        <v>12556</v>
      </c>
      <c r="B159" s="34">
        <v>66.747599999999906</v>
      </c>
      <c r="C159" s="34">
        <v>5.5622999999999996</v>
      </c>
      <c r="D159" t="s">
        <v>35</v>
      </c>
      <c r="E159" s="34">
        <v>47.676857142857102</v>
      </c>
      <c r="F159" t="s">
        <v>15031</v>
      </c>
      <c r="G159" t="b">
        <v>0</v>
      </c>
    </row>
    <row r="160" spans="1:7" x14ac:dyDescent="0.25">
      <c r="A160" t="s">
        <v>13309</v>
      </c>
      <c r="B160" s="34">
        <v>66.385400000000004</v>
      </c>
      <c r="C160" s="34">
        <v>5.5321166666666599</v>
      </c>
      <c r="D160" t="s">
        <v>35</v>
      </c>
      <c r="E160" s="34">
        <v>165.96349999999899</v>
      </c>
      <c r="F160" t="s">
        <v>15779</v>
      </c>
      <c r="G160" t="b">
        <v>0</v>
      </c>
    </row>
    <row r="161" spans="1:7" x14ac:dyDescent="0.25">
      <c r="A161" t="s">
        <v>12722</v>
      </c>
      <c r="B161" s="34">
        <v>64.392399999999995</v>
      </c>
      <c r="C161" s="34">
        <v>5.3660333333333297</v>
      </c>
      <c r="D161" t="s">
        <v>781</v>
      </c>
      <c r="E161" s="34">
        <v>321.96199999999999</v>
      </c>
      <c r="F161" t="s">
        <v>15197</v>
      </c>
      <c r="G161" t="b">
        <v>0</v>
      </c>
    </row>
    <row r="162" spans="1:7" x14ac:dyDescent="0.25">
      <c r="A162" t="s">
        <v>13145</v>
      </c>
      <c r="B162" s="34">
        <v>64.128479999999996</v>
      </c>
      <c r="C162" s="34">
        <v>5.3440399999999899</v>
      </c>
      <c r="D162" t="s">
        <v>215</v>
      </c>
      <c r="E162" s="34">
        <v>320.64239999999899</v>
      </c>
      <c r="F162" t="s">
        <v>15620</v>
      </c>
      <c r="G162" t="b">
        <v>0</v>
      </c>
    </row>
    <row r="163" spans="1:7" x14ac:dyDescent="0.25">
      <c r="A163" t="s">
        <v>13428</v>
      </c>
      <c r="B163" s="34">
        <v>63.811399999999999</v>
      </c>
      <c r="C163" s="34">
        <v>5.3176166666666598</v>
      </c>
      <c r="D163" t="s">
        <v>35</v>
      </c>
      <c r="E163" s="34">
        <v>319.05700000000002</v>
      </c>
      <c r="F163" t="s">
        <v>15898</v>
      </c>
      <c r="G163" t="b">
        <v>0</v>
      </c>
    </row>
    <row r="164" spans="1:7" x14ac:dyDescent="0.25">
      <c r="A164" t="s">
        <v>13163</v>
      </c>
      <c r="B164" s="34">
        <v>62.366199999999999</v>
      </c>
      <c r="C164" s="34">
        <v>5.1971833333333297</v>
      </c>
      <c r="D164" t="s">
        <v>90</v>
      </c>
      <c r="E164" s="34">
        <v>311.83099999999899</v>
      </c>
      <c r="F164" t="s">
        <v>15638</v>
      </c>
      <c r="G164" t="b">
        <v>0</v>
      </c>
    </row>
    <row r="165" spans="1:7" x14ac:dyDescent="0.25">
      <c r="A165" t="s">
        <v>12898</v>
      </c>
      <c r="B165" s="34">
        <v>61.95</v>
      </c>
      <c r="C165" s="34">
        <v>5.1624999999999996</v>
      </c>
      <c r="D165" t="s">
        <v>1240</v>
      </c>
      <c r="E165" s="34">
        <v>309.75</v>
      </c>
      <c r="F165" t="s">
        <v>15373</v>
      </c>
      <c r="G165" t="b">
        <v>0</v>
      </c>
    </row>
    <row r="166" spans="1:7" x14ac:dyDescent="0.25">
      <c r="A166" t="s">
        <v>13133</v>
      </c>
      <c r="B166" s="34">
        <v>61.856999999999999</v>
      </c>
      <c r="C166" s="34">
        <v>5.1547499999999999</v>
      </c>
      <c r="D166" t="s">
        <v>13</v>
      </c>
      <c r="E166" s="34">
        <v>309.28500000000003</v>
      </c>
      <c r="F166" t="s">
        <v>15608</v>
      </c>
      <c r="G166" t="b">
        <v>0</v>
      </c>
    </row>
    <row r="167" spans="1:7" x14ac:dyDescent="0.25">
      <c r="A167" t="s">
        <v>12696</v>
      </c>
      <c r="B167" s="34">
        <v>61.7742</v>
      </c>
      <c r="C167" s="34">
        <v>5.14785</v>
      </c>
      <c r="D167" t="s">
        <v>168</v>
      </c>
      <c r="E167" s="34">
        <v>308.87099999999998</v>
      </c>
      <c r="F167" t="s">
        <v>15171</v>
      </c>
      <c r="G167" t="b">
        <v>0</v>
      </c>
    </row>
    <row r="168" spans="1:7" x14ac:dyDescent="0.25">
      <c r="A168" t="s">
        <v>12580</v>
      </c>
      <c r="B168" s="34">
        <v>61.601999399999997</v>
      </c>
      <c r="C168" s="34">
        <v>5.13349995</v>
      </c>
      <c r="D168" t="s">
        <v>385</v>
      </c>
      <c r="E168" s="34">
        <v>28.000908818181799</v>
      </c>
      <c r="F168" t="s">
        <v>15055</v>
      </c>
      <c r="G168" t="b">
        <v>0</v>
      </c>
    </row>
    <row r="169" spans="1:7" x14ac:dyDescent="0.25">
      <c r="A169" t="s">
        <v>12581</v>
      </c>
      <c r="B169" s="34">
        <v>60.984900000000003</v>
      </c>
      <c r="C169" s="34">
        <v>5.0820749999999997</v>
      </c>
      <c r="D169" t="s">
        <v>13</v>
      </c>
      <c r="E169" s="34">
        <v>304.92450000000002</v>
      </c>
      <c r="F169" t="s">
        <v>15056</v>
      </c>
      <c r="G169" t="b">
        <v>0</v>
      </c>
    </row>
    <row r="170" spans="1:7" x14ac:dyDescent="0.25">
      <c r="A170" t="s">
        <v>13137</v>
      </c>
      <c r="B170" s="34">
        <v>60.450600000000001</v>
      </c>
      <c r="C170" s="34">
        <v>5.0375500000000004</v>
      </c>
      <c r="D170" t="s">
        <v>2768</v>
      </c>
      <c r="E170" s="34">
        <v>302.25299999999999</v>
      </c>
      <c r="F170" t="s">
        <v>15612</v>
      </c>
      <c r="G170" t="b">
        <v>0</v>
      </c>
    </row>
    <row r="171" spans="1:7" x14ac:dyDescent="0.25">
      <c r="A171" t="s">
        <v>13149</v>
      </c>
      <c r="B171" s="34">
        <v>60.101799999999997</v>
      </c>
      <c r="C171" s="34">
        <v>5.0084833333333298</v>
      </c>
      <c r="D171" t="s">
        <v>480</v>
      </c>
      <c r="E171" s="34">
        <v>300.50900000000001</v>
      </c>
      <c r="F171" t="s">
        <v>15624</v>
      </c>
      <c r="G171" t="b">
        <v>0</v>
      </c>
    </row>
    <row r="172" spans="1:7" x14ac:dyDescent="0.25">
      <c r="A172" t="s">
        <v>12837</v>
      </c>
      <c r="B172" s="34">
        <v>60.047899999999998</v>
      </c>
      <c r="C172" s="34">
        <v>5.0039916666666597</v>
      </c>
      <c r="D172" t="s">
        <v>215</v>
      </c>
      <c r="E172" s="34">
        <v>300.23950000000002</v>
      </c>
      <c r="F172" t="s">
        <v>15312</v>
      </c>
      <c r="G172" t="b">
        <v>0</v>
      </c>
    </row>
    <row r="173" spans="1:7" x14ac:dyDescent="0.25">
      <c r="A173" t="s">
        <v>13096</v>
      </c>
      <c r="B173" s="34">
        <v>57.393599999999999</v>
      </c>
      <c r="C173" s="34">
        <v>4.7827999999999999</v>
      </c>
      <c r="D173" t="s">
        <v>35</v>
      </c>
      <c r="E173" s="34">
        <v>286.96800000000002</v>
      </c>
      <c r="F173" t="s">
        <v>15571</v>
      </c>
      <c r="G173" t="b">
        <v>0</v>
      </c>
    </row>
    <row r="174" spans="1:7" x14ac:dyDescent="0.25">
      <c r="A174" t="s">
        <v>12761</v>
      </c>
      <c r="B174" s="34">
        <v>56.822499999999998</v>
      </c>
      <c r="C174" s="34">
        <v>4.7352083333333299</v>
      </c>
      <c r="D174" t="s">
        <v>1861</v>
      </c>
      <c r="E174" s="34">
        <v>284.11250000000001</v>
      </c>
      <c r="F174" t="s">
        <v>15236</v>
      </c>
      <c r="G174" t="b">
        <v>0</v>
      </c>
    </row>
    <row r="175" spans="1:7" x14ac:dyDescent="0.25">
      <c r="A175" t="s">
        <v>12578</v>
      </c>
      <c r="B175" s="34">
        <v>56.648999999999901</v>
      </c>
      <c r="C175" s="34">
        <v>4.7207499999999998</v>
      </c>
      <c r="D175" t="s">
        <v>385</v>
      </c>
      <c r="E175" s="34">
        <v>283.245</v>
      </c>
      <c r="F175" t="s">
        <v>15053</v>
      </c>
      <c r="G175" t="b">
        <v>0</v>
      </c>
    </row>
    <row r="176" spans="1:7" x14ac:dyDescent="0.25">
      <c r="A176" t="s">
        <v>13164</v>
      </c>
      <c r="B176" s="34">
        <v>56.277000000000001</v>
      </c>
      <c r="C176" s="34">
        <v>4.6897500000000001</v>
      </c>
      <c r="D176" t="s">
        <v>753</v>
      </c>
      <c r="E176" s="34">
        <v>281.38499999999999</v>
      </c>
      <c r="F176" t="s">
        <v>15639</v>
      </c>
      <c r="G176" t="b">
        <v>0</v>
      </c>
    </row>
    <row r="177" spans="1:7" x14ac:dyDescent="0.25">
      <c r="A177" t="s">
        <v>12568</v>
      </c>
      <c r="B177" s="34">
        <v>56.196865000000003</v>
      </c>
      <c r="C177" s="34">
        <v>4.6830720833333297</v>
      </c>
      <c r="D177" t="s">
        <v>35</v>
      </c>
      <c r="E177" s="34">
        <v>140.49216250000001</v>
      </c>
      <c r="F177" t="s">
        <v>15043</v>
      </c>
      <c r="G177" t="b">
        <v>0</v>
      </c>
    </row>
    <row r="178" spans="1:7" x14ac:dyDescent="0.25">
      <c r="A178" t="s">
        <v>13334</v>
      </c>
      <c r="B178" s="34">
        <v>55.89</v>
      </c>
      <c r="C178" s="34">
        <v>4.6574999999999998</v>
      </c>
      <c r="D178" t="s">
        <v>480</v>
      </c>
      <c r="E178" s="34">
        <v>279.45</v>
      </c>
      <c r="F178" t="s">
        <v>15804</v>
      </c>
      <c r="G178" t="b">
        <v>0</v>
      </c>
    </row>
    <row r="179" spans="1:7" x14ac:dyDescent="0.25">
      <c r="A179" t="s">
        <v>13187</v>
      </c>
      <c r="B179" s="34">
        <v>54.7777999999999</v>
      </c>
      <c r="C179" s="34">
        <v>4.5648166666666601</v>
      </c>
      <c r="D179" t="s">
        <v>873</v>
      </c>
      <c r="E179" s="34">
        <v>273.88899999999899</v>
      </c>
      <c r="F179" t="s">
        <v>15661</v>
      </c>
      <c r="G179" t="b">
        <v>0</v>
      </c>
    </row>
    <row r="180" spans="1:7" x14ac:dyDescent="0.25">
      <c r="A180" t="s">
        <v>13213</v>
      </c>
      <c r="B180" s="34">
        <v>54.772480000000002</v>
      </c>
      <c r="C180" s="34">
        <v>4.5643733333333296</v>
      </c>
      <c r="D180" t="s">
        <v>162</v>
      </c>
      <c r="E180" s="34">
        <v>39.123199999999997</v>
      </c>
      <c r="F180" t="s">
        <v>15687</v>
      </c>
      <c r="G180" t="b">
        <v>0</v>
      </c>
    </row>
    <row r="181" spans="1:7" x14ac:dyDescent="0.25">
      <c r="A181" t="s">
        <v>12534</v>
      </c>
      <c r="B181" s="34">
        <v>54.340699999999998</v>
      </c>
      <c r="C181" s="34">
        <v>4.5283916666666597</v>
      </c>
      <c r="D181" t="s">
        <v>67</v>
      </c>
      <c r="E181" s="34">
        <v>20.900269230769201</v>
      </c>
      <c r="F181" t="s">
        <v>15009</v>
      </c>
      <c r="G181" t="b">
        <v>0</v>
      </c>
    </row>
    <row r="182" spans="1:7" x14ac:dyDescent="0.25">
      <c r="A182" t="s">
        <v>13867</v>
      </c>
      <c r="B182" s="34">
        <v>54.335900000000002</v>
      </c>
      <c r="C182" s="34">
        <v>4.5279916666666598</v>
      </c>
      <c r="D182" t="s">
        <v>409</v>
      </c>
      <c r="E182" s="34">
        <v>271.67950000000002</v>
      </c>
      <c r="F182" t="s">
        <v>16334</v>
      </c>
      <c r="G182" t="b">
        <v>0</v>
      </c>
    </row>
    <row r="183" spans="1:7" x14ac:dyDescent="0.25">
      <c r="A183" t="s">
        <v>13010</v>
      </c>
      <c r="B183" s="34">
        <v>54.271999999999998</v>
      </c>
      <c r="C183" s="34">
        <v>4.5226666666666597</v>
      </c>
      <c r="D183" t="s">
        <v>97</v>
      </c>
      <c r="E183" s="34">
        <v>271.36</v>
      </c>
      <c r="F183" t="s">
        <v>15485</v>
      </c>
      <c r="G183" t="b">
        <v>0</v>
      </c>
    </row>
    <row r="184" spans="1:7" x14ac:dyDescent="0.25">
      <c r="A184" t="s">
        <v>14759</v>
      </c>
      <c r="B184" s="34">
        <v>53.471800000000002</v>
      </c>
      <c r="C184" s="34">
        <v>4.4559833333333296</v>
      </c>
      <c r="D184" t="s">
        <v>35</v>
      </c>
      <c r="E184" s="34">
        <v>267.35899999999998</v>
      </c>
      <c r="F184" t="s">
        <v>17207</v>
      </c>
      <c r="G184" t="b">
        <v>0</v>
      </c>
    </row>
    <row r="185" spans="1:7" x14ac:dyDescent="0.25">
      <c r="A185" t="s">
        <v>12680</v>
      </c>
      <c r="B185" s="34">
        <v>52.155999999999899</v>
      </c>
      <c r="C185" s="34">
        <v>4.3463333333333303</v>
      </c>
      <c r="D185" t="s">
        <v>168</v>
      </c>
      <c r="E185" s="34">
        <v>260.77999999999997</v>
      </c>
      <c r="F185" t="s">
        <v>15155</v>
      </c>
      <c r="G185" t="b">
        <v>0</v>
      </c>
    </row>
    <row r="186" spans="1:7" x14ac:dyDescent="0.25">
      <c r="A186" t="s">
        <v>13890</v>
      </c>
      <c r="B186" s="34">
        <v>51.920299999999997</v>
      </c>
      <c r="C186" s="34">
        <v>4.3266916666666599</v>
      </c>
      <c r="D186" t="s">
        <v>132</v>
      </c>
      <c r="E186" s="34">
        <v>259.60149999999999</v>
      </c>
      <c r="F186" t="s">
        <v>16357</v>
      </c>
      <c r="G186" t="b">
        <v>0</v>
      </c>
    </row>
    <row r="187" spans="1:7" x14ac:dyDescent="0.25">
      <c r="A187" t="s">
        <v>12996</v>
      </c>
      <c r="B187" s="34">
        <v>50.886800000000001</v>
      </c>
      <c r="C187" s="34">
        <v>4.2405666666666599</v>
      </c>
      <c r="D187" t="s">
        <v>1288</v>
      </c>
      <c r="E187" s="34">
        <v>254.434</v>
      </c>
      <c r="F187" t="s">
        <v>15471</v>
      </c>
      <c r="G187" t="b">
        <v>0</v>
      </c>
    </row>
    <row r="188" spans="1:7" x14ac:dyDescent="0.25">
      <c r="A188" t="s">
        <v>13567</v>
      </c>
      <c r="B188" s="34">
        <v>50.777999999999899</v>
      </c>
      <c r="C188" s="34">
        <v>4.2314999999999996</v>
      </c>
      <c r="D188" t="s">
        <v>1275</v>
      </c>
      <c r="E188" s="34">
        <v>126.94499999999999</v>
      </c>
      <c r="F188" t="s">
        <v>16036</v>
      </c>
      <c r="G188" t="b">
        <v>0</v>
      </c>
    </row>
    <row r="189" spans="1:7" x14ac:dyDescent="0.25">
      <c r="A189" t="s">
        <v>13132</v>
      </c>
      <c r="B189" s="34">
        <v>50.417000000000002</v>
      </c>
      <c r="C189" s="34">
        <v>4.2014166666666597</v>
      </c>
      <c r="D189" t="s">
        <v>13</v>
      </c>
      <c r="E189" s="34">
        <v>252.08500000000001</v>
      </c>
      <c r="F189" t="s">
        <v>15607</v>
      </c>
      <c r="G189" t="b">
        <v>0</v>
      </c>
    </row>
    <row r="190" spans="1:7" x14ac:dyDescent="0.25">
      <c r="A190" t="s">
        <v>13313</v>
      </c>
      <c r="B190" s="34">
        <v>50.034999999999997</v>
      </c>
      <c r="C190" s="34">
        <v>4.1695833333333301</v>
      </c>
      <c r="D190" t="s">
        <v>132</v>
      </c>
      <c r="E190" s="34">
        <v>250.17500000000001</v>
      </c>
      <c r="F190" t="s">
        <v>15783</v>
      </c>
      <c r="G190" t="b">
        <v>0</v>
      </c>
    </row>
    <row r="191" spans="1:7" x14ac:dyDescent="0.25">
      <c r="A191" t="s">
        <v>13323</v>
      </c>
      <c r="B191" s="34">
        <v>49.610999999999997</v>
      </c>
      <c r="C191" s="34">
        <v>4.1342499999999998</v>
      </c>
      <c r="D191" t="s">
        <v>35</v>
      </c>
      <c r="E191" s="34">
        <v>248.05500000000001</v>
      </c>
      <c r="F191" t="s">
        <v>15793</v>
      </c>
      <c r="G191" t="b">
        <v>0</v>
      </c>
    </row>
    <row r="192" spans="1:7" x14ac:dyDescent="0.25">
      <c r="A192" t="s">
        <v>13996</v>
      </c>
      <c r="B192" s="34">
        <v>49.311700000000002</v>
      </c>
      <c r="C192" s="34">
        <v>4.1093083333333302</v>
      </c>
      <c r="D192" t="s">
        <v>115</v>
      </c>
      <c r="E192" s="34">
        <v>246.55850000000001</v>
      </c>
      <c r="F192" t="s">
        <v>16463</v>
      </c>
      <c r="G192" t="b">
        <v>0</v>
      </c>
    </row>
    <row r="193" spans="1:7" x14ac:dyDescent="0.25">
      <c r="A193" t="s">
        <v>13377</v>
      </c>
      <c r="B193" s="34">
        <v>48.195360000000001</v>
      </c>
      <c r="C193" s="34">
        <v>4.0162800000000001</v>
      </c>
      <c r="D193" t="s">
        <v>873</v>
      </c>
      <c r="E193" s="34">
        <v>240.9768</v>
      </c>
      <c r="F193" t="s">
        <v>15847</v>
      </c>
      <c r="G193" t="b">
        <v>0</v>
      </c>
    </row>
    <row r="194" spans="1:7" x14ac:dyDescent="0.25">
      <c r="A194" t="s">
        <v>14592</v>
      </c>
      <c r="B194" s="34">
        <v>48</v>
      </c>
      <c r="C194" s="34">
        <v>4</v>
      </c>
      <c r="D194" t="s">
        <v>776</v>
      </c>
      <c r="E194" s="34">
        <v>30</v>
      </c>
      <c r="F194" t="s">
        <v>17048</v>
      </c>
      <c r="G194" t="b">
        <v>0</v>
      </c>
    </row>
    <row r="195" spans="1:7" x14ac:dyDescent="0.25">
      <c r="A195" t="s">
        <v>12584</v>
      </c>
      <c r="B195" s="34">
        <v>47.825744</v>
      </c>
      <c r="C195" s="34">
        <v>3.9854786666666602</v>
      </c>
      <c r="D195" t="s">
        <v>215</v>
      </c>
      <c r="E195" s="34">
        <v>47.825744</v>
      </c>
      <c r="F195" t="s">
        <v>15059</v>
      </c>
      <c r="G195" t="b">
        <v>0</v>
      </c>
    </row>
    <row r="196" spans="1:7" x14ac:dyDescent="0.25">
      <c r="A196" t="s">
        <v>13353</v>
      </c>
      <c r="B196" s="34">
        <v>47.363500000000002</v>
      </c>
      <c r="C196" s="34">
        <v>3.9469583333333298</v>
      </c>
      <c r="D196" t="s">
        <v>35</v>
      </c>
      <c r="E196" s="34">
        <v>236.8175</v>
      </c>
      <c r="F196" t="s">
        <v>15823</v>
      </c>
      <c r="G196" t="b">
        <v>0</v>
      </c>
    </row>
    <row r="197" spans="1:7" x14ac:dyDescent="0.25">
      <c r="A197" t="s">
        <v>14075</v>
      </c>
      <c r="B197" s="34">
        <v>46.6073599999999</v>
      </c>
      <c r="C197" s="34">
        <v>3.88394666666666</v>
      </c>
      <c r="D197" t="s">
        <v>35</v>
      </c>
      <c r="E197" s="34">
        <v>58.2592</v>
      </c>
      <c r="F197" t="s">
        <v>16542</v>
      </c>
      <c r="G197" t="b">
        <v>0</v>
      </c>
    </row>
    <row r="198" spans="1:7" x14ac:dyDescent="0.25">
      <c r="A198" t="s">
        <v>12716</v>
      </c>
      <c r="B198" s="34">
        <v>46.442599999999999</v>
      </c>
      <c r="C198" s="34">
        <v>3.8702166666666602</v>
      </c>
      <c r="D198" t="s">
        <v>132</v>
      </c>
      <c r="E198" s="34">
        <v>232.21299999999999</v>
      </c>
      <c r="F198" t="s">
        <v>15191</v>
      </c>
      <c r="G198" t="b">
        <v>0</v>
      </c>
    </row>
    <row r="199" spans="1:7" x14ac:dyDescent="0.25">
      <c r="A199" t="s">
        <v>12772</v>
      </c>
      <c r="B199" s="34">
        <v>46.137780399999997</v>
      </c>
      <c r="C199" s="34">
        <v>3.84481503333333</v>
      </c>
      <c r="D199" t="s">
        <v>35</v>
      </c>
      <c r="E199" s="34">
        <v>230.68890200000001</v>
      </c>
      <c r="F199" t="s">
        <v>15247</v>
      </c>
      <c r="G199" t="b">
        <v>0</v>
      </c>
    </row>
    <row r="200" spans="1:7" x14ac:dyDescent="0.25">
      <c r="A200" t="s">
        <v>13227</v>
      </c>
      <c r="B200" s="34">
        <v>45.590899999999998</v>
      </c>
      <c r="C200" s="34">
        <v>3.79924166666666</v>
      </c>
      <c r="D200" t="s">
        <v>26</v>
      </c>
      <c r="E200" s="34">
        <v>113.97725</v>
      </c>
      <c r="F200" t="s">
        <v>15701</v>
      </c>
      <c r="G200" t="b">
        <v>0</v>
      </c>
    </row>
    <row r="201" spans="1:7" x14ac:dyDescent="0.25">
      <c r="A201" t="s">
        <v>14282</v>
      </c>
      <c r="B201" s="34">
        <v>45.162548199999897</v>
      </c>
      <c r="C201" s="34">
        <v>3.7635456833333301</v>
      </c>
      <c r="D201" t="s">
        <v>385</v>
      </c>
      <c r="E201" s="34">
        <v>112.90637049999999</v>
      </c>
      <c r="F201" t="s">
        <v>16746</v>
      </c>
      <c r="G201" t="b">
        <v>0</v>
      </c>
    </row>
    <row r="202" spans="1:7" x14ac:dyDescent="0.25">
      <c r="A202" t="s">
        <v>13424</v>
      </c>
      <c r="B202" s="34">
        <v>44.628699999999903</v>
      </c>
      <c r="C202" s="34">
        <v>3.7190583333333298</v>
      </c>
      <c r="D202" t="s">
        <v>35</v>
      </c>
      <c r="E202" s="34">
        <v>31.877642857142799</v>
      </c>
      <c r="F202" t="s">
        <v>15894</v>
      </c>
      <c r="G202" t="b">
        <v>0</v>
      </c>
    </row>
    <row r="203" spans="1:7" x14ac:dyDescent="0.25">
      <c r="A203" t="s">
        <v>13095</v>
      </c>
      <c r="B203" s="34">
        <v>44.353700000000003</v>
      </c>
      <c r="C203" s="34">
        <v>3.69614166666666</v>
      </c>
      <c r="D203" t="s">
        <v>35</v>
      </c>
      <c r="E203" s="34">
        <v>221.76849999999999</v>
      </c>
      <c r="F203" t="s">
        <v>15570</v>
      </c>
      <c r="G203" t="b">
        <v>0</v>
      </c>
    </row>
    <row r="204" spans="1:7" x14ac:dyDescent="0.25">
      <c r="A204" t="s">
        <v>13349</v>
      </c>
      <c r="B204" s="34">
        <v>43.795599999999901</v>
      </c>
      <c r="C204" s="34">
        <v>3.64963333333333</v>
      </c>
      <c r="D204" t="s">
        <v>35</v>
      </c>
      <c r="E204" s="34">
        <v>218.97799999999901</v>
      </c>
      <c r="F204" t="s">
        <v>15819</v>
      </c>
      <c r="G204" t="b">
        <v>0</v>
      </c>
    </row>
    <row r="205" spans="1:7" x14ac:dyDescent="0.25">
      <c r="A205" t="s">
        <v>12893</v>
      </c>
      <c r="B205" s="34">
        <v>43.594000000000001</v>
      </c>
      <c r="C205" s="34">
        <v>3.63283333333333</v>
      </c>
      <c r="D205" t="s">
        <v>35</v>
      </c>
      <c r="E205" s="34">
        <v>217.97</v>
      </c>
      <c r="F205" t="s">
        <v>15368</v>
      </c>
      <c r="G205" t="b">
        <v>0</v>
      </c>
    </row>
    <row r="206" spans="1:7" x14ac:dyDescent="0.25">
      <c r="A206" t="s">
        <v>13505</v>
      </c>
      <c r="B206" s="34">
        <v>43.55818</v>
      </c>
      <c r="C206" s="34">
        <v>3.6298483333333298</v>
      </c>
      <c r="D206" t="s">
        <v>632</v>
      </c>
      <c r="E206" s="34">
        <v>108.89545</v>
      </c>
      <c r="F206" t="s">
        <v>15974</v>
      </c>
      <c r="G206" t="b">
        <v>0</v>
      </c>
    </row>
    <row r="207" spans="1:7" x14ac:dyDescent="0.25">
      <c r="A207" t="s">
        <v>12565</v>
      </c>
      <c r="B207" s="34">
        <v>43.554000000000002</v>
      </c>
      <c r="C207" s="34">
        <v>3.6295000000000002</v>
      </c>
      <c r="D207" t="s">
        <v>632</v>
      </c>
      <c r="E207" s="34">
        <v>217.77</v>
      </c>
      <c r="F207" t="s">
        <v>15040</v>
      </c>
      <c r="G207" t="b">
        <v>0</v>
      </c>
    </row>
    <row r="208" spans="1:7" x14ac:dyDescent="0.25">
      <c r="A208" t="s">
        <v>12669</v>
      </c>
      <c r="B208" s="34">
        <v>43.205620000000003</v>
      </c>
      <c r="C208" s="34">
        <v>3.6004683333333301</v>
      </c>
      <c r="D208" t="s">
        <v>35</v>
      </c>
      <c r="E208" s="34">
        <v>216.02809999999999</v>
      </c>
      <c r="F208" t="s">
        <v>15144</v>
      </c>
      <c r="G208" t="b">
        <v>0</v>
      </c>
    </row>
    <row r="209" spans="1:7" x14ac:dyDescent="0.25">
      <c r="A209" t="s">
        <v>12670</v>
      </c>
      <c r="B209" s="34">
        <v>42.572740000000003</v>
      </c>
      <c r="C209" s="34">
        <v>3.54772833333333</v>
      </c>
      <c r="D209" t="s">
        <v>35</v>
      </c>
      <c r="E209" s="34">
        <v>212.86369999999999</v>
      </c>
      <c r="F209" t="s">
        <v>15145</v>
      </c>
      <c r="G209" t="b">
        <v>0</v>
      </c>
    </row>
    <row r="210" spans="1:7" x14ac:dyDescent="0.25">
      <c r="A210" t="s">
        <v>12904</v>
      </c>
      <c r="B210" s="34">
        <v>41.569479999999999</v>
      </c>
      <c r="C210" s="34">
        <v>3.4641233333333301</v>
      </c>
      <c r="D210" t="s">
        <v>35</v>
      </c>
      <c r="E210" s="34">
        <v>207.84739999999999</v>
      </c>
      <c r="F210" t="s">
        <v>15379</v>
      </c>
      <c r="G210" t="b">
        <v>0</v>
      </c>
    </row>
    <row r="211" spans="1:7" x14ac:dyDescent="0.25">
      <c r="A211" t="s">
        <v>14006</v>
      </c>
      <c r="B211" s="34">
        <v>40.324599999999997</v>
      </c>
      <c r="C211" s="34">
        <v>3.3603833333333299</v>
      </c>
      <c r="D211" t="s">
        <v>35</v>
      </c>
      <c r="E211" s="34">
        <v>201.62299999999999</v>
      </c>
      <c r="F211" t="s">
        <v>16473</v>
      </c>
      <c r="G211" t="b">
        <v>0</v>
      </c>
    </row>
    <row r="212" spans="1:7" x14ac:dyDescent="0.25">
      <c r="A212" t="s">
        <v>13263</v>
      </c>
      <c r="B212" s="34">
        <v>40.165300000000002</v>
      </c>
      <c r="C212" s="34">
        <v>3.3471083333333298</v>
      </c>
      <c r="D212" t="s">
        <v>461</v>
      </c>
      <c r="E212" s="34">
        <v>200.82650000000001</v>
      </c>
      <c r="F212" t="s">
        <v>15736</v>
      </c>
      <c r="G212" t="b">
        <v>0</v>
      </c>
    </row>
    <row r="213" spans="1:7" x14ac:dyDescent="0.25">
      <c r="A213" t="s">
        <v>14752</v>
      </c>
      <c r="B213" s="34">
        <v>40.110699400000001</v>
      </c>
      <c r="C213" s="34">
        <v>3.34255828333333</v>
      </c>
      <c r="D213" t="s">
        <v>13</v>
      </c>
      <c r="E213" s="34">
        <v>66.851165666666603</v>
      </c>
      <c r="F213" t="s">
        <v>17201</v>
      </c>
      <c r="G213" t="b">
        <v>0</v>
      </c>
    </row>
    <row r="214" spans="1:7" x14ac:dyDescent="0.25">
      <c r="A214" t="s">
        <v>13015</v>
      </c>
      <c r="B214" s="34">
        <v>39.513309999999997</v>
      </c>
      <c r="C214" s="34">
        <v>3.2927758333333301</v>
      </c>
      <c r="D214" t="s">
        <v>1611</v>
      </c>
      <c r="E214" s="34">
        <v>197.56655000000001</v>
      </c>
      <c r="F214" t="s">
        <v>15490</v>
      </c>
      <c r="G214" t="b">
        <v>0</v>
      </c>
    </row>
    <row r="215" spans="1:7" x14ac:dyDescent="0.25">
      <c r="A215" t="s">
        <v>13495</v>
      </c>
      <c r="B215" s="34">
        <v>39.364420000000003</v>
      </c>
      <c r="C215" s="34">
        <v>3.28036833333333</v>
      </c>
      <c r="D215" t="s">
        <v>35</v>
      </c>
      <c r="E215" s="34">
        <v>196.82210000000001</v>
      </c>
      <c r="F215" t="s">
        <v>15964</v>
      </c>
      <c r="G215" t="b">
        <v>0</v>
      </c>
    </row>
    <row r="216" spans="1:7" x14ac:dyDescent="0.25">
      <c r="A216" t="s">
        <v>13273</v>
      </c>
      <c r="B216" s="34">
        <v>39.354999999999997</v>
      </c>
      <c r="C216" s="34">
        <v>3.27958333333333</v>
      </c>
      <c r="D216" t="s">
        <v>35</v>
      </c>
      <c r="E216" s="34">
        <v>196.77500000000001</v>
      </c>
      <c r="F216" t="s">
        <v>15745</v>
      </c>
      <c r="G216" t="b">
        <v>0</v>
      </c>
    </row>
    <row r="217" spans="1:7" x14ac:dyDescent="0.25">
      <c r="A217" t="s">
        <v>13357</v>
      </c>
      <c r="B217" s="34">
        <v>37.788005999999903</v>
      </c>
      <c r="C217" s="34">
        <v>3.1490005000000001</v>
      </c>
      <c r="D217" t="s">
        <v>35</v>
      </c>
      <c r="E217" s="34">
        <v>23.617503750000001</v>
      </c>
      <c r="F217" t="s">
        <v>15827</v>
      </c>
      <c r="G217" t="b">
        <v>0</v>
      </c>
    </row>
    <row r="218" spans="1:7" x14ac:dyDescent="0.25">
      <c r="A218" t="s">
        <v>14066</v>
      </c>
      <c r="B218" s="34">
        <v>37.685499999999998</v>
      </c>
      <c r="C218" s="34">
        <v>3.14045833333333</v>
      </c>
      <c r="D218" t="s">
        <v>2891</v>
      </c>
      <c r="E218" s="34">
        <v>188.42750000000001</v>
      </c>
      <c r="F218" t="s">
        <v>16533</v>
      </c>
      <c r="G218" t="b">
        <v>0</v>
      </c>
    </row>
    <row r="219" spans="1:7" x14ac:dyDescent="0.25">
      <c r="A219" t="s">
        <v>13282</v>
      </c>
      <c r="B219" s="34">
        <v>37.624899999999997</v>
      </c>
      <c r="C219" s="34">
        <v>3.1354083333333298</v>
      </c>
      <c r="D219" t="s">
        <v>982</v>
      </c>
      <c r="E219" s="34">
        <v>94.062249999999906</v>
      </c>
      <c r="F219" t="s">
        <v>15754</v>
      </c>
      <c r="G219" t="b">
        <v>0</v>
      </c>
    </row>
    <row r="220" spans="1:7" x14ac:dyDescent="0.25">
      <c r="A220" t="s">
        <v>13042</v>
      </c>
      <c r="B220" s="34">
        <v>37.322299999999998</v>
      </c>
      <c r="C220" s="34">
        <v>3.11019166666666</v>
      </c>
      <c r="D220" t="s">
        <v>268</v>
      </c>
      <c r="E220" s="34">
        <v>186.61150000000001</v>
      </c>
      <c r="F220" t="s">
        <v>15517</v>
      </c>
      <c r="G220" t="b">
        <v>0</v>
      </c>
    </row>
    <row r="221" spans="1:7" x14ac:dyDescent="0.25">
      <c r="A221" t="s">
        <v>12869</v>
      </c>
      <c r="B221" s="34">
        <v>36.619399999999999</v>
      </c>
      <c r="C221" s="34">
        <v>3.0516166666666602</v>
      </c>
      <c r="D221" t="s">
        <v>162</v>
      </c>
      <c r="E221" s="34">
        <v>183.09700000000001</v>
      </c>
      <c r="F221" t="s">
        <v>15344</v>
      </c>
      <c r="G221" t="b">
        <v>0</v>
      </c>
    </row>
    <row r="222" spans="1:7" x14ac:dyDescent="0.25">
      <c r="A222" t="s">
        <v>13322</v>
      </c>
      <c r="B222" s="34">
        <v>36.615000000000002</v>
      </c>
      <c r="C222" s="34">
        <v>3.05125</v>
      </c>
      <c r="D222" t="s">
        <v>957</v>
      </c>
      <c r="E222" s="34">
        <v>183.07499999999999</v>
      </c>
      <c r="F222" t="s">
        <v>15792</v>
      </c>
      <c r="G222" t="b">
        <v>0</v>
      </c>
    </row>
    <row r="223" spans="1:7" x14ac:dyDescent="0.25">
      <c r="A223" t="s">
        <v>13440</v>
      </c>
      <c r="B223" s="34">
        <v>36.5515422</v>
      </c>
      <c r="C223" s="34">
        <v>3.0459618499999901</v>
      </c>
      <c r="D223" t="s">
        <v>35</v>
      </c>
      <c r="E223" s="34">
        <v>60.919237000000003</v>
      </c>
      <c r="F223" t="s">
        <v>15909</v>
      </c>
      <c r="G223" t="b">
        <v>0</v>
      </c>
    </row>
    <row r="224" spans="1:7" x14ac:dyDescent="0.25">
      <c r="A224" t="s">
        <v>14420</v>
      </c>
      <c r="B224" s="34">
        <v>36.540799999999997</v>
      </c>
      <c r="C224" s="34">
        <v>3.0450666666666599</v>
      </c>
      <c r="D224" t="s">
        <v>253</v>
      </c>
      <c r="E224" s="34">
        <v>182.70400000000001</v>
      </c>
      <c r="F224" t="s">
        <v>16881</v>
      </c>
      <c r="G224" t="b">
        <v>0</v>
      </c>
    </row>
    <row r="225" spans="1:7" x14ac:dyDescent="0.25">
      <c r="A225" t="s">
        <v>12742</v>
      </c>
      <c r="B225" s="34">
        <v>36.154000000000003</v>
      </c>
      <c r="C225" s="34">
        <v>3.0128333333333299</v>
      </c>
      <c r="D225" t="s">
        <v>1032</v>
      </c>
      <c r="E225" s="34">
        <v>180.77</v>
      </c>
      <c r="F225" t="s">
        <v>15217</v>
      </c>
      <c r="G225" t="b">
        <v>0</v>
      </c>
    </row>
    <row r="226" spans="1:7" x14ac:dyDescent="0.25">
      <c r="A226" t="s">
        <v>12638</v>
      </c>
      <c r="B226" s="34">
        <v>36.040999999999997</v>
      </c>
      <c r="C226" s="34">
        <v>3.0034166666666602</v>
      </c>
      <c r="D226" t="s">
        <v>35</v>
      </c>
      <c r="E226" s="34">
        <v>90.102500000000006</v>
      </c>
      <c r="F226" t="s">
        <v>15113</v>
      </c>
      <c r="G226" t="b">
        <v>0</v>
      </c>
    </row>
    <row r="227" spans="1:7" x14ac:dyDescent="0.25">
      <c r="A227" t="s">
        <v>14222</v>
      </c>
      <c r="B227" s="34">
        <v>35.948599999999999</v>
      </c>
      <c r="C227" s="34">
        <v>2.9957166666666599</v>
      </c>
      <c r="D227" t="s">
        <v>385</v>
      </c>
      <c r="E227" s="34">
        <v>179.74299999999999</v>
      </c>
      <c r="F227" t="s">
        <v>16686</v>
      </c>
      <c r="G227" t="b">
        <v>0</v>
      </c>
    </row>
    <row r="228" spans="1:7" x14ac:dyDescent="0.25">
      <c r="A228" t="s">
        <v>12591</v>
      </c>
      <c r="B228" s="34">
        <v>35.844024999999903</v>
      </c>
      <c r="C228" s="34">
        <v>2.9870020833333299</v>
      </c>
      <c r="D228" t="s">
        <v>35</v>
      </c>
      <c r="E228" s="34">
        <v>89.610062499999898</v>
      </c>
      <c r="F228" t="s">
        <v>15066</v>
      </c>
      <c r="G228" t="b">
        <v>0</v>
      </c>
    </row>
    <row r="229" spans="1:7" x14ac:dyDescent="0.25">
      <c r="A229" t="s">
        <v>13151</v>
      </c>
      <c r="B229" s="34">
        <v>35.186799999999998</v>
      </c>
      <c r="C229" s="34">
        <v>2.9322333333333299</v>
      </c>
      <c r="D229" t="s">
        <v>385</v>
      </c>
      <c r="E229" s="34">
        <v>175.934</v>
      </c>
      <c r="F229" t="s">
        <v>15626</v>
      </c>
      <c r="G229" t="b">
        <v>0</v>
      </c>
    </row>
    <row r="230" spans="1:7" x14ac:dyDescent="0.25">
      <c r="A230" t="s">
        <v>13142</v>
      </c>
      <c r="B230" s="34">
        <v>34.875</v>
      </c>
      <c r="C230" s="34">
        <v>2.90625</v>
      </c>
      <c r="D230" t="s">
        <v>2101</v>
      </c>
      <c r="E230" s="34">
        <v>174.375</v>
      </c>
      <c r="F230" t="s">
        <v>15617</v>
      </c>
      <c r="G230" t="b">
        <v>0</v>
      </c>
    </row>
    <row r="231" spans="1:7" x14ac:dyDescent="0.25">
      <c r="A231" t="s">
        <v>12950</v>
      </c>
      <c r="B231" s="34">
        <v>34.818600000000004</v>
      </c>
      <c r="C231" s="34">
        <v>2.9015499999999999</v>
      </c>
      <c r="D231" t="s">
        <v>385</v>
      </c>
      <c r="E231" s="34">
        <v>174.09299999999999</v>
      </c>
      <c r="F231" t="s">
        <v>15425</v>
      </c>
      <c r="G231" t="b">
        <v>0</v>
      </c>
    </row>
    <row r="232" spans="1:7" x14ac:dyDescent="0.25">
      <c r="A232" t="s">
        <v>12523</v>
      </c>
      <c r="B232" s="34">
        <v>34.814900000000002</v>
      </c>
      <c r="C232" s="34">
        <v>2.9012416666666598</v>
      </c>
      <c r="D232" t="s">
        <v>151</v>
      </c>
      <c r="E232" s="34">
        <v>174.0745</v>
      </c>
      <c r="F232" t="s">
        <v>14998</v>
      </c>
      <c r="G232" t="b">
        <v>0</v>
      </c>
    </row>
    <row r="233" spans="1:7" x14ac:dyDescent="0.25">
      <c r="A233" t="s">
        <v>13407</v>
      </c>
      <c r="B233" s="34">
        <v>34.338319999999896</v>
      </c>
      <c r="C233" s="34">
        <v>2.8615266666666601</v>
      </c>
      <c r="D233" t="s">
        <v>1275</v>
      </c>
      <c r="E233" s="34">
        <v>57.230533333333298</v>
      </c>
      <c r="F233" t="s">
        <v>15877</v>
      </c>
      <c r="G233" t="b">
        <v>0</v>
      </c>
    </row>
    <row r="234" spans="1:7" x14ac:dyDescent="0.25">
      <c r="A234" t="s">
        <v>13399</v>
      </c>
      <c r="B234" s="34">
        <v>33.956710000000001</v>
      </c>
      <c r="C234" s="34">
        <v>2.8297258333333302</v>
      </c>
      <c r="D234" t="s">
        <v>274</v>
      </c>
      <c r="E234" s="34">
        <v>169.78354999999999</v>
      </c>
      <c r="F234" t="s">
        <v>15869</v>
      </c>
      <c r="G234" t="b">
        <v>0</v>
      </c>
    </row>
    <row r="235" spans="1:7" x14ac:dyDescent="0.25">
      <c r="A235" t="s">
        <v>13134</v>
      </c>
      <c r="B235" s="34">
        <v>33.567999999999998</v>
      </c>
      <c r="C235" s="34">
        <v>2.7973333333333299</v>
      </c>
      <c r="D235" t="s">
        <v>13</v>
      </c>
      <c r="E235" s="34">
        <v>167.84</v>
      </c>
      <c r="F235" t="s">
        <v>15609</v>
      </c>
      <c r="G235" t="b">
        <v>0</v>
      </c>
    </row>
    <row r="236" spans="1:7" x14ac:dyDescent="0.25">
      <c r="A236" t="s">
        <v>13212</v>
      </c>
      <c r="B236" s="34">
        <v>33.542900000000003</v>
      </c>
      <c r="C236" s="34">
        <v>2.79524166666666</v>
      </c>
      <c r="D236" t="s">
        <v>168</v>
      </c>
      <c r="E236" s="34">
        <v>167.71449999999999</v>
      </c>
      <c r="F236" t="s">
        <v>15686</v>
      </c>
      <c r="G236" t="b">
        <v>0</v>
      </c>
    </row>
    <row r="237" spans="1:7" x14ac:dyDescent="0.25">
      <c r="A237" t="s">
        <v>13940</v>
      </c>
      <c r="B237" s="34">
        <v>33.048400000000001</v>
      </c>
      <c r="C237" s="34">
        <v>2.75403333333333</v>
      </c>
      <c r="D237" t="s">
        <v>72</v>
      </c>
      <c r="E237" s="34">
        <v>165.24199999999999</v>
      </c>
      <c r="F237" t="s">
        <v>16407</v>
      </c>
      <c r="G237" t="b">
        <v>0</v>
      </c>
    </row>
    <row r="238" spans="1:7" x14ac:dyDescent="0.25">
      <c r="A238" t="s">
        <v>12662</v>
      </c>
      <c r="B238" s="34">
        <v>32.136119999999998</v>
      </c>
      <c r="C238" s="34">
        <v>2.67801</v>
      </c>
      <c r="D238" t="s">
        <v>97</v>
      </c>
      <c r="E238" s="34">
        <v>160.6806</v>
      </c>
      <c r="F238" t="s">
        <v>15137</v>
      </c>
      <c r="G238" t="b">
        <v>0</v>
      </c>
    </row>
    <row r="239" spans="1:7" x14ac:dyDescent="0.25">
      <c r="A239" t="s">
        <v>12619</v>
      </c>
      <c r="B239" s="34">
        <v>32.073999999999998</v>
      </c>
      <c r="C239" s="34">
        <v>2.6728333333333301</v>
      </c>
      <c r="D239" t="s">
        <v>35</v>
      </c>
      <c r="E239" s="34">
        <v>160.37</v>
      </c>
      <c r="F239" t="s">
        <v>15094</v>
      </c>
      <c r="G239" t="b">
        <v>0</v>
      </c>
    </row>
    <row r="240" spans="1:7" x14ac:dyDescent="0.25">
      <c r="A240" t="s">
        <v>14079</v>
      </c>
      <c r="B240" s="34">
        <v>32.042000000000002</v>
      </c>
      <c r="C240" s="34">
        <v>2.6701666666666601</v>
      </c>
      <c r="D240" t="s">
        <v>2891</v>
      </c>
      <c r="E240" s="34">
        <v>160.21</v>
      </c>
      <c r="F240" t="s">
        <v>16546</v>
      </c>
      <c r="G240" t="b">
        <v>0</v>
      </c>
    </row>
    <row r="241" spans="1:7" x14ac:dyDescent="0.25">
      <c r="A241" t="s">
        <v>13498</v>
      </c>
      <c r="B241" s="34">
        <v>31.731999999999999</v>
      </c>
      <c r="C241" s="34">
        <v>2.6443333333333299</v>
      </c>
      <c r="D241" t="s">
        <v>1716</v>
      </c>
      <c r="E241" s="34">
        <v>158.66</v>
      </c>
      <c r="F241" t="s">
        <v>15967</v>
      </c>
      <c r="G241" t="b">
        <v>0</v>
      </c>
    </row>
    <row r="242" spans="1:7" x14ac:dyDescent="0.25">
      <c r="A242" t="s">
        <v>12836</v>
      </c>
      <c r="B242" s="34">
        <v>31.407399999999999</v>
      </c>
      <c r="C242" s="34">
        <v>2.6172833333333299</v>
      </c>
      <c r="D242" t="s">
        <v>115</v>
      </c>
      <c r="E242" s="34">
        <v>157.03700000000001</v>
      </c>
      <c r="F242" t="s">
        <v>15311</v>
      </c>
      <c r="G242" t="b">
        <v>0</v>
      </c>
    </row>
    <row r="243" spans="1:7" x14ac:dyDescent="0.25">
      <c r="A243" t="s">
        <v>13352</v>
      </c>
      <c r="B243" s="34">
        <v>31.324400000000001</v>
      </c>
      <c r="C243" s="34">
        <v>2.6103666666666601</v>
      </c>
      <c r="D243" t="s">
        <v>35</v>
      </c>
      <c r="E243" s="34">
        <v>156.62200000000001</v>
      </c>
      <c r="F243" t="s">
        <v>15822</v>
      </c>
      <c r="G243" t="b">
        <v>0</v>
      </c>
    </row>
    <row r="244" spans="1:7" x14ac:dyDescent="0.25">
      <c r="A244" t="s">
        <v>13350</v>
      </c>
      <c r="B244" s="34">
        <v>31.312799999999999</v>
      </c>
      <c r="C244" s="34">
        <v>2.6093999999999999</v>
      </c>
      <c r="D244" t="s">
        <v>35</v>
      </c>
      <c r="E244" s="34">
        <v>156.56399999999999</v>
      </c>
      <c r="F244" t="s">
        <v>15820</v>
      </c>
      <c r="G244" t="b">
        <v>0</v>
      </c>
    </row>
    <row r="245" spans="1:7" x14ac:dyDescent="0.25">
      <c r="A245" t="s">
        <v>14390</v>
      </c>
      <c r="B245" s="34">
        <v>31.249199999999998</v>
      </c>
      <c r="C245" s="34">
        <v>2.6040999999999999</v>
      </c>
      <c r="D245" t="s">
        <v>90</v>
      </c>
      <c r="E245" s="34">
        <v>156.24600000000001</v>
      </c>
      <c r="F245" t="s">
        <v>16852</v>
      </c>
      <c r="G245" t="b">
        <v>0</v>
      </c>
    </row>
    <row r="246" spans="1:7" x14ac:dyDescent="0.25">
      <c r="A246" t="s">
        <v>13085</v>
      </c>
      <c r="B246" s="34">
        <v>31.1568</v>
      </c>
      <c r="C246" s="34">
        <v>2.5964</v>
      </c>
      <c r="D246" t="s">
        <v>162</v>
      </c>
      <c r="E246" s="34">
        <v>155.78399999999999</v>
      </c>
      <c r="F246" t="s">
        <v>15560</v>
      </c>
      <c r="G246" t="b">
        <v>0</v>
      </c>
    </row>
    <row r="247" spans="1:7" x14ac:dyDescent="0.25">
      <c r="A247" t="s">
        <v>13342</v>
      </c>
      <c r="B247" s="34">
        <v>31.097604199999999</v>
      </c>
      <c r="C247" s="34">
        <v>2.5914670166666598</v>
      </c>
      <c r="D247" t="s">
        <v>1831</v>
      </c>
      <c r="E247" s="34">
        <v>155.488021</v>
      </c>
      <c r="F247" t="s">
        <v>15812</v>
      </c>
      <c r="G247" t="b">
        <v>0</v>
      </c>
    </row>
    <row r="248" spans="1:7" x14ac:dyDescent="0.25">
      <c r="A248" t="s">
        <v>14197</v>
      </c>
      <c r="B248" s="34">
        <v>30.904199999999999</v>
      </c>
      <c r="C248" s="34">
        <v>2.5753499999999998</v>
      </c>
      <c r="D248" t="s">
        <v>162</v>
      </c>
      <c r="E248" s="34">
        <v>154.52099999999999</v>
      </c>
      <c r="F248" t="s">
        <v>16661</v>
      </c>
      <c r="G248" t="b">
        <v>0</v>
      </c>
    </row>
    <row r="249" spans="1:7" x14ac:dyDescent="0.25">
      <c r="A249" t="s">
        <v>12948</v>
      </c>
      <c r="B249" s="34">
        <v>30.652899999999999</v>
      </c>
      <c r="C249" s="34">
        <v>2.5544083333333298</v>
      </c>
      <c r="D249" t="s">
        <v>35</v>
      </c>
      <c r="E249" s="34">
        <v>153.2645</v>
      </c>
      <c r="F249" t="s">
        <v>15423</v>
      </c>
      <c r="G249" t="b">
        <v>0</v>
      </c>
    </row>
    <row r="250" spans="1:7" x14ac:dyDescent="0.25">
      <c r="A250" t="s">
        <v>13018</v>
      </c>
      <c r="B250" s="34">
        <v>30.599</v>
      </c>
      <c r="C250" s="34">
        <v>2.5499166666666602</v>
      </c>
      <c r="D250" t="s">
        <v>35</v>
      </c>
      <c r="E250" s="34">
        <v>76.497500000000002</v>
      </c>
      <c r="F250" t="s">
        <v>15493</v>
      </c>
      <c r="G250" t="b">
        <v>0</v>
      </c>
    </row>
    <row r="251" spans="1:7" x14ac:dyDescent="0.25">
      <c r="A251" t="s">
        <v>13256</v>
      </c>
      <c r="B251" s="34">
        <v>29.516699999999901</v>
      </c>
      <c r="C251" s="34">
        <v>2.4597249999999899</v>
      </c>
      <c r="D251" t="s">
        <v>35</v>
      </c>
      <c r="E251" s="34">
        <v>147.58349999999899</v>
      </c>
      <c r="F251" t="s">
        <v>15729</v>
      </c>
      <c r="G251" t="b">
        <v>0</v>
      </c>
    </row>
    <row r="252" spans="1:7" x14ac:dyDescent="0.25">
      <c r="A252" t="s">
        <v>14136</v>
      </c>
      <c r="B252" s="34">
        <v>29.217600000000001</v>
      </c>
      <c r="C252" s="34">
        <v>2.4348000000000001</v>
      </c>
      <c r="D252" t="s">
        <v>215</v>
      </c>
      <c r="E252" s="34">
        <v>146.08799999999999</v>
      </c>
      <c r="F252" t="s">
        <v>16603</v>
      </c>
      <c r="G252" t="b">
        <v>0</v>
      </c>
    </row>
    <row r="253" spans="1:7" x14ac:dyDescent="0.25">
      <c r="A253" t="s">
        <v>12659</v>
      </c>
      <c r="B253" s="34">
        <v>28.8</v>
      </c>
      <c r="C253" s="34">
        <v>2.4</v>
      </c>
      <c r="D253" t="s">
        <v>385</v>
      </c>
      <c r="E253" s="34">
        <v>144</v>
      </c>
      <c r="F253" t="s">
        <v>15134</v>
      </c>
      <c r="G253" t="b">
        <v>0</v>
      </c>
    </row>
    <row r="254" spans="1:7" x14ac:dyDescent="0.25">
      <c r="A254" t="s">
        <v>13493</v>
      </c>
      <c r="B254" s="34">
        <v>28.734000000000002</v>
      </c>
      <c r="C254" s="34">
        <v>2.3944999999999999</v>
      </c>
      <c r="D254" t="s">
        <v>5940</v>
      </c>
      <c r="E254" s="34">
        <v>143.66999999999999</v>
      </c>
      <c r="F254" t="s">
        <v>15962</v>
      </c>
      <c r="G254" t="b">
        <v>0</v>
      </c>
    </row>
    <row r="255" spans="1:7" x14ac:dyDescent="0.25">
      <c r="A255" t="s">
        <v>12954</v>
      </c>
      <c r="B255" s="34">
        <v>28.6510999999999</v>
      </c>
      <c r="C255" s="34">
        <v>2.3875916666666601</v>
      </c>
      <c r="D255" t="s">
        <v>1611</v>
      </c>
      <c r="E255" s="34">
        <v>143.25549999999899</v>
      </c>
      <c r="F255" t="s">
        <v>15429</v>
      </c>
      <c r="G255" t="b">
        <v>0</v>
      </c>
    </row>
    <row r="256" spans="1:7" x14ac:dyDescent="0.25">
      <c r="A256" t="s">
        <v>13009</v>
      </c>
      <c r="B256" s="34">
        <v>28.602599999999999</v>
      </c>
      <c r="C256" s="34">
        <v>2.3835500000000001</v>
      </c>
      <c r="D256" t="s">
        <v>215</v>
      </c>
      <c r="E256" s="34">
        <v>143.01300000000001</v>
      </c>
      <c r="F256" t="s">
        <v>15484</v>
      </c>
      <c r="G256" t="b">
        <v>0</v>
      </c>
    </row>
    <row r="257" spans="1:7" x14ac:dyDescent="0.25">
      <c r="A257" t="s">
        <v>12983</v>
      </c>
      <c r="B257" s="34">
        <v>28.180199999999999</v>
      </c>
      <c r="C257" s="34">
        <v>2.3483499999999999</v>
      </c>
      <c r="D257" t="s">
        <v>35</v>
      </c>
      <c r="E257" s="34">
        <v>140.90100000000001</v>
      </c>
      <c r="F257" t="s">
        <v>15458</v>
      </c>
      <c r="G257" t="b">
        <v>0</v>
      </c>
    </row>
    <row r="258" spans="1:7" x14ac:dyDescent="0.25">
      <c r="A258" t="s">
        <v>13695</v>
      </c>
      <c r="B258" s="34">
        <v>27.8688</v>
      </c>
      <c r="C258" s="34">
        <v>2.3224</v>
      </c>
      <c r="D258" t="s">
        <v>221</v>
      </c>
      <c r="E258" s="34">
        <v>139.34399999999999</v>
      </c>
      <c r="F258" t="s">
        <v>16163</v>
      </c>
      <c r="G258" t="b">
        <v>0</v>
      </c>
    </row>
    <row r="259" spans="1:7" x14ac:dyDescent="0.25">
      <c r="A259" t="s">
        <v>13877</v>
      </c>
      <c r="B259" s="34">
        <v>27.462699999999899</v>
      </c>
      <c r="C259" s="34">
        <v>2.2885583333333299</v>
      </c>
      <c r="D259" t="s">
        <v>873</v>
      </c>
      <c r="E259" s="34">
        <v>137.31349999999901</v>
      </c>
      <c r="F259" t="s">
        <v>16344</v>
      </c>
      <c r="G259" t="b">
        <v>0</v>
      </c>
    </row>
    <row r="260" spans="1:7" x14ac:dyDescent="0.25">
      <c r="A260" t="s">
        <v>12754</v>
      </c>
      <c r="B260" s="34">
        <v>27.45092</v>
      </c>
      <c r="C260" s="34">
        <v>2.2875766666666602</v>
      </c>
      <c r="D260" t="s">
        <v>104</v>
      </c>
      <c r="E260" s="34">
        <v>137.25460000000001</v>
      </c>
      <c r="F260" t="s">
        <v>15229</v>
      </c>
      <c r="G260" t="b">
        <v>0</v>
      </c>
    </row>
    <row r="261" spans="1:7" x14ac:dyDescent="0.25">
      <c r="A261" t="s">
        <v>13737</v>
      </c>
      <c r="B261" s="34">
        <v>27.283379999999902</v>
      </c>
      <c r="C261" s="34">
        <v>2.2736149999999902</v>
      </c>
      <c r="D261" t="s">
        <v>274</v>
      </c>
      <c r="E261" s="34">
        <v>136.416899999999</v>
      </c>
      <c r="F261" t="s">
        <v>16205</v>
      </c>
      <c r="G261" t="b">
        <v>0</v>
      </c>
    </row>
    <row r="262" spans="1:7" x14ac:dyDescent="0.25">
      <c r="A262" t="s">
        <v>14038</v>
      </c>
      <c r="B262" s="34">
        <v>26.998699999999999</v>
      </c>
      <c r="C262" s="34">
        <v>2.24989166666666</v>
      </c>
      <c r="D262" t="s">
        <v>1831</v>
      </c>
      <c r="E262" s="34">
        <v>134.99350000000001</v>
      </c>
      <c r="F262" t="s">
        <v>16505</v>
      </c>
      <c r="G262" t="b">
        <v>0</v>
      </c>
    </row>
    <row r="263" spans="1:7" x14ac:dyDescent="0.25">
      <c r="A263" t="s">
        <v>13157</v>
      </c>
      <c r="B263" s="34">
        <v>26.715436</v>
      </c>
      <c r="C263" s="34">
        <v>2.2262863333333298</v>
      </c>
      <c r="D263" t="s">
        <v>904</v>
      </c>
      <c r="E263" s="34">
        <v>133.57718</v>
      </c>
      <c r="F263" t="s">
        <v>15632</v>
      </c>
      <c r="G263" t="b">
        <v>0</v>
      </c>
    </row>
    <row r="264" spans="1:7" x14ac:dyDescent="0.25">
      <c r="A264" t="s">
        <v>13767</v>
      </c>
      <c r="B264" s="34">
        <v>26.711559999999999</v>
      </c>
      <c r="C264" s="34">
        <v>2.22596333333333</v>
      </c>
      <c r="D264" t="s">
        <v>35</v>
      </c>
      <c r="E264" s="34">
        <v>66.778899999999993</v>
      </c>
      <c r="F264" t="s">
        <v>16235</v>
      </c>
      <c r="G264" t="b">
        <v>0</v>
      </c>
    </row>
    <row r="265" spans="1:7" x14ac:dyDescent="0.25">
      <c r="A265" t="s">
        <v>13049</v>
      </c>
      <c r="B265" s="34">
        <v>26.590720000000001</v>
      </c>
      <c r="C265" s="34">
        <v>2.2158933333333302</v>
      </c>
      <c r="D265" t="s">
        <v>1690</v>
      </c>
      <c r="E265" s="34">
        <v>132.95359999999999</v>
      </c>
      <c r="F265" t="s">
        <v>15524</v>
      </c>
      <c r="G265" t="b">
        <v>0</v>
      </c>
    </row>
    <row r="266" spans="1:7" x14ac:dyDescent="0.25">
      <c r="A266" t="s">
        <v>13302</v>
      </c>
      <c r="B266" s="34">
        <v>26.3871</v>
      </c>
      <c r="C266" s="34">
        <v>2.198925</v>
      </c>
      <c r="D266" t="s">
        <v>480</v>
      </c>
      <c r="E266" s="34">
        <v>65.967749999999995</v>
      </c>
      <c r="F266" t="s">
        <v>15772</v>
      </c>
      <c r="G266" t="b">
        <v>0</v>
      </c>
    </row>
    <row r="267" spans="1:7" x14ac:dyDescent="0.25">
      <c r="A267" t="s">
        <v>13104</v>
      </c>
      <c r="B267" s="34">
        <v>26.371224999999999</v>
      </c>
      <c r="C267" s="34">
        <v>2.1976020833333298</v>
      </c>
      <c r="D267" t="s">
        <v>35</v>
      </c>
      <c r="E267" s="34">
        <v>65.928062499999996</v>
      </c>
      <c r="F267" t="s">
        <v>15579</v>
      </c>
      <c r="G267" t="b">
        <v>0</v>
      </c>
    </row>
    <row r="268" spans="1:7" x14ac:dyDescent="0.25">
      <c r="A268" t="s">
        <v>12629</v>
      </c>
      <c r="B268" s="34">
        <v>26.029135</v>
      </c>
      <c r="C268" s="34">
        <v>2.1690945833333299</v>
      </c>
      <c r="D268" t="s">
        <v>13</v>
      </c>
      <c r="E268" s="34">
        <v>43.381891666666597</v>
      </c>
      <c r="F268" t="s">
        <v>15104</v>
      </c>
      <c r="G268" t="b">
        <v>0</v>
      </c>
    </row>
    <row r="269" spans="1:7" x14ac:dyDescent="0.25">
      <c r="A269" t="s">
        <v>12641</v>
      </c>
      <c r="B269" s="34">
        <v>25.912199999999999</v>
      </c>
      <c r="C269" s="34">
        <v>2.1593499999999999</v>
      </c>
      <c r="D269" t="s">
        <v>385</v>
      </c>
      <c r="E269" s="34">
        <v>64.780500000000004</v>
      </c>
      <c r="F269" t="s">
        <v>15116</v>
      </c>
      <c r="G269" t="b">
        <v>0</v>
      </c>
    </row>
    <row r="270" spans="1:7" x14ac:dyDescent="0.25">
      <c r="A270" t="s">
        <v>13127</v>
      </c>
      <c r="B270" s="34">
        <v>25.832380000000001</v>
      </c>
      <c r="C270" s="34">
        <v>2.1526983333333298</v>
      </c>
      <c r="D270" t="s">
        <v>4377</v>
      </c>
      <c r="E270" s="34">
        <v>129.1619</v>
      </c>
      <c r="F270" t="s">
        <v>15602</v>
      </c>
      <c r="G270" t="b">
        <v>0</v>
      </c>
    </row>
    <row r="271" spans="1:7" x14ac:dyDescent="0.25">
      <c r="A271" t="s">
        <v>12819</v>
      </c>
      <c r="B271" s="34">
        <v>25.825894939999898</v>
      </c>
      <c r="C271" s="34">
        <v>2.1521579116666598</v>
      </c>
      <c r="D271" t="s">
        <v>215</v>
      </c>
      <c r="E271" s="34">
        <v>129.12947469999901</v>
      </c>
      <c r="F271" t="s">
        <v>15294</v>
      </c>
      <c r="G271" t="b">
        <v>0</v>
      </c>
    </row>
    <row r="272" spans="1:7" x14ac:dyDescent="0.25">
      <c r="A272" t="s">
        <v>13535</v>
      </c>
      <c r="B272" s="34">
        <v>25.724959999999999</v>
      </c>
      <c r="C272" s="34">
        <v>2.1437466666666598</v>
      </c>
      <c r="D272" t="s">
        <v>35</v>
      </c>
      <c r="E272" s="34">
        <v>25.724959999999999</v>
      </c>
      <c r="F272" t="s">
        <v>16004</v>
      </c>
      <c r="G272" t="b">
        <v>0</v>
      </c>
    </row>
    <row r="273" spans="1:7" x14ac:dyDescent="0.25">
      <c r="A273" t="s">
        <v>12912</v>
      </c>
      <c r="B273" s="34">
        <v>25.685700000000001</v>
      </c>
      <c r="C273" s="34">
        <v>2.1404749999999999</v>
      </c>
      <c r="D273" t="s">
        <v>1249</v>
      </c>
      <c r="E273" s="34">
        <v>128.42850000000001</v>
      </c>
      <c r="F273" t="s">
        <v>15387</v>
      </c>
      <c r="G273" t="b">
        <v>0</v>
      </c>
    </row>
    <row r="274" spans="1:7" x14ac:dyDescent="0.25">
      <c r="A274" t="s">
        <v>13172</v>
      </c>
      <c r="B274" s="34">
        <v>25.545000000000002</v>
      </c>
      <c r="C274" s="34">
        <v>2.1287500000000001</v>
      </c>
      <c r="D274" t="s">
        <v>480</v>
      </c>
      <c r="E274" s="34">
        <v>127.72499999999999</v>
      </c>
      <c r="F274" t="s">
        <v>15646</v>
      </c>
      <c r="G274" t="b">
        <v>0</v>
      </c>
    </row>
    <row r="275" spans="1:7" x14ac:dyDescent="0.25">
      <c r="A275" t="s">
        <v>12864</v>
      </c>
      <c r="B275" s="34">
        <v>25.431999999999999</v>
      </c>
      <c r="C275" s="34">
        <v>2.11933333333333</v>
      </c>
      <c r="D275" t="s">
        <v>253</v>
      </c>
      <c r="E275" s="34">
        <v>127.16</v>
      </c>
      <c r="F275" t="s">
        <v>15339</v>
      </c>
      <c r="G275" t="b">
        <v>0</v>
      </c>
    </row>
    <row r="276" spans="1:7" x14ac:dyDescent="0.25">
      <c r="A276" t="s">
        <v>12604</v>
      </c>
      <c r="B276" s="34">
        <v>25.353850000000001</v>
      </c>
      <c r="C276" s="34">
        <v>2.11282083333333</v>
      </c>
      <c r="D276" t="s">
        <v>35</v>
      </c>
      <c r="E276" s="34">
        <v>42.256416666666603</v>
      </c>
      <c r="F276" t="s">
        <v>15079</v>
      </c>
      <c r="G276" t="b">
        <v>0</v>
      </c>
    </row>
    <row r="277" spans="1:7" x14ac:dyDescent="0.25">
      <c r="A277" t="s">
        <v>12651</v>
      </c>
      <c r="B277" s="34">
        <v>25.223571999999901</v>
      </c>
      <c r="C277" s="34">
        <v>2.10196433333333</v>
      </c>
      <c r="D277" t="s">
        <v>35</v>
      </c>
      <c r="E277" s="34">
        <v>63.058929999999897</v>
      </c>
      <c r="F277" t="s">
        <v>15126</v>
      </c>
      <c r="G277" t="b">
        <v>0</v>
      </c>
    </row>
    <row r="278" spans="1:7" x14ac:dyDescent="0.25">
      <c r="A278" t="s">
        <v>14848</v>
      </c>
      <c r="B278" s="34">
        <v>25.035029999999999</v>
      </c>
      <c r="C278" s="34">
        <v>2.0862524999999899</v>
      </c>
      <c r="D278" t="s">
        <v>632</v>
      </c>
      <c r="E278" s="34">
        <v>62.587575000000001</v>
      </c>
      <c r="F278" t="s">
        <v>17285</v>
      </c>
      <c r="G278" t="b">
        <v>0</v>
      </c>
    </row>
    <row r="279" spans="1:7" x14ac:dyDescent="0.25">
      <c r="A279" t="s">
        <v>13130</v>
      </c>
      <c r="B279" s="34">
        <v>24.885000000000002</v>
      </c>
      <c r="C279" s="34">
        <v>2.07375</v>
      </c>
      <c r="D279" t="s">
        <v>626</v>
      </c>
      <c r="E279" s="34">
        <v>124.425</v>
      </c>
      <c r="F279" t="s">
        <v>15605</v>
      </c>
      <c r="G279" t="b">
        <v>0</v>
      </c>
    </row>
    <row r="280" spans="1:7" x14ac:dyDescent="0.25">
      <c r="A280" t="s">
        <v>12778</v>
      </c>
      <c r="B280" s="34">
        <v>24.877500000000001</v>
      </c>
      <c r="C280" s="34">
        <v>2.0731250000000001</v>
      </c>
      <c r="D280" t="s">
        <v>385</v>
      </c>
      <c r="E280" s="34">
        <v>124.3875</v>
      </c>
      <c r="F280" t="s">
        <v>15253</v>
      </c>
      <c r="G280" t="b">
        <v>0</v>
      </c>
    </row>
    <row r="281" spans="1:7" x14ac:dyDescent="0.25">
      <c r="A281" t="s">
        <v>13416</v>
      </c>
      <c r="B281" s="34">
        <v>24.863199999999999</v>
      </c>
      <c r="C281" s="34">
        <v>2.0719333333333299</v>
      </c>
      <c r="D281" t="s">
        <v>385</v>
      </c>
      <c r="E281" s="34">
        <v>62.158000000000001</v>
      </c>
      <c r="F281" t="s">
        <v>15886</v>
      </c>
      <c r="G281" t="b">
        <v>0</v>
      </c>
    </row>
    <row r="282" spans="1:7" x14ac:dyDescent="0.25">
      <c r="A282" t="s">
        <v>12583</v>
      </c>
      <c r="B282" s="34">
        <v>24.8504</v>
      </c>
      <c r="C282" s="34">
        <v>2.0708666666666602</v>
      </c>
      <c r="D282" t="s">
        <v>35</v>
      </c>
      <c r="E282" s="34">
        <v>41.417333333333303</v>
      </c>
      <c r="F282" t="s">
        <v>15058</v>
      </c>
      <c r="G282" t="b">
        <v>0</v>
      </c>
    </row>
    <row r="283" spans="1:7" x14ac:dyDescent="0.25">
      <c r="A283" t="s">
        <v>12889</v>
      </c>
      <c r="B283" s="34">
        <v>24.659099999999999</v>
      </c>
      <c r="C283" s="34">
        <v>2.0549249999999999</v>
      </c>
      <c r="D283" t="s">
        <v>471</v>
      </c>
      <c r="E283" s="34">
        <v>123.2955</v>
      </c>
      <c r="F283" t="s">
        <v>15364</v>
      </c>
      <c r="G283" t="b">
        <v>0</v>
      </c>
    </row>
    <row r="284" spans="1:7" x14ac:dyDescent="0.25">
      <c r="A284" t="s">
        <v>12697</v>
      </c>
      <c r="B284" s="34">
        <v>24.594197900000001</v>
      </c>
      <c r="C284" s="34">
        <v>2.0495164916666599</v>
      </c>
      <c r="D284" t="s">
        <v>35</v>
      </c>
      <c r="E284" s="34">
        <v>122.9709895</v>
      </c>
      <c r="F284" t="s">
        <v>15172</v>
      </c>
      <c r="G284" t="b">
        <v>0</v>
      </c>
    </row>
    <row r="285" spans="1:7" x14ac:dyDescent="0.25">
      <c r="A285" t="s">
        <v>12925</v>
      </c>
      <c r="B285" s="34">
        <v>24.375599999999999</v>
      </c>
      <c r="C285" s="34">
        <v>2.0312999999999999</v>
      </c>
      <c r="D285" t="s">
        <v>537</v>
      </c>
      <c r="E285" s="34">
        <v>121.878</v>
      </c>
      <c r="F285" t="s">
        <v>15400</v>
      </c>
      <c r="G285" t="b">
        <v>0</v>
      </c>
    </row>
    <row r="286" spans="1:7" x14ac:dyDescent="0.25">
      <c r="A286" t="s">
        <v>13108</v>
      </c>
      <c r="B286" s="34">
        <v>24.164000000000001</v>
      </c>
      <c r="C286" s="34">
        <v>2.0136666666666598</v>
      </c>
      <c r="D286" t="s">
        <v>35</v>
      </c>
      <c r="E286" s="34">
        <v>120.82</v>
      </c>
      <c r="F286" t="s">
        <v>15583</v>
      </c>
      <c r="G286" t="b">
        <v>0</v>
      </c>
    </row>
    <row r="287" spans="1:7" x14ac:dyDescent="0.25">
      <c r="A287" t="s">
        <v>13297</v>
      </c>
      <c r="B287" s="34">
        <v>24.1539</v>
      </c>
      <c r="C287" s="34">
        <v>2.0128249999999999</v>
      </c>
      <c r="D287" t="s">
        <v>35</v>
      </c>
      <c r="E287" s="34">
        <v>120.769499999999</v>
      </c>
      <c r="F287" t="s">
        <v>15768</v>
      </c>
      <c r="G287" t="b">
        <v>0</v>
      </c>
    </row>
    <row r="288" spans="1:7" x14ac:dyDescent="0.25">
      <c r="A288" t="s">
        <v>13093</v>
      </c>
      <c r="B288" s="34">
        <v>24.098199999999999</v>
      </c>
      <c r="C288" s="34">
        <v>2.0081833333333301</v>
      </c>
      <c r="D288" t="s">
        <v>35</v>
      </c>
      <c r="E288" s="34">
        <v>120.491</v>
      </c>
      <c r="F288" t="s">
        <v>15568</v>
      </c>
      <c r="G288" t="b">
        <v>0</v>
      </c>
    </row>
    <row r="289" spans="1:7" x14ac:dyDescent="0.25">
      <c r="A289" t="s">
        <v>13064</v>
      </c>
      <c r="B289" s="34">
        <v>24.005199999999999</v>
      </c>
      <c r="C289" s="34">
        <v>2.00043333333333</v>
      </c>
      <c r="D289" t="s">
        <v>162</v>
      </c>
      <c r="E289" s="34">
        <v>120.026</v>
      </c>
      <c r="F289" t="s">
        <v>15539</v>
      </c>
      <c r="G289" t="b">
        <v>0</v>
      </c>
    </row>
    <row r="290" spans="1:7" x14ac:dyDescent="0.25">
      <c r="A290" t="s">
        <v>12741</v>
      </c>
      <c r="B290" s="34">
        <v>23.990100000000002</v>
      </c>
      <c r="C290" s="34">
        <v>1.9991749999999999</v>
      </c>
      <c r="D290" t="s">
        <v>726</v>
      </c>
      <c r="E290" s="34">
        <v>119.95050000000001</v>
      </c>
      <c r="F290" t="s">
        <v>15216</v>
      </c>
      <c r="G290" t="b">
        <v>0</v>
      </c>
    </row>
    <row r="291" spans="1:7" x14ac:dyDescent="0.25">
      <c r="A291" t="s">
        <v>13296</v>
      </c>
      <c r="B291" s="34">
        <v>23.985800000000001</v>
      </c>
      <c r="C291" s="34">
        <v>1.99881666666666</v>
      </c>
      <c r="D291" t="s">
        <v>35</v>
      </c>
      <c r="E291" s="34">
        <v>119.929</v>
      </c>
      <c r="F291" t="s">
        <v>15767</v>
      </c>
      <c r="G291" t="b">
        <v>0</v>
      </c>
    </row>
    <row r="292" spans="1:7" x14ac:dyDescent="0.25">
      <c r="A292" t="s">
        <v>13479</v>
      </c>
      <c r="B292" s="34">
        <v>23.938600000000001</v>
      </c>
      <c r="C292" s="34">
        <v>1.99488333333333</v>
      </c>
      <c r="D292" t="s">
        <v>35</v>
      </c>
      <c r="E292" s="34">
        <v>23.938600000000001</v>
      </c>
      <c r="F292" t="s">
        <v>15948</v>
      </c>
      <c r="G292" t="b">
        <v>0</v>
      </c>
    </row>
    <row r="293" spans="1:7" x14ac:dyDescent="0.25">
      <c r="A293" t="s">
        <v>12585</v>
      </c>
      <c r="B293" s="34">
        <v>23.8309999999999</v>
      </c>
      <c r="C293" s="34">
        <v>1.9859166666666599</v>
      </c>
      <c r="D293" t="s">
        <v>162</v>
      </c>
      <c r="E293" s="34">
        <v>39.718333333333298</v>
      </c>
      <c r="F293" t="s">
        <v>15060</v>
      </c>
      <c r="G293" t="b">
        <v>0</v>
      </c>
    </row>
    <row r="294" spans="1:7" x14ac:dyDescent="0.25">
      <c r="A294" t="s">
        <v>13499</v>
      </c>
      <c r="B294" s="34">
        <v>23.744339999999902</v>
      </c>
      <c r="C294" s="34">
        <v>1.9786949999999901</v>
      </c>
      <c r="D294" t="s">
        <v>2696</v>
      </c>
      <c r="E294" s="34">
        <v>59.3608499999999</v>
      </c>
      <c r="F294" t="s">
        <v>15968</v>
      </c>
      <c r="G294" t="b">
        <v>0</v>
      </c>
    </row>
    <row r="295" spans="1:7" x14ac:dyDescent="0.25">
      <c r="A295" t="s">
        <v>12923</v>
      </c>
      <c r="B295" s="34">
        <v>23.638999999999999</v>
      </c>
      <c r="C295" s="34">
        <v>1.9699166666666601</v>
      </c>
      <c r="D295" t="s">
        <v>132</v>
      </c>
      <c r="E295" s="34">
        <v>118.19499999999999</v>
      </c>
      <c r="F295" t="s">
        <v>15398</v>
      </c>
      <c r="G295" t="b">
        <v>0</v>
      </c>
    </row>
    <row r="296" spans="1:7" x14ac:dyDescent="0.25">
      <c r="A296" t="s">
        <v>12718</v>
      </c>
      <c r="B296" s="34">
        <v>23.478000000000002</v>
      </c>
      <c r="C296" s="34">
        <v>1.9564999999999999</v>
      </c>
      <c r="D296" t="s">
        <v>35</v>
      </c>
      <c r="E296" s="34">
        <v>117.39</v>
      </c>
      <c r="F296" t="s">
        <v>15193</v>
      </c>
      <c r="G296" t="b">
        <v>0</v>
      </c>
    </row>
    <row r="297" spans="1:7" x14ac:dyDescent="0.25">
      <c r="A297" t="s">
        <v>13883</v>
      </c>
      <c r="B297" s="34">
        <v>23.4754</v>
      </c>
      <c r="C297" s="34">
        <v>1.95628333333333</v>
      </c>
      <c r="D297" t="s">
        <v>35</v>
      </c>
      <c r="E297" s="34">
        <v>58.688499999999998</v>
      </c>
      <c r="F297" t="s">
        <v>16350</v>
      </c>
      <c r="G297" t="b">
        <v>0</v>
      </c>
    </row>
    <row r="298" spans="1:7" x14ac:dyDescent="0.25">
      <c r="A298" t="s">
        <v>13806</v>
      </c>
      <c r="B298" s="34">
        <v>23.3886</v>
      </c>
      <c r="C298" s="34">
        <v>1.9490499999999999</v>
      </c>
      <c r="D298" t="s">
        <v>35</v>
      </c>
      <c r="E298" s="34">
        <v>116.943</v>
      </c>
      <c r="F298" t="s">
        <v>16273</v>
      </c>
      <c r="G298" t="b">
        <v>0</v>
      </c>
    </row>
    <row r="299" spans="1:7" x14ac:dyDescent="0.25">
      <c r="A299" t="s">
        <v>13271</v>
      </c>
      <c r="B299" s="34">
        <v>23.261279999999999</v>
      </c>
      <c r="C299" s="34">
        <v>1.9384399999999999</v>
      </c>
      <c r="D299" t="s">
        <v>162</v>
      </c>
      <c r="E299" s="34">
        <v>116.306399999999</v>
      </c>
      <c r="F299" t="s">
        <v>15743</v>
      </c>
      <c r="G299" t="b">
        <v>0</v>
      </c>
    </row>
    <row r="300" spans="1:7" x14ac:dyDescent="0.25">
      <c r="A300" t="s">
        <v>14139</v>
      </c>
      <c r="B300" s="34">
        <v>23.088723300000002</v>
      </c>
      <c r="C300" s="34">
        <v>1.924060275</v>
      </c>
      <c r="D300" t="s">
        <v>132</v>
      </c>
      <c r="E300" s="34">
        <v>115.4436165</v>
      </c>
      <c r="F300" t="s">
        <v>16606</v>
      </c>
      <c r="G300" t="b">
        <v>0</v>
      </c>
    </row>
    <row r="301" spans="1:7" x14ac:dyDescent="0.25">
      <c r="A301" t="s">
        <v>12914</v>
      </c>
      <c r="B301" s="34">
        <v>22.99</v>
      </c>
      <c r="C301" s="34">
        <v>1.9158333333333299</v>
      </c>
      <c r="D301" t="s">
        <v>6760</v>
      </c>
      <c r="E301" s="34">
        <v>114.95</v>
      </c>
      <c r="F301" t="s">
        <v>15389</v>
      </c>
      <c r="G301" t="b">
        <v>0</v>
      </c>
    </row>
    <row r="302" spans="1:7" x14ac:dyDescent="0.25">
      <c r="A302" t="s">
        <v>12646</v>
      </c>
      <c r="B302" s="34">
        <v>22.940579999999901</v>
      </c>
      <c r="C302" s="34">
        <v>1.9117150000000001</v>
      </c>
      <c r="D302" t="s">
        <v>35</v>
      </c>
      <c r="E302" s="34">
        <v>28.675725</v>
      </c>
      <c r="F302" t="s">
        <v>15121</v>
      </c>
      <c r="G302" t="b">
        <v>0</v>
      </c>
    </row>
    <row r="303" spans="1:7" x14ac:dyDescent="0.25">
      <c r="A303" t="s">
        <v>13117</v>
      </c>
      <c r="B303" s="34">
        <v>22.935718300000001</v>
      </c>
      <c r="C303" s="34">
        <v>1.9113098583333299</v>
      </c>
      <c r="D303" t="s">
        <v>35</v>
      </c>
      <c r="E303" s="34">
        <v>114.6785915</v>
      </c>
      <c r="F303" t="s">
        <v>15592</v>
      </c>
      <c r="G303" t="b">
        <v>0</v>
      </c>
    </row>
    <row r="304" spans="1:7" x14ac:dyDescent="0.25">
      <c r="A304" t="s">
        <v>13921</v>
      </c>
      <c r="B304" s="34">
        <v>22.929200000000002</v>
      </c>
      <c r="C304" s="34">
        <v>1.9107666666666601</v>
      </c>
      <c r="D304" t="s">
        <v>132</v>
      </c>
      <c r="E304" s="34">
        <v>114.646</v>
      </c>
      <c r="F304" t="s">
        <v>16388</v>
      </c>
      <c r="G304" t="b">
        <v>0</v>
      </c>
    </row>
    <row r="305" spans="1:7" x14ac:dyDescent="0.25">
      <c r="A305" t="s">
        <v>13912</v>
      </c>
      <c r="B305" s="34">
        <v>22.9</v>
      </c>
      <c r="C305" s="34">
        <v>1.9083333333333301</v>
      </c>
      <c r="D305" t="s">
        <v>853</v>
      </c>
      <c r="E305" s="34">
        <v>114.5</v>
      </c>
      <c r="F305" t="s">
        <v>16379</v>
      </c>
      <c r="G305" t="b">
        <v>0</v>
      </c>
    </row>
    <row r="306" spans="1:7" x14ac:dyDescent="0.25">
      <c r="A306" t="s">
        <v>13936</v>
      </c>
      <c r="B306" s="34">
        <v>22.748000000000001</v>
      </c>
      <c r="C306" s="34">
        <v>1.8956666666666599</v>
      </c>
      <c r="D306" t="s">
        <v>1519</v>
      </c>
      <c r="E306" s="34">
        <v>113.74</v>
      </c>
      <c r="F306" t="s">
        <v>16403</v>
      </c>
      <c r="G306" t="b">
        <v>0</v>
      </c>
    </row>
    <row r="307" spans="1:7" x14ac:dyDescent="0.25">
      <c r="A307" t="s">
        <v>12611</v>
      </c>
      <c r="B307" s="34">
        <v>22.53182</v>
      </c>
      <c r="C307" s="34">
        <v>1.8776516666666601</v>
      </c>
      <c r="D307" t="s">
        <v>35</v>
      </c>
      <c r="E307" s="34">
        <v>56.329549999999998</v>
      </c>
      <c r="F307" t="s">
        <v>15086</v>
      </c>
      <c r="G307" t="b">
        <v>0</v>
      </c>
    </row>
    <row r="308" spans="1:7" x14ac:dyDescent="0.25">
      <c r="A308" t="s">
        <v>13140</v>
      </c>
      <c r="B308" s="34">
        <v>22.2471</v>
      </c>
      <c r="C308" s="34">
        <v>1.853925</v>
      </c>
      <c r="D308" t="s">
        <v>1345</v>
      </c>
      <c r="E308" s="34">
        <v>111.2355</v>
      </c>
      <c r="F308" t="s">
        <v>15615</v>
      </c>
      <c r="G308" t="b">
        <v>0</v>
      </c>
    </row>
    <row r="309" spans="1:7" x14ac:dyDescent="0.25">
      <c r="A309" t="s">
        <v>12635</v>
      </c>
      <c r="B309" s="34">
        <v>22.0326997599999</v>
      </c>
      <c r="C309" s="34">
        <v>1.8360583133333299</v>
      </c>
      <c r="D309" t="s">
        <v>35</v>
      </c>
      <c r="E309" s="34">
        <v>27.5408746999999</v>
      </c>
      <c r="F309" t="s">
        <v>15110</v>
      </c>
      <c r="G309" t="b">
        <v>0</v>
      </c>
    </row>
    <row r="310" spans="1:7" x14ac:dyDescent="0.25">
      <c r="A310" t="s">
        <v>14401</v>
      </c>
      <c r="B310" s="34">
        <v>21.956899999999901</v>
      </c>
      <c r="C310" s="34">
        <v>1.8297416666666599</v>
      </c>
      <c r="D310" t="s">
        <v>209</v>
      </c>
      <c r="E310" s="34">
        <v>54.892249999999997</v>
      </c>
      <c r="F310" t="s">
        <v>16863</v>
      </c>
      <c r="G310" t="b">
        <v>0</v>
      </c>
    </row>
    <row r="311" spans="1:7" x14ac:dyDescent="0.25">
      <c r="A311" t="s">
        <v>13308</v>
      </c>
      <c r="B311" s="34">
        <v>21.867100000000001</v>
      </c>
      <c r="C311" s="34">
        <v>1.82225833333333</v>
      </c>
      <c r="D311" t="s">
        <v>512</v>
      </c>
      <c r="E311" s="34">
        <v>109.3355</v>
      </c>
      <c r="F311" t="s">
        <v>15778</v>
      </c>
      <c r="G311" t="b">
        <v>0</v>
      </c>
    </row>
    <row r="312" spans="1:7" x14ac:dyDescent="0.25">
      <c r="A312" t="s">
        <v>13150</v>
      </c>
      <c r="B312" s="34">
        <v>21.861599999999999</v>
      </c>
      <c r="C312" s="34">
        <v>1.8218000000000001</v>
      </c>
      <c r="D312" t="s">
        <v>35</v>
      </c>
      <c r="E312" s="34">
        <v>109.307999999999</v>
      </c>
      <c r="F312" t="s">
        <v>15625</v>
      </c>
      <c r="G312" t="b">
        <v>0</v>
      </c>
    </row>
    <row r="313" spans="1:7" x14ac:dyDescent="0.25">
      <c r="A313" t="s">
        <v>13429</v>
      </c>
      <c r="B313" s="34">
        <v>21.8613</v>
      </c>
      <c r="C313" s="34">
        <v>1.8217749999999999</v>
      </c>
      <c r="D313" t="s">
        <v>35</v>
      </c>
      <c r="E313" s="34">
        <v>109.3065</v>
      </c>
      <c r="F313" t="s">
        <v>15899</v>
      </c>
      <c r="G313" t="b">
        <v>0</v>
      </c>
    </row>
    <row r="314" spans="1:7" x14ac:dyDescent="0.25">
      <c r="A314" t="s">
        <v>13063</v>
      </c>
      <c r="B314" s="34">
        <v>21.851600000000001</v>
      </c>
      <c r="C314" s="34">
        <v>1.82096666666666</v>
      </c>
      <c r="D314" t="s">
        <v>162</v>
      </c>
      <c r="E314" s="34">
        <v>109.257999999999</v>
      </c>
      <c r="F314" t="s">
        <v>15538</v>
      </c>
      <c r="G314" t="b">
        <v>0</v>
      </c>
    </row>
    <row r="315" spans="1:7" x14ac:dyDescent="0.25">
      <c r="A315" t="s">
        <v>13119</v>
      </c>
      <c r="B315" s="34">
        <v>21.840800000000002</v>
      </c>
      <c r="C315" s="34">
        <v>1.8200666666666601</v>
      </c>
      <c r="D315" t="s">
        <v>35</v>
      </c>
      <c r="E315" s="34">
        <v>109.20399999999999</v>
      </c>
      <c r="F315" t="s">
        <v>15594</v>
      </c>
      <c r="G315" t="b">
        <v>0</v>
      </c>
    </row>
    <row r="316" spans="1:7" x14ac:dyDescent="0.25">
      <c r="A316" t="s">
        <v>13558</v>
      </c>
      <c r="B316" s="34">
        <v>21.791499999999999</v>
      </c>
      <c r="C316" s="34">
        <v>1.81595833333333</v>
      </c>
      <c r="D316" t="s">
        <v>35</v>
      </c>
      <c r="E316" s="34">
        <v>108.9575</v>
      </c>
      <c r="F316" t="s">
        <v>16027</v>
      </c>
      <c r="G316" t="b">
        <v>0</v>
      </c>
    </row>
    <row r="317" spans="1:7" x14ac:dyDescent="0.25">
      <c r="A317" t="s">
        <v>14100</v>
      </c>
      <c r="B317" s="34">
        <v>21.686399999999999</v>
      </c>
      <c r="C317" s="34">
        <v>1.8071999999999999</v>
      </c>
      <c r="D317" t="s">
        <v>2273</v>
      </c>
      <c r="E317" s="34">
        <v>108.432</v>
      </c>
      <c r="F317" t="s">
        <v>16567</v>
      </c>
      <c r="G317" t="b">
        <v>0</v>
      </c>
    </row>
    <row r="318" spans="1:7" x14ac:dyDescent="0.25">
      <c r="A318" t="s">
        <v>14467</v>
      </c>
      <c r="B318" s="34">
        <v>21.660889999999998</v>
      </c>
      <c r="C318" s="34">
        <v>1.8050741666666601</v>
      </c>
      <c r="D318" t="s">
        <v>35</v>
      </c>
      <c r="E318" s="34">
        <v>108.30445</v>
      </c>
      <c r="F318" t="s">
        <v>16927</v>
      </c>
      <c r="G318" t="b">
        <v>0</v>
      </c>
    </row>
    <row r="319" spans="1:7" x14ac:dyDescent="0.25">
      <c r="A319" t="s">
        <v>13087</v>
      </c>
      <c r="B319" s="34">
        <v>21.592500000000001</v>
      </c>
      <c r="C319" s="34">
        <v>1.7993749999999999</v>
      </c>
      <c r="D319" t="s">
        <v>290</v>
      </c>
      <c r="E319" s="34">
        <v>107.96250000000001</v>
      </c>
      <c r="F319" t="s">
        <v>15562</v>
      </c>
      <c r="G319" t="b">
        <v>0</v>
      </c>
    </row>
    <row r="320" spans="1:7" x14ac:dyDescent="0.25">
      <c r="A320" t="s">
        <v>12599</v>
      </c>
      <c r="B320" s="34">
        <v>21.580175999999899</v>
      </c>
      <c r="C320" s="34">
        <v>1.7983479999999901</v>
      </c>
      <c r="D320" t="s">
        <v>385</v>
      </c>
      <c r="E320" s="34">
        <v>21.580176000000002</v>
      </c>
      <c r="F320" t="s">
        <v>15074</v>
      </c>
      <c r="G320" t="b">
        <v>0</v>
      </c>
    </row>
    <row r="321" spans="1:7" x14ac:dyDescent="0.25">
      <c r="A321" t="s">
        <v>12865</v>
      </c>
      <c r="B321" s="34">
        <v>21.459219999999998</v>
      </c>
      <c r="C321" s="34">
        <v>1.78826833333333</v>
      </c>
      <c r="D321" t="s">
        <v>132</v>
      </c>
      <c r="E321" s="34">
        <v>107.2961</v>
      </c>
      <c r="F321" t="s">
        <v>15340</v>
      </c>
      <c r="G321" t="b">
        <v>0</v>
      </c>
    </row>
    <row r="322" spans="1:7" x14ac:dyDescent="0.25">
      <c r="A322" t="s">
        <v>13828</v>
      </c>
      <c r="B322" s="34">
        <v>21.429300000000001</v>
      </c>
      <c r="C322" s="34">
        <v>1.7857749999999999</v>
      </c>
      <c r="D322" t="s">
        <v>145</v>
      </c>
      <c r="E322" s="34">
        <v>107.1465</v>
      </c>
      <c r="F322" t="s">
        <v>16295</v>
      </c>
      <c r="G322" t="b">
        <v>0</v>
      </c>
    </row>
    <row r="323" spans="1:7" x14ac:dyDescent="0.25">
      <c r="A323" t="s">
        <v>13516</v>
      </c>
      <c r="B323" s="34">
        <v>21.407800000000002</v>
      </c>
      <c r="C323" s="34">
        <v>1.7839833333333299</v>
      </c>
      <c r="D323" t="s">
        <v>1519</v>
      </c>
      <c r="E323" s="34">
        <v>107.039</v>
      </c>
      <c r="F323" t="s">
        <v>15985</v>
      </c>
      <c r="G323" t="b">
        <v>0</v>
      </c>
    </row>
    <row r="324" spans="1:7" x14ac:dyDescent="0.25">
      <c r="A324" t="s">
        <v>13171</v>
      </c>
      <c r="B324" s="34">
        <v>21.289200000000001</v>
      </c>
      <c r="C324" s="34">
        <v>1.7741</v>
      </c>
      <c r="D324" t="s">
        <v>566</v>
      </c>
      <c r="E324" s="34">
        <v>106.446</v>
      </c>
      <c r="F324" t="s">
        <v>15645</v>
      </c>
      <c r="G324" t="b">
        <v>0</v>
      </c>
    </row>
    <row r="325" spans="1:7" x14ac:dyDescent="0.25">
      <c r="A325" t="s">
        <v>12894</v>
      </c>
      <c r="B325" s="34">
        <v>21.2456</v>
      </c>
      <c r="C325" s="34">
        <v>1.77046666666666</v>
      </c>
      <c r="D325" t="s">
        <v>1861</v>
      </c>
      <c r="E325" s="34">
        <v>106.22799999999999</v>
      </c>
      <c r="F325" t="s">
        <v>15369</v>
      </c>
      <c r="G325" t="b">
        <v>0</v>
      </c>
    </row>
    <row r="326" spans="1:7" x14ac:dyDescent="0.25">
      <c r="A326" t="s">
        <v>13348</v>
      </c>
      <c r="B326" s="34">
        <v>21.130199999999999</v>
      </c>
      <c r="C326" s="34">
        <v>1.76085</v>
      </c>
      <c r="D326" t="s">
        <v>35</v>
      </c>
      <c r="E326" s="34">
        <v>105.651</v>
      </c>
      <c r="F326" t="s">
        <v>15818</v>
      </c>
      <c r="G326" t="b">
        <v>0</v>
      </c>
    </row>
    <row r="327" spans="1:7" x14ac:dyDescent="0.25">
      <c r="A327" t="s">
        <v>13757</v>
      </c>
      <c r="B327" s="34">
        <v>21.119</v>
      </c>
      <c r="C327" s="34">
        <v>1.7599166666666599</v>
      </c>
      <c r="D327" t="s">
        <v>35</v>
      </c>
      <c r="E327" s="34">
        <v>52.797499999999999</v>
      </c>
      <c r="F327" t="s">
        <v>16225</v>
      </c>
      <c r="G327" t="b">
        <v>0</v>
      </c>
    </row>
    <row r="328" spans="1:7" x14ac:dyDescent="0.25">
      <c r="A328" t="s">
        <v>12626</v>
      </c>
      <c r="B328" s="34">
        <v>21.115459999999999</v>
      </c>
      <c r="C328" s="34">
        <v>1.75962166666666</v>
      </c>
      <c r="D328" t="s">
        <v>13</v>
      </c>
      <c r="E328" s="34">
        <v>17.596216666666599</v>
      </c>
      <c r="F328" t="s">
        <v>15101</v>
      </c>
      <c r="G328" t="b">
        <v>0</v>
      </c>
    </row>
    <row r="329" spans="1:7" x14ac:dyDescent="0.25">
      <c r="A329" t="s">
        <v>12558</v>
      </c>
      <c r="B329" s="34">
        <v>21.101515999999901</v>
      </c>
      <c r="C329" s="34">
        <v>1.7584596666666601</v>
      </c>
      <c r="D329" t="s">
        <v>145</v>
      </c>
      <c r="E329" s="34">
        <v>26.376894999999902</v>
      </c>
      <c r="F329" t="s">
        <v>15033</v>
      </c>
      <c r="G329" t="b">
        <v>0</v>
      </c>
    </row>
    <row r="330" spans="1:7" x14ac:dyDescent="0.25">
      <c r="A330" t="s">
        <v>13155</v>
      </c>
      <c r="B330" s="34">
        <v>21.088999999999999</v>
      </c>
      <c r="C330" s="34">
        <v>1.75741666666666</v>
      </c>
      <c r="D330" t="s">
        <v>253</v>
      </c>
      <c r="E330" s="34">
        <v>105.44499999999999</v>
      </c>
      <c r="F330" t="s">
        <v>15630</v>
      </c>
      <c r="G330" t="b">
        <v>0</v>
      </c>
    </row>
    <row r="331" spans="1:7" x14ac:dyDescent="0.25">
      <c r="A331" t="s">
        <v>13536</v>
      </c>
      <c r="B331" s="34">
        <v>20.961010000000002</v>
      </c>
      <c r="C331" s="34">
        <v>1.7467508333333299</v>
      </c>
      <c r="D331" t="s">
        <v>215</v>
      </c>
      <c r="E331" s="34">
        <v>14.972149999999999</v>
      </c>
      <c r="F331" t="s">
        <v>16005</v>
      </c>
      <c r="G331" t="b">
        <v>0</v>
      </c>
    </row>
    <row r="332" spans="1:7" x14ac:dyDescent="0.25">
      <c r="A332" t="s">
        <v>12764</v>
      </c>
      <c r="B332" s="34">
        <v>20.835149999999999</v>
      </c>
      <c r="C332" s="34">
        <v>1.73626249999999</v>
      </c>
      <c r="D332" t="s">
        <v>221</v>
      </c>
      <c r="E332" s="34">
        <v>104.17574999999999</v>
      </c>
      <c r="F332" t="s">
        <v>15239</v>
      </c>
      <c r="G332" t="b">
        <v>0</v>
      </c>
    </row>
    <row r="333" spans="1:7" x14ac:dyDescent="0.25">
      <c r="A333" t="s">
        <v>12537</v>
      </c>
      <c r="B333" s="34">
        <v>20.644656000000001</v>
      </c>
      <c r="C333" s="34">
        <v>1.72038799999999</v>
      </c>
      <c r="D333" t="s">
        <v>571</v>
      </c>
      <c r="E333" s="34">
        <v>103.22328</v>
      </c>
      <c r="F333" t="s">
        <v>15012</v>
      </c>
      <c r="G333" t="b">
        <v>0</v>
      </c>
    </row>
    <row r="334" spans="1:7" x14ac:dyDescent="0.25">
      <c r="A334" t="s">
        <v>13146</v>
      </c>
      <c r="B334" s="34">
        <v>20.521999999999998</v>
      </c>
      <c r="C334" s="34">
        <v>1.71016666666666</v>
      </c>
      <c r="D334" t="s">
        <v>561</v>
      </c>
      <c r="E334" s="34">
        <v>102.61</v>
      </c>
      <c r="F334" t="s">
        <v>15621</v>
      </c>
      <c r="G334" t="b">
        <v>0</v>
      </c>
    </row>
    <row r="335" spans="1:7" x14ac:dyDescent="0.25">
      <c r="A335" t="s">
        <v>12685</v>
      </c>
      <c r="B335" s="34">
        <v>20.510899999999999</v>
      </c>
      <c r="C335" s="34">
        <v>1.7092416666666601</v>
      </c>
      <c r="D335" t="s">
        <v>221</v>
      </c>
      <c r="E335" s="34">
        <v>102.5545</v>
      </c>
      <c r="F335" t="s">
        <v>15160</v>
      </c>
      <c r="G335" t="b">
        <v>0</v>
      </c>
    </row>
    <row r="336" spans="1:7" x14ac:dyDescent="0.25">
      <c r="A336" t="s">
        <v>12637</v>
      </c>
      <c r="B336" s="34">
        <v>20.295932699999899</v>
      </c>
      <c r="C336" s="34">
        <v>1.6913277249999901</v>
      </c>
      <c r="D336" t="s">
        <v>35</v>
      </c>
      <c r="E336" s="34">
        <v>33.8265545</v>
      </c>
      <c r="F336" t="s">
        <v>15112</v>
      </c>
      <c r="G336" t="b">
        <v>0</v>
      </c>
    </row>
    <row r="337" spans="1:7" x14ac:dyDescent="0.25">
      <c r="A337" t="s">
        <v>14027</v>
      </c>
      <c r="B337" s="34">
        <v>20.212</v>
      </c>
      <c r="C337" s="34">
        <v>1.6843333333333299</v>
      </c>
      <c r="D337" t="s">
        <v>139</v>
      </c>
      <c r="E337" s="34">
        <v>50.53</v>
      </c>
      <c r="F337" t="s">
        <v>16494</v>
      </c>
      <c r="G337" t="b">
        <v>0</v>
      </c>
    </row>
    <row r="338" spans="1:7" x14ac:dyDescent="0.25">
      <c r="A338" t="s">
        <v>13135</v>
      </c>
      <c r="B338" s="34">
        <v>20.05</v>
      </c>
      <c r="C338" s="34">
        <v>1.6708333333333301</v>
      </c>
      <c r="D338" t="s">
        <v>13</v>
      </c>
      <c r="E338" s="34">
        <v>100.25</v>
      </c>
      <c r="F338" t="s">
        <v>15610</v>
      </c>
      <c r="G338" t="b">
        <v>0</v>
      </c>
    </row>
    <row r="339" spans="1:7" x14ac:dyDescent="0.25">
      <c r="A339" t="s">
        <v>14385</v>
      </c>
      <c r="B339" s="34">
        <v>20.0259</v>
      </c>
      <c r="C339" s="34">
        <v>1.668825</v>
      </c>
      <c r="D339" t="s">
        <v>104</v>
      </c>
      <c r="E339" s="34">
        <v>100.12949999999999</v>
      </c>
      <c r="F339" t="s">
        <v>16847</v>
      </c>
      <c r="G339" t="b">
        <v>0</v>
      </c>
    </row>
    <row r="340" spans="1:7" x14ac:dyDescent="0.25">
      <c r="A340" t="s">
        <v>14074</v>
      </c>
      <c r="B340" s="34">
        <v>20.001000000000001</v>
      </c>
      <c r="C340" s="34">
        <v>1.66675</v>
      </c>
      <c r="D340" t="s">
        <v>1861</v>
      </c>
      <c r="E340" s="34">
        <v>100.005</v>
      </c>
      <c r="F340" t="s">
        <v>16541</v>
      </c>
      <c r="G340" t="b">
        <v>0</v>
      </c>
    </row>
    <row r="341" spans="1:7" x14ac:dyDescent="0.25">
      <c r="A341" t="s">
        <v>13997</v>
      </c>
      <c r="B341" s="34">
        <v>19.888400000000001</v>
      </c>
      <c r="C341" s="34">
        <v>1.65736666666666</v>
      </c>
      <c r="D341" t="s">
        <v>1032</v>
      </c>
      <c r="E341" s="34">
        <v>99.441999999999993</v>
      </c>
      <c r="F341" t="s">
        <v>16464</v>
      </c>
      <c r="G341" t="b">
        <v>0</v>
      </c>
    </row>
    <row r="342" spans="1:7" x14ac:dyDescent="0.25">
      <c r="A342" t="s">
        <v>14051</v>
      </c>
      <c r="B342" s="34">
        <v>19.883799999999901</v>
      </c>
      <c r="C342" s="34">
        <v>1.6569833333333299</v>
      </c>
      <c r="D342" t="s">
        <v>35</v>
      </c>
      <c r="E342" s="34">
        <v>49.709499999999899</v>
      </c>
      <c r="F342" t="s">
        <v>16518</v>
      </c>
      <c r="G342" t="b">
        <v>0</v>
      </c>
    </row>
    <row r="343" spans="1:7" x14ac:dyDescent="0.25">
      <c r="A343" t="s">
        <v>14364</v>
      </c>
      <c r="B343" s="34">
        <v>19.878620000000002</v>
      </c>
      <c r="C343" s="34">
        <v>1.65655166666666</v>
      </c>
      <c r="D343" t="s">
        <v>168</v>
      </c>
      <c r="E343" s="34">
        <v>49.696550000000002</v>
      </c>
      <c r="F343" t="s">
        <v>16826</v>
      </c>
      <c r="G343" t="b">
        <v>0</v>
      </c>
    </row>
    <row r="344" spans="1:7" x14ac:dyDescent="0.25">
      <c r="A344" t="s">
        <v>12533</v>
      </c>
      <c r="B344" s="34">
        <v>19.835000000000001</v>
      </c>
      <c r="C344" s="34">
        <v>1.6529166666666599</v>
      </c>
      <c r="D344" t="s">
        <v>1281</v>
      </c>
      <c r="E344" s="34">
        <v>99.174999999999898</v>
      </c>
      <c r="F344" t="s">
        <v>15008</v>
      </c>
      <c r="G344" t="b">
        <v>0</v>
      </c>
    </row>
    <row r="345" spans="1:7" x14ac:dyDescent="0.25">
      <c r="A345" t="s">
        <v>14498</v>
      </c>
      <c r="B345" s="34">
        <v>19.771899999999999</v>
      </c>
      <c r="C345" s="34">
        <v>1.6476583333333299</v>
      </c>
      <c r="D345" t="s">
        <v>122</v>
      </c>
      <c r="E345" s="34">
        <v>98.859499999999997</v>
      </c>
      <c r="F345" t="s">
        <v>16958</v>
      </c>
      <c r="G345" t="b">
        <v>0</v>
      </c>
    </row>
    <row r="346" spans="1:7" x14ac:dyDescent="0.25">
      <c r="A346" t="s">
        <v>13143</v>
      </c>
      <c r="B346" s="34">
        <v>19.670000000000002</v>
      </c>
      <c r="C346" s="34">
        <v>1.63916666666666</v>
      </c>
      <c r="D346" t="s">
        <v>1288</v>
      </c>
      <c r="E346" s="34">
        <v>98.35</v>
      </c>
      <c r="F346" t="s">
        <v>15618</v>
      </c>
      <c r="G346" t="b">
        <v>0</v>
      </c>
    </row>
    <row r="347" spans="1:7" x14ac:dyDescent="0.25">
      <c r="A347" t="s">
        <v>12842</v>
      </c>
      <c r="B347" s="34">
        <v>19.5304</v>
      </c>
      <c r="C347" s="34">
        <v>1.6275333333333299</v>
      </c>
      <c r="D347" t="s">
        <v>873</v>
      </c>
      <c r="E347" s="34">
        <v>97.652000000000001</v>
      </c>
      <c r="F347" t="s">
        <v>15317</v>
      </c>
      <c r="G347" t="b">
        <v>0</v>
      </c>
    </row>
    <row r="348" spans="1:7" x14ac:dyDescent="0.25">
      <c r="A348" t="s">
        <v>13928</v>
      </c>
      <c r="B348" s="34">
        <v>19.512</v>
      </c>
      <c r="C348" s="34">
        <v>1.6259999999999999</v>
      </c>
      <c r="D348" t="s">
        <v>548</v>
      </c>
      <c r="E348" s="34">
        <v>97.56</v>
      </c>
      <c r="F348" t="s">
        <v>16395</v>
      </c>
      <c r="G348" t="b">
        <v>0</v>
      </c>
    </row>
    <row r="349" spans="1:7" x14ac:dyDescent="0.25">
      <c r="A349" t="s">
        <v>14016</v>
      </c>
      <c r="B349" s="34">
        <v>19.384400289999999</v>
      </c>
      <c r="C349" s="34">
        <v>1.61536669083333</v>
      </c>
      <c r="D349" t="s">
        <v>13</v>
      </c>
      <c r="E349" s="34">
        <v>24.2305003624999</v>
      </c>
      <c r="F349" t="s">
        <v>16483</v>
      </c>
      <c r="G349" t="b">
        <v>0</v>
      </c>
    </row>
    <row r="350" spans="1:7" x14ac:dyDescent="0.25">
      <c r="A350" t="s">
        <v>14115</v>
      </c>
      <c r="B350" s="34">
        <v>19.239999999999998</v>
      </c>
      <c r="C350" s="34">
        <v>1.6033333333333299</v>
      </c>
      <c r="D350" t="s">
        <v>35</v>
      </c>
      <c r="E350" s="34">
        <v>96.2</v>
      </c>
      <c r="F350" t="s">
        <v>16582</v>
      </c>
      <c r="G350" t="b">
        <v>0</v>
      </c>
    </row>
    <row r="351" spans="1:7" x14ac:dyDescent="0.25">
      <c r="A351" t="s">
        <v>13432</v>
      </c>
      <c r="B351" s="34">
        <v>19.150600000000001</v>
      </c>
      <c r="C351" s="34">
        <v>1.59588333333333</v>
      </c>
      <c r="D351" t="s">
        <v>2273</v>
      </c>
      <c r="E351" s="34">
        <v>95.752999999999901</v>
      </c>
      <c r="F351" t="s">
        <v>15901</v>
      </c>
      <c r="G351" t="b">
        <v>0</v>
      </c>
    </row>
    <row r="352" spans="1:7" x14ac:dyDescent="0.25">
      <c r="A352" t="s">
        <v>13529</v>
      </c>
      <c r="B352" s="34">
        <v>19.034500000000001</v>
      </c>
      <c r="C352" s="34">
        <v>1.5862083333333299</v>
      </c>
      <c r="D352" t="s">
        <v>35</v>
      </c>
      <c r="E352" s="34">
        <v>95.172499999999999</v>
      </c>
      <c r="F352" t="s">
        <v>15998</v>
      </c>
      <c r="G352" t="b">
        <v>0</v>
      </c>
    </row>
    <row r="353" spans="1:7" x14ac:dyDescent="0.25">
      <c r="A353" t="s">
        <v>13100</v>
      </c>
      <c r="B353" s="34">
        <v>18.992599999999999</v>
      </c>
      <c r="C353" s="34">
        <v>1.5827166666666601</v>
      </c>
      <c r="D353" t="s">
        <v>132</v>
      </c>
      <c r="E353" s="34">
        <v>94.962999999999994</v>
      </c>
      <c r="F353" t="s">
        <v>15575</v>
      </c>
      <c r="G353" t="b">
        <v>0</v>
      </c>
    </row>
    <row r="354" spans="1:7" x14ac:dyDescent="0.25">
      <c r="A354" t="s">
        <v>14447</v>
      </c>
      <c r="B354" s="34">
        <v>18.882400000000001</v>
      </c>
      <c r="C354" s="34">
        <v>1.5735333333333299</v>
      </c>
      <c r="D354" t="s">
        <v>115</v>
      </c>
      <c r="E354" s="34">
        <v>94.412000000000006</v>
      </c>
      <c r="F354" t="s">
        <v>16907</v>
      </c>
      <c r="G354" t="b">
        <v>0</v>
      </c>
    </row>
    <row r="355" spans="1:7" x14ac:dyDescent="0.25">
      <c r="A355" t="s">
        <v>14790</v>
      </c>
      <c r="B355" s="34">
        <v>18.859400000000001</v>
      </c>
      <c r="C355" s="34">
        <v>1.57161666666666</v>
      </c>
      <c r="D355" t="s">
        <v>90</v>
      </c>
      <c r="E355" s="34">
        <v>47.148499999999999</v>
      </c>
      <c r="F355" t="s">
        <v>17236</v>
      </c>
      <c r="G355" t="b">
        <v>0</v>
      </c>
    </row>
    <row r="356" spans="1:7" x14ac:dyDescent="0.25">
      <c r="A356" t="s">
        <v>13016</v>
      </c>
      <c r="B356" s="34">
        <v>18.646000000000001</v>
      </c>
      <c r="C356" s="34">
        <v>1.5538333333333301</v>
      </c>
      <c r="D356" t="s">
        <v>873</v>
      </c>
      <c r="E356" s="34">
        <v>93.23</v>
      </c>
      <c r="F356" t="s">
        <v>15491</v>
      </c>
      <c r="G356" t="b">
        <v>0</v>
      </c>
    </row>
    <row r="357" spans="1:7" x14ac:dyDescent="0.25">
      <c r="A357" t="s">
        <v>14147</v>
      </c>
      <c r="B357" s="34">
        <v>18.590719999999902</v>
      </c>
      <c r="C357" s="34">
        <v>1.5492266666666601</v>
      </c>
      <c r="D357" t="s">
        <v>1336</v>
      </c>
      <c r="E357" s="34">
        <v>30.9845333333333</v>
      </c>
      <c r="F357" t="s">
        <v>16614</v>
      </c>
      <c r="G357" t="b">
        <v>0</v>
      </c>
    </row>
    <row r="358" spans="1:7" x14ac:dyDescent="0.25">
      <c r="A358" t="s">
        <v>12719</v>
      </c>
      <c r="B358" s="34">
        <v>18.484000000000002</v>
      </c>
      <c r="C358" s="34">
        <v>1.54033333333333</v>
      </c>
      <c r="D358" t="s">
        <v>480</v>
      </c>
      <c r="E358" s="34">
        <v>92.42</v>
      </c>
      <c r="F358" t="s">
        <v>15194</v>
      </c>
      <c r="G358" t="b">
        <v>0</v>
      </c>
    </row>
    <row r="359" spans="1:7" x14ac:dyDescent="0.25">
      <c r="A359" t="s">
        <v>14680</v>
      </c>
      <c r="B359" s="34">
        <v>18.435199999999998</v>
      </c>
      <c r="C359" s="34">
        <v>1.53626666666666</v>
      </c>
      <c r="D359" t="s">
        <v>215</v>
      </c>
      <c r="E359" s="34">
        <v>92.176000000000002</v>
      </c>
      <c r="F359" t="s">
        <v>17133</v>
      </c>
      <c r="G359" t="b">
        <v>0</v>
      </c>
    </row>
    <row r="360" spans="1:7" x14ac:dyDescent="0.25">
      <c r="A360" t="s">
        <v>13336</v>
      </c>
      <c r="B360" s="34">
        <v>18.396394300000001</v>
      </c>
      <c r="C360" s="34">
        <v>1.5330328583333299</v>
      </c>
      <c r="D360" t="s">
        <v>215</v>
      </c>
      <c r="E360" s="34">
        <v>91.9819715</v>
      </c>
      <c r="F360" t="s">
        <v>15806</v>
      </c>
      <c r="G360" t="b">
        <v>0</v>
      </c>
    </row>
    <row r="361" spans="1:7" x14ac:dyDescent="0.25">
      <c r="A361" t="s">
        <v>13842</v>
      </c>
      <c r="B361" s="34">
        <v>18.222481800000001</v>
      </c>
      <c r="C361" s="34">
        <v>1.51854015</v>
      </c>
      <c r="D361" t="s">
        <v>97</v>
      </c>
      <c r="E361" s="34">
        <v>30.370802999999999</v>
      </c>
      <c r="F361" t="s">
        <v>16309</v>
      </c>
      <c r="G361" t="b">
        <v>0</v>
      </c>
    </row>
    <row r="362" spans="1:7" x14ac:dyDescent="0.25">
      <c r="A362" t="s">
        <v>14143</v>
      </c>
      <c r="B362" s="34">
        <v>18.158379999999902</v>
      </c>
      <c r="C362" s="34">
        <v>1.5131983333333301</v>
      </c>
      <c r="D362" t="s">
        <v>132</v>
      </c>
      <c r="E362" s="34">
        <v>90.791899999999998</v>
      </c>
      <c r="F362" t="s">
        <v>16610</v>
      </c>
      <c r="G362" t="b">
        <v>0</v>
      </c>
    </row>
    <row r="363" spans="1:7" x14ac:dyDescent="0.25">
      <c r="A363" t="s">
        <v>13258</v>
      </c>
      <c r="B363" s="34">
        <v>18.154042400000002</v>
      </c>
      <c r="C363" s="34">
        <v>1.5128368666666601</v>
      </c>
      <c r="D363" t="s">
        <v>139</v>
      </c>
      <c r="E363" s="34">
        <v>90.770212000000001</v>
      </c>
      <c r="F363" t="s">
        <v>15731</v>
      </c>
      <c r="G363" t="b">
        <v>0</v>
      </c>
    </row>
    <row r="364" spans="1:7" x14ac:dyDescent="0.25">
      <c r="A364" t="s">
        <v>12851</v>
      </c>
      <c r="B364" s="34">
        <v>18.140059999999899</v>
      </c>
      <c r="C364" s="34">
        <v>1.5116716666666601</v>
      </c>
      <c r="D364" t="s">
        <v>3656</v>
      </c>
      <c r="E364" s="34">
        <v>45.3501499999999</v>
      </c>
      <c r="F364" t="s">
        <v>15326</v>
      </c>
      <c r="G364" t="b">
        <v>0</v>
      </c>
    </row>
    <row r="365" spans="1:7" x14ac:dyDescent="0.25">
      <c r="A365" t="s">
        <v>13665</v>
      </c>
      <c r="B365" s="34">
        <v>18.1125401</v>
      </c>
      <c r="C365" s="34">
        <v>1.50937834166666</v>
      </c>
      <c r="D365" t="s">
        <v>26</v>
      </c>
      <c r="E365" s="34">
        <v>90.562700500000005</v>
      </c>
      <c r="F365" t="s">
        <v>16133</v>
      </c>
      <c r="G365" t="b">
        <v>0</v>
      </c>
    </row>
    <row r="366" spans="1:7" x14ac:dyDescent="0.25">
      <c r="A366" t="s">
        <v>12827</v>
      </c>
      <c r="B366" s="34">
        <v>18.084800000000001</v>
      </c>
      <c r="C366" s="34">
        <v>1.5070666666666599</v>
      </c>
      <c r="D366" t="s">
        <v>632</v>
      </c>
      <c r="E366" s="34">
        <v>90.423999999999893</v>
      </c>
      <c r="F366" t="s">
        <v>15302</v>
      </c>
      <c r="G366" t="b">
        <v>0</v>
      </c>
    </row>
    <row r="367" spans="1:7" x14ac:dyDescent="0.25">
      <c r="A367" t="s">
        <v>13952</v>
      </c>
      <c r="B367" s="34">
        <v>18.084679999999999</v>
      </c>
      <c r="C367" s="34">
        <v>1.50705666666666</v>
      </c>
      <c r="D367" t="s">
        <v>221</v>
      </c>
      <c r="E367" s="34">
        <v>90.423400000000001</v>
      </c>
      <c r="F367" t="s">
        <v>16419</v>
      </c>
      <c r="G367" t="b">
        <v>0</v>
      </c>
    </row>
    <row r="368" spans="1:7" x14ac:dyDescent="0.25">
      <c r="A368" t="s">
        <v>13397</v>
      </c>
      <c r="B368" s="34">
        <v>18.055399999999999</v>
      </c>
      <c r="C368" s="34">
        <v>1.5046166666666601</v>
      </c>
      <c r="D368" t="s">
        <v>632</v>
      </c>
      <c r="E368" s="34">
        <v>22.569249999999901</v>
      </c>
      <c r="F368" t="s">
        <v>15867</v>
      </c>
      <c r="G368" t="b">
        <v>0</v>
      </c>
    </row>
    <row r="369" spans="1:7" x14ac:dyDescent="0.25">
      <c r="A369" t="s">
        <v>13035</v>
      </c>
      <c r="B369" s="34">
        <v>18.031300000000002</v>
      </c>
      <c r="C369" s="34">
        <v>1.50260833333333</v>
      </c>
      <c r="D369" t="s">
        <v>162</v>
      </c>
      <c r="E369" s="34">
        <v>90.156499999999994</v>
      </c>
      <c r="F369" t="s">
        <v>15510</v>
      </c>
      <c r="G369" t="b">
        <v>0</v>
      </c>
    </row>
    <row r="370" spans="1:7" x14ac:dyDescent="0.25">
      <c r="A370" t="s">
        <v>12846</v>
      </c>
      <c r="B370" s="34">
        <v>17.694600000000001</v>
      </c>
      <c r="C370" s="34">
        <v>1.47455</v>
      </c>
      <c r="D370" t="s">
        <v>318</v>
      </c>
      <c r="E370" s="34">
        <v>88.472999999999999</v>
      </c>
      <c r="F370" t="s">
        <v>15321</v>
      </c>
      <c r="G370" t="b">
        <v>0</v>
      </c>
    </row>
    <row r="371" spans="1:7" x14ac:dyDescent="0.25">
      <c r="A371" t="s">
        <v>14873</v>
      </c>
      <c r="B371" s="34">
        <v>17.6070595999999</v>
      </c>
      <c r="C371" s="34">
        <v>1.4672549666666601</v>
      </c>
      <c r="D371" t="s">
        <v>424</v>
      </c>
      <c r="E371" s="34">
        <v>88.035297999999898</v>
      </c>
      <c r="F371" t="s">
        <v>17309</v>
      </c>
      <c r="G371" t="b">
        <v>0</v>
      </c>
    </row>
    <row r="372" spans="1:7" x14ac:dyDescent="0.25">
      <c r="A372" t="s">
        <v>13888</v>
      </c>
      <c r="B372" s="34">
        <v>17.60566</v>
      </c>
      <c r="C372" s="34">
        <v>1.4671383333333301</v>
      </c>
      <c r="D372" t="s">
        <v>132</v>
      </c>
      <c r="E372" s="34">
        <v>88.028300000000002</v>
      </c>
      <c r="F372" t="s">
        <v>16355</v>
      </c>
      <c r="G372" t="b">
        <v>0</v>
      </c>
    </row>
    <row r="373" spans="1:7" x14ac:dyDescent="0.25">
      <c r="A373" t="s">
        <v>13949</v>
      </c>
      <c r="B373" s="34">
        <v>17.563220000000001</v>
      </c>
      <c r="C373" s="34">
        <v>1.46360166666666</v>
      </c>
      <c r="D373" t="s">
        <v>3459</v>
      </c>
      <c r="E373" s="34">
        <v>29.272033333333301</v>
      </c>
      <c r="F373" t="s">
        <v>16416</v>
      </c>
      <c r="G373" t="b">
        <v>0</v>
      </c>
    </row>
    <row r="374" spans="1:7" x14ac:dyDescent="0.25">
      <c r="A374" t="s">
        <v>14142</v>
      </c>
      <c r="B374" s="34">
        <v>17.454000000000001</v>
      </c>
      <c r="C374" s="34">
        <v>1.4544999999999999</v>
      </c>
      <c r="D374" t="s">
        <v>162</v>
      </c>
      <c r="E374" s="34">
        <v>87.27</v>
      </c>
      <c r="F374" t="s">
        <v>16609</v>
      </c>
      <c r="G374" t="b">
        <v>0</v>
      </c>
    </row>
    <row r="375" spans="1:7" x14ac:dyDescent="0.25">
      <c r="A375" t="s">
        <v>12688</v>
      </c>
      <c r="B375" s="34">
        <v>17.4285</v>
      </c>
      <c r="C375" s="34">
        <v>1.452375</v>
      </c>
      <c r="D375" t="s">
        <v>35</v>
      </c>
      <c r="E375" s="34">
        <v>87.142499999999998</v>
      </c>
      <c r="F375" t="s">
        <v>15163</v>
      </c>
      <c r="G375" t="b">
        <v>0</v>
      </c>
    </row>
    <row r="376" spans="1:7" x14ac:dyDescent="0.25">
      <c r="A376" t="s">
        <v>14668</v>
      </c>
      <c r="B376" s="34">
        <v>17.304500000000001</v>
      </c>
      <c r="C376" s="34">
        <v>1.44204166666666</v>
      </c>
      <c r="D376" t="s">
        <v>480</v>
      </c>
      <c r="E376" s="34">
        <v>86.522499999999994</v>
      </c>
      <c r="F376" t="s">
        <v>17121</v>
      </c>
      <c r="G376" t="b">
        <v>0</v>
      </c>
    </row>
    <row r="377" spans="1:7" x14ac:dyDescent="0.25">
      <c r="A377" t="s">
        <v>14008</v>
      </c>
      <c r="B377" s="34">
        <v>16.718169999999901</v>
      </c>
      <c r="C377" s="34">
        <v>1.39318083333333</v>
      </c>
      <c r="D377" t="s">
        <v>35</v>
      </c>
      <c r="E377" s="34">
        <v>83.590849999999904</v>
      </c>
      <c r="F377" t="s">
        <v>16475</v>
      </c>
      <c r="G377" t="b">
        <v>0</v>
      </c>
    </row>
    <row r="378" spans="1:7" x14ac:dyDescent="0.25">
      <c r="A378" t="s">
        <v>13603</v>
      </c>
      <c r="B378" s="34">
        <v>16.5809999999999</v>
      </c>
      <c r="C378" s="34">
        <v>1.38174999999999</v>
      </c>
      <c r="D378" t="s">
        <v>115</v>
      </c>
      <c r="E378" s="34">
        <v>82.904999999999902</v>
      </c>
      <c r="F378" t="s">
        <v>16072</v>
      </c>
      <c r="G378" t="b">
        <v>0</v>
      </c>
    </row>
    <row r="379" spans="1:7" x14ac:dyDescent="0.25">
      <c r="A379" t="s">
        <v>13136</v>
      </c>
      <c r="B379" s="34">
        <v>16.465999999999902</v>
      </c>
      <c r="C379" s="34">
        <v>1.3721666666666601</v>
      </c>
      <c r="D379" t="s">
        <v>13</v>
      </c>
      <c r="E379" s="34">
        <v>82.33</v>
      </c>
      <c r="F379" t="s">
        <v>15611</v>
      </c>
      <c r="G379" t="b">
        <v>0</v>
      </c>
    </row>
    <row r="380" spans="1:7" x14ac:dyDescent="0.25">
      <c r="A380" t="s">
        <v>12807</v>
      </c>
      <c r="B380" s="34">
        <v>16.395999999999901</v>
      </c>
      <c r="C380" s="34">
        <v>1.3663333333333301</v>
      </c>
      <c r="D380" t="s">
        <v>185</v>
      </c>
      <c r="E380" s="34">
        <v>81.979999999999905</v>
      </c>
      <c r="F380" t="s">
        <v>15282</v>
      </c>
      <c r="G380" t="b">
        <v>0</v>
      </c>
    </row>
    <row r="381" spans="1:7" x14ac:dyDescent="0.25">
      <c r="A381" t="s">
        <v>13067</v>
      </c>
      <c r="B381" s="34">
        <v>16.276800000000001</v>
      </c>
      <c r="C381" s="34">
        <v>1.3564000000000001</v>
      </c>
      <c r="D381" t="s">
        <v>35</v>
      </c>
      <c r="E381" s="34">
        <v>81.384</v>
      </c>
      <c r="F381" t="s">
        <v>15542</v>
      </c>
      <c r="G381" t="b">
        <v>0</v>
      </c>
    </row>
    <row r="382" spans="1:7" x14ac:dyDescent="0.25">
      <c r="A382" t="s">
        <v>13854</v>
      </c>
      <c r="B382" s="34">
        <v>16.267199999999999</v>
      </c>
      <c r="C382" s="34">
        <v>1.3555999999999999</v>
      </c>
      <c r="D382" t="s">
        <v>215</v>
      </c>
      <c r="E382" s="34">
        <v>81.335999999999999</v>
      </c>
      <c r="F382" t="s">
        <v>16321</v>
      </c>
      <c r="G382" t="b">
        <v>0</v>
      </c>
    </row>
    <row r="383" spans="1:7" x14ac:dyDescent="0.25">
      <c r="A383" t="s">
        <v>14103</v>
      </c>
      <c r="B383" s="34">
        <v>16.224799999999998</v>
      </c>
      <c r="C383" s="34">
        <v>1.3520666666666601</v>
      </c>
      <c r="D383" t="s">
        <v>1120</v>
      </c>
      <c r="E383" s="34">
        <v>27.041333333333299</v>
      </c>
      <c r="F383" t="s">
        <v>16570</v>
      </c>
      <c r="G383" t="b">
        <v>0</v>
      </c>
    </row>
    <row r="384" spans="1:7" x14ac:dyDescent="0.25">
      <c r="A384" t="s">
        <v>13048</v>
      </c>
      <c r="B384" s="34">
        <v>16.182086200000001</v>
      </c>
      <c r="C384" s="34">
        <v>1.34850718333333</v>
      </c>
      <c r="D384" t="s">
        <v>883</v>
      </c>
      <c r="E384" s="34">
        <v>80.910431000000003</v>
      </c>
      <c r="F384" t="s">
        <v>15523</v>
      </c>
      <c r="G384" t="b">
        <v>0</v>
      </c>
    </row>
    <row r="385" spans="1:7" x14ac:dyDescent="0.25">
      <c r="A385" t="s">
        <v>14101</v>
      </c>
      <c r="B385" s="34">
        <v>16.064679999999999</v>
      </c>
      <c r="C385" s="34">
        <v>1.3387233333333299</v>
      </c>
      <c r="D385" t="s">
        <v>132</v>
      </c>
      <c r="E385" s="34">
        <v>80.323399999999907</v>
      </c>
      <c r="F385" t="s">
        <v>16568</v>
      </c>
      <c r="G385" t="b">
        <v>0</v>
      </c>
    </row>
    <row r="386" spans="1:7" x14ac:dyDescent="0.25">
      <c r="A386" t="s">
        <v>14706</v>
      </c>
      <c r="B386" s="34">
        <v>16.003999999999898</v>
      </c>
      <c r="C386" s="34">
        <v>1.3336666666666599</v>
      </c>
      <c r="D386" t="s">
        <v>781</v>
      </c>
      <c r="E386" s="34">
        <v>80.019999999999897</v>
      </c>
      <c r="F386" t="s">
        <v>17157</v>
      </c>
      <c r="G386" t="b">
        <v>0</v>
      </c>
    </row>
    <row r="387" spans="1:7" x14ac:dyDescent="0.25">
      <c r="A387" t="s">
        <v>14740</v>
      </c>
      <c r="B387" s="34">
        <v>15.900799999999901</v>
      </c>
      <c r="C387" s="34">
        <v>1.32506666666666</v>
      </c>
      <c r="D387" t="s">
        <v>853</v>
      </c>
      <c r="E387" s="34">
        <v>15.900799999999901</v>
      </c>
      <c r="F387" t="s">
        <v>17189</v>
      </c>
      <c r="G387" t="b">
        <v>0</v>
      </c>
    </row>
    <row r="388" spans="1:7" x14ac:dyDescent="0.25">
      <c r="A388" t="s">
        <v>13128</v>
      </c>
      <c r="B388" s="34">
        <v>15.8398</v>
      </c>
      <c r="C388" s="34">
        <v>1.31998333333333</v>
      </c>
      <c r="D388" t="s">
        <v>3250</v>
      </c>
      <c r="E388" s="34">
        <v>79.198999999999998</v>
      </c>
      <c r="F388" t="s">
        <v>15603</v>
      </c>
      <c r="G388" t="b">
        <v>0</v>
      </c>
    </row>
    <row r="389" spans="1:7" x14ac:dyDescent="0.25">
      <c r="A389" t="s">
        <v>12985</v>
      </c>
      <c r="B389" s="34">
        <v>15.7836</v>
      </c>
      <c r="C389" s="34">
        <v>1.3152999999999999</v>
      </c>
      <c r="D389" t="s">
        <v>3079</v>
      </c>
      <c r="E389" s="34">
        <v>78.918000000000006</v>
      </c>
      <c r="F389" t="s">
        <v>15460</v>
      </c>
      <c r="G389" t="b">
        <v>0</v>
      </c>
    </row>
    <row r="390" spans="1:7" x14ac:dyDescent="0.25">
      <c r="A390" t="s">
        <v>12769</v>
      </c>
      <c r="B390" s="34">
        <v>15.725282199999899</v>
      </c>
      <c r="C390" s="34">
        <v>1.3104401833333299</v>
      </c>
      <c r="D390" t="s">
        <v>35</v>
      </c>
      <c r="E390" s="34">
        <v>78.626411000000004</v>
      </c>
      <c r="F390" t="s">
        <v>15244</v>
      </c>
      <c r="G390" t="b">
        <v>0</v>
      </c>
    </row>
    <row r="391" spans="1:7" x14ac:dyDescent="0.25">
      <c r="A391" t="s">
        <v>14133</v>
      </c>
      <c r="B391" s="34">
        <v>15.6165</v>
      </c>
      <c r="C391" s="34">
        <v>1.3013749999999999</v>
      </c>
      <c r="D391" t="s">
        <v>221</v>
      </c>
      <c r="E391" s="34">
        <v>78.082499999999996</v>
      </c>
      <c r="F391" t="s">
        <v>16600</v>
      </c>
      <c r="G391" t="b">
        <v>0</v>
      </c>
    </row>
    <row r="392" spans="1:7" x14ac:dyDescent="0.25">
      <c r="A392" t="s">
        <v>14166</v>
      </c>
      <c r="B392" s="34">
        <v>15.5969999999999</v>
      </c>
      <c r="C392" s="34">
        <v>1.29974999999999</v>
      </c>
      <c r="D392" t="s">
        <v>1716</v>
      </c>
      <c r="E392" s="34">
        <v>77.9849999999999</v>
      </c>
      <c r="F392" t="s">
        <v>16633</v>
      </c>
      <c r="G392" t="b">
        <v>0</v>
      </c>
    </row>
    <row r="393" spans="1:7" x14ac:dyDescent="0.25">
      <c r="A393" t="s">
        <v>12934</v>
      </c>
      <c r="B393" s="34">
        <v>15.5745532</v>
      </c>
      <c r="C393" s="34">
        <v>1.2978794333333299</v>
      </c>
      <c r="D393" t="s">
        <v>548</v>
      </c>
      <c r="E393" s="34">
        <v>77.872765999999999</v>
      </c>
      <c r="F393" t="s">
        <v>15409</v>
      </c>
      <c r="G393" t="b">
        <v>0</v>
      </c>
    </row>
    <row r="394" spans="1:7" x14ac:dyDescent="0.25">
      <c r="A394" t="s">
        <v>13161</v>
      </c>
      <c r="B394" s="34">
        <v>15.539599999999901</v>
      </c>
      <c r="C394" s="34">
        <v>1.2949666666666599</v>
      </c>
      <c r="D394" t="s">
        <v>11786</v>
      </c>
      <c r="E394" s="34">
        <v>77.697999999999993</v>
      </c>
      <c r="F394" t="s">
        <v>15636</v>
      </c>
      <c r="G394" t="b">
        <v>0</v>
      </c>
    </row>
    <row r="395" spans="1:7" x14ac:dyDescent="0.25">
      <c r="A395" t="s">
        <v>12734</v>
      </c>
      <c r="B395" s="34">
        <v>15.430400000000001</v>
      </c>
      <c r="C395" s="34">
        <v>1.2858666666666601</v>
      </c>
      <c r="D395" t="s">
        <v>35</v>
      </c>
      <c r="E395" s="34">
        <v>77.152000000000001</v>
      </c>
      <c r="F395" t="s">
        <v>15209</v>
      </c>
      <c r="G395" t="b">
        <v>0</v>
      </c>
    </row>
    <row r="396" spans="1:7" x14ac:dyDescent="0.25">
      <c r="A396" t="s">
        <v>13476</v>
      </c>
      <c r="B396" s="34">
        <v>15.408899999999999</v>
      </c>
      <c r="C396" s="34">
        <v>1.2840750000000001</v>
      </c>
      <c r="D396" t="s">
        <v>35</v>
      </c>
      <c r="E396" s="34">
        <v>77.044499999999999</v>
      </c>
      <c r="F396" t="s">
        <v>15945</v>
      </c>
      <c r="G396" t="b">
        <v>0</v>
      </c>
    </row>
    <row r="397" spans="1:7" x14ac:dyDescent="0.25">
      <c r="A397" t="s">
        <v>13508</v>
      </c>
      <c r="B397" s="34">
        <v>15.37618</v>
      </c>
      <c r="C397" s="34">
        <v>1.28134833333333</v>
      </c>
      <c r="D397" t="s">
        <v>35</v>
      </c>
      <c r="E397" s="34">
        <v>76.880899999999997</v>
      </c>
      <c r="F397" t="s">
        <v>15977</v>
      </c>
      <c r="G397" t="b">
        <v>0</v>
      </c>
    </row>
    <row r="398" spans="1:7" x14ac:dyDescent="0.25">
      <c r="A398" t="s">
        <v>12694</v>
      </c>
      <c r="B398" s="34">
        <v>15.283860000000001</v>
      </c>
      <c r="C398" s="34">
        <v>1.273655</v>
      </c>
      <c r="D398" t="s">
        <v>35</v>
      </c>
      <c r="E398" s="34">
        <v>76.419300000000007</v>
      </c>
      <c r="F398" t="s">
        <v>15169</v>
      </c>
      <c r="G398" t="b">
        <v>0</v>
      </c>
    </row>
    <row r="399" spans="1:7" x14ac:dyDescent="0.25">
      <c r="A399" t="s">
        <v>12801</v>
      </c>
      <c r="B399" s="34">
        <v>15.278176799999899</v>
      </c>
      <c r="C399" s="34">
        <v>1.2731813999999899</v>
      </c>
      <c r="D399" t="s">
        <v>35</v>
      </c>
      <c r="E399" s="34">
        <v>76.3908839999999</v>
      </c>
      <c r="F399" t="s">
        <v>15276</v>
      </c>
      <c r="G399" t="b">
        <v>0</v>
      </c>
    </row>
    <row r="400" spans="1:7" x14ac:dyDescent="0.25">
      <c r="A400" t="s">
        <v>14430</v>
      </c>
      <c r="B400" s="34">
        <v>15.210800000000001</v>
      </c>
      <c r="C400" s="34">
        <v>1.2675666666666601</v>
      </c>
      <c r="D400" t="s">
        <v>3198</v>
      </c>
      <c r="E400" s="34">
        <v>76.054000000000002</v>
      </c>
      <c r="F400" t="s">
        <v>16891</v>
      </c>
      <c r="G400" t="b">
        <v>0</v>
      </c>
    </row>
    <row r="401" spans="1:7" x14ac:dyDescent="0.25">
      <c r="A401" t="s">
        <v>12522</v>
      </c>
      <c r="B401" s="34">
        <v>15.201000000000001</v>
      </c>
      <c r="C401" s="34">
        <v>1.2667499999999901</v>
      </c>
      <c r="D401" t="s">
        <v>781</v>
      </c>
      <c r="E401" s="34">
        <v>76.004999999999995</v>
      </c>
      <c r="F401" t="s">
        <v>14997</v>
      </c>
      <c r="G401" t="b">
        <v>0</v>
      </c>
    </row>
    <row r="402" spans="1:7" x14ac:dyDescent="0.25">
      <c r="A402" t="s">
        <v>12871</v>
      </c>
      <c r="B402" s="34">
        <v>15.191999999999901</v>
      </c>
      <c r="C402" s="34">
        <v>1.26599999999999</v>
      </c>
      <c r="D402" t="s">
        <v>35</v>
      </c>
      <c r="E402" s="34">
        <v>75.959999999999994</v>
      </c>
      <c r="F402" t="s">
        <v>15346</v>
      </c>
      <c r="G402" t="b">
        <v>0</v>
      </c>
    </row>
    <row r="403" spans="1:7" x14ac:dyDescent="0.25">
      <c r="A403" t="s">
        <v>12998</v>
      </c>
      <c r="B403" s="34">
        <v>15.1037</v>
      </c>
      <c r="C403" s="34">
        <v>1.25864166666666</v>
      </c>
      <c r="D403" t="s">
        <v>7519</v>
      </c>
      <c r="E403" s="34">
        <v>75.518500000000003</v>
      </c>
      <c r="F403" t="s">
        <v>15473</v>
      </c>
      <c r="G403" t="b">
        <v>0</v>
      </c>
    </row>
    <row r="404" spans="1:7" x14ac:dyDescent="0.25">
      <c r="A404" t="s">
        <v>13840</v>
      </c>
      <c r="B404" s="34">
        <v>14.9137073999999</v>
      </c>
      <c r="C404" s="34">
        <v>1.2428089499999899</v>
      </c>
      <c r="D404" t="s">
        <v>1861</v>
      </c>
      <c r="E404" s="34">
        <v>74.568536999999907</v>
      </c>
      <c r="F404" t="s">
        <v>16307</v>
      </c>
      <c r="G404" t="b">
        <v>0</v>
      </c>
    </row>
    <row r="405" spans="1:7" x14ac:dyDescent="0.25">
      <c r="A405" t="s">
        <v>12544</v>
      </c>
      <c r="B405" s="34">
        <v>14.905659999999999</v>
      </c>
      <c r="C405" s="34">
        <v>1.24213833333333</v>
      </c>
      <c r="D405" t="s">
        <v>104</v>
      </c>
      <c r="E405" s="34">
        <v>74.528300000000002</v>
      </c>
      <c r="F405" t="s">
        <v>15019</v>
      </c>
      <c r="G405" t="b">
        <v>0</v>
      </c>
    </row>
    <row r="406" spans="1:7" x14ac:dyDescent="0.25">
      <c r="A406" t="s">
        <v>13919</v>
      </c>
      <c r="B406" s="34">
        <v>14.8944299999999</v>
      </c>
      <c r="C406" s="34">
        <v>1.2412025</v>
      </c>
      <c r="D406" t="s">
        <v>132</v>
      </c>
      <c r="E406" s="34">
        <v>74.472149999999999</v>
      </c>
      <c r="F406" t="s">
        <v>16386</v>
      </c>
      <c r="G406" t="b">
        <v>0</v>
      </c>
    </row>
    <row r="407" spans="1:7" x14ac:dyDescent="0.25">
      <c r="A407" t="s">
        <v>13214</v>
      </c>
      <c r="B407" s="34">
        <v>14.875999999999999</v>
      </c>
      <c r="C407" s="34">
        <v>1.23966666666666</v>
      </c>
      <c r="D407" t="s">
        <v>1345</v>
      </c>
      <c r="E407" s="34">
        <v>74.38</v>
      </c>
      <c r="F407" t="s">
        <v>15688</v>
      </c>
      <c r="G407" t="b">
        <v>0</v>
      </c>
    </row>
    <row r="408" spans="1:7" x14ac:dyDescent="0.25">
      <c r="A408" t="s">
        <v>14399</v>
      </c>
      <c r="B408" s="34">
        <v>14.710999999999901</v>
      </c>
      <c r="C408" s="34">
        <v>1.2259166666666601</v>
      </c>
      <c r="D408" t="s">
        <v>132</v>
      </c>
      <c r="E408" s="34">
        <v>73.554999999999893</v>
      </c>
      <c r="F408" t="s">
        <v>16861</v>
      </c>
      <c r="G408" t="b">
        <v>0</v>
      </c>
    </row>
    <row r="409" spans="1:7" x14ac:dyDescent="0.25">
      <c r="A409" t="s">
        <v>13153</v>
      </c>
      <c r="B409" s="34">
        <v>14.698</v>
      </c>
      <c r="C409" s="34">
        <v>1.2248333333333301</v>
      </c>
      <c r="D409" t="s">
        <v>4424</v>
      </c>
      <c r="E409" s="34">
        <v>73.489999999999995</v>
      </c>
      <c r="F409" t="s">
        <v>15628</v>
      </c>
      <c r="G409" t="b">
        <v>0</v>
      </c>
    </row>
    <row r="410" spans="1:7" x14ac:dyDescent="0.25">
      <c r="A410" t="s">
        <v>13792</v>
      </c>
      <c r="B410" s="34">
        <v>14.647699999999899</v>
      </c>
      <c r="C410" s="34">
        <v>1.22064166666666</v>
      </c>
      <c r="D410" t="s">
        <v>35</v>
      </c>
      <c r="E410" s="34">
        <v>73.238499999999902</v>
      </c>
      <c r="F410" t="s">
        <v>16259</v>
      </c>
      <c r="G410" t="b">
        <v>0</v>
      </c>
    </row>
    <row r="411" spans="1:7" x14ac:dyDescent="0.25">
      <c r="A411" t="s">
        <v>14161</v>
      </c>
      <c r="B411" s="34">
        <v>14.6402</v>
      </c>
      <c r="C411" s="34">
        <v>1.2200166666666601</v>
      </c>
      <c r="D411" t="s">
        <v>480</v>
      </c>
      <c r="E411" s="34">
        <v>73.200999999999993</v>
      </c>
      <c r="F411" t="s">
        <v>16628</v>
      </c>
      <c r="G411" t="b">
        <v>0</v>
      </c>
    </row>
    <row r="412" spans="1:7" x14ac:dyDescent="0.25">
      <c r="A412" t="s">
        <v>12649</v>
      </c>
      <c r="B412" s="34">
        <v>14.574820000000001</v>
      </c>
      <c r="C412" s="34">
        <v>1.2145683333333299</v>
      </c>
      <c r="D412" t="s">
        <v>632</v>
      </c>
      <c r="E412" s="34">
        <v>36.437049999999999</v>
      </c>
      <c r="F412" t="s">
        <v>15124</v>
      </c>
      <c r="G412" t="b">
        <v>0</v>
      </c>
    </row>
    <row r="413" spans="1:7" x14ac:dyDescent="0.25">
      <c r="A413" t="s">
        <v>13007</v>
      </c>
      <c r="B413" s="34">
        <v>14.5725999999999</v>
      </c>
      <c r="C413" s="34">
        <v>1.21438333333333</v>
      </c>
      <c r="D413" t="s">
        <v>1853</v>
      </c>
      <c r="E413" s="34">
        <v>72.8629999999999</v>
      </c>
      <c r="F413" t="s">
        <v>15482</v>
      </c>
      <c r="G413" t="b">
        <v>0</v>
      </c>
    </row>
    <row r="414" spans="1:7" x14ac:dyDescent="0.25">
      <c r="A414" t="s">
        <v>13716</v>
      </c>
      <c r="B414" s="34">
        <v>14.543199999999899</v>
      </c>
      <c r="C414" s="34">
        <v>1.21193333333333</v>
      </c>
      <c r="D414" t="s">
        <v>35</v>
      </c>
      <c r="E414" s="34">
        <v>24.2386666666666</v>
      </c>
      <c r="F414" t="s">
        <v>16184</v>
      </c>
      <c r="G414" t="b">
        <v>0</v>
      </c>
    </row>
    <row r="415" spans="1:7" x14ac:dyDescent="0.25">
      <c r="A415" t="s">
        <v>13120</v>
      </c>
      <c r="B415" s="34">
        <v>14.5418</v>
      </c>
      <c r="C415" s="34">
        <v>1.2118166666666601</v>
      </c>
      <c r="D415" t="s">
        <v>35</v>
      </c>
      <c r="E415" s="34">
        <v>72.709000000000003</v>
      </c>
      <c r="F415" t="s">
        <v>15595</v>
      </c>
      <c r="G415" t="b">
        <v>0</v>
      </c>
    </row>
    <row r="416" spans="1:7" x14ac:dyDescent="0.25">
      <c r="A416" t="s">
        <v>13526</v>
      </c>
      <c r="B416" s="34">
        <v>14.524800000000001</v>
      </c>
      <c r="C416" s="34">
        <v>1.2103999999999999</v>
      </c>
      <c r="D416" t="s">
        <v>409</v>
      </c>
      <c r="E416" s="34">
        <v>72.623999999999995</v>
      </c>
      <c r="F416" t="s">
        <v>15995</v>
      </c>
      <c r="G416" t="b">
        <v>0</v>
      </c>
    </row>
    <row r="417" spans="1:7" x14ac:dyDescent="0.25">
      <c r="A417" t="s">
        <v>13579</v>
      </c>
      <c r="B417" s="34">
        <v>14.51896</v>
      </c>
      <c r="C417" s="34">
        <v>1.2099133333333301</v>
      </c>
      <c r="D417" t="s">
        <v>2696</v>
      </c>
      <c r="E417" s="34">
        <v>72.594800000000006</v>
      </c>
      <c r="F417" t="s">
        <v>16048</v>
      </c>
      <c r="G417" t="b">
        <v>0</v>
      </c>
    </row>
    <row r="418" spans="1:7" x14ac:dyDescent="0.25">
      <c r="A418" t="s">
        <v>13252</v>
      </c>
      <c r="B418" s="34">
        <v>14.330500000000001</v>
      </c>
      <c r="C418" s="34">
        <v>1.19420833333333</v>
      </c>
      <c r="D418" t="s">
        <v>35</v>
      </c>
      <c r="E418" s="34">
        <v>71.652500000000003</v>
      </c>
      <c r="F418" t="s">
        <v>15725</v>
      </c>
      <c r="G418" t="b">
        <v>0</v>
      </c>
    </row>
    <row r="419" spans="1:7" x14ac:dyDescent="0.25">
      <c r="A419" t="s">
        <v>14042</v>
      </c>
      <c r="B419" s="34">
        <v>14.2409999999999</v>
      </c>
      <c r="C419" s="34">
        <v>1.18674999999999</v>
      </c>
      <c r="D419" t="s">
        <v>35</v>
      </c>
      <c r="E419" s="34">
        <v>71.204999999999899</v>
      </c>
      <c r="F419" t="s">
        <v>16509</v>
      </c>
      <c r="G419" t="b">
        <v>0</v>
      </c>
    </row>
    <row r="420" spans="1:7" x14ac:dyDescent="0.25">
      <c r="A420" t="s">
        <v>14119</v>
      </c>
      <c r="B420" s="34">
        <v>14.2407</v>
      </c>
      <c r="C420" s="34">
        <v>1.186725</v>
      </c>
      <c r="D420" t="s">
        <v>35</v>
      </c>
      <c r="E420" s="34">
        <v>71.203500000000005</v>
      </c>
      <c r="F420" t="s">
        <v>16586</v>
      </c>
      <c r="G420" t="b">
        <v>0</v>
      </c>
    </row>
    <row r="421" spans="1:7" x14ac:dyDescent="0.25">
      <c r="A421" t="s">
        <v>13368</v>
      </c>
      <c r="B421" s="34">
        <v>14.19299</v>
      </c>
      <c r="C421" s="34">
        <v>1.1827491666666601</v>
      </c>
      <c r="D421" t="s">
        <v>318</v>
      </c>
      <c r="E421" s="34">
        <v>35.482474999999901</v>
      </c>
      <c r="F421" t="s">
        <v>15838</v>
      </c>
      <c r="G421" t="b">
        <v>0</v>
      </c>
    </row>
    <row r="422" spans="1:7" x14ac:dyDescent="0.25">
      <c r="A422" t="s">
        <v>14171</v>
      </c>
      <c r="B422" s="34">
        <v>14.176</v>
      </c>
      <c r="C422" s="34">
        <v>1.18133333333333</v>
      </c>
      <c r="D422" t="s">
        <v>480</v>
      </c>
      <c r="E422" s="34">
        <v>35.44</v>
      </c>
      <c r="F422" t="s">
        <v>16637</v>
      </c>
      <c r="G422" t="b">
        <v>0</v>
      </c>
    </row>
    <row r="423" spans="1:7" x14ac:dyDescent="0.25">
      <c r="A423" t="s">
        <v>12725</v>
      </c>
      <c r="B423" s="34">
        <v>14.115</v>
      </c>
      <c r="C423" s="34">
        <v>1.17625</v>
      </c>
      <c r="D423" t="s">
        <v>45</v>
      </c>
      <c r="E423" s="34">
        <v>70.575000000000003</v>
      </c>
      <c r="F423" t="s">
        <v>15200</v>
      </c>
      <c r="G423" t="b">
        <v>0</v>
      </c>
    </row>
    <row r="424" spans="1:7" x14ac:dyDescent="0.25">
      <c r="A424" t="s">
        <v>12551</v>
      </c>
      <c r="B424" s="34">
        <v>14.108000000000001</v>
      </c>
      <c r="C424" s="34">
        <v>1.17566666666666</v>
      </c>
      <c r="D424" t="s">
        <v>84</v>
      </c>
      <c r="E424" s="34">
        <v>23.5133333333333</v>
      </c>
      <c r="F424" t="s">
        <v>15026</v>
      </c>
      <c r="G424" t="b">
        <v>0</v>
      </c>
    </row>
    <row r="425" spans="1:7" x14ac:dyDescent="0.25">
      <c r="A425" t="s">
        <v>13081</v>
      </c>
      <c r="B425" s="34">
        <v>14.074131599999999</v>
      </c>
      <c r="C425" s="34">
        <v>1.1728443</v>
      </c>
      <c r="D425" t="s">
        <v>3230</v>
      </c>
      <c r="E425" s="34">
        <v>70.370657999999906</v>
      </c>
      <c r="F425" t="s">
        <v>15556</v>
      </c>
      <c r="G425" t="b">
        <v>0</v>
      </c>
    </row>
    <row r="426" spans="1:7" x14ac:dyDescent="0.25">
      <c r="A426" t="s">
        <v>14795</v>
      </c>
      <c r="B426" s="34">
        <v>13.88087</v>
      </c>
      <c r="C426" s="34">
        <v>1.15673916666666</v>
      </c>
      <c r="D426" t="s">
        <v>35</v>
      </c>
      <c r="E426" s="34">
        <v>23.134783333333299</v>
      </c>
      <c r="F426" t="s">
        <v>17241</v>
      </c>
      <c r="G426" t="b">
        <v>0</v>
      </c>
    </row>
    <row r="427" spans="1:7" x14ac:dyDescent="0.25">
      <c r="A427" t="s">
        <v>12586</v>
      </c>
      <c r="B427" s="34">
        <v>13.803999999999901</v>
      </c>
      <c r="C427" s="34">
        <v>1.1503333333333301</v>
      </c>
      <c r="D427" t="s">
        <v>35</v>
      </c>
      <c r="E427" s="34">
        <v>69.02</v>
      </c>
      <c r="F427" t="s">
        <v>15061</v>
      </c>
      <c r="G427" t="b">
        <v>0</v>
      </c>
    </row>
    <row r="428" spans="1:7" x14ac:dyDescent="0.25">
      <c r="A428" t="s">
        <v>12831</v>
      </c>
      <c r="B428" s="34">
        <v>13.6761</v>
      </c>
      <c r="C428" s="34">
        <v>1.139675</v>
      </c>
      <c r="D428" t="s">
        <v>35</v>
      </c>
      <c r="E428" s="34">
        <v>68.380499999999998</v>
      </c>
      <c r="F428" t="s">
        <v>15306</v>
      </c>
      <c r="G428" t="b">
        <v>0</v>
      </c>
    </row>
    <row r="429" spans="1:7" x14ac:dyDescent="0.25">
      <c r="A429" t="s">
        <v>13412</v>
      </c>
      <c r="B429" s="34">
        <v>13.632400000000001</v>
      </c>
      <c r="C429" s="34">
        <v>1.1360333333333299</v>
      </c>
      <c r="D429" t="s">
        <v>375</v>
      </c>
      <c r="E429" s="34">
        <v>68.161999999999907</v>
      </c>
      <c r="F429" t="s">
        <v>15882</v>
      </c>
      <c r="G429" t="b">
        <v>0</v>
      </c>
    </row>
    <row r="430" spans="1:7" x14ac:dyDescent="0.25">
      <c r="A430" t="s">
        <v>14280</v>
      </c>
      <c r="B430" s="34">
        <v>13.5936</v>
      </c>
      <c r="C430" s="34">
        <v>1.1328</v>
      </c>
      <c r="D430" t="s">
        <v>35</v>
      </c>
      <c r="E430" s="34">
        <v>67.968000000000004</v>
      </c>
      <c r="F430" t="s">
        <v>16744</v>
      </c>
      <c r="G430" t="b">
        <v>0</v>
      </c>
    </row>
    <row r="431" spans="1:7" x14ac:dyDescent="0.25">
      <c r="A431" t="s">
        <v>12569</v>
      </c>
      <c r="B431" s="34">
        <v>13.590909999999999</v>
      </c>
      <c r="C431" s="34">
        <v>1.13257583333333</v>
      </c>
      <c r="D431" t="s">
        <v>215</v>
      </c>
      <c r="E431" s="34">
        <v>8.4943187499999997</v>
      </c>
      <c r="F431" t="s">
        <v>15044</v>
      </c>
      <c r="G431" t="b">
        <v>0</v>
      </c>
    </row>
    <row r="432" spans="1:7" x14ac:dyDescent="0.25">
      <c r="A432" t="s">
        <v>13147</v>
      </c>
      <c r="B432" s="34">
        <v>13.5541</v>
      </c>
      <c r="C432" s="34">
        <v>1.12950833333333</v>
      </c>
      <c r="D432" t="s">
        <v>904</v>
      </c>
      <c r="E432" s="34">
        <v>67.770499999999998</v>
      </c>
      <c r="F432" t="s">
        <v>15622</v>
      </c>
      <c r="G432" t="b">
        <v>0</v>
      </c>
    </row>
    <row r="433" spans="1:7" x14ac:dyDescent="0.25">
      <c r="A433" t="s">
        <v>14041</v>
      </c>
      <c r="B433" s="34">
        <v>13.5329999999999</v>
      </c>
      <c r="C433" s="34">
        <v>1.12774999999999</v>
      </c>
      <c r="D433" t="s">
        <v>385</v>
      </c>
      <c r="E433" s="34">
        <v>33.832499999999897</v>
      </c>
      <c r="F433" t="s">
        <v>16508</v>
      </c>
      <c r="G433" t="b">
        <v>0</v>
      </c>
    </row>
    <row r="434" spans="1:7" x14ac:dyDescent="0.25">
      <c r="A434" t="s">
        <v>13491</v>
      </c>
      <c r="B434" s="34">
        <v>13.508599999999999</v>
      </c>
      <c r="C434" s="34">
        <v>1.12571666666666</v>
      </c>
      <c r="D434" t="s">
        <v>13</v>
      </c>
      <c r="E434" s="34">
        <v>22.514333333333301</v>
      </c>
      <c r="F434" t="s">
        <v>15960</v>
      </c>
      <c r="G434" t="b">
        <v>0</v>
      </c>
    </row>
    <row r="435" spans="1:7" x14ac:dyDescent="0.25">
      <c r="A435" t="s">
        <v>13114</v>
      </c>
      <c r="B435" s="34">
        <v>13.4598</v>
      </c>
      <c r="C435" s="34">
        <v>1.12165</v>
      </c>
      <c r="D435" t="s">
        <v>35</v>
      </c>
      <c r="E435" s="34">
        <v>67.298999999999893</v>
      </c>
      <c r="F435" t="s">
        <v>15589</v>
      </c>
      <c r="G435" t="b">
        <v>0</v>
      </c>
    </row>
    <row r="436" spans="1:7" x14ac:dyDescent="0.25">
      <c r="A436" t="s">
        <v>12853</v>
      </c>
      <c r="B436" s="34">
        <v>13.4041</v>
      </c>
      <c r="C436" s="34">
        <v>1.1170083333333301</v>
      </c>
      <c r="D436" t="s">
        <v>7844</v>
      </c>
      <c r="E436" s="34">
        <v>67.020499999999998</v>
      </c>
      <c r="F436" t="s">
        <v>15328</v>
      </c>
      <c r="G436" t="b">
        <v>0</v>
      </c>
    </row>
    <row r="437" spans="1:7" x14ac:dyDescent="0.25">
      <c r="A437" t="s">
        <v>12681</v>
      </c>
      <c r="B437" s="34">
        <v>13.38</v>
      </c>
      <c r="C437" s="34">
        <v>1.115</v>
      </c>
      <c r="D437" t="s">
        <v>13</v>
      </c>
      <c r="E437" s="34">
        <v>66.900000000000006</v>
      </c>
      <c r="F437" t="s">
        <v>15156</v>
      </c>
      <c r="G437" t="b">
        <v>0</v>
      </c>
    </row>
    <row r="438" spans="1:7" x14ac:dyDescent="0.25">
      <c r="A438" t="s">
        <v>12717</v>
      </c>
      <c r="B438" s="34">
        <v>13.343400000000001</v>
      </c>
      <c r="C438" s="34">
        <v>1.11195</v>
      </c>
      <c r="D438" t="s">
        <v>1064</v>
      </c>
      <c r="E438" s="34">
        <v>66.716999999999999</v>
      </c>
      <c r="F438" t="s">
        <v>15192</v>
      </c>
      <c r="G438" t="b">
        <v>0</v>
      </c>
    </row>
    <row r="439" spans="1:7" x14ac:dyDescent="0.25">
      <c r="A439" t="s">
        <v>12790</v>
      </c>
      <c r="B439" s="34">
        <v>13.2569999999999</v>
      </c>
      <c r="C439" s="34">
        <v>1.1047499999999899</v>
      </c>
      <c r="D439" t="s">
        <v>1451</v>
      </c>
      <c r="E439" s="34">
        <v>66.284999999999897</v>
      </c>
      <c r="F439" t="s">
        <v>15265</v>
      </c>
      <c r="G439" t="b">
        <v>0</v>
      </c>
    </row>
    <row r="440" spans="1:7" x14ac:dyDescent="0.25">
      <c r="A440" t="s">
        <v>12628</v>
      </c>
      <c r="B440" s="34">
        <v>13.255079350000001</v>
      </c>
      <c r="C440" s="34">
        <v>1.1045899458333299</v>
      </c>
      <c r="D440" t="s">
        <v>385</v>
      </c>
      <c r="E440" s="34">
        <v>66.275396749999999</v>
      </c>
      <c r="F440" t="s">
        <v>15103</v>
      </c>
      <c r="G440" t="b">
        <v>0</v>
      </c>
    </row>
    <row r="441" spans="1:7" x14ac:dyDescent="0.25">
      <c r="A441" t="s">
        <v>14425</v>
      </c>
      <c r="B441" s="34">
        <v>13.1820273999999</v>
      </c>
      <c r="C441" s="34">
        <v>1.09850228333333</v>
      </c>
      <c r="D441" t="s">
        <v>132</v>
      </c>
      <c r="E441" s="34">
        <v>13.182027400000001</v>
      </c>
      <c r="F441" t="s">
        <v>16886</v>
      </c>
      <c r="G441" t="b">
        <v>0</v>
      </c>
    </row>
    <row r="442" spans="1:7" x14ac:dyDescent="0.25">
      <c r="A442" t="s">
        <v>13613</v>
      </c>
      <c r="B442" s="34">
        <v>13.152200000000001</v>
      </c>
      <c r="C442" s="34">
        <v>1.09601666666666</v>
      </c>
      <c r="D442" t="s">
        <v>132</v>
      </c>
      <c r="E442" s="34">
        <v>65.760999999999996</v>
      </c>
      <c r="F442" t="s">
        <v>16082</v>
      </c>
      <c r="G442" t="b">
        <v>0</v>
      </c>
    </row>
    <row r="443" spans="1:7" x14ac:dyDescent="0.25">
      <c r="A443" t="s">
        <v>12917</v>
      </c>
      <c r="B443" s="34">
        <v>13.047599999999999</v>
      </c>
      <c r="C443" s="34">
        <v>1.0872999999999999</v>
      </c>
      <c r="D443" t="s">
        <v>221</v>
      </c>
      <c r="E443" s="34">
        <v>65.238</v>
      </c>
      <c r="F443" t="s">
        <v>15392</v>
      </c>
      <c r="G443" t="b">
        <v>0</v>
      </c>
    </row>
    <row r="444" spans="1:7" x14ac:dyDescent="0.25">
      <c r="A444" t="s">
        <v>14412</v>
      </c>
      <c r="B444" s="34">
        <v>13.0372</v>
      </c>
      <c r="C444" s="34">
        <v>1.08643333333333</v>
      </c>
      <c r="D444" t="s">
        <v>168</v>
      </c>
      <c r="E444" s="34">
        <v>65.186000000000007</v>
      </c>
      <c r="F444" t="s">
        <v>16873</v>
      </c>
      <c r="G444" t="b">
        <v>0</v>
      </c>
    </row>
    <row r="445" spans="1:7" x14ac:dyDescent="0.25">
      <c r="A445" t="s">
        <v>12927</v>
      </c>
      <c r="B445" s="34">
        <v>12.9994</v>
      </c>
      <c r="C445" s="34">
        <v>1.08328333333333</v>
      </c>
      <c r="D445" t="s">
        <v>323</v>
      </c>
      <c r="E445" s="34">
        <v>64.997</v>
      </c>
      <c r="F445" t="s">
        <v>15402</v>
      </c>
      <c r="G445" t="b">
        <v>0</v>
      </c>
    </row>
    <row r="446" spans="1:7" x14ac:dyDescent="0.25">
      <c r="A446" t="s">
        <v>12655</v>
      </c>
      <c r="B446" s="34">
        <v>12.971399999999999</v>
      </c>
      <c r="C446" s="34">
        <v>1.0809499999999901</v>
      </c>
      <c r="D446" t="s">
        <v>162</v>
      </c>
      <c r="E446" s="34">
        <v>32.4285</v>
      </c>
      <c r="F446" t="s">
        <v>15130</v>
      </c>
      <c r="G446" t="b">
        <v>0</v>
      </c>
    </row>
    <row r="447" spans="1:7" x14ac:dyDescent="0.25">
      <c r="A447" t="s">
        <v>12653</v>
      </c>
      <c r="B447" s="34">
        <v>12.964180000000001</v>
      </c>
      <c r="C447" s="34">
        <v>1.0803483333333299</v>
      </c>
      <c r="D447" t="s">
        <v>385</v>
      </c>
      <c r="E447" s="34">
        <v>64.820899999999995</v>
      </c>
      <c r="F447" t="s">
        <v>15128</v>
      </c>
      <c r="G447" t="b">
        <v>0</v>
      </c>
    </row>
    <row r="448" spans="1:7" x14ac:dyDescent="0.25">
      <c r="A448" t="s">
        <v>13129</v>
      </c>
      <c r="B448" s="34">
        <v>12.795199999999999</v>
      </c>
      <c r="C448" s="34">
        <v>1.06626666666666</v>
      </c>
      <c r="D448" t="s">
        <v>692</v>
      </c>
      <c r="E448" s="34">
        <v>63.975999999999999</v>
      </c>
      <c r="F448" t="s">
        <v>15604</v>
      </c>
      <c r="G448" t="b">
        <v>0</v>
      </c>
    </row>
    <row r="449" spans="1:7" x14ac:dyDescent="0.25">
      <c r="A449" t="s">
        <v>12859</v>
      </c>
      <c r="B449" s="34">
        <v>12.777200000000001</v>
      </c>
      <c r="C449" s="34">
        <v>1.06476666666666</v>
      </c>
      <c r="D449" t="s">
        <v>2287</v>
      </c>
      <c r="E449" s="34">
        <v>63.886000000000003</v>
      </c>
      <c r="F449" t="s">
        <v>15334</v>
      </c>
      <c r="G449" t="b">
        <v>0</v>
      </c>
    </row>
    <row r="450" spans="1:7" x14ac:dyDescent="0.25">
      <c r="A450" t="s">
        <v>13727</v>
      </c>
      <c r="B450" s="34">
        <v>12.7675</v>
      </c>
      <c r="C450" s="34">
        <v>1.06395833333333</v>
      </c>
      <c r="D450" t="s">
        <v>234</v>
      </c>
      <c r="E450" s="34">
        <v>63.837499999999999</v>
      </c>
      <c r="F450" t="s">
        <v>16195</v>
      </c>
      <c r="G450" t="b">
        <v>0</v>
      </c>
    </row>
    <row r="451" spans="1:7" x14ac:dyDescent="0.25">
      <c r="A451" t="s">
        <v>13706</v>
      </c>
      <c r="B451" s="34">
        <v>12.726519999999899</v>
      </c>
      <c r="C451" s="34">
        <v>1.0605433333333301</v>
      </c>
      <c r="D451" t="s">
        <v>162</v>
      </c>
      <c r="E451" s="34">
        <v>63.632599999999996</v>
      </c>
      <c r="F451" t="s">
        <v>16174</v>
      </c>
      <c r="G451" t="b">
        <v>0</v>
      </c>
    </row>
    <row r="452" spans="1:7" x14ac:dyDescent="0.25">
      <c r="A452" t="s">
        <v>13152</v>
      </c>
      <c r="B452" s="34">
        <v>12.7232</v>
      </c>
      <c r="C452" s="34">
        <v>1.06026666666666</v>
      </c>
      <c r="D452" t="s">
        <v>84</v>
      </c>
      <c r="E452" s="34">
        <v>63.616</v>
      </c>
      <c r="F452" t="s">
        <v>15627</v>
      </c>
      <c r="G452" t="b">
        <v>0</v>
      </c>
    </row>
    <row r="453" spans="1:7" x14ac:dyDescent="0.25">
      <c r="A453" t="s">
        <v>12721</v>
      </c>
      <c r="B453" s="34">
        <v>12.7102</v>
      </c>
      <c r="C453" s="34">
        <v>1.05918333333333</v>
      </c>
      <c r="D453" t="s">
        <v>2646</v>
      </c>
      <c r="E453" s="34">
        <v>63.551000000000002</v>
      </c>
      <c r="F453" t="s">
        <v>15196</v>
      </c>
      <c r="G453" t="b">
        <v>0</v>
      </c>
    </row>
    <row r="454" spans="1:7" x14ac:dyDescent="0.25">
      <c r="A454" t="s">
        <v>14554</v>
      </c>
      <c r="B454" s="34">
        <v>12.6497999999999</v>
      </c>
      <c r="C454" s="34">
        <v>1.0541499999999899</v>
      </c>
      <c r="D454" t="s">
        <v>122</v>
      </c>
      <c r="E454" s="34">
        <v>63.248999999999903</v>
      </c>
      <c r="F454" t="s">
        <v>17013</v>
      </c>
      <c r="G454" t="b">
        <v>0</v>
      </c>
    </row>
    <row r="455" spans="1:7" x14ac:dyDescent="0.25">
      <c r="A455" t="s">
        <v>12759</v>
      </c>
      <c r="B455" s="34">
        <v>12.626899999999999</v>
      </c>
      <c r="C455" s="34">
        <v>1.0522416666666601</v>
      </c>
      <c r="D455" t="s">
        <v>3105</v>
      </c>
      <c r="E455" s="34">
        <v>31.567250000000001</v>
      </c>
      <c r="F455" t="s">
        <v>15234</v>
      </c>
      <c r="G455" t="b">
        <v>0</v>
      </c>
    </row>
    <row r="456" spans="1:7" x14ac:dyDescent="0.25">
      <c r="A456" t="s">
        <v>12791</v>
      </c>
      <c r="B456" s="34">
        <v>12.609</v>
      </c>
      <c r="C456" s="34">
        <v>1.0507499999999901</v>
      </c>
      <c r="D456" t="s">
        <v>904</v>
      </c>
      <c r="E456" s="34">
        <v>31.522499999999901</v>
      </c>
      <c r="F456" t="s">
        <v>15266</v>
      </c>
      <c r="G456" t="b">
        <v>0</v>
      </c>
    </row>
    <row r="457" spans="1:7" x14ac:dyDescent="0.25">
      <c r="A457" t="s">
        <v>13815</v>
      </c>
      <c r="B457" s="34">
        <v>12.52741</v>
      </c>
      <c r="C457" s="34">
        <v>1.0439508333333301</v>
      </c>
      <c r="D457" t="s">
        <v>221</v>
      </c>
      <c r="E457" s="34">
        <v>62.637050000000002</v>
      </c>
      <c r="F457" t="s">
        <v>16282</v>
      </c>
      <c r="G457" t="b">
        <v>0</v>
      </c>
    </row>
    <row r="458" spans="1:7" x14ac:dyDescent="0.25">
      <c r="A458" t="s">
        <v>12601</v>
      </c>
      <c r="B458" s="34">
        <v>12.4971</v>
      </c>
      <c r="C458" s="34">
        <v>1.041425</v>
      </c>
      <c r="D458" t="s">
        <v>215</v>
      </c>
      <c r="E458" s="34">
        <v>31.242750000000001</v>
      </c>
      <c r="F458" t="s">
        <v>15076</v>
      </c>
      <c r="G458" t="b">
        <v>0</v>
      </c>
    </row>
    <row r="459" spans="1:7" x14ac:dyDescent="0.25">
      <c r="A459" t="s">
        <v>13513</v>
      </c>
      <c r="B459" s="34">
        <v>12.404400000000001</v>
      </c>
      <c r="C459" s="34">
        <v>1.0337000000000001</v>
      </c>
      <c r="D459" t="s">
        <v>132</v>
      </c>
      <c r="E459" s="34">
        <v>62.021999999999998</v>
      </c>
      <c r="F459" t="s">
        <v>15982</v>
      </c>
      <c r="G459" t="b">
        <v>0</v>
      </c>
    </row>
    <row r="460" spans="1:7" x14ac:dyDescent="0.25">
      <c r="A460" t="s">
        <v>13062</v>
      </c>
      <c r="B460" s="34">
        <v>12.38316</v>
      </c>
      <c r="C460" s="34">
        <v>1.03193</v>
      </c>
      <c r="D460" t="s">
        <v>1676</v>
      </c>
      <c r="E460" s="34">
        <v>61.915799999999997</v>
      </c>
      <c r="F460" t="s">
        <v>15537</v>
      </c>
      <c r="G460" t="b">
        <v>0</v>
      </c>
    </row>
    <row r="461" spans="1:7" x14ac:dyDescent="0.25">
      <c r="A461" t="s">
        <v>13554</v>
      </c>
      <c r="B461" s="34">
        <v>12.3506</v>
      </c>
      <c r="C461" s="34">
        <v>1.02921666666666</v>
      </c>
      <c r="D461" t="s">
        <v>35</v>
      </c>
      <c r="E461" s="34">
        <v>61.753</v>
      </c>
      <c r="F461" t="s">
        <v>16023</v>
      </c>
      <c r="G461" t="b">
        <v>0</v>
      </c>
    </row>
    <row r="462" spans="1:7" x14ac:dyDescent="0.25">
      <c r="A462" t="s">
        <v>12693</v>
      </c>
      <c r="B462" s="34">
        <v>12.300599999999999</v>
      </c>
      <c r="C462" s="34">
        <v>1.02505</v>
      </c>
      <c r="D462" t="s">
        <v>461</v>
      </c>
      <c r="E462" s="34">
        <v>61.503</v>
      </c>
      <c r="F462" t="s">
        <v>15168</v>
      </c>
      <c r="G462" t="b">
        <v>0</v>
      </c>
    </row>
    <row r="463" spans="1:7" x14ac:dyDescent="0.25">
      <c r="A463" t="s">
        <v>13858</v>
      </c>
      <c r="B463" s="34">
        <v>12.2432</v>
      </c>
      <c r="C463" s="34">
        <v>1.02026666666666</v>
      </c>
      <c r="D463" t="s">
        <v>35</v>
      </c>
      <c r="E463" s="34">
        <v>20.405333333333299</v>
      </c>
      <c r="F463" t="s">
        <v>16325</v>
      </c>
      <c r="G463" t="b">
        <v>0</v>
      </c>
    </row>
    <row r="464" spans="1:7" x14ac:dyDescent="0.25">
      <c r="A464" t="s">
        <v>14573</v>
      </c>
      <c r="B464" s="34">
        <v>12.2034</v>
      </c>
      <c r="C464" s="34">
        <v>1.01695</v>
      </c>
      <c r="D464" t="s">
        <v>2875</v>
      </c>
      <c r="E464" s="34">
        <v>61.016999999999904</v>
      </c>
      <c r="F464" t="s">
        <v>17030</v>
      </c>
      <c r="G464" t="b">
        <v>0</v>
      </c>
    </row>
    <row r="465" spans="1:7" x14ac:dyDescent="0.25">
      <c r="A465" t="s">
        <v>14793</v>
      </c>
      <c r="B465" s="34">
        <v>12.152240645999999</v>
      </c>
      <c r="C465" s="34">
        <v>1.0126867204999901</v>
      </c>
      <c r="D465" t="s">
        <v>1405</v>
      </c>
      <c r="E465" s="34">
        <v>60.76120323</v>
      </c>
      <c r="F465" t="s">
        <v>17239</v>
      </c>
      <c r="G465" t="b">
        <v>0</v>
      </c>
    </row>
    <row r="466" spans="1:7" x14ac:dyDescent="0.25">
      <c r="A466" t="s">
        <v>12543</v>
      </c>
      <c r="B466" s="34">
        <v>12.1254544571428</v>
      </c>
      <c r="C466" s="34">
        <v>1.0104545380952299</v>
      </c>
      <c r="D466" t="s">
        <v>253</v>
      </c>
      <c r="E466" s="34">
        <v>20.209090761904701</v>
      </c>
      <c r="F466" t="s">
        <v>15018</v>
      </c>
      <c r="G466" t="b">
        <v>0</v>
      </c>
    </row>
    <row r="467" spans="1:7" x14ac:dyDescent="0.25">
      <c r="A467" t="s">
        <v>13966</v>
      </c>
      <c r="B467" s="34">
        <v>12.080360000000001</v>
      </c>
      <c r="C467" s="34">
        <v>1.0066966666666599</v>
      </c>
      <c r="D467" t="s">
        <v>132</v>
      </c>
      <c r="E467" s="34">
        <v>60.401800000000001</v>
      </c>
      <c r="F467" t="s">
        <v>16433</v>
      </c>
      <c r="G467" t="b">
        <v>0</v>
      </c>
    </row>
    <row r="468" spans="1:7" x14ac:dyDescent="0.25">
      <c r="A468" t="s">
        <v>13509</v>
      </c>
      <c r="B468" s="34">
        <v>12.063319999999999</v>
      </c>
      <c r="C468" s="34">
        <v>1.0052766666666599</v>
      </c>
      <c r="D468" t="s">
        <v>35</v>
      </c>
      <c r="E468" s="34">
        <v>60.316600000000001</v>
      </c>
      <c r="F468" t="s">
        <v>15978</v>
      </c>
      <c r="G468" t="b">
        <v>0</v>
      </c>
    </row>
    <row r="469" spans="1:7" x14ac:dyDescent="0.25">
      <c r="A469" t="s">
        <v>13703</v>
      </c>
      <c r="B469" s="34">
        <v>12.045199999999999</v>
      </c>
      <c r="C469" s="34">
        <v>1.00376666666666</v>
      </c>
      <c r="D469" t="s">
        <v>2178</v>
      </c>
      <c r="E469" s="34">
        <v>60.225999999999999</v>
      </c>
      <c r="F469" t="s">
        <v>16171</v>
      </c>
      <c r="G469" t="b">
        <v>0</v>
      </c>
    </row>
    <row r="470" spans="1:7" x14ac:dyDescent="0.25">
      <c r="A470" t="s">
        <v>12856</v>
      </c>
      <c r="B470" s="34">
        <v>11.946899999999999</v>
      </c>
      <c r="C470" s="34">
        <v>0.99557499999999999</v>
      </c>
      <c r="D470" t="s">
        <v>13</v>
      </c>
      <c r="E470" s="34">
        <v>59.734499999999997</v>
      </c>
      <c r="F470" t="s">
        <v>15331</v>
      </c>
      <c r="G470" t="b">
        <v>0</v>
      </c>
    </row>
    <row r="471" spans="1:7" x14ac:dyDescent="0.25">
      <c r="A471" t="s">
        <v>12939</v>
      </c>
      <c r="B471" s="34">
        <v>11.843999999999999</v>
      </c>
      <c r="C471" s="34">
        <v>0.98699999999999999</v>
      </c>
      <c r="D471" t="s">
        <v>162</v>
      </c>
      <c r="E471" s="34">
        <v>59.22</v>
      </c>
      <c r="F471" t="s">
        <v>15414</v>
      </c>
      <c r="G471" t="b">
        <v>0</v>
      </c>
    </row>
    <row r="472" spans="1:7" x14ac:dyDescent="0.25">
      <c r="A472" t="s">
        <v>12532</v>
      </c>
      <c r="B472" s="34">
        <v>11.8038852999999</v>
      </c>
      <c r="C472" s="34">
        <v>0.98365710833333297</v>
      </c>
      <c r="D472" t="s">
        <v>1013</v>
      </c>
      <c r="E472" s="34">
        <v>29.509713249999901</v>
      </c>
      <c r="F472" t="s">
        <v>15007</v>
      </c>
      <c r="G472" t="b">
        <v>0</v>
      </c>
    </row>
    <row r="473" spans="1:7" x14ac:dyDescent="0.25">
      <c r="A473" t="s">
        <v>13758</v>
      </c>
      <c r="B473" s="34">
        <v>11.782999999999999</v>
      </c>
      <c r="C473" s="34">
        <v>0.98191666666666599</v>
      </c>
      <c r="D473" t="s">
        <v>35</v>
      </c>
      <c r="E473" s="34">
        <v>58.914999999999999</v>
      </c>
      <c r="F473" t="s">
        <v>16226</v>
      </c>
      <c r="G473" t="b">
        <v>0</v>
      </c>
    </row>
    <row r="474" spans="1:7" x14ac:dyDescent="0.25">
      <c r="A474" t="s">
        <v>13304</v>
      </c>
      <c r="B474" s="34">
        <v>11.7524</v>
      </c>
      <c r="C474" s="34">
        <v>0.97936666666666605</v>
      </c>
      <c r="D474" t="s">
        <v>480</v>
      </c>
      <c r="E474" s="34">
        <v>58.762</v>
      </c>
      <c r="F474" t="s">
        <v>15774</v>
      </c>
      <c r="G474" t="b">
        <v>0</v>
      </c>
    </row>
    <row r="475" spans="1:7" x14ac:dyDescent="0.25">
      <c r="A475" t="s">
        <v>14292</v>
      </c>
      <c r="B475" s="34">
        <v>11.69286</v>
      </c>
      <c r="C475" s="34">
        <v>0.97440499999999997</v>
      </c>
      <c r="D475" t="s">
        <v>132</v>
      </c>
      <c r="E475" s="34">
        <v>58.464300000000001</v>
      </c>
      <c r="F475" t="s">
        <v>16755</v>
      </c>
      <c r="G475" t="b">
        <v>0</v>
      </c>
    </row>
    <row r="476" spans="1:7" x14ac:dyDescent="0.25">
      <c r="A476" t="s">
        <v>13687</v>
      </c>
      <c r="B476" s="34">
        <v>11.628017199999899</v>
      </c>
      <c r="C476" s="34">
        <v>0.969001433333333</v>
      </c>
      <c r="D476" t="s">
        <v>35</v>
      </c>
      <c r="E476" s="34">
        <v>58.140085999999997</v>
      </c>
      <c r="F476" t="s">
        <v>16155</v>
      </c>
      <c r="G476" t="b">
        <v>0</v>
      </c>
    </row>
    <row r="477" spans="1:7" x14ac:dyDescent="0.25">
      <c r="A477" t="s">
        <v>13109</v>
      </c>
      <c r="B477" s="34">
        <v>11.610099999999999</v>
      </c>
      <c r="C477" s="34">
        <v>0.96750833333333297</v>
      </c>
      <c r="D477" t="s">
        <v>35</v>
      </c>
      <c r="E477" s="34">
        <v>58.0504999999999</v>
      </c>
      <c r="F477" t="s">
        <v>15584</v>
      </c>
      <c r="G477" t="b">
        <v>0</v>
      </c>
    </row>
    <row r="478" spans="1:7" x14ac:dyDescent="0.25">
      <c r="A478" t="s">
        <v>13316</v>
      </c>
      <c r="B478" s="34">
        <v>11.5923999999999</v>
      </c>
      <c r="C478" s="34">
        <v>0.96603333333333297</v>
      </c>
      <c r="D478" t="s">
        <v>480</v>
      </c>
      <c r="E478" s="34">
        <v>57.961999999999897</v>
      </c>
      <c r="F478" t="s">
        <v>15786</v>
      </c>
      <c r="G478" t="b">
        <v>0</v>
      </c>
    </row>
    <row r="479" spans="1:7" x14ac:dyDescent="0.25">
      <c r="A479" t="s">
        <v>13061</v>
      </c>
      <c r="B479" s="34">
        <v>11.5566</v>
      </c>
      <c r="C479" s="34">
        <v>0.96304999999999996</v>
      </c>
      <c r="D479" t="s">
        <v>456</v>
      </c>
      <c r="E479" s="34">
        <v>57.783000000000001</v>
      </c>
      <c r="F479" t="s">
        <v>15536</v>
      </c>
      <c r="G479" t="b">
        <v>0</v>
      </c>
    </row>
    <row r="480" spans="1:7" x14ac:dyDescent="0.25">
      <c r="A480" t="s">
        <v>13286</v>
      </c>
      <c r="B480" s="34">
        <v>11.542589899999999</v>
      </c>
      <c r="C480" s="34">
        <v>0.96188249166666595</v>
      </c>
      <c r="D480" t="s">
        <v>35</v>
      </c>
      <c r="E480" s="34">
        <v>57.712949500000001</v>
      </c>
      <c r="F480" t="s">
        <v>15758</v>
      </c>
      <c r="G480" t="b">
        <v>0</v>
      </c>
    </row>
    <row r="481" spans="1:7" x14ac:dyDescent="0.25">
      <c r="A481" t="s">
        <v>13233</v>
      </c>
      <c r="B481" s="34">
        <v>11.534812599999899</v>
      </c>
      <c r="C481" s="34">
        <v>0.961234383333333</v>
      </c>
      <c r="D481" t="s">
        <v>72</v>
      </c>
      <c r="E481" s="34">
        <v>57.674062999999997</v>
      </c>
      <c r="F481" t="s">
        <v>15707</v>
      </c>
      <c r="G481" t="b">
        <v>0</v>
      </c>
    </row>
    <row r="482" spans="1:7" x14ac:dyDescent="0.25">
      <c r="A482" t="s">
        <v>14203</v>
      </c>
      <c r="B482" s="34">
        <v>11.477718299999999</v>
      </c>
      <c r="C482" s="34">
        <v>0.95647652500000002</v>
      </c>
      <c r="D482" t="s">
        <v>35</v>
      </c>
      <c r="E482" s="34">
        <v>57.388591499999997</v>
      </c>
      <c r="F482" t="s">
        <v>16667</v>
      </c>
      <c r="G482" t="b">
        <v>0</v>
      </c>
    </row>
    <row r="483" spans="1:7" x14ac:dyDescent="0.25">
      <c r="A483" t="s">
        <v>13265</v>
      </c>
      <c r="B483" s="34">
        <v>11.39681</v>
      </c>
      <c r="C483" s="34">
        <v>0.94973416666666599</v>
      </c>
      <c r="D483" t="s">
        <v>168</v>
      </c>
      <c r="E483" s="34">
        <v>56.984050000000003</v>
      </c>
      <c r="F483" t="s">
        <v>15737</v>
      </c>
      <c r="G483" t="b">
        <v>0</v>
      </c>
    </row>
    <row r="484" spans="1:7" x14ac:dyDescent="0.25">
      <c r="A484" t="s">
        <v>14669</v>
      </c>
      <c r="B484" s="34">
        <v>11.3879999999999</v>
      </c>
      <c r="C484" s="34">
        <v>0.94899999999999896</v>
      </c>
      <c r="D484" t="s">
        <v>1240</v>
      </c>
      <c r="E484" s="34">
        <v>56.939999999999898</v>
      </c>
      <c r="F484" t="s">
        <v>17122</v>
      </c>
      <c r="G484" t="b">
        <v>0</v>
      </c>
    </row>
    <row r="485" spans="1:7" x14ac:dyDescent="0.25">
      <c r="A485" t="s">
        <v>12731</v>
      </c>
      <c r="B485" s="34">
        <v>11.3134437999999</v>
      </c>
      <c r="C485" s="34">
        <v>0.942786983333333</v>
      </c>
      <c r="D485" t="s">
        <v>951</v>
      </c>
      <c r="E485" s="34">
        <v>56.567218999999902</v>
      </c>
      <c r="F485" t="s">
        <v>15206</v>
      </c>
      <c r="G485" t="b">
        <v>0</v>
      </c>
    </row>
    <row r="486" spans="1:7" x14ac:dyDescent="0.25">
      <c r="A486" t="s">
        <v>12687</v>
      </c>
      <c r="B486" s="34">
        <v>11.3069199999999</v>
      </c>
      <c r="C486" s="34">
        <v>0.94224333333333299</v>
      </c>
      <c r="D486" t="s">
        <v>853</v>
      </c>
      <c r="E486" s="34">
        <v>56.534599999999898</v>
      </c>
      <c r="F486" t="s">
        <v>15162</v>
      </c>
      <c r="G486" t="b">
        <v>0</v>
      </c>
    </row>
    <row r="487" spans="1:7" x14ac:dyDescent="0.25">
      <c r="A487" t="s">
        <v>14123</v>
      </c>
      <c r="B487" s="34">
        <v>11.223100000000001</v>
      </c>
      <c r="C487" s="34">
        <v>0.93525833333333297</v>
      </c>
      <c r="D487" t="s">
        <v>1861</v>
      </c>
      <c r="E487" s="34">
        <v>56.115499999999997</v>
      </c>
      <c r="F487" t="s">
        <v>16590</v>
      </c>
      <c r="G487" t="b">
        <v>0</v>
      </c>
    </row>
    <row r="488" spans="1:7" x14ac:dyDescent="0.25">
      <c r="A488" t="s">
        <v>12820</v>
      </c>
      <c r="B488" s="34">
        <v>11.178439999999901</v>
      </c>
      <c r="C488" s="34">
        <v>0.93153666666666601</v>
      </c>
      <c r="D488" t="s">
        <v>215</v>
      </c>
      <c r="E488" s="34">
        <v>55.892200000000003</v>
      </c>
      <c r="F488" t="s">
        <v>15295</v>
      </c>
      <c r="G488" t="b">
        <v>0</v>
      </c>
    </row>
    <row r="489" spans="1:7" x14ac:dyDescent="0.25">
      <c r="A489" t="s">
        <v>13582</v>
      </c>
      <c r="B489" s="34">
        <v>11.15916</v>
      </c>
      <c r="C489" s="34">
        <v>0.92992999999999904</v>
      </c>
      <c r="D489" t="s">
        <v>132</v>
      </c>
      <c r="E489" s="34">
        <v>55.7958</v>
      </c>
      <c r="F489" t="s">
        <v>16051</v>
      </c>
      <c r="G489" t="b">
        <v>0</v>
      </c>
    </row>
    <row r="490" spans="1:7" x14ac:dyDescent="0.25">
      <c r="A490" t="s">
        <v>13071</v>
      </c>
      <c r="B490" s="34">
        <v>11.1448999999999</v>
      </c>
      <c r="C490" s="34">
        <v>0.92874166666666602</v>
      </c>
      <c r="D490" t="s">
        <v>162</v>
      </c>
      <c r="E490" s="34">
        <v>55.7244999999999</v>
      </c>
      <c r="F490" t="s">
        <v>15546</v>
      </c>
      <c r="G490" t="b">
        <v>0</v>
      </c>
    </row>
    <row r="491" spans="1:7" x14ac:dyDescent="0.25">
      <c r="A491" t="s">
        <v>12877</v>
      </c>
      <c r="B491" s="34">
        <v>11.1244</v>
      </c>
      <c r="C491" s="34">
        <v>0.92703333333333304</v>
      </c>
      <c r="D491" t="s">
        <v>26</v>
      </c>
      <c r="E491" s="34">
        <v>55.622</v>
      </c>
      <c r="F491" t="s">
        <v>15352</v>
      </c>
      <c r="G491" t="b">
        <v>0</v>
      </c>
    </row>
    <row r="492" spans="1:7" x14ac:dyDescent="0.25">
      <c r="A492" t="s">
        <v>14082</v>
      </c>
      <c r="B492" s="34">
        <v>11.0976</v>
      </c>
      <c r="C492" s="34">
        <v>0.92479999999999996</v>
      </c>
      <c r="D492" t="s">
        <v>889</v>
      </c>
      <c r="E492" s="34">
        <v>55.488</v>
      </c>
      <c r="F492" t="s">
        <v>16549</v>
      </c>
      <c r="G492" t="b">
        <v>0</v>
      </c>
    </row>
    <row r="493" spans="1:7" x14ac:dyDescent="0.25">
      <c r="A493" t="s">
        <v>12730</v>
      </c>
      <c r="B493" s="34">
        <v>11.0344</v>
      </c>
      <c r="C493" s="34">
        <v>0.91953333333333298</v>
      </c>
      <c r="D493" t="s">
        <v>26</v>
      </c>
      <c r="E493" s="34">
        <v>13.792999999999999</v>
      </c>
      <c r="F493" t="s">
        <v>15205</v>
      </c>
      <c r="G493" t="b">
        <v>0</v>
      </c>
    </row>
    <row r="494" spans="1:7" x14ac:dyDescent="0.25">
      <c r="A494" t="s">
        <v>13671</v>
      </c>
      <c r="B494" s="34">
        <v>11.0322399999999</v>
      </c>
      <c r="C494" s="34">
        <v>0.91935333333333302</v>
      </c>
      <c r="D494" t="s">
        <v>461</v>
      </c>
      <c r="E494" s="34">
        <v>55.161200000000001</v>
      </c>
      <c r="F494" t="s">
        <v>16139</v>
      </c>
      <c r="G494" t="b">
        <v>0</v>
      </c>
    </row>
    <row r="495" spans="1:7" x14ac:dyDescent="0.25">
      <c r="A495" t="s">
        <v>12824</v>
      </c>
      <c r="B495" s="34">
        <v>10.985799999999999</v>
      </c>
      <c r="C495" s="34">
        <v>0.91548333333333298</v>
      </c>
      <c r="D495" t="s">
        <v>145</v>
      </c>
      <c r="E495" s="34">
        <v>54.928999999999903</v>
      </c>
      <c r="F495" t="s">
        <v>15299</v>
      </c>
      <c r="G495" t="b">
        <v>0</v>
      </c>
    </row>
    <row r="496" spans="1:7" x14ac:dyDescent="0.25">
      <c r="A496" t="s">
        <v>13827</v>
      </c>
      <c r="B496" s="34">
        <v>10.9346</v>
      </c>
      <c r="C496" s="34">
        <v>0.91121666666666601</v>
      </c>
      <c r="D496" t="s">
        <v>162</v>
      </c>
      <c r="E496" s="34">
        <v>54.673000000000002</v>
      </c>
      <c r="F496" t="s">
        <v>16294</v>
      </c>
      <c r="G496" t="b">
        <v>0</v>
      </c>
    </row>
    <row r="497" spans="1:7" x14ac:dyDescent="0.25">
      <c r="A497" t="s">
        <v>14238</v>
      </c>
      <c r="B497" s="34">
        <v>10.863099999999999</v>
      </c>
      <c r="C497" s="34">
        <v>0.90525833333333305</v>
      </c>
      <c r="D497" t="s">
        <v>5773</v>
      </c>
      <c r="E497" s="34">
        <v>54.315499999999901</v>
      </c>
      <c r="F497" t="s">
        <v>16702</v>
      </c>
      <c r="G497" t="b">
        <v>0</v>
      </c>
    </row>
    <row r="498" spans="1:7" x14ac:dyDescent="0.25">
      <c r="A498" t="s">
        <v>13191</v>
      </c>
      <c r="B498" s="34">
        <v>10.8528029</v>
      </c>
      <c r="C498" s="34">
        <v>0.90440024166666599</v>
      </c>
      <c r="D498" t="s">
        <v>853</v>
      </c>
      <c r="E498" s="34">
        <v>54.264014500000002</v>
      </c>
      <c r="F498" t="s">
        <v>15665</v>
      </c>
      <c r="G498" t="b">
        <v>0</v>
      </c>
    </row>
    <row r="499" spans="1:7" x14ac:dyDescent="0.25">
      <c r="A499" t="s">
        <v>13274</v>
      </c>
      <c r="B499" s="34">
        <v>10.848548999999901</v>
      </c>
      <c r="C499" s="34">
        <v>0.90404574999999998</v>
      </c>
      <c r="D499" t="s">
        <v>35</v>
      </c>
      <c r="E499" s="34">
        <v>54.2427449999999</v>
      </c>
      <c r="F499" t="s">
        <v>15746</v>
      </c>
      <c r="G499" t="b">
        <v>0</v>
      </c>
    </row>
    <row r="500" spans="1:7" x14ac:dyDescent="0.25">
      <c r="A500" t="s">
        <v>13678</v>
      </c>
      <c r="B500" s="34">
        <v>10.791</v>
      </c>
      <c r="C500" s="34">
        <v>0.89924999999999899</v>
      </c>
      <c r="D500" t="s">
        <v>35</v>
      </c>
      <c r="E500" s="34">
        <v>26.977499999999999</v>
      </c>
      <c r="F500" t="s">
        <v>16146</v>
      </c>
      <c r="G500" t="b">
        <v>0</v>
      </c>
    </row>
    <row r="501" spans="1:7" x14ac:dyDescent="0.25">
      <c r="A501" t="s">
        <v>13023</v>
      </c>
      <c r="B501" s="34">
        <v>10.7553988</v>
      </c>
      <c r="C501" s="34">
        <v>0.89628323333333304</v>
      </c>
      <c r="D501" t="s">
        <v>35</v>
      </c>
      <c r="E501" s="34">
        <v>17.925664666666599</v>
      </c>
      <c r="F501" t="s">
        <v>15498</v>
      </c>
      <c r="G501" t="b">
        <v>0</v>
      </c>
    </row>
    <row r="502" spans="1:7" x14ac:dyDescent="0.25">
      <c r="A502" t="s">
        <v>12868</v>
      </c>
      <c r="B502" s="34">
        <v>10.738186000000001</v>
      </c>
      <c r="C502" s="34">
        <v>0.89484883333333298</v>
      </c>
      <c r="D502" t="s">
        <v>390</v>
      </c>
      <c r="E502" s="34">
        <v>53.690930000000002</v>
      </c>
      <c r="F502" t="s">
        <v>15343</v>
      </c>
      <c r="G502" t="b">
        <v>0</v>
      </c>
    </row>
    <row r="503" spans="1:7" x14ac:dyDescent="0.25">
      <c r="A503" t="s">
        <v>13606</v>
      </c>
      <c r="B503" s="34">
        <v>10.728400000000001</v>
      </c>
      <c r="C503" s="34">
        <v>0.89403333333333301</v>
      </c>
      <c r="D503" t="s">
        <v>132</v>
      </c>
      <c r="E503" s="34">
        <v>53.642000000000003</v>
      </c>
      <c r="F503" t="s">
        <v>16075</v>
      </c>
      <c r="G503" t="b">
        <v>0</v>
      </c>
    </row>
    <row r="504" spans="1:7" x14ac:dyDescent="0.25">
      <c r="A504" t="s">
        <v>14200</v>
      </c>
      <c r="B504" s="34">
        <v>10.657712399999999</v>
      </c>
      <c r="C504" s="34">
        <v>0.88814269999999995</v>
      </c>
      <c r="D504" t="s">
        <v>375</v>
      </c>
      <c r="E504" s="34">
        <v>53.288561999999999</v>
      </c>
      <c r="F504" t="s">
        <v>16664</v>
      </c>
      <c r="G504" t="b">
        <v>0</v>
      </c>
    </row>
    <row r="505" spans="1:7" x14ac:dyDescent="0.25">
      <c r="A505" t="s">
        <v>14735</v>
      </c>
      <c r="B505" s="34">
        <v>10.591200000000001</v>
      </c>
      <c r="C505" s="34">
        <v>0.88259999999999905</v>
      </c>
      <c r="D505" t="s">
        <v>1861</v>
      </c>
      <c r="E505" s="34">
        <v>52.956000000000003</v>
      </c>
      <c r="F505" t="s">
        <v>17185</v>
      </c>
      <c r="G505" t="b">
        <v>0</v>
      </c>
    </row>
    <row r="506" spans="1:7" x14ac:dyDescent="0.25">
      <c r="A506" t="s">
        <v>13537</v>
      </c>
      <c r="B506" s="34">
        <v>10.5678</v>
      </c>
      <c r="C506" s="34">
        <v>0.88064999999999904</v>
      </c>
      <c r="D506" t="s">
        <v>162</v>
      </c>
      <c r="E506" s="34">
        <v>52.838999999999999</v>
      </c>
      <c r="F506" t="s">
        <v>16006</v>
      </c>
      <c r="G506" t="b">
        <v>0</v>
      </c>
    </row>
    <row r="507" spans="1:7" x14ac:dyDescent="0.25">
      <c r="A507" t="s">
        <v>14346</v>
      </c>
      <c r="B507" s="34">
        <v>10.482799999999999</v>
      </c>
      <c r="C507" s="34">
        <v>0.87356666666666605</v>
      </c>
      <c r="D507" t="s">
        <v>632</v>
      </c>
      <c r="E507" s="34">
        <v>52.414000000000001</v>
      </c>
      <c r="F507" t="s">
        <v>16809</v>
      </c>
      <c r="G507" t="b">
        <v>0</v>
      </c>
    </row>
    <row r="508" spans="1:7" x14ac:dyDescent="0.25">
      <c r="A508" t="s">
        <v>12633</v>
      </c>
      <c r="B508" s="34">
        <v>10.4087008</v>
      </c>
      <c r="C508" s="34">
        <v>0.86739173333333297</v>
      </c>
      <c r="D508" t="s">
        <v>35</v>
      </c>
      <c r="E508" s="34">
        <v>52.043503999999999</v>
      </c>
      <c r="F508" t="s">
        <v>15108</v>
      </c>
      <c r="G508" t="b">
        <v>0</v>
      </c>
    </row>
    <row r="509" spans="1:7" x14ac:dyDescent="0.25">
      <c r="A509" t="s">
        <v>13511</v>
      </c>
      <c r="B509" s="34">
        <v>10.39376</v>
      </c>
      <c r="C509" s="34">
        <v>0.86614666666666595</v>
      </c>
      <c r="D509" t="s">
        <v>35</v>
      </c>
      <c r="E509" s="34">
        <v>51.968800000000002</v>
      </c>
      <c r="F509" t="s">
        <v>15980</v>
      </c>
      <c r="G509" t="b">
        <v>0</v>
      </c>
    </row>
    <row r="510" spans="1:7" x14ac:dyDescent="0.25">
      <c r="A510" t="s">
        <v>14231</v>
      </c>
      <c r="B510" s="34">
        <v>10.316364099999999</v>
      </c>
      <c r="C510" s="34">
        <v>0.85969700833333296</v>
      </c>
      <c r="D510" t="s">
        <v>35</v>
      </c>
      <c r="E510" s="34">
        <v>12.895455125</v>
      </c>
      <c r="F510" t="s">
        <v>16695</v>
      </c>
      <c r="G510" t="b">
        <v>0</v>
      </c>
    </row>
    <row r="511" spans="1:7" x14ac:dyDescent="0.25">
      <c r="A511" t="s">
        <v>13291</v>
      </c>
      <c r="B511" s="34">
        <v>10.287800000000001</v>
      </c>
      <c r="C511" s="34">
        <v>0.85731666666666595</v>
      </c>
      <c r="D511" t="s">
        <v>10445</v>
      </c>
      <c r="E511" s="34">
        <v>51.438999999999901</v>
      </c>
      <c r="F511" t="s">
        <v>15763</v>
      </c>
      <c r="G511" t="b">
        <v>0</v>
      </c>
    </row>
    <row r="512" spans="1:7" x14ac:dyDescent="0.25">
      <c r="A512" t="s">
        <v>13433</v>
      </c>
      <c r="B512" s="34">
        <v>10.275499999999999</v>
      </c>
      <c r="C512" s="34">
        <v>0.85629166666666601</v>
      </c>
      <c r="D512" t="s">
        <v>2273</v>
      </c>
      <c r="E512" s="34">
        <v>51.377499999999998</v>
      </c>
      <c r="F512" t="s">
        <v>15902</v>
      </c>
      <c r="G512" t="b">
        <v>0</v>
      </c>
    </row>
    <row r="513" spans="1:7" x14ac:dyDescent="0.25">
      <c r="A513" t="s">
        <v>13272</v>
      </c>
      <c r="B513" s="34">
        <v>10.2631</v>
      </c>
      <c r="C513" s="34">
        <v>0.85525833333333301</v>
      </c>
      <c r="D513" t="s">
        <v>132</v>
      </c>
      <c r="E513" s="34">
        <v>51.3155</v>
      </c>
      <c r="F513" t="s">
        <v>15744</v>
      </c>
      <c r="G513" t="b">
        <v>0</v>
      </c>
    </row>
    <row r="514" spans="1:7" x14ac:dyDescent="0.25">
      <c r="A514" t="s">
        <v>12643</v>
      </c>
      <c r="B514" s="34">
        <v>10.202798999999899</v>
      </c>
      <c r="C514" s="34">
        <v>0.85023324999999905</v>
      </c>
      <c r="D514" t="s">
        <v>162</v>
      </c>
      <c r="E514" s="34">
        <v>12.753498749999901</v>
      </c>
      <c r="F514" t="s">
        <v>15118</v>
      </c>
      <c r="G514" t="b">
        <v>0</v>
      </c>
    </row>
    <row r="515" spans="1:7" x14ac:dyDescent="0.25">
      <c r="A515" t="s">
        <v>13573</v>
      </c>
      <c r="B515" s="34">
        <v>10.191891999999999</v>
      </c>
      <c r="C515" s="34">
        <v>0.84932433333333301</v>
      </c>
      <c r="D515" t="s">
        <v>35</v>
      </c>
      <c r="E515" s="34">
        <v>50.959459999999901</v>
      </c>
      <c r="F515" t="s">
        <v>16042</v>
      </c>
      <c r="G515" t="b">
        <v>0</v>
      </c>
    </row>
    <row r="516" spans="1:7" x14ac:dyDescent="0.25">
      <c r="A516" t="s">
        <v>12612</v>
      </c>
      <c r="B516" s="34">
        <v>10.1829564</v>
      </c>
      <c r="C516" s="34">
        <v>0.84857969999999905</v>
      </c>
      <c r="D516" t="s">
        <v>318</v>
      </c>
      <c r="E516" s="34">
        <v>16.971594</v>
      </c>
      <c r="F516" t="s">
        <v>15087</v>
      </c>
      <c r="G516" t="b">
        <v>0</v>
      </c>
    </row>
    <row r="517" spans="1:7" x14ac:dyDescent="0.25">
      <c r="A517" t="s">
        <v>13448</v>
      </c>
      <c r="B517" s="34">
        <v>10.164901199999999</v>
      </c>
      <c r="C517" s="34">
        <v>0.84707509999999997</v>
      </c>
      <c r="D517" t="s">
        <v>35</v>
      </c>
      <c r="E517" s="34">
        <v>50.824506</v>
      </c>
      <c r="F517" t="s">
        <v>15917</v>
      </c>
      <c r="G517" t="b">
        <v>0</v>
      </c>
    </row>
    <row r="518" spans="1:7" x14ac:dyDescent="0.25">
      <c r="A518" t="s">
        <v>13290</v>
      </c>
      <c r="B518" s="34">
        <v>10.129200000000001</v>
      </c>
      <c r="C518" s="34">
        <v>0.84409999999999896</v>
      </c>
      <c r="D518" t="s">
        <v>35</v>
      </c>
      <c r="E518" s="34">
        <v>50.646000000000001</v>
      </c>
      <c r="F518" t="s">
        <v>15762</v>
      </c>
      <c r="G518" t="b">
        <v>0</v>
      </c>
    </row>
    <row r="519" spans="1:7" x14ac:dyDescent="0.25">
      <c r="A519" t="s">
        <v>14764</v>
      </c>
      <c r="B519" s="34">
        <v>10.101000000000001</v>
      </c>
      <c r="C519" s="34">
        <v>0.841749999999999</v>
      </c>
      <c r="D519" t="s">
        <v>139</v>
      </c>
      <c r="E519" s="34">
        <v>50.505000000000003</v>
      </c>
      <c r="F519" t="s">
        <v>17212</v>
      </c>
      <c r="G519" t="b">
        <v>0</v>
      </c>
    </row>
    <row r="520" spans="1:7" x14ac:dyDescent="0.25">
      <c r="A520" t="s">
        <v>13037</v>
      </c>
      <c r="B520" s="34">
        <v>10.087999999999999</v>
      </c>
      <c r="C520" s="34">
        <v>0.84066666666666601</v>
      </c>
      <c r="D520" t="s">
        <v>162</v>
      </c>
      <c r="E520" s="34">
        <v>50.44</v>
      </c>
      <c r="F520" t="s">
        <v>15512</v>
      </c>
      <c r="G520" t="b">
        <v>0</v>
      </c>
    </row>
    <row r="521" spans="1:7" x14ac:dyDescent="0.25">
      <c r="A521" t="s">
        <v>13679</v>
      </c>
      <c r="B521" s="34">
        <v>10.037800000000001</v>
      </c>
      <c r="C521" s="34">
        <v>0.83648333333333302</v>
      </c>
      <c r="D521" t="s">
        <v>26</v>
      </c>
      <c r="E521" s="34">
        <v>50.188999999999901</v>
      </c>
      <c r="F521" t="s">
        <v>16147</v>
      </c>
      <c r="G521" t="b">
        <v>0</v>
      </c>
    </row>
    <row r="522" spans="1:7" x14ac:dyDescent="0.25">
      <c r="A522" t="s">
        <v>12743</v>
      </c>
      <c r="B522" s="34">
        <v>10.023999999999999</v>
      </c>
      <c r="C522" s="34">
        <v>0.83533333333333304</v>
      </c>
      <c r="D522" t="s">
        <v>1716</v>
      </c>
      <c r="E522" s="34">
        <v>50.12</v>
      </c>
      <c r="F522" t="s">
        <v>15218</v>
      </c>
      <c r="G522" t="b">
        <v>0</v>
      </c>
    </row>
    <row r="523" spans="1:7" x14ac:dyDescent="0.25">
      <c r="A523" t="s">
        <v>12887</v>
      </c>
      <c r="B523" s="34">
        <v>10.011900000000001</v>
      </c>
      <c r="C523" s="34">
        <v>0.83432499999999998</v>
      </c>
      <c r="D523" t="s">
        <v>2273</v>
      </c>
      <c r="E523" s="34">
        <v>50.0595</v>
      </c>
      <c r="F523" t="s">
        <v>15362</v>
      </c>
      <c r="G523" t="b">
        <v>0</v>
      </c>
    </row>
    <row r="524" spans="1:7" x14ac:dyDescent="0.25">
      <c r="A524" t="s">
        <v>12798</v>
      </c>
      <c r="B524" s="34">
        <v>9.9702491999999996</v>
      </c>
      <c r="C524" s="34">
        <v>0.83085409999999904</v>
      </c>
      <c r="D524" t="s">
        <v>35</v>
      </c>
      <c r="E524" s="34">
        <v>49.851246000000003</v>
      </c>
      <c r="F524" t="s">
        <v>15273</v>
      </c>
      <c r="G524" t="b">
        <v>0</v>
      </c>
    </row>
    <row r="525" spans="1:7" x14ac:dyDescent="0.25">
      <c r="A525" t="s">
        <v>14593</v>
      </c>
      <c r="B525" s="34">
        <v>9.9365000000000006</v>
      </c>
      <c r="C525" s="34">
        <v>0.82804166666666601</v>
      </c>
      <c r="D525" t="s">
        <v>122</v>
      </c>
      <c r="E525" s="34">
        <v>49.682499999999997</v>
      </c>
      <c r="F525" t="s">
        <v>17049</v>
      </c>
      <c r="G525" t="b">
        <v>0</v>
      </c>
    </row>
    <row r="526" spans="1:7" x14ac:dyDescent="0.25">
      <c r="A526" t="s">
        <v>13497</v>
      </c>
      <c r="B526" s="34">
        <v>9.9124999999999996</v>
      </c>
      <c r="C526" s="34">
        <v>0.82604166666666601</v>
      </c>
      <c r="D526" t="s">
        <v>35</v>
      </c>
      <c r="E526" s="34">
        <v>49.5625</v>
      </c>
      <c r="F526" t="s">
        <v>15966</v>
      </c>
      <c r="G526" t="b">
        <v>0</v>
      </c>
    </row>
    <row r="527" spans="1:7" x14ac:dyDescent="0.25">
      <c r="A527" t="s">
        <v>12714</v>
      </c>
      <c r="B527" s="34">
        <v>9.8901000000000003</v>
      </c>
      <c r="C527" s="34">
        <v>0.82417499999999999</v>
      </c>
      <c r="D527" t="s">
        <v>215</v>
      </c>
      <c r="E527" s="34">
        <v>49.450499999999998</v>
      </c>
      <c r="F527" t="s">
        <v>15189</v>
      </c>
      <c r="G527" t="b">
        <v>0</v>
      </c>
    </row>
    <row r="528" spans="1:7" x14ac:dyDescent="0.25">
      <c r="A528" t="s">
        <v>12783</v>
      </c>
      <c r="B528" s="34">
        <v>9.8329000000000004</v>
      </c>
      <c r="C528" s="34">
        <v>0.81940833333333296</v>
      </c>
      <c r="D528" t="s">
        <v>4169</v>
      </c>
      <c r="E528" s="34">
        <v>49.164499999999997</v>
      </c>
      <c r="F528" t="s">
        <v>15258</v>
      </c>
      <c r="G528" t="b">
        <v>0</v>
      </c>
    </row>
    <row r="529" spans="1:7" x14ac:dyDescent="0.25">
      <c r="A529" t="s">
        <v>12863</v>
      </c>
      <c r="B529" s="34">
        <v>9.7834800000000008</v>
      </c>
      <c r="C529" s="34">
        <v>0.81528999999999996</v>
      </c>
      <c r="D529" t="s">
        <v>2500</v>
      </c>
      <c r="E529" s="34">
        <v>48.917400000000001</v>
      </c>
      <c r="F529" t="s">
        <v>15338</v>
      </c>
      <c r="G529" t="b">
        <v>0</v>
      </c>
    </row>
    <row r="530" spans="1:7" x14ac:dyDescent="0.25">
      <c r="A530" t="s">
        <v>14285</v>
      </c>
      <c r="B530" s="34">
        <v>9.7070000000000007</v>
      </c>
      <c r="C530" s="34">
        <v>0.80891666666666595</v>
      </c>
      <c r="D530" t="s">
        <v>480</v>
      </c>
      <c r="E530" s="34">
        <v>48.534999999999997</v>
      </c>
      <c r="F530" t="s">
        <v>16749</v>
      </c>
      <c r="G530" t="b">
        <v>0</v>
      </c>
    </row>
    <row r="531" spans="1:7" x14ac:dyDescent="0.25">
      <c r="A531" t="s">
        <v>13657</v>
      </c>
      <c r="B531" s="34">
        <v>9.7034000000000002</v>
      </c>
      <c r="C531" s="34">
        <v>0.80861666666666598</v>
      </c>
      <c r="D531" t="s">
        <v>35</v>
      </c>
      <c r="E531" s="34">
        <v>24.258500000000002</v>
      </c>
      <c r="F531" t="s">
        <v>16125</v>
      </c>
      <c r="G531" t="b">
        <v>0</v>
      </c>
    </row>
    <row r="532" spans="1:7" x14ac:dyDescent="0.25">
      <c r="A532" t="s">
        <v>13925</v>
      </c>
      <c r="B532" s="34">
        <v>9.6007999999999996</v>
      </c>
      <c r="C532" s="34">
        <v>0.80006666666666604</v>
      </c>
      <c r="D532" t="s">
        <v>1787</v>
      </c>
      <c r="E532" s="34">
        <v>48.003999999999998</v>
      </c>
      <c r="F532" t="s">
        <v>16392</v>
      </c>
      <c r="G532" t="b">
        <v>0</v>
      </c>
    </row>
    <row r="533" spans="1:7" x14ac:dyDescent="0.25">
      <c r="A533" t="s">
        <v>13473</v>
      </c>
      <c r="B533" s="34">
        <v>9.5109999999999992</v>
      </c>
      <c r="C533" s="34">
        <v>0.79258333333333297</v>
      </c>
      <c r="D533" t="s">
        <v>215</v>
      </c>
      <c r="E533" s="34">
        <v>47.5549999999999</v>
      </c>
      <c r="F533" t="s">
        <v>15942</v>
      </c>
      <c r="G533" t="b">
        <v>0</v>
      </c>
    </row>
    <row r="534" spans="1:7" x14ac:dyDescent="0.25">
      <c r="A534" t="s">
        <v>13158</v>
      </c>
      <c r="B534" s="34">
        <v>9.4719999999999995</v>
      </c>
      <c r="C534" s="34">
        <v>0.789333333333333</v>
      </c>
      <c r="D534" t="s">
        <v>982</v>
      </c>
      <c r="E534" s="34">
        <v>47.36</v>
      </c>
      <c r="F534" t="s">
        <v>15633</v>
      </c>
      <c r="G534" t="b">
        <v>0</v>
      </c>
    </row>
    <row r="535" spans="1:7" x14ac:dyDescent="0.25">
      <c r="A535" t="s">
        <v>12698</v>
      </c>
      <c r="B535" s="34">
        <v>9.4314</v>
      </c>
      <c r="C535" s="34">
        <v>0.78595000000000004</v>
      </c>
      <c r="D535" t="s">
        <v>35</v>
      </c>
      <c r="E535" s="34">
        <v>47.156999999999996</v>
      </c>
      <c r="F535" t="s">
        <v>15173</v>
      </c>
      <c r="G535" t="b">
        <v>0</v>
      </c>
    </row>
    <row r="536" spans="1:7" x14ac:dyDescent="0.25">
      <c r="A536" t="s">
        <v>13247</v>
      </c>
      <c r="B536" s="34">
        <v>9.3987999999999996</v>
      </c>
      <c r="C536" s="34">
        <v>0.783233333333333</v>
      </c>
      <c r="D536" t="s">
        <v>632</v>
      </c>
      <c r="E536" s="34">
        <v>46.994</v>
      </c>
      <c r="F536" t="s">
        <v>15720</v>
      </c>
      <c r="G536" t="b">
        <v>0</v>
      </c>
    </row>
    <row r="537" spans="1:7" x14ac:dyDescent="0.25">
      <c r="A537" t="s">
        <v>12921</v>
      </c>
      <c r="B537" s="34">
        <v>9.3066399999999891</v>
      </c>
      <c r="C537" s="34">
        <v>0.77555333333333298</v>
      </c>
      <c r="D537" t="s">
        <v>139</v>
      </c>
      <c r="E537" s="34">
        <v>46.533200000000001</v>
      </c>
      <c r="F537" t="s">
        <v>15396</v>
      </c>
      <c r="G537" t="b">
        <v>0</v>
      </c>
    </row>
    <row r="538" spans="1:7" x14ac:dyDescent="0.25">
      <c r="A538" t="s">
        <v>12885</v>
      </c>
      <c r="B538" s="34">
        <v>9.2956000000000003</v>
      </c>
      <c r="C538" s="34">
        <v>0.77463333333333295</v>
      </c>
      <c r="D538" t="s">
        <v>151</v>
      </c>
      <c r="E538" s="34">
        <v>46.478000000000002</v>
      </c>
      <c r="F538" t="s">
        <v>15360</v>
      </c>
      <c r="G538" t="b">
        <v>0</v>
      </c>
    </row>
    <row r="539" spans="1:7" x14ac:dyDescent="0.25">
      <c r="A539" t="s">
        <v>13617</v>
      </c>
      <c r="B539" s="34">
        <v>9.2446999999999999</v>
      </c>
      <c r="C539" s="34">
        <v>0.77039166666666603</v>
      </c>
      <c r="D539" t="s">
        <v>35</v>
      </c>
      <c r="E539" s="34">
        <v>46.223500000000001</v>
      </c>
      <c r="F539" t="s">
        <v>16086</v>
      </c>
      <c r="G539" t="b">
        <v>0</v>
      </c>
    </row>
    <row r="540" spans="1:7" x14ac:dyDescent="0.25">
      <c r="A540" t="s">
        <v>13123</v>
      </c>
      <c r="B540" s="34">
        <v>9.2379443000000006</v>
      </c>
      <c r="C540" s="34">
        <v>0.76982869166666601</v>
      </c>
      <c r="D540" t="s">
        <v>318</v>
      </c>
      <c r="E540" s="34">
        <v>15.396573833333299</v>
      </c>
      <c r="F540" t="s">
        <v>15598</v>
      </c>
      <c r="G540" t="b">
        <v>0</v>
      </c>
    </row>
    <row r="541" spans="1:7" x14ac:dyDescent="0.25">
      <c r="A541" t="s">
        <v>13638</v>
      </c>
      <c r="B541" s="34">
        <v>9.2304632000000009</v>
      </c>
      <c r="C541" s="34">
        <v>0.769205266666666</v>
      </c>
      <c r="D541" t="s">
        <v>35</v>
      </c>
      <c r="E541" s="34">
        <v>46.152315999999999</v>
      </c>
      <c r="F541" t="s">
        <v>16107</v>
      </c>
      <c r="G541" t="b">
        <v>0</v>
      </c>
    </row>
    <row r="542" spans="1:7" x14ac:dyDescent="0.25">
      <c r="A542" t="s">
        <v>13039</v>
      </c>
      <c r="B542" s="34">
        <v>9.1651000000000007</v>
      </c>
      <c r="C542" s="34">
        <v>0.76375833333333298</v>
      </c>
      <c r="D542" t="s">
        <v>162</v>
      </c>
      <c r="E542" s="34">
        <v>45.825499999999998</v>
      </c>
      <c r="F542" t="s">
        <v>15514</v>
      </c>
      <c r="G542" t="b">
        <v>0</v>
      </c>
    </row>
    <row r="543" spans="1:7" x14ac:dyDescent="0.25">
      <c r="A543" t="s">
        <v>14675</v>
      </c>
      <c r="B543" s="34">
        <v>9.1517999999999997</v>
      </c>
      <c r="C543" s="34">
        <v>0.76265000000000005</v>
      </c>
      <c r="D543" t="s">
        <v>1074</v>
      </c>
      <c r="E543" s="34">
        <v>45.759</v>
      </c>
      <c r="F543" t="s">
        <v>17128</v>
      </c>
      <c r="G543" t="b">
        <v>0</v>
      </c>
    </row>
    <row r="544" spans="1:7" x14ac:dyDescent="0.25">
      <c r="A544" t="s">
        <v>12915</v>
      </c>
      <c r="B544" s="34">
        <v>9.1440199999999994</v>
      </c>
      <c r="C544" s="34">
        <v>0.76200166666666602</v>
      </c>
      <c r="D544" t="s">
        <v>632</v>
      </c>
      <c r="E544" s="34">
        <v>45.720100000000002</v>
      </c>
      <c r="F544" t="s">
        <v>15390</v>
      </c>
      <c r="G544" t="b">
        <v>0</v>
      </c>
    </row>
    <row r="545" spans="1:7" x14ac:dyDescent="0.25">
      <c r="A545" t="s">
        <v>14137</v>
      </c>
      <c r="B545" s="34">
        <v>9.0709999999999997</v>
      </c>
      <c r="C545" s="34">
        <v>0.75591666666666602</v>
      </c>
      <c r="D545" t="s">
        <v>632</v>
      </c>
      <c r="E545" s="34">
        <v>45.354999999999997</v>
      </c>
      <c r="F545" t="s">
        <v>16604</v>
      </c>
      <c r="G545" t="b">
        <v>0</v>
      </c>
    </row>
    <row r="546" spans="1:7" x14ac:dyDescent="0.25">
      <c r="A546" t="s">
        <v>12953</v>
      </c>
      <c r="B546" s="34">
        <v>9.0685499999999895</v>
      </c>
      <c r="C546" s="34">
        <v>0.75571249999999901</v>
      </c>
      <c r="D546" t="s">
        <v>1611</v>
      </c>
      <c r="E546" s="34">
        <v>45.342750000000002</v>
      </c>
      <c r="F546" t="s">
        <v>15428</v>
      </c>
      <c r="G546" t="b">
        <v>0</v>
      </c>
    </row>
    <row r="547" spans="1:7" x14ac:dyDescent="0.25">
      <c r="A547" t="s">
        <v>13209</v>
      </c>
      <c r="B547" s="34">
        <v>9.0272000000000006</v>
      </c>
      <c r="C547" s="34">
        <v>0.75226666666666597</v>
      </c>
      <c r="D547" t="s">
        <v>4455</v>
      </c>
      <c r="E547" s="34">
        <v>45.136000000000003</v>
      </c>
      <c r="F547" t="s">
        <v>15683</v>
      </c>
      <c r="G547" t="b">
        <v>0</v>
      </c>
    </row>
    <row r="548" spans="1:7" x14ac:dyDescent="0.25">
      <c r="A548" t="s">
        <v>13215</v>
      </c>
      <c r="B548" s="34">
        <v>9.0142399999999991</v>
      </c>
      <c r="C548" s="34">
        <v>0.751186666666666</v>
      </c>
      <c r="D548" t="s">
        <v>35</v>
      </c>
      <c r="E548" s="34">
        <v>45.071199999999997</v>
      </c>
      <c r="F548" t="s">
        <v>15689</v>
      </c>
      <c r="G548" t="b">
        <v>0</v>
      </c>
    </row>
    <row r="549" spans="1:7" x14ac:dyDescent="0.25">
      <c r="A549" t="s">
        <v>13759</v>
      </c>
      <c r="B549" s="34">
        <v>9.0064080799999999</v>
      </c>
      <c r="C549" s="34">
        <v>0.75053400666666603</v>
      </c>
      <c r="D549" t="s">
        <v>35</v>
      </c>
      <c r="E549" s="34">
        <v>45.0320404</v>
      </c>
      <c r="F549" t="s">
        <v>16227</v>
      </c>
      <c r="G549" t="b">
        <v>0</v>
      </c>
    </row>
    <row r="550" spans="1:7" x14ac:dyDescent="0.25">
      <c r="A550" t="s">
        <v>13461</v>
      </c>
      <c r="B550" s="34">
        <v>8.9864999999999995</v>
      </c>
      <c r="C550" s="34">
        <v>0.74887499999999996</v>
      </c>
      <c r="D550" t="s">
        <v>35</v>
      </c>
      <c r="E550" s="34">
        <v>44.932499999999997</v>
      </c>
      <c r="F550" t="s">
        <v>15930</v>
      </c>
      <c r="G550" t="b">
        <v>0</v>
      </c>
    </row>
    <row r="551" spans="1:7" x14ac:dyDescent="0.25">
      <c r="A551" t="s">
        <v>14492</v>
      </c>
      <c r="B551" s="34">
        <v>8.9852600000000002</v>
      </c>
      <c r="C551" s="34">
        <v>0.74877166666666595</v>
      </c>
      <c r="D551" t="s">
        <v>35</v>
      </c>
      <c r="E551" s="34">
        <v>22.463149999999999</v>
      </c>
      <c r="F551" t="s">
        <v>16952</v>
      </c>
      <c r="G551" t="b">
        <v>0</v>
      </c>
    </row>
    <row r="552" spans="1:7" x14ac:dyDescent="0.25">
      <c r="A552" t="s">
        <v>13180</v>
      </c>
      <c r="B552" s="34">
        <v>8.9485999999999901</v>
      </c>
      <c r="C552" s="34">
        <v>0.74571666666666603</v>
      </c>
      <c r="D552" t="s">
        <v>67</v>
      </c>
      <c r="E552" s="34">
        <v>44.743000000000002</v>
      </c>
      <c r="F552" t="s">
        <v>15654</v>
      </c>
      <c r="G552" t="b">
        <v>0</v>
      </c>
    </row>
    <row r="553" spans="1:7" x14ac:dyDescent="0.25">
      <c r="A553" t="s">
        <v>12683</v>
      </c>
      <c r="B553" s="34">
        <v>8.9418123999999999</v>
      </c>
      <c r="C553" s="34">
        <v>0.74515103333333299</v>
      </c>
      <c r="D553" t="s">
        <v>139</v>
      </c>
      <c r="E553" s="34">
        <v>44.709062000000003</v>
      </c>
      <c r="F553" t="s">
        <v>15158</v>
      </c>
      <c r="G553" t="b">
        <v>0</v>
      </c>
    </row>
    <row r="554" spans="1:7" x14ac:dyDescent="0.25">
      <c r="A554" t="s">
        <v>13577</v>
      </c>
      <c r="B554" s="34">
        <v>8.9257404000000005</v>
      </c>
      <c r="C554" s="34">
        <v>0.74381169999999996</v>
      </c>
      <c r="D554" t="s">
        <v>35</v>
      </c>
      <c r="E554" s="34">
        <v>44.628701999999997</v>
      </c>
      <c r="F554" t="s">
        <v>16046</v>
      </c>
      <c r="G554" t="b">
        <v>0</v>
      </c>
    </row>
    <row r="555" spans="1:7" x14ac:dyDescent="0.25">
      <c r="A555" t="s">
        <v>14530</v>
      </c>
      <c r="B555" s="34">
        <v>8.9077000000000002</v>
      </c>
      <c r="C555" s="34">
        <v>0.74230833333333301</v>
      </c>
      <c r="D555" t="s">
        <v>90</v>
      </c>
      <c r="E555" s="34">
        <v>22.26925</v>
      </c>
      <c r="F555" t="s">
        <v>16990</v>
      </c>
      <c r="G555" t="b">
        <v>0</v>
      </c>
    </row>
    <row r="556" spans="1:7" x14ac:dyDescent="0.25">
      <c r="A556" t="s">
        <v>14170</v>
      </c>
      <c r="B556" s="34">
        <v>8.9025999999999996</v>
      </c>
      <c r="C556" s="34">
        <v>0.74188333333333301</v>
      </c>
      <c r="D556" t="s">
        <v>480</v>
      </c>
      <c r="E556" s="34">
        <v>44.512999999999998</v>
      </c>
      <c r="F556" t="s">
        <v>16636</v>
      </c>
      <c r="G556" t="b">
        <v>0</v>
      </c>
    </row>
    <row r="557" spans="1:7" x14ac:dyDescent="0.25">
      <c r="A557" t="s">
        <v>13331</v>
      </c>
      <c r="B557" s="34">
        <v>8.9009460999999899</v>
      </c>
      <c r="C557" s="34">
        <v>0.74174550833333297</v>
      </c>
      <c r="D557" t="s">
        <v>35</v>
      </c>
      <c r="E557" s="34">
        <v>44.504730500000001</v>
      </c>
      <c r="F557" t="s">
        <v>15801</v>
      </c>
      <c r="G557" t="b">
        <v>0</v>
      </c>
    </row>
    <row r="558" spans="1:7" x14ac:dyDescent="0.25">
      <c r="A558" t="s">
        <v>14121</v>
      </c>
      <c r="B558" s="34">
        <v>8.88051999999999</v>
      </c>
      <c r="C558" s="34">
        <v>0.74004333333333305</v>
      </c>
      <c r="D558" t="s">
        <v>2137</v>
      </c>
      <c r="E558" s="34">
        <v>44.4026</v>
      </c>
      <c r="F558" t="s">
        <v>16588</v>
      </c>
      <c r="G558" t="b">
        <v>0</v>
      </c>
    </row>
    <row r="559" spans="1:7" x14ac:dyDescent="0.25">
      <c r="A559" t="s">
        <v>12579</v>
      </c>
      <c r="B559" s="34">
        <v>8.8772619999999893</v>
      </c>
      <c r="C559" s="34">
        <v>0.73977183333333296</v>
      </c>
      <c r="D559" t="s">
        <v>35</v>
      </c>
      <c r="E559" s="34">
        <v>14.7954366666666</v>
      </c>
      <c r="F559" t="s">
        <v>15054</v>
      </c>
      <c r="G559" t="b">
        <v>0</v>
      </c>
    </row>
    <row r="560" spans="1:7" x14ac:dyDescent="0.25">
      <c r="A560" t="s">
        <v>13445</v>
      </c>
      <c r="B560" s="34">
        <v>8.8642419999999902</v>
      </c>
      <c r="C560" s="34">
        <v>0.73868683333333296</v>
      </c>
      <c r="D560" t="s">
        <v>1382</v>
      </c>
      <c r="E560" s="34">
        <v>44.321209999999901</v>
      </c>
      <c r="F560" t="s">
        <v>15914</v>
      </c>
      <c r="G560" t="b">
        <v>0</v>
      </c>
    </row>
    <row r="561" spans="1:7" x14ac:dyDescent="0.25">
      <c r="A561" t="s">
        <v>14556</v>
      </c>
      <c r="B561" s="34">
        <v>8.8513999999999893</v>
      </c>
      <c r="C561" s="34">
        <v>0.73761666666666603</v>
      </c>
      <c r="D561" t="s">
        <v>1861</v>
      </c>
      <c r="E561" s="34">
        <v>44.256999999999898</v>
      </c>
      <c r="F561" t="s">
        <v>17015</v>
      </c>
      <c r="G561" t="b">
        <v>0</v>
      </c>
    </row>
    <row r="562" spans="1:7" x14ac:dyDescent="0.25">
      <c r="A562" t="s">
        <v>14275</v>
      </c>
      <c r="B562" s="34">
        <v>8.8448999999999902</v>
      </c>
      <c r="C562" s="34">
        <v>0.73707500000000004</v>
      </c>
      <c r="D562" t="s">
        <v>132</v>
      </c>
      <c r="E562" s="34">
        <v>44.224499999999999</v>
      </c>
      <c r="F562" t="s">
        <v>16739</v>
      </c>
      <c r="G562" t="b">
        <v>0</v>
      </c>
    </row>
    <row r="563" spans="1:7" x14ac:dyDescent="0.25">
      <c r="A563" t="s">
        <v>14724</v>
      </c>
      <c r="B563" s="34">
        <v>8.8267299999999995</v>
      </c>
      <c r="C563" s="34">
        <v>0.735560833333333</v>
      </c>
      <c r="D563" t="s">
        <v>385</v>
      </c>
      <c r="E563" s="34">
        <v>44.133650000000003</v>
      </c>
      <c r="F563" t="s">
        <v>17175</v>
      </c>
      <c r="G563" t="b">
        <v>0</v>
      </c>
    </row>
    <row r="564" spans="1:7" x14ac:dyDescent="0.25">
      <c r="A564" t="s">
        <v>12711</v>
      </c>
      <c r="B564" s="34">
        <v>8.8122999999999898</v>
      </c>
      <c r="C564" s="34">
        <v>0.734358333333333</v>
      </c>
      <c r="D564" t="s">
        <v>1064</v>
      </c>
      <c r="E564" s="34">
        <v>44.061500000000002</v>
      </c>
      <c r="F564" t="s">
        <v>15186</v>
      </c>
      <c r="G564" t="b">
        <v>0</v>
      </c>
    </row>
    <row r="565" spans="1:7" x14ac:dyDescent="0.25">
      <c r="A565" t="s">
        <v>13656</v>
      </c>
      <c r="B565" s="34">
        <v>8.7701999999999902</v>
      </c>
      <c r="C565" s="34">
        <v>0.73085</v>
      </c>
      <c r="D565" t="s">
        <v>35</v>
      </c>
      <c r="E565" s="34">
        <v>43.850999999999999</v>
      </c>
      <c r="F565" t="s">
        <v>16124</v>
      </c>
      <c r="G565" t="b">
        <v>0</v>
      </c>
    </row>
    <row r="566" spans="1:7" x14ac:dyDescent="0.25">
      <c r="A566" t="s">
        <v>14655</v>
      </c>
      <c r="B566" s="34">
        <v>8.7617639</v>
      </c>
      <c r="C566" s="34">
        <v>0.73014699166666597</v>
      </c>
      <c r="D566" t="s">
        <v>7304</v>
      </c>
      <c r="E566" s="34">
        <v>43.808819499999998</v>
      </c>
      <c r="F566" t="s">
        <v>17108</v>
      </c>
      <c r="G566" t="b">
        <v>0</v>
      </c>
    </row>
    <row r="567" spans="1:7" x14ac:dyDescent="0.25">
      <c r="A567" t="s">
        <v>13659</v>
      </c>
      <c r="B567" s="34">
        <v>8.7451120000000007</v>
      </c>
      <c r="C567" s="34">
        <v>0.72875933333333298</v>
      </c>
      <c r="D567" t="s">
        <v>385</v>
      </c>
      <c r="E567" s="34">
        <v>43.725560000000002</v>
      </c>
      <c r="F567" t="s">
        <v>16127</v>
      </c>
      <c r="G567" t="b">
        <v>0</v>
      </c>
    </row>
    <row r="568" spans="1:7" x14ac:dyDescent="0.25">
      <c r="A568" t="s">
        <v>13515</v>
      </c>
      <c r="B568" s="34">
        <v>8.7093999999999898</v>
      </c>
      <c r="C568" s="34">
        <v>0.725783333333333</v>
      </c>
      <c r="D568" t="s">
        <v>35</v>
      </c>
      <c r="E568" s="34">
        <v>14.515666666666601</v>
      </c>
      <c r="F568" t="s">
        <v>15984</v>
      </c>
      <c r="G568" t="b">
        <v>0</v>
      </c>
    </row>
    <row r="569" spans="1:7" x14ac:dyDescent="0.25">
      <c r="A569" t="s">
        <v>14149</v>
      </c>
      <c r="B569" s="34">
        <v>8.7054883000000007</v>
      </c>
      <c r="C569" s="34">
        <v>0.72545735833333302</v>
      </c>
      <c r="D569" t="s">
        <v>35</v>
      </c>
      <c r="E569" s="34">
        <v>21.763720750000001</v>
      </c>
      <c r="F569" t="s">
        <v>16616</v>
      </c>
      <c r="G569" t="b">
        <v>0</v>
      </c>
    </row>
    <row r="570" spans="1:7" x14ac:dyDescent="0.25">
      <c r="A570" t="s">
        <v>13532</v>
      </c>
      <c r="B570" s="34">
        <v>8.6720000000000006</v>
      </c>
      <c r="C570" s="34">
        <v>0.72266666666666601</v>
      </c>
      <c r="D570" t="s">
        <v>221</v>
      </c>
      <c r="E570" s="34">
        <v>43.36</v>
      </c>
      <c r="F570" t="s">
        <v>16001</v>
      </c>
      <c r="G570" t="b">
        <v>0</v>
      </c>
    </row>
    <row r="571" spans="1:7" x14ac:dyDescent="0.25">
      <c r="A571" t="s">
        <v>13371</v>
      </c>
      <c r="B571" s="34">
        <v>8.6618999999999904</v>
      </c>
      <c r="C571" s="34">
        <v>0.72182499999999905</v>
      </c>
      <c r="D571" t="s">
        <v>35</v>
      </c>
      <c r="E571" s="34">
        <v>43.3094999999999</v>
      </c>
      <c r="F571" t="s">
        <v>15841</v>
      </c>
      <c r="G571" t="b">
        <v>0</v>
      </c>
    </row>
    <row r="572" spans="1:7" x14ac:dyDescent="0.25">
      <c r="A572" t="s">
        <v>13121</v>
      </c>
      <c r="B572" s="34">
        <v>8.6601999999999997</v>
      </c>
      <c r="C572" s="34">
        <v>0.72168333333333301</v>
      </c>
      <c r="D572" t="s">
        <v>35</v>
      </c>
      <c r="E572" s="34">
        <v>43.301000000000002</v>
      </c>
      <c r="F572" t="s">
        <v>15596</v>
      </c>
      <c r="G572" t="b">
        <v>0</v>
      </c>
    </row>
    <row r="573" spans="1:7" x14ac:dyDescent="0.25">
      <c r="A573" t="s">
        <v>13192</v>
      </c>
      <c r="B573" s="34">
        <v>8.6562767999999899</v>
      </c>
      <c r="C573" s="34">
        <v>0.72135639999999901</v>
      </c>
      <c r="D573" t="s">
        <v>35</v>
      </c>
      <c r="E573" s="34">
        <v>43.281384000000003</v>
      </c>
      <c r="F573" t="s">
        <v>15666</v>
      </c>
      <c r="G573" t="b">
        <v>0</v>
      </c>
    </row>
    <row r="574" spans="1:7" x14ac:dyDescent="0.25">
      <c r="A574" t="s">
        <v>12817</v>
      </c>
      <c r="B574" s="34">
        <v>8.6337499999999991</v>
      </c>
      <c r="C574" s="34">
        <v>0.719479166666666</v>
      </c>
      <c r="D574" t="s">
        <v>90</v>
      </c>
      <c r="E574" s="34">
        <v>43.168750000000003</v>
      </c>
      <c r="F574" t="s">
        <v>15292</v>
      </c>
      <c r="G574" t="b">
        <v>0</v>
      </c>
    </row>
    <row r="575" spans="1:7" x14ac:dyDescent="0.25">
      <c r="A575" t="s">
        <v>13932</v>
      </c>
      <c r="B575" s="34">
        <v>8.6256999999999895</v>
      </c>
      <c r="C575" s="34">
        <v>0.71880833333333305</v>
      </c>
      <c r="D575" t="s">
        <v>132</v>
      </c>
      <c r="E575" s="34">
        <v>43.128500000000003</v>
      </c>
      <c r="F575" t="s">
        <v>16399</v>
      </c>
      <c r="G575" t="b">
        <v>0</v>
      </c>
    </row>
    <row r="576" spans="1:7" x14ac:dyDescent="0.25">
      <c r="A576" t="s">
        <v>14691</v>
      </c>
      <c r="B576" s="34">
        <v>8.5767999999999898</v>
      </c>
      <c r="C576" s="34">
        <v>0.714733333333333</v>
      </c>
      <c r="D576" t="s">
        <v>274</v>
      </c>
      <c r="E576" s="34">
        <v>14.2946666666666</v>
      </c>
      <c r="F576" t="s">
        <v>17143</v>
      </c>
      <c r="G576" t="b">
        <v>0</v>
      </c>
    </row>
    <row r="577" spans="1:7" x14ac:dyDescent="0.25">
      <c r="A577" t="s">
        <v>14091</v>
      </c>
      <c r="B577" s="34">
        <v>8.5376999999999992</v>
      </c>
      <c r="C577" s="34">
        <v>0.71147499999999997</v>
      </c>
      <c r="D577" t="s">
        <v>4338</v>
      </c>
      <c r="E577" s="34">
        <v>42.688499999999998</v>
      </c>
      <c r="F577" t="s">
        <v>16558</v>
      </c>
      <c r="G577" t="b">
        <v>0</v>
      </c>
    </row>
    <row r="578" spans="1:7" x14ac:dyDescent="0.25">
      <c r="A578" t="s">
        <v>12905</v>
      </c>
      <c r="B578" s="34">
        <v>8.5358699999999992</v>
      </c>
      <c r="C578" s="34">
        <v>0.71132249999999897</v>
      </c>
      <c r="D578" t="s">
        <v>2267</v>
      </c>
      <c r="E578" s="34">
        <v>42.6793499999999</v>
      </c>
      <c r="F578" t="s">
        <v>15380</v>
      </c>
      <c r="G578" t="b">
        <v>0</v>
      </c>
    </row>
    <row r="579" spans="1:7" x14ac:dyDescent="0.25">
      <c r="A579" t="s">
        <v>14310</v>
      </c>
      <c r="B579" s="34">
        <v>8.5171799999999998</v>
      </c>
      <c r="C579" s="34">
        <v>0.70976499999999898</v>
      </c>
      <c r="D579" t="s">
        <v>1209</v>
      </c>
      <c r="E579" s="34">
        <v>42.585900000000002</v>
      </c>
      <c r="F579" t="s">
        <v>16773</v>
      </c>
      <c r="G579" t="b">
        <v>0</v>
      </c>
    </row>
    <row r="580" spans="1:7" x14ac:dyDescent="0.25">
      <c r="A580" t="s">
        <v>13185</v>
      </c>
      <c r="B580" s="34">
        <v>8.5016093999999995</v>
      </c>
      <c r="C580" s="34">
        <v>0.708467449999999</v>
      </c>
      <c r="D580" t="s">
        <v>35</v>
      </c>
      <c r="E580" s="34">
        <v>21.254023499999899</v>
      </c>
      <c r="F580" t="s">
        <v>15659</v>
      </c>
      <c r="G580" t="b">
        <v>0</v>
      </c>
    </row>
    <row r="581" spans="1:7" x14ac:dyDescent="0.25">
      <c r="A581" t="s">
        <v>12715</v>
      </c>
      <c r="B581" s="34">
        <v>8.4907999999999895</v>
      </c>
      <c r="C581" s="34">
        <v>0.70756666666666601</v>
      </c>
      <c r="D581" t="s">
        <v>424</v>
      </c>
      <c r="E581" s="34">
        <v>42.453999999999901</v>
      </c>
      <c r="F581" t="s">
        <v>15190</v>
      </c>
      <c r="G581" t="b">
        <v>0</v>
      </c>
    </row>
    <row r="582" spans="1:7" x14ac:dyDescent="0.25">
      <c r="A582" t="s">
        <v>13084</v>
      </c>
      <c r="B582" s="34">
        <v>8.4550000000000001</v>
      </c>
      <c r="C582" s="34">
        <v>0.70458333333333301</v>
      </c>
      <c r="D582" t="s">
        <v>35</v>
      </c>
      <c r="E582" s="34">
        <v>42.274999999999999</v>
      </c>
      <c r="F582" t="s">
        <v>15559</v>
      </c>
      <c r="G582" t="b">
        <v>0</v>
      </c>
    </row>
    <row r="583" spans="1:7" x14ac:dyDescent="0.25">
      <c r="A583" t="s">
        <v>14609</v>
      </c>
      <c r="B583" s="34">
        <v>8.4276</v>
      </c>
      <c r="C583" s="34">
        <v>0.70230000000000004</v>
      </c>
      <c r="D583" t="s">
        <v>409</v>
      </c>
      <c r="E583" s="34">
        <v>42.137999999999998</v>
      </c>
      <c r="F583" t="s">
        <v>17063</v>
      </c>
      <c r="G583" t="b">
        <v>0</v>
      </c>
    </row>
    <row r="584" spans="1:7" x14ac:dyDescent="0.25">
      <c r="A584" t="s">
        <v>14004</v>
      </c>
      <c r="B584" s="34">
        <v>8.4216999999999995</v>
      </c>
      <c r="C584" s="34">
        <v>0.70180833333333303</v>
      </c>
      <c r="D584" t="s">
        <v>35</v>
      </c>
      <c r="E584" s="34">
        <v>42.108499999999999</v>
      </c>
      <c r="F584" t="s">
        <v>16471</v>
      </c>
      <c r="G584" t="b">
        <v>0</v>
      </c>
    </row>
    <row r="585" spans="1:7" x14ac:dyDescent="0.25">
      <c r="A585" t="s">
        <v>12733</v>
      </c>
      <c r="B585" s="34">
        <v>8.4206000000000003</v>
      </c>
      <c r="C585" s="34">
        <v>0.70171666666666599</v>
      </c>
      <c r="D585" t="s">
        <v>115</v>
      </c>
      <c r="E585" s="34">
        <v>42.103000000000002</v>
      </c>
      <c r="F585" t="s">
        <v>15208</v>
      </c>
      <c r="G585" t="b">
        <v>0</v>
      </c>
    </row>
    <row r="586" spans="1:7" x14ac:dyDescent="0.25">
      <c r="A586" t="s">
        <v>13184</v>
      </c>
      <c r="B586" s="34">
        <v>8.42</v>
      </c>
      <c r="C586" s="34">
        <v>0.70166666666666599</v>
      </c>
      <c r="D586" t="s">
        <v>1281</v>
      </c>
      <c r="E586" s="34">
        <v>42.1</v>
      </c>
      <c r="F586" t="s">
        <v>15658</v>
      </c>
      <c r="G586" t="b">
        <v>0</v>
      </c>
    </row>
    <row r="587" spans="1:7" x14ac:dyDescent="0.25">
      <c r="A587" t="s">
        <v>13242</v>
      </c>
      <c r="B587" s="34">
        <v>8.3987800000000004</v>
      </c>
      <c r="C587" s="34">
        <v>0.69989833333333296</v>
      </c>
      <c r="D587" t="s">
        <v>424</v>
      </c>
      <c r="E587" s="34">
        <v>41.993899999999996</v>
      </c>
      <c r="F587" t="s">
        <v>15716</v>
      </c>
      <c r="G587" t="b">
        <v>0</v>
      </c>
    </row>
    <row r="588" spans="1:7" x14ac:dyDescent="0.25">
      <c r="A588" t="s">
        <v>12874</v>
      </c>
      <c r="B588" s="34">
        <v>8.3528699999999994</v>
      </c>
      <c r="C588" s="34">
        <v>0.69607249999999998</v>
      </c>
      <c r="D588" t="s">
        <v>8352</v>
      </c>
      <c r="E588" s="34">
        <v>41.76435</v>
      </c>
      <c r="F588" t="s">
        <v>15349</v>
      </c>
      <c r="G588" t="b">
        <v>0</v>
      </c>
    </row>
    <row r="589" spans="1:7" x14ac:dyDescent="0.25">
      <c r="A589" t="s">
        <v>12830</v>
      </c>
      <c r="B589" s="34">
        <v>8.3325999999999993</v>
      </c>
      <c r="C589" s="34">
        <v>0.69438333333333302</v>
      </c>
      <c r="D589" t="s">
        <v>35</v>
      </c>
      <c r="E589" s="34">
        <v>41.662999999999997</v>
      </c>
      <c r="F589" t="s">
        <v>15305</v>
      </c>
      <c r="G589" t="b">
        <v>0</v>
      </c>
    </row>
    <row r="590" spans="1:7" x14ac:dyDescent="0.25">
      <c r="A590" t="s">
        <v>13446</v>
      </c>
      <c r="B590" s="34">
        <v>8.31996</v>
      </c>
      <c r="C590" s="34">
        <v>0.69333</v>
      </c>
      <c r="D590" t="s">
        <v>274</v>
      </c>
      <c r="E590" s="34">
        <v>41.599800000000002</v>
      </c>
      <c r="F590" t="s">
        <v>15915</v>
      </c>
      <c r="G590" t="b">
        <v>0</v>
      </c>
    </row>
    <row r="591" spans="1:7" x14ac:dyDescent="0.25">
      <c r="A591" t="s">
        <v>13438</v>
      </c>
      <c r="B591" s="34">
        <v>8.2954000000000008</v>
      </c>
      <c r="C591" s="34">
        <v>0.69128333333333303</v>
      </c>
      <c r="D591" t="s">
        <v>6534</v>
      </c>
      <c r="E591" s="34">
        <v>41.476999999999997</v>
      </c>
      <c r="F591" t="s">
        <v>15907</v>
      </c>
      <c r="G591" t="b">
        <v>0</v>
      </c>
    </row>
    <row r="592" spans="1:7" x14ac:dyDescent="0.25">
      <c r="A592" t="s">
        <v>13745</v>
      </c>
      <c r="B592" s="34">
        <v>8.2533580000000004</v>
      </c>
      <c r="C592" s="34">
        <v>0.68777983333333303</v>
      </c>
      <c r="D592" t="s">
        <v>4169</v>
      </c>
      <c r="E592" s="34">
        <v>20.633395</v>
      </c>
      <c r="F592" t="s">
        <v>16213</v>
      </c>
      <c r="G592" t="b">
        <v>0</v>
      </c>
    </row>
    <row r="593" spans="1:7" x14ac:dyDescent="0.25">
      <c r="A593" t="s">
        <v>14381</v>
      </c>
      <c r="B593" s="34">
        <v>8.2479999999999993</v>
      </c>
      <c r="C593" s="34">
        <v>0.68733333333333302</v>
      </c>
      <c r="D593" t="s">
        <v>35</v>
      </c>
      <c r="E593" s="34">
        <v>41.24</v>
      </c>
      <c r="F593" t="s">
        <v>16843</v>
      </c>
      <c r="G593" t="b">
        <v>0</v>
      </c>
    </row>
    <row r="594" spans="1:7" x14ac:dyDescent="0.25">
      <c r="A594" t="s">
        <v>13036</v>
      </c>
      <c r="B594" s="34">
        <v>8.2292000000000005</v>
      </c>
      <c r="C594" s="34">
        <v>0.68576666666666597</v>
      </c>
      <c r="D594" t="s">
        <v>162</v>
      </c>
      <c r="E594" s="34">
        <v>41.146000000000001</v>
      </c>
      <c r="F594" t="s">
        <v>15511</v>
      </c>
      <c r="G594" t="b">
        <v>0</v>
      </c>
    </row>
    <row r="595" spans="1:7" x14ac:dyDescent="0.25">
      <c r="A595" t="s">
        <v>12818</v>
      </c>
      <c r="B595" s="34">
        <v>8.1692400000000003</v>
      </c>
      <c r="C595" s="34">
        <v>0.68076999999999999</v>
      </c>
      <c r="D595" t="s">
        <v>90</v>
      </c>
      <c r="E595" s="34">
        <v>40.846200000000003</v>
      </c>
      <c r="F595" t="s">
        <v>15293</v>
      </c>
      <c r="G595" t="b">
        <v>0</v>
      </c>
    </row>
    <row r="596" spans="1:7" x14ac:dyDescent="0.25">
      <c r="A596" t="s">
        <v>13413</v>
      </c>
      <c r="B596" s="34">
        <v>8.1483899999999991</v>
      </c>
      <c r="C596" s="34">
        <v>0.67903249999999904</v>
      </c>
      <c r="D596" t="s">
        <v>385</v>
      </c>
      <c r="E596" s="34">
        <v>40.741950000000003</v>
      </c>
      <c r="F596" t="s">
        <v>15883</v>
      </c>
      <c r="G596" t="b">
        <v>0</v>
      </c>
    </row>
    <row r="597" spans="1:7" x14ac:dyDescent="0.25">
      <c r="A597" t="s">
        <v>13731</v>
      </c>
      <c r="B597" s="34">
        <v>8.1294000000000004</v>
      </c>
      <c r="C597" s="34">
        <v>0.67745</v>
      </c>
      <c r="D597" t="s">
        <v>35</v>
      </c>
      <c r="E597" s="34">
        <v>20.323499999999999</v>
      </c>
      <c r="F597" t="s">
        <v>16199</v>
      </c>
      <c r="G597" t="b">
        <v>0</v>
      </c>
    </row>
    <row r="598" spans="1:7" x14ac:dyDescent="0.25">
      <c r="A598" t="s">
        <v>13601</v>
      </c>
      <c r="B598" s="34">
        <v>8.1199999999999992</v>
      </c>
      <c r="C598" s="34">
        <v>0.67666666666666597</v>
      </c>
      <c r="D598" t="s">
        <v>35</v>
      </c>
      <c r="E598" s="34">
        <v>40.6</v>
      </c>
      <c r="F598" t="s">
        <v>16070</v>
      </c>
      <c r="G598" t="b">
        <v>0</v>
      </c>
    </row>
    <row r="599" spans="1:7" x14ac:dyDescent="0.25">
      <c r="A599" t="s">
        <v>12883</v>
      </c>
      <c r="B599" s="34">
        <v>8.1036599999999996</v>
      </c>
      <c r="C599" s="34">
        <v>0.67530499999999904</v>
      </c>
      <c r="D599" t="s">
        <v>1013</v>
      </c>
      <c r="E599" s="34">
        <v>40.518300000000004</v>
      </c>
      <c r="F599" t="s">
        <v>15358</v>
      </c>
      <c r="G599" t="b">
        <v>0</v>
      </c>
    </row>
    <row r="600" spans="1:7" x14ac:dyDescent="0.25">
      <c r="A600" t="s">
        <v>12867</v>
      </c>
      <c r="B600" s="34">
        <v>8.0832940999999998</v>
      </c>
      <c r="C600" s="34">
        <v>0.67360784166666599</v>
      </c>
      <c r="D600" t="s">
        <v>162</v>
      </c>
      <c r="E600" s="34">
        <v>40.416470500000003</v>
      </c>
      <c r="F600" t="s">
        <v>15342</v>
      </c>
      <c r="G600" t="b">
        <v>0</v>
      </c>
    </row>
    <row r="601" spans="1:7" x14ac:dyDescent="0.25">
      <c r="A601" t="s">
        <v>14369</v>
      </c>
      <c r="B601" s="34">
        <v>8.07</v>
      </c>
      <c r="C601" s="34">
        <v>0.67249999999999999</v>
      </c>
      <c r="D601" t="s">
        <v>1275</v>
      </c>
      <c r="E601" s="34">
        <v>20.174999999999901</v>
      </c>
      <c r="F601" t="s">
        <v>16831</v>
      </c>
      <c r="G601" t="b">
        <v>0</v>
      </c>
    </row>
    <row r="602" spans="1:7" x14ac:dyDescent="0.25">
      <c r="A602" t="s">
        <v>14151</v>
      </c>
      <c r="B602" s="34">
        <v>8.0692199999999996</v>
      </c>
      <c r="C602" s="34">
        <v>0.672435</v>
      </c>
      <c r="D602" t="s">
        <v>35</v>
      </c>
      <c r="E602" s="34">
        <v>40.3461</v>
      </c>
      <c r="F602" t="s">
        <v>16618</v>
      </c>
      <c r="G602" t="b">
        <v>0</v>
      </c>
    </row>
    <row r="603" spans="1:7" x14ac:dyDescent="0.25">
      <c r="A603" t="s">
        <v>13379</v>
      </c>
      <c r="B603" s="34">
        <v>8.0657800000000002</v>
      </c>
      <c r="C603" s="34">
        <v>0.67214833333333301</v>
      </c>
      <c r="D603" t="s">
        <v>1288</v>
      </c>
      <c r="E603" s="34">
        <v>40.328899999999997</v>
      </c>
      <c r="F603" t="s">
        <v>15849</v>
      </c>
      <c r="G603" t="b">
        <v>0</v>
      </c>
    </row>
    <row r="604" spans="1:7" x14ac:dyDescent="0.25">
      <c r="A604" t="s">
        <v>13720</v>
      </c>
      <c r="B604" s="34">
        <v>8.0130799999999898</v>
      </c>
      <c r="C604" s="34">
        <v>0.667756666666666</v>
      </c>
      <c r="D604" t="s">
        <v>132</v>
      </c>
      <c r="E604" s="34">
        <v>40.065399999999997</v>
      </c>
      <c r="F604" t="s">
        <v>16188</v>
      </c>
      <c r="G604" t="b">
        <v>0</v>
      </c>
    </row>
    <row r="605" spans="1:7" x14ac:dyDescent="0.25">
      <c r="A605" t="s">
        <v>12555</v>
      </c>
      <c r="B605" s="34">
        <v>7.9942000000000002</v>
      </c>
      <c r="C605" s="34">
        <v>0.66618333333333302</v>
      </c>
      <c r="D605" t="s">
        <v>632</v>
      </c>
      <c r="E605" s="34">
        <v>39.970999999999997</v>
      </c>
      <c r="F605" t="s">
        <v>15030</v>
      </c>
      <c r="G605" t="b">
        <v>0</v>
      </c>
    </row>
    <row r="606" spans="1:7" x14ac:dyDescent="0.25">
      <c r="A606" t="s">
        <v>12746</v>
      </c>
      <c r="B606" s="34">
        <v>7.9601176000000002</v>
      </c>
      <c r="C606" s="34">
        <v>0.66334313333333295</v>
      </c>
      <c r="D606" t="s">
        <v>168</v>
      </c>
      <c r="E606" s="34">
        <v>39.800587999999998</v>
      </c>
      <c r="F606" t="s">
        <v>15221</v>
      </c>
      <c r="G606" t="b">
        <v>0</v>
      </c>
    </row>
    <row r="607" spans="1:7" x14ac:dyDescent="0.25">
      <c r="A607" t="s">
        <v>13492</v>
      </c>
      <c r="B607" s="34">
        <v>7.9349999999999996</v>
      </c>
      <c r="C607" s="34">
        <v>0.66125</v>
      </c>
      <c r="D607" t="s">
        <v>67</v>
      </c>
      <c r="E607" s="34">
        <v>39.674999999999997</v>
      </c>
      <c r="F607" t="s">
        <v>15961</v>
      </c>
      <c r="G607" t="b">
        <v>0</v>
      </c>
    </row>
    <row r="608" spans="1:7" x14ac:dyDescent="0.25">
      <c r="A608" t="s">
        <v>13520</v>
      </c>
      <c r="B608" s="34">
        <v>7.9302000000000001</v>
      </c>
      <c r="C608" s="34">
        <v>0.66085000000000005</v>
      </c>
      <c r="D608" t="s">
        <v>35</v>
      </c>
      <c r="E608" s="34">
        <v>39.651000000000003</v>
      </c>
      <c r="F608" t="s">
        <v>15989</v>
      </c>
      <c r="G608" t="b">
        <v>0</v>
      </c>
    </row>
    <row r="609" spans="1:7" x14ac:dyDescent="0.25">
      <c r="A609" t="s">
        <v>13208</v>
      </c>
      <c r="B609" s="34">
        <v>7.9069999999999903</v>
      </c>
      <c r="C609" s="34">
        <v>0.65891666666666604</v>
      </c>
      <c r="D609" t="s">
        <v>132</v>
      </c>
      <c r="E609" s="34">
        <v>39.534999999999997</v>
      </c>
      <c r="F609" t="s">
        <v>15682</v>
      </c>
      <c r="G609" t="b">
        <v>0</v>
      </c>
    </row>
    <row r="610" spans="1:7" x14ac:dyDescent="0.25">
      <c r="A610" t="s">
        <v>13623</v>
      </c>
      <c r="B610" s="34">
        <v>7.8650000000000002</v>
      </c>
      <c r="C610" s="34">
        <v>0.65541666666666598</v>
      </c>
      <c r="D610" t="s">
        <v>104</v>
      </c>
      <c r="E610" s="34">
        <v>39.325000000000003</v>
      </c>
      <c r="F610" t="s">
        <v>16092</v>
      </c>
      <c r="G610" t="b">
        <v>0</v>
      </c>
    </row>
    <row r="611" spans="1:7" x14ac:dyDescent="0.25">
      <c r="A611" t="s">
        <v>13406</v>
      </c>
      <c r="B611" s="34">
        <v>7.8373200000000001</v>
      </c>
      <c r="C611" s="34">
        <v>0.65310999999999997</v>
      </c>
      <c r="D611" t="s">
        <v>35</v>
      </c>
      <c r="E611" s="34">
        <v>4.8983249999999998</v>
      </c>
      <c r="F611" t="s">
        <v>15876</v>
      </c>
      <c r="G611" t="b">
        <v>0</v>
      </c>
    </row>
    <row r="612" spans="1:7" x14ac:dyDescent="0.25">
      <c r="A612" t="s">
        <v>12744</v>
      </c>
      <c r="B612" s="34">
        <v>7.8370522999999901</v>
      </c>
      <c r="C612" s="34">
        <v>0.65308769166666603</v>
      </c>
      <c r="D612" t="s">
        <v>35</v>
      </c>
      <c r="E612" s="34">
        <v>39.185261499999903</v>
      </c>
      <c r="F612" t="s">
        <v>15219</v>
      </c>
      <c r="G612" t="b">
        <v>0</v>
      </c>
    </row>
    <row r="613" spans="1:7" x14ac:dyDescent="0.25">
      <c r="A613" t="s">
        <v>13633</v>
      </c>
      <c r="B613" s="34">
        <v>7.8336366000000002</v>
      </c>
      <c r="C613" s="34">
        <v>0.65280305000000005</v>
      </c>
      <c r="D613" t="s">
        <v>35</v>
      </c>
      <c r="E613" s="34">
        <v>39.168182999999999</v>
      </c>
      <c r="F613" t="s">
        <v>16102</v>
      </c>
      <c r="G613" t="b">
        <v>0</v>
      </c>
    </row>
    <row r="614" spans="1:7" x14ac:dyDescent="0.25">
      <c r="A614" t="s">
        <v>14060</v>
      </c>
      <c r="B614" s="34">
        <v>7.8034871999999904</v>
      </c>
      <c r="C614" s="34">
        <v>0.65029059999999905</v>
      </c>
      <c r="D614" t="s">
        <v>35</v>
      </c>
      <c r="E614" s="34">
        <v>39.017435999999996</v>
      </c>
      <c r="F614" t="s">
        <v>16527</v>
      </c>
      <c r="G614" t="b">
        <v>0</v>
      </c>
    </row>
    <row r="615" spans="1:7" x14ac:dyDescent="0.25">
      <c r="A615" t="s">
        <v>14317</v>
      </c>
      <c r="B615" s="34">
        <v>7.7975999999999903</v>
      </c>
      <c r="C615" s="34">
        <v>0.64979999999999905</v>
      </c>
      <c r="D615" t="s">
        <v>576</v>
      </c>
      <c r="E615" s="34">
        <v>38.9879999999999</v>
      </c>
      <c r="F615" t="s">
        <v>16780</v>
      </c>
      <c r="G615" t="b">
        <v>0</v>
      </c>
    </row>
    <row r="616" spans="1:7" x14ac:dyDescent="0.25">
      <c r="A616" t="s">
        <v>13225</v>
      </c>
      <c r="B616" s="34">
        <v>7.7336</v>
      </c>
      <c r="C616" s="34">
        <v>0.64446666666666597</v>
      </c>
      <c r="D616" t="s">
        <v>35</v>
      </c>
      <c r="E616" s="34">
        <v>38.667999999999999</v>
      </c>
      <c r="F616" t="s">
        <v>15699</v>
      </c>
      <c r="G616" t="b">
        <v>0</v>
      </c>
    </row>
    <row r="617" spans="1:7" x14ac:dyDescent="0.25">
      <c r="A617" t="s">
        <v>12916</v>
      </c>
      <c r="B617" s="34">
        <v>7.7180797999999999</v>
      </c>
      <c r="C617" s="34">
        <v>0.643173316666666</v>
      </c>
      <c r="D617" t="s">
        <v>663</v>
      </c>
      <c r="E617" s="34">
        <v>38.590398999999998</v>
      </c>
      <c r="F617" t="s">
        <v>15391</v>
      </c>
      <c r="G617" t="b">
        <v>0</v>
      </c>
    </row>
    <row r="618" spans="1:7" x14ac:dyDescent="0.25">
      <c r="A618" t="s">
        <v>12749</v>
      </c>
      <c r="B618" s="34">
        <v>7.6983999999999897</v>
      </c>
      <c r="C618" s="34">
        <v>0.64153333333333296</v>
      </c>
      <c r="D618" t="s">
        <v>663</v>
      </c>
      <c r="E618" s="34">
        <v>38.491999999999997</v>
      </c>
      <c r="F618" t="s">
        <v>15224</v>
      </c>
      <c r="G618" t="b">
        <v>0</v>
      </c>
    </row>
    <row r="619" spans="1:7" x14ac:dyDescent="0.25">
      <c r="A619" t="s">
        <v>13506</v>
      </c>
      <c r="B619" s="34">
        <v>7.6734999999999998</v>
      </c>
      <c r="C619" s="34">
        <v>0.63945833333333302</v>
      </c>
      <c r="D619" t="s">
        <v>456</v>
      </c>
      <c r="E619" s="34">
        <v>38.3675</v>
      </c>
      <c r="F619" t="s">
        <v>15975</v>
      </c>
      <c r="G619" t="b">
        <v>0</v>
      </c>
    </row>
    <row r="620" spans="1:7" x14ac:dyDescent="0.25">
      <c r="A620" t="s">
        <v>13398</v>
      </c>
      <c r="B620" s="34">
        <v>7.6696999999999997</v>
      </c>
      <c r="C620" s="34">
        <v>0.63914166666666605</v>
      </c>
      <c r="D620" t="s">
        <v>2273</v>
      </c>
      <c r="E620" s="34">
        <v>38.348500000000001</v>
      </c>
      <c r="F620" t="s">
        <v>15868</v>
      </c>
      <c r="G620" t="b">
        <v>0</v>
      </c>
    </row>
    <row r="621" spans="1:7" x14ac:dyDescent="0.25">
      <c r="A621" t="s">
        <v>13320</v>
      </c>
      <c r="B621" s="34">
        <v>7.6674433999999998</v>
      </c>
      <c r="C621" s="34">
        <v>0.63895361666666595</v>
      </c>
      <c r="D621" t="s">
        <v>35</v>
      </c>
      <c r="E621" s="34">
        <v>38.337216999999903</v>
      </c>
      <c r="F621" t="s">
        <v>15790</v>
      </c>
      <c r="G621" t="b">
        <v>0</v>
      </c>
    </row>
    <row r="622" spans="1:7" x14ac:dyDescent="0.25">
      <c r="A622" t="s">
        <v>13097</v>
      </c>
      <c r="B622" s="34">
        <v>7.6334</v>
      </c>
      <c r="C622" s="34">
        <v>0.636116666666666</v>
      </c>
      <c r="D622" t="s">
        <v>35</v>
      </c>
      <c r="E622" s="34">
        <v>38.167000000000002</v>
      </c>
      <c r="F622" t="s">
        <v>15572</v>
      </c>
      <c r="G622" t="b">
        <v>0</v>
      </c>
    </row>
    <row r="623" spans="1:7" x14ac:dyDescent="0.25">
      <c r="A623" t="s">
        <v>13791</v>
      </c>
      <c r="B623" s="34">
        <v>7.6000756000000003</v>
      </c>
      <c r="C623" s="34">
        <v>0.63333963333333299</v>
      </c>
      <c r="D623" t="s">
        <v>3230</v>
      </c>
      <c r="E623" s="34">
        <v>38.000377999999998</v>
      </c>
      <c r="F623" t="s">
        <v>16258</v>
      </c>
      <c r="G623" t="b">
        <v>0</v>
      </c>
    </row>
    <row r="624" spans="1:7" x14ac:dyDescent="0.25">
      <c r="A624" t="s">
        <v>14365</v>
      </c>
      <c r="B624" s="34">
        <v>7.5485199999999901</v>
      </c>
      <c r="C624" s="34">
        <v>0.62904333333333295</v>
      </c>
      <c r="D624" t="s">
        <v>312</v>
      </c>
      <c r="E624" s="34">
        <v>18.871300000000002</v>
      </c>
      <c r="F624" t="s">
        <v>16827</v>
      </c>
      <c r="G624" t="b">
        <v>0</v>
      </c>
    </row>
    <row r="625" spans="1:7" x14ac:dyDescent="0.25">
      <c r="A625" t="s">
        <v>14017</v>
      </c>
      <c r="B625" s="34">
        <v>7.5409999999999897</v>
      </c>
      <c r="C625" s="34">
        <v>0.62841666666666596</v>
      </c>
      <c r="D625" t="s">
        <v>3250</v>
      </c>
      <c r="E625" s="34">
        <v>18.852499999999999</v>
      </c>
      <c r="F625" t="s">
        <v>16484</v>
      </c>
      <c r="G625" t="b">
        <v>0</v>
      </c>
    </row>
    <row r="626" spans="1:7" x14ac:dyDescent="0.25">
      <c r="A626" t="s">
        <v>13847</v>
      </c>
      <c r="B626" s="34">
        <v>7.5388000000000002</v>
      </c>
      <c r="C626" s="34">
        <v>0.62823333333333298</v>
      </c>
      <c r="D626" t="s">
        <v>26</v>
      </c>
      <c r="E626" s="34">
        <v>37.694000000000003</v>
      </c>
      <c r="F626" t="s">
        <v>16314</v>
      </c>
      <c r="G626" t="b">
        <v>0</v>
      </c>
    </row>
    <row r="627" spans="1:7" x14ac:dyDescent="0.25">
      <c r="A627" t="s">
        <v>14402</v>
      </c>
      <c r="B627" s="34">
        <v>7.5132000000000003</v>
      </c>
      <c r="C627" s="34">
        <v>0.62609999999999999</v>
      </c>
      <c r="D627" t="s">
        <v>35</v>
      </c>
      <c r="E627" s="34">
        <v>37.566000000000003</v>
      </c>
      <c r="F627" t="s">
        <v>16864</v>
      </c>
      <c r="G627" t="b">
        <v>0</v>
      </c>
    </row>
    <row r="628" spans="1:7" x14ac:dyDescent="0.25">
      <c r="A628" t="s">
        <v>14279</v>
      </c>
      <c r="B628" s="34">
        <v>7.51035599999999</v>
      </c>
      <c r="C628" s="34">
        <v>0.62586299999999895</v>
      </c>
      <c r="D628" t="s">
        <v>97</v>
      </c>
      <c r="E628" s="34">
        <v>18.775889999999901</v>
      </c>
      <c r="F628" t="s">
        <v>16743</v>
      </c>
      <c r="G628" t="b">
        <v>0</v>
      </c>
    </row>
    <row r="629" spans="1:7" x14ac:dyDescent="0.25">
      <c r="A629" t="s">
        <v>13469</v>
      </c>
      <c r="B629" s="34">
        <v>7.5060000000000002</v>
      </c>
      <c r="C629" s="34">
        <v>0.62549999999999994</v>
      </c>
      <c r="D629" t="s">
        <v>576</v>
      </c>
      <c r="E629" s="34">
        <v>37.53</v>
      </c>
      <c r="F629" t="s">
        <v>15938</v>
      </c>
      <c r="G629" t="b">
        <v>0</v>
      </c>
    </row>
    <row r="630" spans="1:7" x14ac:dyDescent="0.25">
      <c r="A630" t="s">
        <v>13935</v>
      </c>
      <c r="B630" s="34">
        <v>7.4187931999999996</v>
      </c>
      <c r="C630" s="34">
        <v>0.61823276666666604</v>
      </c>
      <c r="D630" t="s">
        <v>35</v>
      </c>
      <c r="E630" s="34">
        <v>37.093966000000002</v>
      </c>
      <c r="F630" t="s">
        <v>16402</v>
      </c>
      <c r="G630" t="b">
        <v>0</v>
      </c>
    </row>
    <row r="631" spans="1:7" x14ac:dyDescent="0.25">
      <c r="A631" t="s">
        <v>12740</v>
      </c>
      <c r="B631" s="34">
        <v>7.3813645999999897</v>
      </c>
      <c r="C631" s="34">
        <v>0.61511371666666603</v>
      </c>
      <c r="D631" t="s">
        <v>810</v>
      </c>
      <c r="E631" s="34">
        <v>36.906822999999903</v>
      </c>
      <c r="F631" t="s">
        <v>15215</v>
      </c>
      <c r="G631" t="b">
        <v>0</v>
      </c>
    </row>
    <row r="632" spans="1:7" x14ac:dyDescent="0.25">
      <c r="A632" t="s">
        <v>14040</v>
      </c>
      <c r="B632" s="34">
        <v>7.3429000000000002</v>
      </c>
      <c r="C632" s="34">
        <v>0.61190833333333305</v>
      </c>
      <c r="D632" t="s">
        <v>312</v>
      </c>
      <c r="E632" s="34">
        <v>36.714500000000001</v>
      </c>
      <c r="F632" t="s">
        <v>16507</v>
      </c>
      <c r="G632" t="b">
        <v>0</v>
      </c>
    </row>
    <row r="633" spans="1:7" x14ac:dyDescent="0.25">
      <c r="A633" t="s">
        <v>12994</v>
      </c>
      <c r="B633" s="34">
        <v>7.3401599999999902</v>
      </c>
      <c r="C633" s="34">
        <v>0.611679999999999</v>
      </c>
      <c r="D633" t="s">
        <v>4114</v>
      </c>
      <c r="E633" s="34">
        <v>36.700800000000001</v>
      </c>
      <c r="F633" t="s">
        <v>15469</v>
      </c>
      <c r="G633" t="b">
        <v>0</v>
      </c>
    </row>
    <row r="634" spans="1:7" x14ac:dyDescent="0.25">
      <c r="A634" t="s">
        <v>14030</v>
      </c>
      <c r="B634" s="34">
        <v>7.33381919999999</v>
      </c>
      <c r="C634" s="34">
        <v>0.61115159999999902</v>
      </c>
      <c r="D634" t="s">
        <v>35</v>
      </c>
      <c r="E634" s="34">
        <v>36.669096000000003</v>
      </c>
      <c r="F634" t="s">
        <v>16497</v>
      </c>
      <c r="G634" t="b">
        <v>0</v>
      </c>
    </row>
    <row r="635" spans="1:7" x14ac:dyDescent="0.25">
      <c r="A635" t="s">
        <v>14544</v>
      </c>
      <c r="B635" s="34">
        <v>7.3213900000000001</v>
      </c>
      <c r="C635" s="34">
        <v>0.61011583333333297</v>
      </c>
      <c r="D635" t="s">
        <v>390</v>
      </c>
      <c r="E635" s="34">
        <v>36.606949999999998</v>
      </c>
      <c r="F635" t="s">
        <v>17003</v>
      </c>
      <c r="G635" t="b">
        <v>0</v>
      </c>
    </row>
    <row r="636" spans="1:7" x14ac:dyDescent="0.25">
      <c r="A636" t="s">
        <v>12910</v>
      </c>
      <c r="B636" s="34">
        <v>7.3057999999999996</v>
      </c>
      <c r="C636" s="34">
        <v>0.60881666666666601</v>
      </c>
      <c r="D636" t="s">
        <v>6919</v>
      </c>
      <c r="E636" s="34">
        <v>36.529000000000003</v>
      </c>
      <c r="F636" t="s">
        <v>15385</v>
      </c>
      <c r="G636" t="b">
        <v>0</v>
      </c>
    </row>
    <row r="637" spans="1:7" x14ac:dyDescent="0.25">
      <c r="A637" t="s">
        <v>13178</v>
      </c>
      <c r="B637" s="34">
        <v>7.2783999999999898</v>
      </c>
      <c r="C637" s="34">
        <v>0.60653333333333304</v>
      </c>
      <c r="D637" t="s">
        <v>35</v>
      </c>
      <c r="E637" s="34">
        <v>36.391999999999904</v>
      </c>
      <c r="F637" t="s">
        <v>15652</v>
      </c>
      <c r="G637" t="b">
        <v>0</v>
      </c>
    </row>
    <row r="638" spans="1:7" x14ac:dyDescent="0.25">
      <c r="A638" t="s">
        <v>13195</v>
      </c>
      <c r="B638" s="34">
        <v>7.2121999999999904</v>
      </c>
      <c r="C638" s="34">
        <v>0.60101666666666598</v>
      </c>
      <c r="D638" t="s">
        <v>2624</v>
      </c>
      <c r="E638" s="34">
        <v>36.0609999999999</v>
      </c>
      <c r="F638" t="s">
        <v>15669</v>
      </c>
      <c r="G638" t="b">
        <v>0</v>
      </c>
    </row>
    <row r="639" spans="1:7" x14ac:dyDescent="0.25">
      <c r="A639" t="s">
        <v>12835</v>
      </c>
      <c r="B639" s="34">
        <v>7.1857999999999898</v>
      </c>
      <c r="C639" s="34">
        <v>0.598816666666666</v>
      </c>
      <c r="D639" t="s">
        <v>122</v>
      </c>
      <c r="E639" s="34">
        <v>35.928999999999903</v>
      </c>
      <c r="F639" t="s">
        <v>15310</v>
      </c>
      <c r="G639" t="b">
        <v>0</v>
      </c>
    </row>
    <row r="640" spans="1:7" x14ac:dyDescent="0.25">
      <c r="A640" t="s">
        <v>12940</v>
      </c>
      <c r="B640" s="34">
        <v>7.1742695999999997</v>
      </c>
      <c r="C640" s="34">
        <v>0.59785580000000005</v>
      </c>
      <c r="D640" t="s">
        <v>26</v>
      </c>
      <c r="E640" s="34">
        <v>17.935673999999999</v>
      </c>
      <c r="F640" t="s">
        <v>15415</v>
      </c>
      <c r="G640" t="b">
        <v>0</v>
      </c>
    </row>
    <row r="641" spans="1:7" x14ac:dyDescent="0.25">
      <c r="A641" t="s">
        <v>13113</v>
      </c>
      <c r="B641" s="34">
        <v>7.1740449000000002</v>
      </c>
      <c r="C641" s="34">
        <v>0.59783707499999905</v>
      </c>
      <c r="D641" t="s">
        <v>35</v>
      </c>
      <c r="E641" s="34">
        <v>35.870224499999999</v>
      </c>
      <c r="F641" t="s">
        <v>15588</v>
      </c>
      <c r="G641" t="b">
        <v>0</v>
      </c>
    </row>
    <row r="642" spans="1:7" x14ac:dyDescent="0.25">
      <c r="A642" t="s">
        <v>12571</v>
      </c>
      <c r="B642" s="34">
        <v>7.1687697999999997</v>
      </c>
      <c r="C642" s="34">
        <v>0.59739748333333298</v>
      </c>
      <c r="D642" t="s">
        <v>35</v>
      </c>
      <c r="E642" s="34">
        <v>35.843848999999999</v>
      </c>
      <c r="F642" t="s">
        <v>15046</v>
      </c>
      <c r="G642" t="b">
        <v>0</v>
      </c>
    </row>
    <row r="643" spans="1:7" x14ac:dyDescent="0.25">
      <c r="A643" t="s">
        <v>14223</v>
      </c>
      <c r="B643" s="34">
        <v>7.1579999999999897</v>
      </c>
      <c r="C643" s="34">
        <v>0.59649999999999903</v>
      </c>
      <c r="D643" t="s">
        <v>185</v>
      </c>
      <c r="E643" s="34">
        <v>35.7899999999999</v>
      </c>
      <c r="F643" t="s">
        <v>16687</v>
      </c>
      <c r="G643" t="b">
        <v>0</v>
      </c>
    </row>
    <row r="644" spans="1:7" x14ac:dyDescent="0.25">
      <c r="A644" t="s">
        <v>13269</v>
      </c>
      <c r="B644" s="34">
        <v>7.1237000000000004</v>
      </c>
      <c r="C644" s="34">
        <v>0.59364166666666596</v>
      </c>
      <c r="D644" t="s">
        <v>3688</v>
      </c>
      <c r="E644" s="34">
        <v>35.618499999999997</v>
      </c>
      <c r="F644" t="s">
        <v>15741</v>
      </c>
      <c r="G644" t="b">
        <v>0</v>
      </c>
    </row>
    <row r="645" spans="1:7" x14ac:dyDescent="0.25">
      <c r="A645" t="s">
        <v>13110</v>
      </c>
      <c r="B645" s="34">
        <v>7.0815102999999997</v>
      </c>
      <c r="C645" s="34">
        <v>0.59012585833333298</v>
      </c>
      <c r="D645" t="s">
        <v>35</v>
      </c>
      <c r="E645" s="34">
        <v>35.407551499999997</v>
      </c>
      <c r="F645" t="s">
        <v>15585</v>
      </c>
      <c r="G645" t="b">
        <v>0</v>
      </c>
    </row>
    <row r="646" spans="1:7" x14ac:dyDescent="0.25">
      <c r="A646" t="s">
        <v>12906</v>
      </c>
      <c r="B646" s="34">
        <v>7.0458999999999996</v>
      </c>
      <c r="C646" s="34">
        <v>0.587158333333333</v>
      </c>
      <c r="D646" t="s">
        <v>2267</v>
      </c>
      <c r="E646" s="34">
        <v>35.229500000000002</v>
      </c>
      <c r="F646" t="s">
        <v>15381</v>
      </c>
      <c r="G646" t="b">
        <v>0</v>
      </c>
    </row>
    <row r="647" spans="1:7" x14ac:dyDescent="0.25">
      <c r="A647" t="s">
        <v>12933</v>
      </c>
      <c r="B647" s="34">
        <v>7.0242999999999904</v>
      </c>
      <c r="C647" s="34">
        <v>0.58535833333333298</v>
      </c>
      <c r="D647" t="s">
        <v>5842</v>
      </c>
      <c r="E647" s="34">
        <v>35.121499999999997</v>
      </c>
      <c r="F647" t="s">
        <v>15408</v>
      </c>
      <c r="G647" t="b">
        <v>0</v>
      </c>
    </row>
    <row r="648" spans="1:7" x14ac:dyDescent="0.25">
      <c r="A648" t="s">
        <v>14649</v>
      </c>
      <c r="B648" s="34">
        <v>6.9984799999999998</v>
      </c>
      <c r="C648" s="34">
        <v>0.58320666666666598</v>
      </c>
      <c r="D648" t="s">
        <v>151</v>
      </c>
      <c r="E648" s="34">
        <v>34.992400000000004</v>
      </c>
      <c r="F648" t="s">
        <v>17102</v>
      </c>
      <c r="G648" t="b">
        <v>0</v>
      </c>
    </row>
    <row r="649" spans="1:7" x14ac:dyDescent="0.25">
      <c r="A649" t="s">
        <v>12706</v>
      </c>
      <c r="B649" s="34">
        <v>6.9659999999999904</v>
      </c>
      <c r="C649" s="34">
        <v>0.58050000000000002</v>
      </c>
      <c r="D649" t="s">
        <v>35</v>
      </c>
      <c r="E649" s="34">
        <v>34.83</v>
      </c>
      <c r="F649" t="s">
        <v>15181</v>
      </c>
      <c r="G649" t="b">
        <v>0</v>
      </c>
    </row>
    <row r="650" spans="1:7" x14ac:dyDescent="0.25">
      <c r="A650" t="s">
        <v>12750</v>
      </c>
      <c r="B650" s="34">
        <v>6.9630999999999998</v>
      </c>
      <c r="C650" s="34">
        <v>0.58025833333333299</v>
      </c>
      <c r="D650" t="s">
        <v>7038</v>
      </c>
      <c r="E650" s="34">
        <v>34.8155</v>
      </c>
      <c r="F650" t="s">
        <v>15225</v>
      </c>
      <c r="G650" t="b">
        <v>0</v>
      </c>
    </row>
    <row r="651" spans="1:7" x14ac:dyDescent="0.25">
      <c r="A651" t="s">
        <v>12892</v>
      </c>
      <c r="B651" s="34">
        <v>6.9623106999999997</v>
      </c>
      <c r="C651" s="34">
        <v>0.58019255833333305</v>
      </c>
      <c r="D651" t="s">
        <v>1074</v>
      </c>
      <c r="E651" s="34">
        <v>34.811553499999903</v>
      </c>
      <c r="F651" t="s">
        <v>15367</v>
      </c>
      <c r="G651" t="b">
        <v>0</v>
      </c>
    </row>
    <row r="652" spans="1:7" x14ac:dyDescent="0.25">
      <c r="A652" t="s">
        <v>14241</v>
      </c>
      <c r="B652" s="34">
        <v>6.9324000000000003</v>
      </c>
      <c r="C652" s="34">
        <v>0.57769999999999999</v>
      </c>
      <c r="D652" t="s">
        <v>35</v>
      </c>
      <c r="E652" s="34">
        <v>17.331</v>
      </c>
      <c r="F652" t="s">
        <v>16705</v>
      </c>
      <c r="G652" t="b">
        <v>0</v>
      </c>
    </row>
    <row r="653" spans="1:7" x14ac:dyDescent="0.25">
      <c r="A653" t="s">
        <v>13789</v>
      </c>
      <c r="B653" s="34">
        <v>6.9301121999999999</v>
      </c>
      <c r="C653" s="34">
        <v>0.57750934999999903</v>
      </c>
      <c r="D653" t="s">
        <v>84</v>
      </c>
      <c r="E653" s="34">
        <v>11.550186999999999</v>
      </c>
      <c r="F653" t="s">
        <v>16256</v>
      </c>
      <c r="G653" t="b">
        <v>0</v>
      </c>
    </row>
    <row r="654" spans="1:7" x14ac:dyDescent="0.25">
      <c r="A654" t="s">
        <v>13570</v>
      </c>
      <c r="B654" s="34">
        <v>6.9269999999999898</v>
      </c>
      <c r="C654" s="34">
        <v>0.57725000000000004</v>
      </c>
      <c r="D654" t="s">
        <v>26</v>
      </c>
      <c r="E654" s="34">
        <v>17.317499999999999</v>
      </c>
      <c r="F654" t="s">
        <v>16039</v>
      </c>
      <c r="G654" t="b">
        <v>0</v>
      </c>
    </row>
    <row r="655" spans="1:7" x14ac:dyDescent="0.25">
      <c r="A655" t="s">
        <v>12936</v>
      </c>
      <c r="B655" s="34">
        <v>6.9259999999999904</v>
      </c>
      <c r="C655" s="34">
        <v>0.57716666666666605</v>
      </c>
      <c r="D655" t="s">
        <v>7844</v>
      </c>
      <c r="E655" s="34">
        <v>34.629999999999903</v>
      </c>
      <c r="F655" t="s">
        <v>15411</v>
      </c>
      <c r="G655" t="b">
        <v>0</v>
      </c>
    </row>
    <row r="656" spans="1:7" x14ac:dyDescent="0.25">
      <c r="A656" t="s">
        <v>12789</v>
      </c>
      <c r="B656" s="34">
        <v>6.9049299999999896</v>
      </c>
      <c r="C656" s="34">
        <v>0.57541083333333298</v>
      </c>
      <c r="D656" t="s">
        <v>2395</v>
      </c>
      <c r="E656" s="34">
        <v>17.262325000000001</v>
      </c>
      <c r="F656" t="s">
        <v>15264</v>
      </c>
      <c r="G656" t="b">
        <v>0</v>
      </c>
    </row>
    <row r="657" spans="1:7" x14ac:dyDescent="0.25">
      <c r="A657" t="s">
        <v>13702</v>
      </c>
      <c r="B657" s="34">
        <v>6.8932999999999902</v>
      </c>
      <c r="C657" s="34">
        <v>0.57444166666666596</v>
      </c>
      <c r="D657" t="s">
        <v>35</v>
      </c>
      <c r="E657" s="34">
        <v>17.233249999999899</v>
      </c>
      <c r="F657" t="s">
        <v>16170</v>
      </c>
      <c r="G657" t="b">
        <v>0</v>
      </c>
    </row>
    <row r="658" spans="1:7" x14ac:dyDescent="0.25">
      <c r="A658" t="s">
        <v>13747</v>
      </c>
      <c r="B658" s="34">
        <v>6.8925000000000001</v>
      </c>
      <c r="C658" s="34">
        <v>0.57437499999999997</v>
      </c>
      <c r="D658" t="s">
        <v>35</v>
      </c>
      <c r="E658" s="34">
        <v>34.462499999999999</v>
      </c>
      <c r="F658" t="s">
        <v>16215</v>
      </c>
      <c r="G658" t="b">
        <v>0</v>
      </c>
    </row>
    <row r="659" spans="1:7" x14ac:dyDescent="0.25">
      <c r="A659" t="s">
        <v>13835</v>
      </c>
      <c r="B659" s="34">
        <v>6.8532014999999999</v>
      </c>
      <c r="C659" s="34">
        <v>0.57110012499999996</v>
      </c>
      <c r="D659" t="s">
        <v>132</v>
      </c>
      <c r="E659" s="34">
        <v>34.266007500000001</v>
      </c>
      <c r="F659" t="s">
        <v>16302</v>
      </c>
      <c r="G659" t="b">
        <v>0</v>
      </c>
    </row>
    <row r="660" spans="1:7" x14ac:dyDescent="0.25">
      <c r="A660" t="s">
        <v>12642</v>
      </c>
      <c r="B660" s="34">
        <v>6.8310297999999996</v>
      </c>
      <c r="C660" s="34">
        <v>0.569252483333333</v>
      </c>
      <c r="D660" t="s">
        <v>35</v>
      </c>
      <c r="E660" s="34">
        <v>34.155149000000002</v>
      </c>
      <c r="F660" t="s">
        <v>15117</v>
      </c>
      <c r="G660" t="b">
        <v>0</v>
      </c>
    </row>
    <row r="661" spans="1:7" x14ac:dyDescent="0.25">
      <c r="A661" t="s">
        <v>14474</v>
      </c>
      <c r="B661" s="34">
        <v>6.8273999999999901</v>
      </c>
      <c r="C661" s="34">
        <v>0.56894999999999996</v>
      </c>
      <c r="D661" t="s">
        <v>132</v>
      </c>
      <c r="E661" s="34">
        <v>17.0685</v>
      </c>
      <c r="F661" t="s">
        <v>16934</v>
      </c>
      <c r="G661" t="b">
        <v>0</v>
      </c>
    </row>
    <row r="662" spans="1:7" x14ac:dyDescent="0.25">
      <c r="A662" t="s">
        <v>13602</v>
      </c>
      <c r="B662" s="34">
        <v>6.8198999999999996</v>
      </c>
      <c r="C662" s="34">
        <v>0.56832499999999997</v>
      </c>
      <c r="D662" t="s">
        <v>215</v>
      </c>
      <c r="E662" s="34">
        <v>34.099499999999999</v>
      </c>
      <c r="F662" t="s">
        <v>16071</v>
      </c>
      <c r="G662" t="b">
        <v>0</v>
      </c>
    </row>
    <row r="663" spans="1:7" x14ac:dyDescent="0.25">
      <c r="A663" t="s">
        <v>14357</v>
      </c>
      <c r="B663" s="34">
        <v>6.7991999999999999</v>
      </c>
      <c r="C663" s="34">
        <v>0.56659999999999999</v>
      </c>
      <c r="D663" t="s">
        <v>132</v>
      </c>
      <c r="E663" s="34">
        <v>33.996000000000002</v>
      </c>
      <c r="F663" t="s">
        <v>16819</v>
      </c>
      <c r="G663" t="b">
        <v>0</v>
      </c>
    </row>
    <row r="664" spans="1:7" x14ac:dyDescent="0.25">
      <c r="A664" t="s">
        <v>14287</v>
      </c>
      <c r="B664" s="34">
        <v>6.7801</v>
      </c>
      <c r="C664" s="34">
        <v>0.565008333333333</v>
      </c>
      <c r="D664" t="s">
        <v>215</v>
      </c>
      <c r="E664" s="34">
        <v>33.900500000000001</v>
      </c>
      <c r="F664" t="s">
        <v>16751</v>
      </c>
      <c r="G664" t="b">
        <v>0</v>
      </c>
    </row>
    <row r="665" spans="1:7" x14ac:dyDescent="0.25">
      <c r="A665" t="s">
        <v>13487</v>
      </c>
      <c r="B665" s="34">
        <v>6.7240033999999902</v>
      </c>
      <c r="C665" s="34">
        <v>0.56033361666666603</v>
      </c>
      <c r="D665" t="s">
        <v>35</v>
      </c>
      <c r="E665" s="34">
        <v>33.620016999999997</v>
      </c>
      <c r="F665" t="s">
        <v>15956</v>
      </c>
      <c r="G665" t="b">
        <v>0</v>
      </c>
    </row>
    <row r="666" spans="1:7" x14ac:dyDescent="0.25">
      <c r="A666" t="s">
        <v>12918</v>
      </c>
      <c r="B666" s="34">
        <v>6.7173999999999996</v>
      </c>
      <c r="C666" s="34">
        <v>0.55978333333333297</v>
      </c>
      <c r="D666" t="s">
        <v>162</v>
      </c>
      <c r="E666" s="34">
        <v>33.587000000000003</v>
      </c>
      <c r="F666" t="s">
        <v>15393</v>
      </c>
      <c r="G666" t="b">
        <v>0</v>
      </c>
    </row>
    <row r="667" spans="1:7" x14ac:dyDescent="0.25">
      <c r="A667" t="s">
        <v>12776</v>
      </c>
      <c r="B667" s="34">
        <v>6.6802999999999999</v>
      </c>
      <c r="C667" s="34">
        <v>0.55669166666666603</v>
      </c>
      <c r="D667" t="s">
        <v>35</v>
      </c>
      <c r="E667" s="34">
        <v>33.401499999999999</v>
      </c>
      <c r="F667" t="s">
        <v>15251</v>
      </c>
      <c r="G667" t="b">
        <v>0</v>
      </c>
    </row>
    <row r="668" spans="1:7" x14ac:dyDescent="0.25">
      <c r="A668" t="s">
        <v>14653</v>
      </c>
      <c r="B668" s="34">
        <v>6.6648066659999996</v>
      </c>
      <c r="C668" s="34">
        <v>0.555400555499999</v>
      </c>
      <c r="D668" t="s">
        <v>390</v>
      </c>
      <c r="E668" s="34">
        <v>16.662016664999999</v>
      </c>
      <c r="F668" t="s">
        <v>17106</v>
      </c>
      <c r="G668" t="b">
        <v>0</v>
      </c>
    </row>
    <row r="669" spans="1:7" x14ac:dyDescent="0.25">
      <c r="A669" t="s">
        <v>13568</v>
      </c>
      <c r="B669" s="34">
        <v>6.6285999999999996</v>
      </c>
      <c r="C669" s="34">
        <v>0.552383333333333</v>
      </c>
      <c r="D669" t="s">
        <v>35</v>
      </c>
      <c r="E669" s="34">
        <v>33.143000000000001</v>
      </c>
      <c r="F669" t="s">
        <v>16037</v>
      </c>
      <c r="G669" t="b">
        <v>0</v>
      </c>
    </row>
    <row r="670" spans="1:7" x14ac:dyDescent="0.25">
      <c r="A670" t="s">
        <v>13179</v>
      </c>
      <c r="B670" s="34">
        <v>6.6233199999999997</v>
      </c>
      <c r="C670" s="34">
        <v>0.55194333333333301</v>
      </c>
      <c r="D670" t="s">
        <v>209</v>
      </c>
      <c r="E670" s="34">
        <v>33.116599999999998</v>
      </c>
      <c r="F670" t="s">
        <v>15653</v>
      </c>
      <c r="G670" t="b">
        <v>0</v>
      </c>
    </row>
    <row r="671" spans="1:7" x14ac:dyDescent="0.25">
      <c r="A671" t="s">
        <v>13465</v>
      </c>
      <c r="B671" s="34">
        <v>6.6173999999999902</v>
      </c>
      <c r="C671" s="34">
        <v>0.551449999999999</v>
      </c>
      <c r="D671" t="s">
        <v>35</v>
      </c>
      <c r="E671" s="34">
        <v>33.087000000000003</v>
      </c>
      <c r="F671" t="s">
        <v>15934</v>
      </c>
      <c r="G671" t="b">
        <v>0</v>
      </c>
    </row>
    <row r="672" spans="1:7" x14ac:dyDescent="0.25">
      <c r="A672" t="s">
        <v>12929</v>
      </c>
      <c r="B672" s="34">
        <v>6.6056999999999997</v>
      </c>
      <c r="C672" s="34">
        <v>0.55047500000000005</v>
      </c>
      <c r="D672" t="s">
        <v>3459</v>
      </c>
      <c r="E672" s="34">
        <v>33.028500000000001</v>
      </c>
      <c r="F672" t="s">
        <v>15404</v>
      </c>
      <c r="G672" t="b">
        <v>0</v>
      </c>
    </row>
    <row r="673" spans="1:7" x14ac:dyDescent="0.25">
      <c r="A673" t="s">
        <v>14102</v>
      </c>
      <c r="B673" s="34">
        <v>6.6036353999999999</v>
      </c>
      <c r="C673" s="34">
        <v>0.55030294999999996</v>
      </c>
      <c r="D673" t="s">
        <v>35</v>
      </c>
      <c r="E673" s="34">
        <v>33.018177000000001</v>
      </c>
      <c r="F673" t="s">
        <v>16569</v>
      </c>
      <c r="G673" t="b">
        <v>0</v>
      </c>
    </row>
    <row r="674" spans="1:7" x14ac:dyDescent="0.25">
      <c r="A674" t="s">
        <v>12684</v>
      </c>
      <c r="B674" s="34">
        <v>6.5714999999999897</v>
      </c>
      <c r="C674" s="34">
        <v>0.54762499999999903</v>
      </c>
      <c r="D674" t="s">
        <v>139</v>
      </c>
      <c r="E674" s="34">
        <v>32.857499999999902</v>
      </c>
      <c r="F674" t="s">
        <v>15159</v>
      </c>
      <c r="G674" t="b">
        <v>0</v>
      </c>
    </row>
    <row r="675" spans="1:7" x14ac:dyDescent="0.25">
      <c r="A675" t="s">
        <v>12546</v>
      </c>
      <c r="B675" s="34">
        <v>6.5673999999999904</v>
      </c>
      <c r="C675" s="34">
        <v>0.54728333333333301</v>
      </c>
      <c r="D675" t="s">
        <v>253</v>
      </c>
      <c r="E675" s="34">
        <v>32.837000000000003</v>
      </c>
      <c r="F675" t="s">
        <v>15021</v>
      </c>
      <c r="G675" t="b">
        <v>0</v>
      </c>
    </row>
    <row r="676" spans="1:7" x14ac:dyDescent="0.25">
      <c r="A676" t="s">
        <v>13091</v>
      </c>
      <c r="B676" s="34">
        <v>6.5353253999999996</v>
      </c>
      <c r="C676" s="34">
        <v>0.54461044999999997</v>
      </c>
      <c r="D676" t="s">
        <v>162</v>
      </c>
      <c r="E676" s="34">
        <v>16.338313499999899</v>
      </c>
      <c r="F676" t="s">
        <v>15566</v>
      </c>
      <c r="G676" t="b">
        <v>0</v>
      </c>
    </row>
    <row r="677" spans="1:7" x14ac:dyDescent="0.25">
      <c r="A677" t="s">
        <v>14097</v>
      </c>
      <c r="B677" s="34">
        <v>6.5189000000000004</v>
      </c>
      <c r="C677" s="34">
        <v>0.54324166666666596</v>
      </c>
      <c r="D677" t="s">
        <v>385</v>
      </c>
      <c r="E677" s="34">
        <v>32.594499999999996</v>
      </c>
      <c r="F677" t="s">
        <v>16564</v>
      </c>
      <c r="G677" t="b">
        <v>0</v>
      </c>
    </row>
    <row r="678" spans="1:7" x14ac:dyDescent="0.25">
      <c r="A678" t="s">
        <v>13374</v>
      </c>
      <c r="B678" s="34">
        <v>6.4931999999999999</v>
      </c>
      <c r="C678" s="34">
        <v>0.54110000000000003</v>
      </c>
      <c r="D678" t="s">
        <v>2178</v>
      </c>
      <c r="E678" s="34">
        <v>32.466000000000001</v>
      </c>
      <c r="F678" t="s">
        <v>15844</v>
      </c>
      <c r="G678" t="b">
        <v>0</v>
      </c>
    </row>
    <row r="679" spans="1:7" x14ac:dyDescent="0.25">
      <c r="A679" t="s">
        <v>12675</v>
      </c>
      <c r="B679" s="34">
        <v>6.4762399999999998</v>
      </c>
      <c r="C679" s="34">
        <v>0.53968666666666598</v>
      </c>
      <c r="D679" t="s">
        <v>1288</v>
      </c>
      <c r="E679" s="34">
        <v>16.1906</v>
      </c>
      <c r="F679" t="s">
        <v>15150</v>
      </c>
      <c r="G679" t="b">
        <v>0</v>
      </c>
    </row>
    <row r="680" spans="1:7" x14ac:dyDescent="0.25">
      <c r="A680" t="s">
        <v>12945</v>
      </c>
      <c r="B680" s="34">
        <v>6.4736999999999902</v>
      </c>
      <c r="C680" s="34">
        <v>0.53947499999999904</v>
      </c>
      <c r="D680" t="s">
        <v>35</v>
      </c>
      <c r="E680" s="34">
        <v>32.368499999999997</v>
      </c>
      <c r="F680" t="s">
        <v>15420</v>
      </c>
      <c r="G680" t="b">
        <v>0</v>
      </c>
    </row>
    <row r="681" spans="1:7" x14ac:dyDescent="0.25">
      <c r="A681" t="s">
        <v>13673</v>
      </c>
      <c r="B681" s="34">
        <v>6.4726999999999997</v>
      </c>
      <c r="C681" s="34">
        <v>0.53939166666666605</v>
      </c>
      <c r="D681" t="s">
        <v>35</v>
      </c>
      <c r="E681" s="34">
        <v>32.363500000000002</v>
      </c>
      <c r="F681" t="s">
        <v>16141</v>
      </c>
      <c r="G681" t="b">
        <v>0</v>
      </c>
    </row>
    <row r="682" spans="1:7" x14ac:dyDescent="0.25">
      <c r="A682" t="s">
        <v>12947</v>
      </c>
      <c r="B682" s="34">
        <v>6.4691999999999998</v>
      </c>
      <c r="C682" s="34">
        <v>0.53910000000000002</v>
      </c>
      <c r="D682" t="s">
        <v>35</v>
      </c>
      <c r="E682" s="34">
        <v>32.345999999999997</v>
      </c>
      <c r="F682" t="s">
        <v>15422</v>
      </c>
      <c r="G682" t="b">
        <v>0</v>
      </c>
    </row>
    <row r="683" spans="1:7" x14ac:dyDescent="0.25">
      <c r="A683" t="s">
        <v>12679</v>
      </c>
      <c r="B683" s="34">
        <v>6.4264999999999999</v>
      </c>
      <c r="C683" s="34">
        <v>0.53554166666666603</v>
      </c>
      <c r="D683" t="s">
        <v>1787</v>
      </c>
      <c r="E683" s="34">
        <v>32.1325</v>
      </c>
      <c r="F683" t="s">
        <v>15154</v>
      </c>
      <c r="G683" t="b">
        <v>0</v>
      </c>
    </row>
    <row r="684" spans="1:7" x14ac:dyDescent="0.25">
      <c r="A684" t="s">
        <v>13590</v>
      </c>
      <c r="B684" s="34">
        <v>6.4056847999999897</v>
      </c>
      <c r="C684" s="34">
        <v>0.533807066666666</v>
      </c>
      <c r="D684" t="s">
        <v>35</v>
      </c>
      <c r="E684" s="34">
        <v>32.028424000000001</v>
      </c>
      <c r="F684" t="s">
        <v>16059</v>
      </c>
      <c r="G684" t="b">
        <v>0</v>
      </c>
    </row>
    <row r="685" spans="1:7" x14ac:dyDescent="0.25">
      <c r="A685" t="s">
        <v>12855</v>
      </c>
      <c r="B685" s="34">
        <v>6.3288799999999998</v>
      </c>
      <c r="C685" s="34">
        <v>0.52740666666666602</v>
      </c>
      <c r="D685" t="s">
        <v>8352</v>
      </c>
      <c r="E685" s="34">
        <v>15.8222</v>
      </c>
      <c r="F685" t="s">
        <v>15330</v>
      </c>
      <c r="G685" t="b">
        <v>0</v>
      </c>
    </row>
    <row r="686" spans="1:7" x14ac:dyDescent="0.25">
      <c r="A686" t="s">
        <v>12829</v>
      </c>
      <c r="B686" s="34">
        <v>6.3129999999999997</v>
      </c>
      <c r="C686" s="34">
        <v>0.52608333333333301</v>
      </c>
      <c r="D686" t="s">
        <v>35</v>
      </c>
      <c r="E686" s="34">
        <v>31.565000000000001</v>
      </c>
      <c r="F686" t="s">
        <v>15304</v>
      </c>
      <c r="G686" t="b">
        <v>0</v>
      </c>
    </row>
    <row r="687" spans="1:7" x14ac:dyDescent="0.25">
      <c r="A687" t="s">
        <v>13054</v>
      </c>
      <c r="B687" s="34">
        <v>6.2793999999999999</v>
      </c>
      <c r="C687" s="34">
        <v>0.52328333333333299</v>
      </c>
      <c r="D687" t="s">
        <v>67</v>
      </c>
      <c r="E687" s="34">
        <v>31.396999999999998</v>
      </c>
      <c r="F687" t="s">
        <v>15529</v>
      </c>
      <c r="G687" t="b">
        <v>0</v>
      </c>
    </row>
    <row r="688" spans="1:7" x14ac:dyDescent="0.25">
      <c r="A688" t="s">
        <v>13688</v>
      </c>
      <c r="B688" s="34">
        <v>6.2781757000000002</v>
      </c>
      <c r="C688" s="34">
        <v>0.52318130833333298</v>
      </c>
      <c r="D688" t="s">
        <v>132</v>
      </c>
      <c r="E688" s="34">
        <v>31.3908784999999</v>
      </c>
      <c r="F688" t="s">
        <v>16156</v>
      </c>
      <c r="G688" t="b">
        <v>0</v>
      </c>
    </row>
    <row r="689" spans="1:7" x14ac:dyDescent="0.25">
      <c r="A689" t="s">
        <v>13738</v>
      </c>
      <c r="B689" s="34">
        <v>6.2773000000000003</v>
      </c>
      <c r="C689" s="34">
        <v>0.52310833333333295</v>
      </c>
      <c r="D689" t="s">
        <v>1336</v>
      </c>
      <c r="E689" s="34">
        <v>15.693250000000001</v>
      </c>
      <c r="F689" t="s">
        <v>16206</v>
      </c>
      <c r="G689" t="b">
        <v>0</v>
      </c>
    </row>
    <row r="690" spans="1:7" x14ac:dyDescent="0.25">
      <c r="A690" t="s">
        <v>14351</v>
      </c>
      <c r="B690" s="34">
        <v>6.2354000000000003</v>
      </c>
      <c r="C690" s="34">
        <v>0.51961666666666595</v>
      </c>
      <c r="D690" t="s">
        <v>537</v>
      </c>
      <c r="E690" s="34">
        <v>31.177</v>
      </c>
      <c r="F690" t="s">
        <v>16814</v>
      </c>
      <c r="G690" t="b">
        <v>0</v>
      </c>
    </row>
    <row r="691" spans="1:7" x14ac:dyDescent="0.25">
      <c r="A691" t="s">
        <v>14445</v>
      </c>
      <c r="B691" s="34">
        <v>6.2179000000000002</v>
      </c>
      <c r="C691" s="34">
        <v>0.51815833333333305</v>
      </c>
      <c r="D691" t="s">
        <v>548</v>
      </c>
      <c r="E691" s="34">
        <v>31.089500000000001</v>
      </c>
      <c r="F691" t="s">
        <v>16905</v>
      </c>
      <c r="G691" t="b">
        <v>0</v>
      </c>
    </row>
    <row r="692" spans="1:7" x14ac:dyDescent="0.25">
      <c r="A692" t="s">
        <v>14576</v>
      </c>
      <c r="B692" s="34">
        <v>6.1677999999999997</v>
      </c>
      <c r="C692" s="34">
        <v>0.51398333333333301</v>
      </c>
      <c r="D692" t="s">
        <v>132</v>
      </c>
      <c r="E692" s="34">
        <v>15.419499999999999</v>
      </c>
      <c r="F692" t="s">
        <v>17033</v>
      </c>
      <c r="G692" t="b">
        <v>0</v>
      </c>
    </row>
    <row r="693" spans="1:7" x14ac:dyDescent="0.25">
      <c r="A693" t="s">
        <v>13742</v>
      </c>
      <c r="B693" s="34">
        <v>6.1558999999999902</v>
      </c>
      <c r="C693" s="34">
        <v>0.51299166666666596</v>
      </c>
      <c r="D693" t="s">
        <v>35</v>
      </c>
      <c r="E693" s="34">
        <v>30.779499999999899</v>
      </c>
      <c r="F693" t="s">
        <v>16210</v>
      </c>
      <c r="G693" t="b">
        <v>0</v>
      </c>
    </row>
    <row r="694" spans="1:7" x14ac:dyDescent="0.25">
      <c r="A694" t="s">
        <v>13288</v>
      </c>
      <c r="B694" s="34">
        <v>6.1408550000000002</v>
      </c>
      <c r="C694" s="34">
        <v>0.51173791666666602</v>
      </c>
      <c r="D694" t="s">
        <v>35</v>
      </c>
      <c r="E694" s="34">
        <v>30.704274999999999</v>
      </c>
      <c r="F694" t="s">
        <v>15760</v>
      </c>
      <c r="G694" t="b">
        <v>0</v>
      </c>
    </row>
    <row r="695" spans="1:7" x14ac:dyDescent="0.25">
      <c r="A695" t="s">
        <v>13793</v>
      </c>
      <c r="B695" s="34">
        <v>6.1363000000000003</v>
      </c>
      <c r="C695" s="34">
        <v>0.51135833333333303</v>
      </c>
      <c r="D695" t="s">
        <v>90</v>
      </c>
      <c r="E695" s="34">
        <v>30.6815</v>
      </c>
      <c r="F695" t="s">
        <v>16260</v>
      </c>
      <c r="G695" t="b">
        <v>0</v>
      </c>
    </row>
    <row r="696" spans="1:7" x14ac:dyDescent="0.25">
      <c r="A696" t="s">
        <v>12810</v>
      </c>
      <c r="B696" s="34">
        <v>6.1238999999999999</v>
      </c>
      <c r="C696" s="34">
        <v>0.51032500000000003</v>
      </c>
      <c r="D696" t="s">
        <v>35</v>
      </c>
      <c r="E696" s="34">
        <v>30.619499999999999</v>
      </c>
      <c r="F696" t="s">
        <v>15285</v>
      </c>
      <c r="G696" t="b">
        <v>0</v>
      </c>
    </row>
    <row r="697" spans="1:7" x14ac:dyDescent="0.25">
      <c r="A697" t="s">
        <v>12799</v>
      </c>
      <c r="B697" s="34">
        <v>6.0781000000000001</v>
      </c>
      <c r="C697" s="34">
        <v>0.50650833333333301</v>
      </c>
      <c r="D697" t="s">
        <v>239</v>
      </c>
      <c r="E697" s="34">
        <v>30.390499999999999</v>
      </c>
      <c r="F697" t="s">
        <v>15274</v>
      </c>
      <c r="G697" t="b">
        <v>0</v>
      </c>
    </row>
    <row r="698" spans="1:7" x14ac:dyDescent="0.25">
      <c r="A698" t="s">
        <v>12813</v>
      </c>
      <c r="B698" s="34">
        <v>6.0450432000000003</v>
      </c>
      <c r="C698" s="34">
        <v>0.50375360000000002</v>
      </c>
      <c r="D698" t="s">
        <v>2287</v>
      </c>
      <c r="E698" s="34">
        <v>30.225216</v>
      </c>
      <c r="F698" t="s">
        <v>15288</v>
      </c>
      <c r="G698" t="b">
        <v>0</v>
      </c>
    </row>
    <row r="699" spans="1:7" x14ac:dyDescent="0.25">
      <c r="A699" t="s">
        <v>12959</v>
      </c>
      <c r="B699" s="34">
        <v>6.0139999999999896</v>
      </c>
      <c r="C699" s="34">
        <v>0.50116666666666598</v>
      </c>
      <c r="D699" t="s">
        <v>1727</v>
      </c>
      <c r="E699" s="34">
        <v>30.07</v>
      </c>
      <c r="F699" t="s">
        <v>15434</v>
      </c>
      <c r="G699" t="b">
        <v>0</v>
      </c>
    </row>
    <row r="700" spans="1:7" x14ac:dyDescent="0.25">
      <c r="A700" t="s">
        <v>14230</v>
      </c>
      <c r="B700" s="34">
        <v>5.9753240999999999</v>
      </c>
      <c r="C700" s="34">
        <v>0.49794367499999997</v>
      </c>
      <c r="D700" t="s">
        <v>461</v>
      </c>
      <c r="E700" s="34">
        <v>14.938310250000001</v>
      </c>
      <c r="F700" t="s">
        <v>16694</v>
      </c>
      <c r="G700" t="b">
        <v>0</v>
      </c>
    </row>
    <row r="701" spans="1:7" x14ac:dyDescent="0.25">
      <c r="A701" t="s">
        <v>13359</v>
      </c>
      <c r="B701" s="34">
        <v>5.9341999999999997</v>
      </c>
      <c r="C701" s="34">
        <v>0.49451666666666599</v>
      </c>
      <c r="D701" t="s">
        <v>26</v>
      </c>
      <c r="E701" s="34">
        <v>29.670999999999999</v>
      </c>
      <c r="F701" t="s">
        <v>15829</v>
      </c>
      <c r="G701" t="b">
        <v>0</v>
      </c>
    </row>
    <row r="702" spans="1:7" x14ac:dyDescent="0.25">
      <c r="A702" t="s">
        <v>14240</v>
      </c>
      <c r="B702" s="34">
        <v>5.9238437999999896</v>
      </c>
      <c r="C702" s="34">
        <v>0.49365365</v>
      </c>
      <c r="D702" t="s">
        <v>35</v>
      </c>
      <c r="E702" s="34">
        <v>29.619219000000001</v>
      </c>
      <c r="F702" t="s">
        <v>16704</v>
      </c>
      <c r="G702" t="b">
        <v>0</v>
      </c>
    </row>
    <row r="703" spans="1:7" x14ac:dyDescent="0.25">
      <c r="A703" t="s">
        <v>12781</v>
      </c>
      <c r="B703" s="34">
        <v>5.8366600000000002</v>
      </c>
      <c r="C703" s="34">
        <v>0.48638833333333298</v>
      </c>
      <c r="D703" t="s">
        <v>548</v>
      </c>
      <c r="E703" s="34">
        <v>29.183299999999999</v>
      </c>
      <c r="F703" t="s">
        <v>15256</v>
      </c>
      <c r="G703" t="b">
        <v>0</v>
      </c>
    </row>
    <row r="704" spans="1:7" x14ac:dyDescent="0.25">
      <c r="A704" t="s">
        <v>13504</v>
      </c>
      <c r="B704" s="34">
        <v>5.8278959999999902</v>
      </c>
      <c r="C704" s="34">
        <v>0.48565799999999898</v>
      </c>
      <c r="D704" t="s">
        <v>67</v>
      </c>
      <c r="E704" s="34">
        <v>14.569739999999999</v>
      </c>
      <c r="F704" t="s">
        <v>15973</v>
      </c>
      <c r="G704" t="b">
        <v>0</v>
      </c>
    </row>
    <row r="705" spans="1:7" x14ac:dyDescent="0.25">
      <c r="A705" t="s">
        <v>13871</v>
      </c>
      <c r="B705" s="34">
        <v>5.8247999999999998</v>
      </c>
      <c r="C705" s="34">
        <v>0.4854</v>
      </c>
      <c r="D705" t="s">
        <v>409</v>
      </c>
      <c r="E705" s="34">
        <v>29.123999999999999</v>
      </c>
      <c r="F705" t="s">
        <v>16338</v>
      </c>
      <c r="G705" t="b">
        <v>0</v>
      </c>
    </row>
    <row r="706" spans="1:7" x14ac:dyDescent="0.25">
      <c r="A706" t="s">
        <v>12870</v>
      </c>
      <c r="B706" s="34">
        <v>5.8243999999999998</v>
      </c>
      <c r="C706" s="34">
        <v>0.485366666666666</v>
      </c>
      <c r="D706" t="s">
        <v>139</v>
      </c>
      <c r="E706" s="34">
        <v>29.122</v>
      </c>
      <c r="F706" t="s">
        <v>15345</v>
      </c>
      <c r="G706" t="b">
        <v>0</v>
      </c>
    </row>
    <row r="707" spans="1:7" x14ac:dyDescent="0.25">
      <c r="A707" t="s">
        <v>13531</v>
      </c>
      <c r="B707" s="34">
        <v>5.8015999999999996</v>
      </c>
      <c r="C707" s="34">
        <v>0.48346666666666599</v>
      </c>
      <c r="D707" t="s">
        <v>35</v>
      </c>
      <c r="E707" s="34">
        <v>29.007999999999999</v>
      </c>
      <c r="F707" t="s">
        <v>16000</v>
      </c>
      <c r="G707" t="b">
        <v>0</v>
      </c>
    </row>
    <row r="708" spans="1:7" x14ac:dyDescent="0.25">
      <c r="A708" t="s">
        <v>13608</v>
      </c>
      <c r="B708" s="34">
        <v>5.8000999999999898</v>
      </c>
      <c r="C708" s="34">
        <v>0.483341666666666</v>
      </c>
      <c r="D708" t="s">
        <v>35</v>
      </c>
      <c r="E708" s="34">
        <v>29.000499999999899</v>
      </c>
      <c r="F708" t="s">
        <v>16077</v>
      </c>
      <c r="G708" t="b">
        <v>0</v>
      </c>
    </row>
    <row r="709" spans="1:7" x14ac:dyDescent="0.25">
      <c r="A709" t="s">
        <v>14234</v>
      </c>
      <c r="B709" s="34">
        <v>5.7826000000000004</v>
      </c>
      <c r="C709" s="34">
        <v>0.481883333333333</v>
      </c>
      <c r="D709" t="s">
        <v>409</v>
      </c>
      <c r="E709" s="34">
        <v>28.913</v>
      </c>
      <c r="F709" t="s">
        <v>16698</v>
      </c>
      <c r="G709" t="b">
        <v>0</v>
      </c>
    </row>
    <row r="710" spans="1:7" x14ac:dyDescent="0.25">
      <c r="A710" t="s">
        <v>12621</v>
      </c>
      <c r="B710" s="34">
        <v>5.782</v>
      </c>
      <c r="C710" s="34">
        <v>0.481833333333333</v>
      </c>
      <c r="D710" t="s">
        <v>35</v>
      </c>
      <c r="E710" s="34">
        <v>14.455</v>
      </c>
      <c r="F710" t="s">
        <v>15096</v>
      </c>
      <c r="G710" t="b">
        <v>0</v>
      </c>
    </row>
    <row r="711" spans="1:7" x14ac:dyDescent="0.25">
      <c r="A711" t="s">
        <v>12966</v>
      </c>
      <c r="B711" s="34">
        <v>5.7723999999999904</v>
      </c>
      <c r="C711" s="34">
        <v>0.48103333333333298</v>
      </c>
      <c r="D711" t="s">
        <v>35</v>
      </c>
      <c r="E711" s="34">
        <v>28.861999999999998</v>
      </c>
      <c r="F711" t="s">
        <v>15441</v>
      </c>
      <c r="G711" t="b">
        <v>0</v>
      </c>
    </row>
    <row r="712" spans="1:7" x14ac:dyDescent="0.25">
      <c r="A712" t="s">
        <v>14090</v>
      </c>
      <c r="B712" s="34">
        <v>5.766</v>
      </c>
      <c r="C712" s="34">
        <v>0.48049999999999998</v>
      </c>
      <c r="D712" t="s">
        <v>356</v>
      </c>
      <c r="E712" s="34">
        <v>28.83</v>
      </c>
      <c r="F712" t="s">
        <v>16557</v>
      </c>
      <c r="G712" t="b">
        <v>0</v>
      </c>
    </row>
    <row r="713" spans="1:7" x14ac:dyDescent="0.25">
      <c r="A713" t="s">
        <v>13922</v>
      </c>
      <c r="B713" s="34">
        <v>5.7511999999999999</v>
      </c>
      <c r="C713" s="34">
        <v>0.47926666666666601</v>
      </c>
      <c r="D713" t="s">
        <v>132</v>
      </c>
      <c r="E713" s="34">
        <v>28.756</v>
      </c>
      <c r="F713" t="s">
        <v>16389</v>
      </c>
      <c r="G713" t="b">
        <v>0</v>
      </c>
    </row>
    <row r="714" spans="1:7" x14ac:dyDescent="0.25">
      <c r="A714" t="s">
        <v>13686</v>
      </c>
      <c r="B714" s="34">
        <v>5.7454999999999998</v>
      </c>
      <c r="C714" s="34">
        <v>0.478791666666666</v>
      </c>
      <c r="D714" t="s">
        <v>162</v>
      </c>
      <c r="E714" s="34">
        <v>28.727499999999999</v>
      </c>
      <c r="F714" t="s">
        <v>16154</v>
      </c>
      <c r="G714" t="b">
        <v>0</v>
      </c>
    </row>
    <row r="715" spans="1:7" x14ac:dyDescent="0.25">
      <c r="A715" t="s">
        <v>12539</v>
      </c>
      <c r="B715" s="34">
        <v>5.7207999999999997</v>
      </c>
      <c r="C715" s="34">
        <v>0.47673333333333301</v>
      </c>
      <c r="D715" t="s">
        <v>7055</v>
      </c>
      <c r="E715" s="34">
        <v>28.603999999999999</v>
      </c>
      <c r="F715" t="s">
        <v>15014</v>
      </c>
      <c r="G715" t="b">
        <v>0</v>
      </c>
    </row>
    <row r="716" spans="1:7" x14ac:dyDescent="0.25">
      <c r="A716" t="s">
        <v>13312</v>
      </c>
      <c r="B716" s="34">
        <v>5.7072227999999896</v>
      </c>
      <c r="C716" s="34">
        <v>0.47560190000000002</v>
      </c>
      <c r="D716" t="s">
        <v>395</v>
      </c>
      <c r="E716" s="34">
        <v>28.536114000000001</v>
      </c>
      <c r="F716" t="s">
        <v>15782</v>
      </c>
      <c r="G716" t="b">
        <v>0</v>
      </c>
    </row>
    <row r="717" spans="1:7" x14ac:dyDescent="0.25">
      <c r="A717" t="s">
        <v>14510</v>
      </c>
      <c r="B717" s="34">
        <v>5.6658482000000001</v>
      </c>
      <c r="C717" s="34">
        <v>0.47215401666666601</v>
      </c>
      <c r="D717" t="s">
        <v>221</v>
      </c>
      <c r="E717" s="34">
        <v>28.3292409999999</v>
      </c>
      <c r="F717" t="s">
        <v>16970</v>
      </c>
      <c r="G717" t="b">
        <v>0</v>
      </c>
    </row>
    <row r="718" spans="1:7" x14ac:dyDescent="0.25">
      <c r="A718" t="s">
        <v>13540</v>
      </c>
      <c r="B718" s="34">
        <v>5.6477056000000001</v>
      </c>
      <c r="C718" s="34">
        <v>0.47064213333333299</v>
      </c>
      <c r="D718" t="s">
        <v>1240</v>
      </c>
      <c r="E718" s="34">
        <v>28.238527999999999</v>
      </c>
      <c r="F718" t="s">
        <v>16009</v>
      </c>
      <c r="G718" t="b">
        <v>0</v>
      </c>
    </row>
    <row r="719" spans="1:7" x14ac:dyDescent="0.25">
      <c r="A719" t="s">
        <v>14632</v>
      </c>
      <c r="B719" s="34">
        <v>5.6447799999999999</v>
      </c>
      <c r="C719" s="34">
        <v>0.47039833333333297</v>
      </c>
      <c r="D719" t="s">
        <v>2500</v>
      </c>
      <c r="E719" s="34">
        <v>28.2239</v>
      </c>
      <c r="F719" t="s">
        <v>17085</v>
      </c>
      <c r="G719" t="b">
        <v>0</v>
      </c>
    </row>
    <row r="720" spans="1:7" x14ac:dyDescent="0.25">
      <c r="A720" t="s">
        <v>14246</v>
      </c>
      <c r="B720" s="34">
        <v>5.6337999999999999</v>
      </c>
      <c r="C720" s="34">
        <v>0.46948333333333298</v>
      </c>
      <c r="D720" t="s">
        <v>1690</v>
      </c>
      <c r="E720" s="34">
        <v>28.169</v>
      </c>
      <c r="F720" t="s">
        <v>16710</v>
      </c>
      <c r="G720" t="b">
        <v>0</v>
      </c>
    </row>
    <row r="721" spans="1:7" x14ac:dyDescent="0.25">
      <c r="A721" t="s">
        <v>13691</v>
      </c>
      <c r="B721" s="34">
        <v>5.6318999999999999</v>
      </c>
      <c r="C721" s="34">
        <v>0.46932499999999999</v>
      </c>
      <c r="D721" t="s">
        <v>35</v>
      </c>
      <c r="E721" s="34">
        <v>28.159500000000001</v>
      </c>
      <c r="F721" t="s">
        <v>16159</v>
      </c>
      <c r="G721" t="b">
        <v>0</v>
      </c>
    </row>
    <row r="722" spans="1:7" x14ac:dyDescent="0.25">
      <c r="A722" t="s">
        <v>14128</v>
      </c>
      <c r="B722" s="34">
        <v>5.5989999999999904</v>
      </c>
      <c r="C722" s="34">
        <v>0.46658333333333302</v>
      </c>
      <c r="D722" t="s">
        <v>90</v>
      </c>
      <c r="E722" s="34">
        <v>27.995000000000001</v>
      </c>
      <c r="F722" t="s">
        <v>16595</v>
      </c>
      <c r="G722" t="b">
        <v>0</v>
      </c>
    </row>
    <row r="723" spans="1:7" x14ac:dyDescent="0.25">
      <c r="A723" t="s">
        <v>13763</v>
      </c>
      <c r="B723" s="34">
        <v>5.5894659999999998</v>
      </c>
      <c r="C723" s="34">
        <v>0.46578883333333299</v>
      </c>
      <c r="D723" t="s">
        <v>35</v>
      </c>
      <c r="E723" s="34">
        <v>27.947330000000001</v>
      </c>
      <c r="F723" t="s">
        <v>16231</v>
      </c>
      <c r="G723" t="b">
        <v>0</v>
      </c>
    </row>
    <row r="724" spans="1:7" x14ac:dyDescent="0.25">
      <c r="A724" t="s">
        <v>12828</v>
      </c>
      <c r="B724" s="34">
        <v>5.5884</v>
      </c>
      <c r="C724" s="34">
        <v>0.4657</v>
      </c>
      <c r="D724" t="s">
        <v>356</v>
      </c>
      <c r="E724" s="34">
        <v>27.941999999999901</v>
      </c>
      <c r="F724" t="s">
        <v>15303</v>
      </c>
      <c r="G724" t="b">
        <v>0</v>
      </c>
    </row>
    <row r="725" spans="1:7" x14ac:dyDescent="0.25">
      <c r="A725" t="s">
        <v>12969</v>
      </c>
      <c r="B725" s="34">
        <v>5.5801999999999996</v>
      </c>
      <c r="C725" s="34">
        <v>0.46501666666666602</v>
      </c>
      <c r="D725" t="s">
        <v>781</v>
      </c>
      <c r="E725" s="34">
        <v>27.901</v>
      </c>
      <c r="F725" t="s">
        <v>15444</v>
      </c>
      <c r="G725" t="b">
        <v>0</v>
      </c>
    </row>
    <row r="726" spans="1:7" x14ac:dyDescent="0.25">
      <c r="A726" t="s">
        <v>14397</v>
      </c>
      <c r="B726" s="34">
        <v>5.5208000000000004</v>
      </c>
      <c r="C726" s="34">
        <v>0.46006666666666601</v>
      </c>
      <c r="D726" t="s">
        <v>409</v>
      </c>
      <c r="E726" s="34">
        <v>27.603999999999999</v>
      </c>
      <c r="F726" t="s">
        <v>16859</v>
      </c>
      <c r="G726" t="b">
        <v>0</v>
      </c>
    </row>
    <row r="727" spans="1:7" x14ac:dyDescent="0.25">
      <c r="A727" t="s">
        <v>13414</v>
      </c>
      <c r="B727" s="34">
        <v>5.4966220000000003</v>
      </c>
      <c r="C727" s="34">
        <v>0.45805183333333299</v>
      </c>
      <c r="D727" t="s">
        <v>26</v>
      </c>
      <c r="E727" s="34">
        <v>27.4831099999999</v>
      </c>
      <c r="F727" t="s">
        <v>15884</v>
      </c>
      <c r="G727" t="b">
        <v>0</v>
      </c>
    </row>
    <row r="728" spans="1:7" x14ac:dyDescent="0.25">
      <c r="A728" t="s">
        <v>13591</v>
      </c>
      <c r="B728" s="34">
        <v>5.4898999999999996</v>
      </c>
      <c r="C728" s="34">
        <v>0.45749166666666602</v>
      </c>
      <c r="D728" t="s">
        <v>84</v>
      </c>
      <c r="E728" s="34">
        <v>27.4495</v>
      </c>
      <c r="F728" t="s">
        <v>16060</v>
      </c>
      <c r="G728" t="b">
        <v>0</v>
      </c>
    </row>
    <row r="729" spans="1:7" x14ac:dyDescent="0.25">
      <c r="A729" t="s">
        <v>14157</v>
      </c>
      <c r="B729" s="34">
        <v>5.4897</v>
      </c>
      <c r="C729" s="34">
        <v>0.45747500000000002</v>
      </c>
      <c r="D729" t="s">
        <v>104</v>
      </c>
      <c r="E729" s="34">
        <v>27.448499999999999</v>
      </c>
      <c r="F729" t="s">
        <v>16624</v>
      </c>
      <c r="G729" t="b">
        <v>0</v>
      </c>
    </row>
    <row r="730" spans="1:7" x14ac:dyDescent="0.25">
      <c r="A730" t="s">
        <v>12797</v>
      </c>
      <c r="B730" s="34">
        <v>5.4694999999999903</v>
      </c>
      <c r="C730" s="34">
        <v>0.45579166666666598</v>
      </c>
      <c r="D730" t="s">
        <v>6105</v>
      </c>
      <c r="E730" s="34">
        <v>27.3475</v>
      </c>
      <c r="F730" t="s">
        <v>15272</v>
      </c>
      <c r="G730" t="b">
        <v>0</v>
      </c>
    </row>
    <row r="731" spans="1:7" x14ac:dyDescent="0.25">
      <c r="A731" t="s">
        <v>14481</v>
      </c>
      <c r="B731" s="34">
        <v>5.4463800000000004</v>
      </c>
      <c r="C731" s="34">
        <v>0.45386500000000002</v>
      </c>
      <c r="D731" t="s">
        <v>132</v>
      </c>
      <c r="E731" s="34">
        <v>13.61595</v>
      </c>
      <c r="F731" t="s">
        <v>16941</v>
      </c>
      <c r="G731" t="b">
        <v>0</v>
      </c>
    </row>
    <row r="732" spans="1:7" x14ac:dyDescent="0.25">
      <c r="A732" t="s">
        <v>14394</v>
      </c>
      <c r="B732" s="34">
        <v>5.4429999999999996</v>
      </c>
      <c r="C732" s="34">
        <v>0.45358333333333301</v>
      </c>
      <c r="D732" t="s">
        <v>168</v>
      </c>
      <c r="E732" s="34">
        <v>27.215</v>
      </c>
      <c r="F732" t="s">
        <v>16856</v>
      </c>
      <c r="G732" t="b">
        <v>0</v>
      </c>
    </row>
    <row r="733" spans="1:7" x14ac:dyDescent="0.25">
      <c r="A733" t="s">
        <v>14798</v>
      </c>
      <c r="B733" s="34">
        <v>5.4252922000000003</v>
      </c>
      <c r="C733" s="34">
        <v>0.45210768333333301</v>
      </c>
      <c r="D733" t="s">
        <v>35</v>
      </c>
      <c r="E733" s="34">
        <v>13.5632305</v>
      </c>
      <c r="F733" t="s">
        <v>17244</v>
      </c>
      <c r="G733" t="b">
        <v>0</v>
      </c>
    </row>
    <row r="734" spans="1:7" x14ac:dyDescent="0.25">
      <c r="A734" t="s">
        <v>14557</v>
      </c>
      <c r="B734" s="34">
        <v>5.4245299999999999</v>
      </c>
      <c r="C734" s="34">
        <v>0.45204416666666603</v>
      </c>
      <c r="D734" t="s">
        <v>2891</v>
      </c>
      <c r="E734" s="34">
        <v>27.12265</v>
      </c>
      <c r="F734" t="s">
        <v>17016</v>
      </c>
      <c r="G734" t="b">
        <v>0</v>
      </c>
    </row>
    <row r="735" spans="1:7" x14ac:dyDescent="0.25">
      <c r="A735" t="s">
        <v>12787</v>
      </c>
      <c r="B735" s="34">
        <v>5.4231860000000003</v>
      </c>
      <c r="C735" s="34">
        <v>0.45193216666666602</v>
      </c>
      <c r="D735" t="s">
        <v>290</v>
      </c>
      <c r="E735" s="34">
        <v>27.115929999999999</v>
      </c>
      <c r="F735" t="s">
        <v>15262</v>
      </c>
      <c r="G735" t="b">
        <v>0</v>
      </c>
    </row>
    <row r="736" spans="1:7" x14ac:dyDescent="0.25">
      <c r="A736" t="s">
        <v>13864</v>
      </c>
      <c r="B736" s="34">
        <v>5.4143999999999997</v>
      </c>
      <c r="C736" s="34">
        <v>0.45119999999999999</v>
      </c>
      <c r="D736" t="s">
        <v>35</v>
      </c>
      <c r="E736" s="34">
        <v>27.071999999999999</v>
      </c>
      <c r="F736" t="s">
        <v>16331</v>
      </c>
      <c r="G736" t="b">
        <v>0</v>
      </c>
    </row>
    <row r="737" spans="1:7" x14ac:dyDescent="0.25">
      <c r="A737" t="s">
        <v>14021</v>
      </c>
      <c r="B737" s="34">
        <v>5.4133999999999904</v>
      </c>
      <c r="C737" s="34">
        <v>0.451116666666666</v>
      </c>
      <c r="D737" t="s">
        <v>853</v>
      </c>
      <c r="E737" s="34">
        <v>13.533499999999901</v>
      </c>
      <c r="F737" t="s">
        <v>16488</v>
      </c>
      <c r="G737" t="b">
        <v>0</v>
      </c>
    </row>
    <row r="738" spans="1:7" x14ac:dyDescent="0.25">
      <c r="A738" t="s">
        <v>12794</v>
      </c>
      <c r="B738" s="34">
        <v>5.4127615000000002</v>
      </c>
      <c r="C738" s="34">
        <v>0.451063458333333</v>
      </c>
      <c r="D738" t="s">
        <v>2340</v>
      </c>
      <c r="E738" s="34">
        <v>27.063807499999999</v>
      </c>
      <c r="F738" t="s">
        <v>15269</v>
      </c>
      <c r="G738" t="b">
        <v>0</v>
      </c>
    </row>
    <row r="739" spans="1:7" x14ac:dyDescent="0.25">
      <c r="A739" t="s">
        <v>13038</v>
      </c>
      <c r="B739" s="34">
        <v>5.3920000000000003</v>
      </c>
      <c r="C739" s="34">
        <v>0.44933333333333297</v>
      </c>
      <c r="D739" t="s">
        <v>162</v>
      </c>
      <c r="E739" s="34">
        <v>26.96</v>
      </c>
      <c r="F739" t="s">
        <v>15513</v>
      </c>
      <c r="G739" t="b">
        <v>0</v>
      </c>
    </row>
    <row r="740" spans="1:7" x14ac:dyDescent="0.25">
      <c r="A740" t="s">
        <v>12854</v>
      </c>
      <c r="B740" s="34">
        <v>5.3903999999999996</v>
      </c>
      <c r="C740" s="34">
        <v>0.44919999999999999</v>
      </c>
      <c r="D740" t="s">
        <v>4135</v>
      </c>
      <c r="E740" s="34">
        <v>26.951999999999899</v>
      </c>
      <c r="F740" t="s">
        <v>15329</v>
      </c>
      <c r="G740" t="b">
        <v>0</v>
      </c>
    </row>
    <row r="741" spans="1:7" x14ac:dyDescent="0.25">
      <c r="A741" t="s">
        <v>13482</v>
      </c>
      <c r="B741" s="34">
        <v>5.3872121999999996</v>
      </c>
      <c r="C741" s="34">
        <v>0.44893434999999998</v>
      </c>
      <c r="D741" t="s">
        <v>35</v>
      </c>
      <c r="E741" s="34">
        <v>26.936060999999999</v>
      </c>
      <c r="F741" t="s">
        <v>15951</v>
      </c>
      <c r="G741" t="b">
        <v>0</v>
      </c>
    </row>
    <row r="742" spans="1:7" x14ac:dyDescent="0.25">
      <c r="A742" t="s">
        <v>13494</v>
      </c>
      <c r="B742" s="34">
        <v>5.37425</v>
      </c>
      <c r="C742" s="34">
        <v>0.447854166666666</v>
      </c>
      <c r="D742" t="s">
        <v>781</v>
      </c>
      <c r="E742" s="34">
        <v>13.435625</v>
      </c>
      <c r="F742" t="s">
        <v>15963</v>
      </c>
      <c r="G742" t="b">
        <v>0</v>
      </c>
    </row>
    <row r="743" spans="1:7" x14ac:dyDescent="0.25">
      <c r="A743" t="s">
        <v>12639</v>
      </c>
      <c r="B743" s="34">
        <v>5.3651999999999997</v>
      </c>
      <c r="C743" s="34">
        <v>0.4471</v>
      </c>
      <c r="D743" t="s">
        <v>215</v>
      </c>
      <c r="E743" s="34">
        <v>13.413</v>
      </c>
      <c r="F743" t="s">
        <v>15114</v>
      </c>
      <c r="G743" t="b">
        <v>0</v>
      </c>
    </row>
    <row r="744" spans="1:7" x14ac:dyDescent="0.25">
      <c r="A744" t="s">
        <v>13876</v>
      </c>
      <c r="B744" s="34">
        <v>5.3632999999999997</v>
      </c>
      <c r="C744" s="34">
        <v>0.44694166666666602</v>
      </c>
      <c r="D744" t="s">
        <v>35</v>
      </c>
      <c r="E744" s="34">
        <v>8.9388333333333296</v>
      </c>
      <c r="F744" t="s">
        <v>16343</v>
      </c>
      <c r="G744" t="b">
        <v>0</v>
      </c>
    </row>
    <row r="745" spans="1:7" x14ac:dyDescent="0.25">
      <c r="A745" t="s">
        <v>14611</v>
      </c>
      <c r="B745" s="34">
        <v>5.3444490999999896</v>
      </c>
      <c r="C745" s="34">
        <v>0.44537075833333301</v>
      </c>
      <c r="D745" t="s">
        <v>1853</v>
      </c>
      <c r="E745" s="34">
        <v>26.7222455</v>
      </c>
      <c r="F745" t="s">
        <v>17065</v>
      </c>
      <c r="G745" t="b">
        <v>0</v>
      </c>
    </row>
    <row r="746" spans="1:7" x14ac:dyDescent="0.25">
      <c r="A746" t="s">
        <v>14637</v>
      </c>
      <c r="B746" s="34">
        <v>5.3373399999999904</v>
      </c>
      <c r="C746" s="34">
        <v>0.444778333333333</v>
      </c>
      <c r="D746" t="s">
        <v>13</v>
      </c>
      <c r="E746" s="34">
        <v>26.686699999999998</v>
      </c>
      <c r="F746" t="s">
        <v>17090</v>
      </c>
      <c r="G746" t="b">
        <v>0</v>
      </c>
    </row>
    <row r="747" spans="1:7" x14ac:dyDescent="0.25">
      <c r="A747" t="s">
        <v>12982</v>
      </c>
      <c r="B747" s="34">
        <v>5.3339999999999899</v>
      </c>
      <c r="C747" s="34">
        <v>0.44449999999999901</v>
      </c>
      <c r="D747" t="s">
        <v>4455</v>
      </c>
      <c r="E747" s="34">
        <v>26.669999999999899</v>
      </c>
      <c r="F747" t="s">
        <v>15457</v>
      </c>
      <c r="G747" t="b">
        <v>0</v>
      </c>
    </row>
    <row r="748" spans="1:7" x14ac:dyDescent="0.25">
      <c r="A748" t="s">
        <v>14349</v>
      </c>
      <c r="B748" s="34">
        <v>5.3285261999999998</v>
      </c>
      <c r="C748" s="34">
        <v>0.44404385000000002</v>
      </c>
      <c r="D748" t="s">
        <v>904</v>
      </c>
      <c r="E748" s="34">
        <v>26.642631000000002</v>
      </c>
      <c r="F748" t="s">
        <v>16812</v>
      </c>
      <c r="G748" t="b">
        <v>0</v>
      </c>
    </row>
    <row r="749" spans="1:7" x14ac:dyDescent="0.25">
      <c r="A749" t="s">
        <v>14386</v>
      </c>
      <c r="B749" s="34">
        <v>5.2767400000000002</v>
      </c>
      <c r="C749" s="34">
        <v>0.439728333333333</v>
      </c>
      <c r="D749" t="s">
        <v>162</v>
      </c>
      <c r="E749" s="34">
        <v>26.383700000000001</v>
      </c>
      <c r="F749" t="s">
        <v>16848</v>
      </c>
      <c r="G749" t="b">
        <v>0</v>
      </c>
    </row>
    <row r="750" spans="1:7" x14ac:dyDescent="0.25">
      <c r="A750" t="s">
        <v>14429</v>
      </c>
      <c r="B750" s="34">
        <v>5.2692999999999897</v>
      </c>
      <c r="C750" s="34">
        <v>0.43910833333333299</v>
      </c>
      <c r="D750" t="s">
        <v>35</v>
      </c>
      <c r="E750" s="34">
        <v>26.346499999999899</v>
      </c>
      <c r="F750" t="s">
        <v>16890</v>
      </c>
      <c r="G750" t="b">
        <v>0</v>
      </c>
    </row>
    <row r="751" spans="1:7" x14ac:dyDescent="0.25">
      <c r="A751" t="s">
        <v>14466</v>
      </c>
      <c r="B751" s="34">
        <v>5.2615999999999996</v>
      </c>
      <c r="C751" s="34">
        <v>0.43846666666666601</v>
      </c>
      <c r="D751" t="s">
        <v>132</v>
      </c>
      <c r="E751" s="34">
        <v>13.154</v>
      </c>
      <c r="F751" t="s">
        <v>16926</v>
      </c>
      <c r="G751" t="b">
        <v>0</v>
      </c>
    </row>
    <row r="752" spans="1:7" x14ac:dyDescent="0.25">
      <c r="A752" t="s">
        <v>12891</v>
      </c>
      <c r="B752" s="34">
        <v>5.2570692000000001</v>
      </c>
      <c r="C752" s="34">
        <v>0.43808909999999901</v>
      </c>
      <c r="D752" t="s">
        <v>356</v>
      </c>
      <c r="E752" s="34">
        <v>26.285346000000001</v>
      </c>
      <c r="F752" t="s">
        <v>15366</v>
      </c>
      <c r="G752" t="b">
        <v>0</v>
      </c>
    </row>
    <row r="753" spans="1:7" x14ac:dyDescent="0.25">
      <c r="A753" t="s">
        <v>13625</v>
      </c>
      <c r="B753" s="34">
        <v>5.2510000000000003</v>
      </c>
      <c r="C753" s="34">
        <v>0.43758333333333299</v>
      </c>
      <c r="D753" t="s">
        <v>35</v>
      </c>
      <c r="E753" s="34">
        <v>26.254999999999999</v>
      </c>
      <c r="F753" t="s">
        <v>16094</v>
      </c>
      <c r="G753" t="b">
        <v>0</v>
      </c>
    </row>
    <row r="754" spans="1:7" x14ac:dyDescent="0.25">
      <c r="A754" t="s">
        <v>12699</v>
      </c>
      <c r="B754" s="34">
        <v>5.24526</v>
      </c>
      <c r="C754" s="34">
        <v>0.43710500000000002</v>
      </c>
      <c r="D754" t="s">
        <v>296</v>
      </c>
      <c r="E754" s="34">
        <v>26.226299999999998</v>
      </c>
      <c r="F754" t="s">
        <v>15174</v>
      </c>
      <c r="G754" t="b">
        <v>0</v>
      </c>
    </row>
    <row r="755" spans="1:7" x14ac:dyDescent="0.25">
      <c r="A755" t="s">
        <v>13976</v>
      </c>
      <c r="B755" s="34">
        <v>5.2338796999999904</v>
      </c>
      <c r="C755" s="34">
        <v>0.43615664166666601</v>
      </c>
      <c r="D755" t="s">
        <v>132</v>
      </c>
      <c r="E755" s="34">
        <v>13.08469925</v>
      </c>
      <c r="F755" t="s">
        <v>16443</v>
      </c>
      <c r="G755" t="b">
        <v>0</v>
      </c>
    </row>
    <row r="756" spans="1:7" x14ac:dyDescent="0.25">
      <c r="A756" t="s">
        <v>13417</v>
      </c>
      <c r="B756" s="34">
        <v>5.2134999999999998</v>
      </c>
      <c r="C756" s="34">
        <v>0.434458333333333</v>
      </c>
      <c r="D756" t="s">
        <v>1013</v>
      </c>
      <c r="E756" s="34">
        <v>26.067499999999999</v>
      </c>
      <c r="F756" t="s">
        <v>15887</v>
      </c>
      <c r="G756" t="b">
        <v>0</v>
      </c>
    </row>
    <row r="757" spans="1:7" x14ac:dyDescent="0.25">
      <c r="A757" t="s">
        <v>13852</v>
      </c>
      <c r="B757" s="34">
        <v>5.2079000000000004</v>
      </c>
      <c r="C757" s="34">
        <v>0.433991666666666</v>
      </c>
      <c r="D757" t="s">
        <v>35</v>
      </c>
      <c r="E757" s="34">
        <v>26.0395</v>
      </c>
      <c r="F757" t="s">
        <v>16319</v>
      </c>
      <c r="G757" t="b">
        <v>0</v>
      </c>
    </row>
    <row r="758" spans="1:7" x14ac:dyDescent="0.25">
      <c r="A758" t="s">
        <v>12832</v>
      </c>
      <c r="B758" s="34">
        <v>5.2060199999999996</v>
      </c>
      <c r="C758" s="34">
        <v>0.43383500000000003</v>
      </c>
      <c r="D758" t="s">
        <v>2137</v>
      </c>
      <c r="E758" s="34">
        <v>26.030100000000001</v>
      </c>
      <c r="F758" t="s">
        <v>15307</v>
      </c>
      <c r="G758" t="b">
        <v>0</v>
      </c>
    </row>
    <row r="759" spans="1:7" x14ac:dyDescent="0.25">
      <c r="A759" t="s">
        <v>12967</v>
      </c>
      <c r="B759" s="34">
        <v>5.1956083999999896</v>
      </c>
      <c r="C759" s="34">
        <v>0.43296736666666602</v>
      </c>
      <c r="D759" t="s">
        <v>2101</v>
      </c>
      <c r="E759" s="34">
        <v>25.978041999999999</v>
      </c>
      <c r="F759" t="s">
        <v>15442</v>
      </c>
      <c r="G759" t="b">
        <v>0</v>
      </c>
    </row>
    <row r="760" spans="1:7" x14ac:dyDescent="0.25">
      <c r="A760" t="s">
        <v>13963</v>
      </c>
      <c r="B760" s="34">
        <v>5.1661999999999999</v>
      </c>
      <c r="C760" s="34">
        <v>0.43051666666666599</v>
      </c>
      <c r="D760" t="s">
        <v>3730</v>
      </c>
      <c r="E760" s="34">
        <v>25.831</v>
      </c>
      <c r="F760" t="s">
        <v>16430</v>
      </c>
      <c r="G760" t="b">
        <v>0</v>
      </c>
    </row>
    <row r="761" spans="1:7" x14ac:dyDescent="0.25">
      <c r="A761" t="s">
        <v>12552</v>
      </c>
      <c r="B761" s="34">
        <v>5.1595500000000003</v>
      </c>
      <c r="C761" s="34">
        <v>0.42996250000000003</v>
      </c>
      <c r="D761" t="s">
        <v>385</v>
      </c>
      <c r="E761" s="34">
        <v>8.5992499999999996</v>
      </c>
      <c r="F761" t="s">
        <v>15027</v>
      </c>
      <c r="G761" t="b">
        <v>0</v>
      </c>
    </row>
    <row r="762" spans="1:7" x14ac:dyDescent="0.25">
      <c r="A762" t="s">
        <v>12782</v>
      </c>
      <c r="B762" s="34">
        <v>5.1571999999999996</v>
      </c>
      <c r="C762" s="34">
        <v>0.42976666666666602</v>
      </c>
      <c r="D762" t="s">
        <v>2831</v>
      </c>
      <c r="E762" s="34">
        <v>25.786000000000001</v>
      </c>
      <c r="F762" t="s">
        <v>15257</v>
      </c>
      <c r="G762" t="b">
        <v>0</v>
      </c>
    </row>
    <row r="763" spans="1:7" x14ac:dyDescent="0.25">
      <c r="A763" t="s">
        <v>14403</v>
      </c>
      <c r="B763" s="34">
        <v>5.1506999999999996</v>
      </c>
      <c r="C763" s="34">
        <v>0.42922499999999902</v>
      </c>
      <c r="D763" t="s">
        <v>2768</v>
      </c>
      <c r="E763" s="34">
        <v>12.8767499999999</v>
      </c>
      <c r="F763" t="s">
        <v>16865</v>
      </c>
      <c r="G763" t="b">
        <v>0</v>
      </c>
    </row>
    <row r="764" spans="1:7" x14ac:dyDescent="0.25">
      <c r="A764" t="s">
        <v>13188</v>
      </c>
      <c r="B764" s="34">
        <v>5.1441999999999997</v>
      </c>
      <c r="C764" s="34">
        <v>0.42868333333333303</v>
      </c>
      <c r="D764" t="s">
        <v>35</v>
      </c>
      <c r="E764" s="34">
        <v>25.721</v>
      </c>
      <c r="F764" t="s">
        <v>15662</v>
      </c>
      <c r="G764" t="b">
        <v>0</v>
      </c>
    </row>
    <row r="765" spans="1:7" x14ac:dyDescent="0.25">
      <c r="A765" t="s">
        <v>14295</v>
      </c>
      <c r="B765" s="34">
        <v>5.1125699999999998</v>
      </c>
      <c r="C765" s="34">
        <v>0.42604750000000002</v>
      </c>
      <c r="D765" t="s">
        <v>1240</v>
      </c>
      <c r="E765" s="34">
        <v>25.562850000000001</v>
      </c>
      <c r="F765" t="s">
        <v>16758</v>
      </c>
      <c r="G765" t="b">
        <v>0</v>
      </c>
    </row>
    <row r="766" spans="1:7" x14ac:dyDescent="0.25">
      <c r="A766" t="s">
        <v>14127</v>
      </c>
      <c r="B766" s="34">
        <v>5.0957600000000003</v>
      </c>
      <c r="C766" s="34">
        <v>0.42464666666666601</v>
      </c>
      <c r="D766" t="s">
        <v>4377</v>
      </c>
      <c r="E766" s="34">
        <v>25.4788</v>
      </c>
      <c r="F766" t="s">
        <v>16594</v>
      </c>
      <c r="G766" t="b">
        <v>0</v>
      </c>
    </row>
    <row r="767" spans="1:7" x14ac:dyDescent="0.25">
      <c r="A767" t="s">
        <v>13112</v>
      </c>
      <c r="B767" s="34">
        <v>5.0900999999999996</v>
      </c>
      <c r="C767" s="34">
        <v>0.42417500000000002</v>
      </c>
      <c r="D767" t="s">
        <v>35</v>
      </c>
      <c r="E767" s="34">
        <v>25.450500000000002</v>
      </c>
      <c r="F767" t="s">
        <v>15587</v>
      </c>
      <c r="G767" t="b">
        <v>0</v>
      </c>
    </row>
    <row r="768" spans="1:7" x14ac:dyDescent="0.25">
      <c r="A768" t="s">
        <v>13279</v>
      </c>
      <c r="B768" s="34">
        <v>5.0648599999999897</v>
      </c>
      <c r="C768" s="34">
        <v>0.42207166666666601</v>
      </c>
      <c r="D768" t="s">
        <v>239</v>
      </c>
      <c r="E768" s="34">
        <v>25.324300000000001</v>
      </c>
      <c r="F768" t="s">
        <v>15751</v>
      </c>
      <c r="G768" t="b">
        <v>0</v>
      </c>
    </row>
    <row r="769" spans="1:7" x14ac:dyDescent="0.25">
      <c r="A769" t="s">
        <v>12816</v>
      </c>
      <c r="B769" s="34">
        <v>5.0309599999999897</v>
      </c>
      <c r="C769" s="34">
        <v>0.41924666666666599</v>
      </c>
      <c r="D769" t="s">
        <v>90</v>
      </c>
      <c r="E769" s="34">
        <v>25.154800000000002</v>
      </c>
      <c r="F769" t="s">
        <v>15291</v>
      </c>
      <c r="G769" t="b">
        <v>0</v>
      </c>
    </row>
    <row r="770" spans="1:7" x14ac:dyDescent="0.25">
      <c r="A770" t="s">
        <v>13319</v>
      </c>
      <c r="B770" s="34">
        <v>5.0305002999999999</v>
      </c>
      <c r="C770" s="34">
        <v>0.41920835833333298</v>
      </c>
      <c r="D770" t="s">
        <v>35</v>
      </c>
      <c r="E770" s="34">
        <v>25.1525015</v>
      </c>
      <c r="F770" t="s">
        <v>15789</v>
      </c>
      <c r="G770" t="b">
        <v>0</v>
      </c>
    </row>
    <row r="771" spans="1:7" x14ac:dyDescent="0.25">
      <c r="A771" t="s">
        <v>12598</v>
      </c>
      <c r="B771" s="34">
        <v>5.0300509999999896</v>
      </c>
      <c r="C771" s="34">
        <v>0.419170916666666</v>
      </c>
      <c r="D771" t="s">
        <v>26</v>
      </c>
      <c r="E771" s="34">
        <v>25.150255000000001</v>
      </c>
      <c r="F771" t="s">
        <v>15073</v>
      </c>
      <c r="G771" t="b">
        <v>0</v>
      </c>
    </row>
    <row r="772" spans="1:7" x14ac:dyDescent="0.25">
      <c r="A772" t="s">
        <v>13746</v>
      </c>
      <c r="B772" s="34">
        <v>5.0284999999999904</v>
      </c>
      <c r="C772" s="34">
        <v>0.41904166666666598</v>
      </c>
      <c r="D772" t="s">
        <v>54</v>
      </c>
      <c r="E772" s="34">
        <v>25.142499999999998</v>
      </c>
      <c r="F772" t="s">
        <v>16214</v>
      </c>
      <c r="G772" t="b">
        <v>0</v>
      </c>
    </row>
    <row r="773" spans="1:7" x14ac:dyDescent="0.25">
      <c r="A773" t="s">
        <v>14453</v>
      </c>
      <c r="B773" s="34">
        <v>5.0114000000000001</v>
      </c>
      <c r="C773" s="34">
        <v>0.41761666666666603</v>
      </c>
      <c r="D773" t="s">
        <v>221</v>
      </c>
      <c r="E773" s="34">
        <v>12.528499999999999</v>
      </c>
      <c r="F773" t="s">
        <v>16913</v>
      </c>
      <c r="G773" t="b">
        <v>0</v>
      </c>
    </row>
    <row r="774" spans="1:7" x14ac:dyDescent="0.25">
      <c r="A774" t="s">
        <v>14382</v>
      </c>
      <c r="B774" s="34">
        <v>4.9723600000000001</v>
      </c>
      <c r="C774" s="34">
        <v>0.41436333333333297</v>
      </c>
      <c r="D774" t="s">
        <v>409</v>
      </c>
      <c r="E774" s="34">
        <v>24.861799999999999</v>
      </c>
      <c r="F774" t="s">
        <v>16844</v>
      </c>
      <c r="G774" t="b">
        <v>0</v>
      </c>
    </row>
    <row r="775" spans="1:7" x14ac:dyDescent="0.25">
      <c r="A775" t="s">
        <v>12970</v>
      </c>
      <c r="B775" s="34">
        <v>4.9588999999999999</v>
      </c>
      <c r="C775" s="34">
        <v>0.41324166666666601</v>
      </c>
      <c r="D775" t="s">
        <v>209</v>
      </c>
      <c r="E775" s="34">
        <v>24.794499999999999</v>
      </c>
      <c r="F775" t="s">
        <v>15445</v>
      </c>
      <c r="G775" t="b">
        <v>0</v>
      </c>
    </row>
    <row r="776" spans="1:7" x14ac:dyDescent="0.25">
      <c r="A776" t="s">
        <v>12535</v>
      </c>
      <c r="B776" s="34">
        <v>4.9565899999999896</v>
      </c>
      <c r="C776" s="34">
        <v>0.41304916666666602</v>
      </c>
      <c r="D776" t="s">
        <v>67</v>
      </c>
      <c r="E776" s="34">
        <v>8.2609833333333302</v>
      </c>
      <c r="F776" t="s">
        <v>15010</v>
      </c>
      <c r="G776" t="b">
        <v>0</v>
      </c>
    </row>
    <row r="777" spans="1:7" x14ac:dyDescent="0.25">
      <c r="A777" t="s">
        <v>13913</v>
      </c>
      <c r="B777" s="34">
        <v>4.9321999999999901</v>
      </c>
      <c r="C777" s="34">
        <v>0.41101666666666598</v>
      </c>
      <c r="D777" t="s">
        <v>409</v>
      </c>
      <c r="E777" s="34">
        <v>12.330499999999899</v>
      </c>
      <c r="F777" t="s">
        <v>16380</v>
      </c>
      <c r="G777" t="b">
        <v>0</v>
      </c>
    </row>
    <row r="778" spans="1:7" x14ac:dyDescent="0.25">
      <c r="A778" t="s">
        <v>12705</v>
      </c>
      <c r="B778" s="34">
        <v>4.9016000000000002</v>
      </c>
      <c r="C778" s="34">
        <v>0.40846666666666598</v>
      </c>
      <c r="D778" t="s">
        <v>35</v>
      </c>
      <c r="E778" s="34">
        <v>24.507999999999999</v>
      </c>
      <c r="F778" t="s">
        <v>15180</v>
      </c>
      <c r="G778" t="b">
        <v>0</v>
      </c>
    </row>
    <row r="779" spans="1:7" x14ac:dyDescent="0.25">
      <c r="A779" t="s">
        <v>12654</v>
      </c>
      <c r="B779" s="34">
        <v>4.8685924799999896</v>
      </c>
      <c r="C779" s="34">
        <v>0.405716039999999</v>
      </c>
      <c r="D779" t="s">
        <v>35</v>
      </c>
      <c r="E779" s="34">
        <v>12.171481199999899</v>
      </c>
      <c r="F779" t="s">
        <v>15129</v>
      </c>
      <c r="G779" t="b">
        <v>0</v>
      </c>
    </row>
    <row r="780" spans="1:7" x14ac:dyDescent="0.25">
      <c r="A780" t="s">
        <v>13927</v>
      </c>
      <c r="B780" s="34">
        <v>4.8500938479999904</v>
      </c>
      <c r="C780" s="34">
        <v>0.404174487333333</v>
      </c>
      <c r="D780" t="s">
        <v>781</v>
      </c>
      <c r="E780" s="34">
        <v>8.0834897466666593</v>
      </c>
      <c r="F780" t="s">
        <v>16394</v>
      </c>
      <c r="G780" t="b">
        <v>0</v>
      </c>
    </row>
    <row r="781" spans="1:7" x14ac:dyDescent="0.25">
      <c r="A781" t="s">
        <v>13995</v>
      </c>
      <c r="B781" s="34">
        <v>4.8301999999999996</v>
      </c>
      <c r="C781" s="34">
        <v>0.40251666666666602</v>
      </c>
      <c r="D781" t="s">
        <v>239</v>
      </c>
      <c r="E781" s="34">
        <v>24.151</v>
      </c>
      <c r="F781" t="s">
        <v>16462</v>
      </c>
      <c r="G781" t="b">
        <v>0</v>
      </c>
    </row>
    <row r="782" spans="1:7" x14ac:dyDescent="0.25">
      <c r="A782" t="s">
        <v>13229</v>
      </c>
      <c r="B782" s="34">
        <v>4.7934235999999997</v>
      </c>
      <c r="C782" s="34">
        <v>0.39945196666666599</v>
      </c>
      <c r="D782" t="s">
        <v>45</v>
      </c>
      <c r="E782" s="34">
        <v>23.967117999999999</v>
      </c>
      <c r="F782" t="s">
        <v>15703</v>
      </c>
      <c r="G782" t="b">
        <v>0</v>
      </c>
    </row>
    <row r="783" spans="1:7" x14ac:dyDescent="0.25">
      <c r="A783" t="s">
        <v>13954</v>
      </c>
      <c r="B783" s="34">
        <v>4.7873999999999999</v>
      </c>
      <c r="C783" s="34">
        <v>0.39895000000000003</v>
      </c>
      <c r="D783" t="s">
        <v>35</v>
      </c>
      <c r="E783" s="34">
        <v>23.936999999999902</v>
      </c>
      <c r="F783" t="s">
        <v>16421</v>
      </c>
      <c r="G783" t="b">
        <v>0</v>
      </c>
    </row>
    <row r="784" spans="1:7" x14ac:dyDescent="0.25">
      <c r="A784" t="s">
        <v>14540</v>
      </c>
      <c r="B784" s="34">
        <v>4.7376033</v>
      </c>
      <c r="C784" s="34">
        <v>0.39480027499999998</v>
      </c>
      <c r="D784" t="s">
        <v>26</v>
      </c>
      <c r="E784" s="34">
        <v>11.84400825</v>
      </c>
      <c r="F784" t="s">
        <v>16999</v>
      </c>
      <c r="G784" t="b">
        <v>0</v>
      </c>
    </row>
    <row r="785" spans="1:7" x14ac:dyDescent="0.25">
      <c r="A785" t="s">
        <v>13914</v>
      </c>
      <c r="B785" s="34">
        <v>4.7355999999999998</v>
      </c>
      <c r="C785" s="34">
        <v>0.394633333333333</v>
      </c>
      <c r="D785" t="s">
        <v>35</v>
      </c>
      <c r="E785" s="34">
        <v>11.839</v>
      </c>
      <c r="F785" t="s">
        <v>16381</v>
      </c>
      <c r="G785" t="b">
        <v>0</v>
      </c>
    </row>
    <row r="786" spans="1:7" x14ac:dyDescent="0.25">
      <c r="A786" t="s">
        <v>14643</v>
      </c>
      <c r="B786" s="34">
        <v>4.6992070000000004</v>
      </c>
      <c r="C786" s="34">
        <v>0.39160058333333297</v>
      </c>
      <c r="D786" t="s">
        <v>853</v>
      </c>
      <c r="E786" s="34">
        <v>11.7480175</v>
      </c>
      <c r="F786" t="s">
        <v>17096</v>
      </c>
      <c r="G786" t="b">
        <v>0</v>
      </c>
    </row>
    <row r="787" spans="1:7" x14ac:dyDescent="0.25">
      <c r="A787" t="s">
        <v>14543</v>
      </c>
      <c r="B787" s="34">
        <v>4.6959399999999896</v>
      </c>
      <c r="C787" s="34">
        <v>0.391328333333333</v>
      </c>
      <c r="D787" t="s">
        <v>1064</v>
      </c>
      <c r="E787" s="34">
        <v>23.479700000000001</v>
      </c>
      <c r="F787" t="s">
        <v>17002</v>
      </c>
      <c r="G787" t="b">
        <v>0</v>
      </c>
    </row>
    <row r="788" spans="1:7" x14ac:dyDescent="0.25">
      <c r="A788" t="s">
        <v>13176</v>
      </c>
      <c r="B788" s="34">
        <v>4.6867327999999997</v>
      </c>
      <c r="C788" s="34">
        <v>0.39056106666666601</v>
      </c>
      <c r="D788" t="s">
        <v>883</v>
      </c>
      <c r="E788" s="34">
        <v>23.433664</v>
      </c>
      <c r="F788" t="s">
        <v>15650</v>
      </c>
      <c r="G788" t="b">
        <v>0</v>
      </c>
    </row>
    <row r="789" spans="1:7" x14ac:dyDescent="0.25">
      <c r="A789" t="s">
        <v>12942</v>
      </c>
      <c r="B789" s="34">
        <v>4.68588</v>
      </c>
      <c r="C789" s="34">
        <v>0.39049</v>
      </c>
      <c r="D789" t="s">
        <v>35</v>
      </c>
      <c r="E789" s="34">
        <v>23.429400000000001</v>
      </c>
      <c r="F789" t="s">
        <v>15417</v>
      </c>
      <c r="G789" t="b">
        <v>0</v>
      </c>
    </row>
    <row r="790" spans="1:7" x14ac:dyDescent="0.25">
      <c r="A790" t="s">
        <v>13496</v>
      </c>
      <c r="B790" s="34">
        <v>4.6840799999999998</v>
      </c>
      <c r="C790" s="34">
        <v>0.39034000000000002</v>
      </c>
      <c r="D790" t="s">
        <v>3523</v>
      </c>
      <c r="E790" s="34">
        <v>23.420400000000001</v>
      </c>
      <c r="F790" t="s">
        <v>15965</v>
      </c>
      <c r="G790" t="b">
        <v>0</v>
      </c>
    </row>
    <row r="791" spans="1:7" x14ac:dyDescent="0.25">
      <c r="A791" t="s">
        <v>13053</v>
      </c>
      <c r="B791" s="34">
        <v>4.6747227999999996</v>
      </c>
      <c r="C791" s="34">
        <v>0.38956023333333301</v>
      </c>
      <c r="D791" t="s">
        <v>356</v>
      </c>
      <c r="E791" s="34">
        <v>23.373614</v>
      </c>
      <c r="F791" t="s">
        <v>15528</v>
      </c>
      <c r="G791" t="b">
        <v>0</v>
      </c>
    </row>
    <row r="792" spans="1:7" x14ac:dyDescent="0.25">
      <c r="A792" t="s">
        <v>12660</v>
      </c>
      <c r="B792" s="34">
        <v>4.6673999999999998</v>
      </c>
      <c r="C792" s="34">
        <v>0.38895000000000002</v>
      </c>
      <c r="D792" t="s">
        <v>35</v>
      </c>
      <c r="E792" s="34">
        <v>23.337</v>
      </c>
      <c r="F792" t="s">
        <v>15135</v>
      </c>
      <c r="G792" t="b">
        <v>0</v>
      </c>
    </row>
    <row r="793" spans="1:7" x14ac:dyDescent="0.25">
      <c r="A793" t="s">
        <v>14566</v>
      </c>
      <c r="B793" s="34">
        <v>4.6646999999999998</v>
      </c>
      <c r="C793" s="34">
        <v>0.38872499999999999</v>
      </c>
      <c r="D793" t="s">
        <v>132</v>
      </c>
      <c r="E793" s="34">
        <v>11.66175</v>
      </c>
      <c r="F793" t="s">
        <v>17023</v>
      </c>
      <c r="G793" t="b">
        <v>0</v>
      </c>
    </row>
    <row r="794" spans="1:7" x14ac:dyDescent="0.25">
      <c r="A794" t="s">
        <v>13200</v>
      </c>
      <c r="B794" s="34">
        <v>4.6566099999999997</v>
      </c>
      <c r="C794" s="34">
        <v>0.38805083333333301</v>
      </c>
      <c r="D794" t="s">
        <v>1519</v>
      </c>
      <c r="E794" s="34">
        <v>23.283049999999999</v>
      </c>
      <c r="F794" t="s">
        <v>15674</v>
      </c>
      <c r="G794" t="b">
        <v>0</v>
      </c>
    </row>
    <row r="795" spans="1:7" x14ac:dyDescent="0.25">
      <c r="A795" t="s">
        <v>13284</v>
      </c>
      <c r="B795" s="34">
        <v>4.6553000000000004</v>
      </c>
      <c r="C795" s="34">
        <v>0.38794166666666602</v>
      </c>
      <c r="D795" t="s">
        <v>35</v>
      </c>
      <c r="E795" s="34">
        <v>23.276499999999999</v>
      </c>
      <c r="F795" t="s">
        <v>15756</v>
      </c>
      <c r="G795" t="b">
        <v>0</v>
      </c>
    </row>
    <row r="796" spans="1:7" x14ac:dyDescent="0.25">
      <c r="A796" t="s">
        <v>13683</v>
      </c>
      <c r="B796" s="34">
        <v>4.6494999999999997</v>
      </c>
      <c r="C796" s="34">
        <v>0.38745833333333302</v>
      </c>
      <c r="D796" t="s">
        <v>35</v>
      </c>
      <c r="E796" s="34">
        <v>23.247499999999999</v>
      </c>
      <c r="F796" t="s">
        <v>16151</v>
      </c>
      <c r="G796" t="b">
        <v>0</v>
      </c>
    </row>
    <row r="797" spans="1:7" x14ac:dyDescent="0.25">
      <c r="A797" t="s">
        <v>14352</v>
      </c>
      <c r="B797" s="34">
        <v>4.6356000000000002</v>
      </c>
      <c r="C797" s="34">
        <v>0.38629999999999998</v>
      </c>
      <c r="D797" t="s">
        <v>1120</v>
      </c>
      <c r="E797" s="34">
        <v>23.178000000000001</v>
      </c>
      <c r="F797" t="s">
        <v>16815</v>
      </c>
      <c r="G797" t="b">
        <v>0</v>
      </c>
    </row>
    <row r="798" spans="1:7" x14ac:dyDescent="0.25">
      <c r="A798" t="s">
        <v>12988</v>
      </c>
      <c r="B798" s="34">
        <v>4.6352000000000002</v>
      </c>
      <c r="C798" s="34">
        <v>0.38626666666666598</v>
      </c>
      <c r="D798" t="s">
        <v>35</v>
      </c>
      <c r="E798" s="34">
        <v>23.175999999999998</v>
      </c>
      <c r="F798" t="s">
        <v>15463</v>
      </c>
      <c r="G798" t="b">
        <v>0</v>
      </c>
    </row>
    <row r="799" spans="1:7" x14ac:dyDescent="0.25">
      <c r="A799" t="s">
        <v>12700</v>
      </c>
      <c r="B799" s="34">
        <v>4.5955000000000004</v>
      </c>
      <c r="C799" s="34">
        <v>0.38295833333333301</v>
      </c>
      <c r="D799" t="s">
        <v>35</v>
      </c>
      <c r="E799" s="34">
        <v>22.977499999999999</v>
      </c>
      <c r="F799" t="s">
        <v>15175</v>
      </c>
      <c r="G799" t="b">
        <v>0</v>
      </c>
    </row>
    <row r="800" spans="1:7" x14ac:dyDescent="0.25">
      <c r="A800" t="s">
        <v>14461</v>
      </c>
      <c r="B800" s="34">
        <v>4.5929999999999902</v>
      </c>
      <c r="C800" s="34">
        <v>0.38274999999999898</v>
      </c>
      <c r="D800" t="s">
        <v>162</v>
      </c>
      <c r="E800" s="34">
        <v>22.965</v>
      </c>
      <c r="F800" t="s">
        <v>16921</v>
      </c>
      <c r="G800" t="b">
        <v>0</v>
      </c>
    </row>
    <row r="801" spans="1:7" x14ac:dyDescent="0.25">
      <c r="A801" t="s">
        <v>12572</v>
      </c>
      <c r="B801" s="34">
        <v>4.5834000000000001</v>
      </c>
      <c r="C801" s="34">
        <v>0.38195000000000001</v>
      </c>
      <c r="D801" t="s">
        <v>215</v>
      </c>
      <c r="E801" s="34">
        <v>22.916999999999899</v>
      </c>
      <c r="F801" t="s">
        <v>15047</v>
      </c>
      <c r="G801" t="b">
        <v>0</v>
      </c>
    </row>
    <row r="802" spans="1:7" x14ac:dyDescent="0.25">
      <c r="A802" t="s">
        <v>13624</v>
      </c>
      <c r="B802" s="34">
        <v>4.5710600000000001</v>
      </c>
      <c r="C802" s="34">
        <v>0.38092166666666599</v>
      </c>
      <c r="D802" t="s">
        <v>35</v>
      </c>
      <c r="E802" s="34">
        <v>22.8553</v>
      </c>
      <c r="F802" t="s">
        <v>16093</v>
      </c>
      <c r="G802" t="b">
        <v>0</v>
      </c>
    </row>
    <row r="803" spans="1:7" x14ac:dyDescent="0.25">
      <c r="A803" t="s">
        <v>13677</v>
      </c>
      <c r="B803" s="34">
        <v>4.5709999999999997</v>
      </c>
      <c r="C803" s="34">
        <v>0.38091666666666602</v>
      </c>
      <c r="D803" t="s">
        <v>209</v>
      </c>
      <c r="E803" s="34">
        <v>22.855</v>
      </c>
      <c r="F803" t="s">
        <v>16145</v>
      </c>
      <c r="G803" t="b">
        <v>0</v>
      </c>
    </row>
    <row r="804" spans="1:7" x14ac:dyDescent="0.25">
      <c r="A804" t="s">
        <v>12695</v>
      </c>
      <c r="B804" s="34">
        <v>4.5695294000000004</v>
      </c>
      <c r="C804" s="34">
        <v>0.38079411666666602</v>
      </c>
      <c r="D804" t="s">
        <v>1074</v>
      </c>
      <c r="E804" s="34">
        <v>22.847646999999998</v>
      </c>
      <c r="F804" t="s">
        <v>15170</v>
      </c>
      <c r="G804" t="b">
        <v>0</v>
      </c>
    </row>
    <row r="805" spans="1:7" x14ac:dyDescent="0.25">
      <c r="A805" t="s">
        <v>12886</v>
      </c>
      <c r="B805" s="34">
        <v>4.5683999999999898</v>
      </c>
      <c r="C805" s="34">
        <v>0.38069999999999898</v>
      </c>
      <c r="D805" t="s">
        <v>104</v>
      </c>
      <c r="E805" s="34">
        <v>22.841999999999899</v>
      </c>
      <c r="F805" t="s">
        <v>15361</v>
      </c>
      <c r="G805" t="b">
        <v>0</v>
      </c>
    </row>
    <row r="806" spans="1:7" x14ac:dyDescent="0.25">
      <c r="A806" t="s">
        <v>12763</v>
      </c>
      <c r="B806" s="34">
        <v>4.5590000000000002</v>
      </c>
      <c r="C806" s="34">
        <v>0.37991666666666601</v>
      </c>
      <c r="D806" t="s">
        <v>168</v>
      </c>
      <c r="E806" s="34">
        <v>22.795000000000002</v>
      </c>
      <c r="F806" t="s">
        <v>15238</v>
      </c>
      <c r="G806" t="b">
        <v>0</v>
      </c>
    </row>
    <row r="807" spans="1:7" x14ac:dyDescent="0.25">
      <c r="A807" t="s">
        <v>13807</v>
      </c>
      <c r="B807" s="34">
        <v>4.5256337999999996</v>
      </c>
      <c r="C807" s="34">
        <v>0.37713615</v>
      </c>
      <c r="D807" t="s">
        <v>35</v>
      </c>
      <c r="E807" s="34">
        <v>7.5427229999999996</v>
      </c>
      <c r="F807" t="s">
        <v>16274</v>
      </c>
      <c r="G807" t="b">
        <v>0</v>
      </c>
    </row>
    <row r="808" spans="1:7" x14ac:dyDescent="0.25">
      <c r="A808" t="s">
        <v>13652</v>
      </c>
      <c r="B808" s="34">
        <v>4.5214999999999996</v>
      </c>
      <c r="C808" s="34">
        <v>0.37679166666666603</v>
      </c>
      <c r="D808" t="s">
        <v>35</v>
      </c>
      <c r="E808" s="34">
        <v>22.607500000000002</v>
      </c>
      <c r="F808" t="s">
        <v>16120</v>
      </c>
      <c r="G808" t="b">
        <v>0</v>
      </c>
    </row>
    <row r="809" spans="1:7" x14ac:dyDescent="0.25">
      <c r="A809" t="s">
        <v>13896</v>
      </c>
      <c r="B809" s="34">
        <v>4.5208399999999997</v>
      </c>
      <c r="C809" s="34">
        <v>0.376736666666666</v>
      </c>
      <c r="D809" t="s">
        <v>35</v>
      </c>
      <c r="E809" s="34">
        <v>22.604199999999999</v>
      </c>
      <c r="F809" t="s">
        <v>16363</v>
      </c>
      <c r="G809" t="b">
        <v>0</v>
      </c>
    </row>
    <row r="810" spans="1:7" x14ac:dyDescent="0.25">
      <c r="A810" t="s">
        <v>13685</v>
      </c>
      <c r="B810" s="34">
        <v>4.4722998</v>
      </c>
      <c r="C810" s="34">
        <v>0.37269164999999999</v>
      </c>
      <c r="D810" t="s">
        <v>35</v>
      </c>
      <c r="E810" s="34">
        <v>22.361498999999998</v>
      </c>
      <c r="F810" t="s">
        <v>16153</v>
      </c>
      <c r="G810" t="b">
        <v>0</v>
      </c>
    </row>
    <row r="811" spans="1:7" x14ac:dyDescent="0.25">
      <c r="A811" t="s">
        <v>12812</v>
      </c>
      <c r="B811" s="34">
        <v>4.4695999999999998</v>
      </c>
      <c r="C811" s="34">
        <v>0.372466666666666</v>
      </c>
      <c r="D811" t="s">
        <v>2101</v>
      </c>
      <c r="E811" s="34">
        <v>22.347999999999999</v>
      </c>
      <c r="F811" t="s">
        <v>15287</v>
      </c>
      <c r="G811" t="b">
        <v>0</v>
      </c>
    </row>
    <row r="812" spans="1:7" x14ac:dyDescent="0.25">
      <c r="A812" t="s">
        <v>13834</v>
      </c>
      <c r="B812" s="34">
        <v>4.4459999999999997</v>
      </c>
      <c r="C812" s="34">
        <v>0.3705</v>
      </c>
      <c r="D812" t="s">
        <v>35</v>
      </c>
      <c r="E812" s="34">
        <v>22.23</v>
      </c>
      <c r="F812" t="s">
        <v>16301</v>
      </c>
      <c r="G812" t="b">
        <v>0</v>
      </c>
    </row>
    <row r="813" spans="1:7" x14ac:dyDescent="0.25">
      <c r="A813" t="s">
        <v>14805</v>
      </c>
      <c r="B813" s="34">
        <v>4.4318</v>
      </c>
      <c r="C813" s="34">
        <v>0.36931666666666602</v>
      </c>
      <c r="D813" t="s">
        <v>132</v>
      </c>
      <c r="E813" s="34">
        <v>22.158999999999999</v>
      </c>
      <c r="F813" t="s">
        <v>17249</v>
      </c>
      <c r="G813" t="b">
        <v>0</v>
      </c>
    </row>
    <row r="814" spans="1:7" x14ac:dyDescent="0.25">
      <c r="A814" t="s">
        <v>12648</v>
      </c>
      <c r="B814" s="34">
        <v>4.4313000000000002</v>
      </c>
      <c r="C814" s="34">
        <v>0.36927500000000002</v>
      </c>
      <c r="D814" t="s">
        <v>13</v>
      </c>
      <c r="E814" s="34">
        <v>22.156500000000001</v>
      </c>
      <c r="F814" t="s">
        <v>15123</v>
      </c>
      <c r="G814" t="b">
        <v>0</v>
      </c>
    </row>
    <row r="815" spans="1:7" x14ac:dyDescent="0.25">
      <c r="A815" t="s">
        <v>13421</v>
      </c>
      <c r="B815" s="34">
        <v>4.4073000000000002</v>
      </c>
      <c r="C815" s="34">
        <v>0.36727500000000002</v>
      </c>
      <c r="D815" t="s">
        <v>253</v>
      </c>
      <c r="E815" s="34">
        <v>22.0365</v>
      </c>
      <c r="F815" t="s">
        <v>15891</v>
      </c>
      <c r="G815" t="b">
        <v>0</v>
      </c>
    </row>
    <row r="816" spans="1:7" x14ac:dyDescent="0.25">
      <c r="A816" t="s">
        <v>13878</v>
      </c>
      <c r="B816" s="34">
        <v>4.3958000000000004</v>
      </c>
      <c r="C816" s="34">
        <v>0.36631666666666601</v>
      </c>
      <c r="D816" t="s">
        <v>162</v>
      </c>
      <c r="E816" s="34">
        <v>21.978999999999999</v>
      </c>
      <c r="F816" t="s">
        <v>16345</v>
      </c>
      <c r="G816" t="b">
        <v>0</v>
      </c>
    </row>
    <row r="817" spans="1:7" x14ac:dyDescent="0.25">
      <c r="A817" t="s">
        <v>14506</v>
      </c>
      <c r="B817" s="34">
        <v>4.3875000000000002</v>
      </c>
      <c r="C817" s="34">
        <v>0.36562499999999998</v>
      </c>
      <c r="D817" t="s">
        <v>35</v>
      </c>
      <c r="E817" s="34">
        <v>21.9375</v>
      </c>
      <c r="F817" t="s">
        <v>16966</v>
      </c>
      <c r="G817" t="b">
        <v>0</v>
      </c>
    </row>
    <row r="818" spans="1:7" x14ac:dyDescent="0.25">
      <c r="A818" t="s">
        <v>13452</v>
      </c>
      <c r="B818" s="34">
        <v>4.38314</v>
      </c>
      <c r="C818" s="34">
        <v>0.36526166666666599</v>
      </c>
      <c r="D818" t="s">
        <v>957</v>
      </c>
      <c r="E818" s="34">
        <v>21.915700000000001</v>
      </c>
      <c r="F818" t="s">
        <v>15921</v>
      </c>
      <c r="G818" t="b">
        <v>0</v>
      </c>
    </row>
    <row r="819" spans="1:7" x14ac:dyDescent="0.25">
      <c r="A819" t="s">
        <v>14444</v>
      </c>
      <c r="B819" s="34">
        <v>4.3768799999999999</v>
      </c>
      <c r="C819" s="34">
        <v>0.36474000000000001</v>
      </c>
      <c r="D819" t="s">
        <v>3079</v>
      </c>
      <c r="E819" s="34">
        <v>21.884399999999999</v>
      </c>
      <c r="F819" t="s">
        <v>16904</v>
      </c>
      <c r="G819" t="b">
        <v>0</v>
      </c>
    </row>
    <row r="820" spans="1:7" x14ac:dyDescent="0.25">
      <c r="A820" t="s">
        <v>14852</v>
      </c>
      <c r="B820" s="34">
        <v>4.3600000000000003</v>
      </c>
      <c r="C820" s="34">
        <v>0.36333333333333301</v>
      </c>
      <c r="D820" t="s">
        <v>645</v>
      </c>
      <c r="E820" s="34">
        <v>10.9</v>
      </c>
      <c r="F820" t="s">
        <v>17289</v>
      </c>
      <c r="G820" t="b">
        <v>0</v>
      </c>
    </row>
    <row r="821" spans="1:7" x14ac:dyDescent="0.25">
      <c r="A821" t="s">
        <v>13034</v>
      </c>
      <c r="B821" s="34">
        <v>4.3498999999999999</v>
      </c>
      <c r="C821" s="34">
        <v>0.36249166666666599</v>
      </c>
      <c r="D821" t="s">
        <v>162</v>
      </c>
      <c r="E821" s="34">
        <v>21.749500000000001</v>
      </c>
      <c r="F821" t="s">
        <v>15509</v>
      </c>
      <c r="G821" t="b">
        <v>0</v>
      </c>
    </row>
    <row r="822" spans="1:7" x14ac:dyDescent="0.25">
      <c r="A822" t="s">
        <v>13809</v>
      </c>
      <c r="B822" s="34">
        <v>4.3479000000000001</v>
      </c>
      <c r="C822" s="34">
        <v>0.36232500000000001</v>
      </c>
      <c r="D822" t="s">
        <v>566</v>
      </c>
      <c r="E822" s="34">
        <v>21.7395</v>
      </c>
      <c r="F822" t="s">
        <v>16276</v>
      </c>
      <c r="G822" t="b">
        <v>0</v>
      </c>
    </row>
    <row r="823" spans="1:7" x14ac:dyDescent="0.25">
      <c r="A823" t="s">
        <v>13808</v>
      </c>
      <c r="B823" s="34">
        <v>4.3326599999999997</v>
      </c>
      <c r="C823" s="34">
        <v>0.36105500000000001</v>
      </c>
      <c r="D823" t="s">
        <v>35</v>
      </c>
      <c r="E823" s="34">
        <v>21.6633</v>
      </c>
      <c r="F823" t="s">
        <v>16275</v>
      </c>
      <c r="G823" t="b">
        <v>0</v>
      </c>
    </row>
    <row r="824" spans="1:7" x14ac:dyDescent="0.25">
      <c r="A824" t="s">
        <v>13335</v>
      </c>
      <c r="B824" s="34">
        <v>4.3241712000000003</v>
      </c>
      <c r="C824" s="34">
        <v>0.36034759999999999</v>
      </c>
      <c r="D824" t="s">
        <v>35</v>
      </c>
      <c r="E824" s="34">
        <v>21.620856</v>
      </c>
      <c r="F824" t="s">
        <v>15805</v>
      </c>
      <c r="G824" t="b">
        <v>0</v>
      </c>
    </row>
    <row r="825" spans="1:7" x14ac:dyDescent="0.25">
      <c r="A825" t="s">
        <v>12728</v>
      </c>
      <c r="B825" s="34">
        <v>4.3230000000000004</v>
      </c>
      <c r="C825" s="34">
        <v>0.36025000000000001</v>
      </c>
      <c r="D825" t="s">
        <v>26</v>
      </c>
      <c r="E825" s="34">
        <v>21.614999999999998</v>
      </c>
      <c r="F825" t="s">
        <v>15203</v>
      </c>
      <c r="G825" t="b">
        <v>0</v>
      </c>
    </row>
    <row r="826" spans="1:7" x14ac:dyDescent="0.25">
      <c r="A826" t="s">
        <v>13550</v>
      </c>
      <c r="B826" s="34">
        <v>4.3100592000000004</v>
      </c>
      <c r="C826" s="34">
        <v>0.35917159999999998</v>
      </c>
      <c r="D826" t="s">
        <v>35</v>
      </c>
      <c r="E826" s="34">
        <v>21.550295999999999</v>
      </c>
      <c r="F826" t="s">
        <v>16019</v>
      </c>
      <c r="G826" t="b">
        <v>0</v>
      </c>
    </row>
    <row r="827" spans="1:7" x14ac:dyDescent="0.25">
      <c r="A827" t="s">
        <v>14771</v>
      </c>
      <c r="B827" s="34">
        <v>4.2960000000000003</v>
      </c>
      <c r="C827" s="34">
        <v>0.35799999999999998</v>
      </c>
      <c r="D827" t="s">
        <v>3198</v>
      </c>
      <c r="E827" s="34">
        <v>21.48</v>
      </c>
      <c r="F827" t="s">
        <v>17219</v>
      </c>
      <c r="G827" t="b">
        <v>0</v>
      </c>
    </row>
    <row r="828" spans="1:7" x14ac:dyDescent="0.25">
      <c r="A828" t="s">
        <v>13534</v>
      </c>
      <c r="B828" s="34">
        <v>4.2871800000000002</v>
      </c>
      <c r="C828" s="34">
        <v>0.357265</v>
      </c>
      <c r="D828" t="s">
        <v>35</v>
      </c>
      <c r="E828" s="34">
        <v>21.4359</v>
      </c>
      <c r="F828" t="s">
        <v>16003</v>
      </c>
      <c r="G828" t="b">
        <v>0</v>
      </c>
    </row>
    <row r="829" spans="1:7" x14ac:dyDescent="0.25">
      <c r="A829" t="s">
        <v>14560</v>
      </c>
      <c r="B829" s="34">
        <v>4.2862649999999896</v>
      </c>
      <c r="C829" s="34">
        <v>0.357188749999999</v>
      </c>
      <c r="D829" t="s">
        <v>471</v>
      </c>
      <c r="E829" s="34">
        <v>21.431325000000001</v>
      </c>
      <c r="F829" t="s">
        <v>17019</v>
      </c>
      <c r="G829" t="b">
        <v>0</v>
      </c>
    </row>
    <row r="830" spans="1:7" x14ac:dyDescent="0.25">
      <c r="A830" t="s">
        <v>13991</v>
      </c>
      <c r="B830" s="34">
        <v>4.2666500000000003</v>
      </c>
      <c r="C830" s="34">
        <v>0.35555416666666601</v>
      </c>
      <c r="D830" t="s">
        <v>168</v>
      </c>
      <c r="E830" s="34">
        <v>10.666625</v>
      </c>
      <c r="F830" t="s">
        <v>16458</v>
      </c>
      <c r="G830" t="b">
        <v>0</v>
      </c>
    </row>
    <row r="831" spans="1:7" x14ac:dyDescent="0.25">
      <c r="A831" t="s">
        <v>14809</v>
      </c>
      <c r="B831" s="34">
        <v>4.2584999999999997</v>
      </c>
      <c r="C831" s="34">
        <v>0.354874999999999</v>
      </c>
      <c r="D831" t="s">
        <v>162</v>
      </c>
      <c r="E831" s="34">
        <v>7.0975000000000001</v>
      </c>
      <c r="F831" t="s">
        <v>17253</v>
      </c>
      <c r="G831" t="b">
        <v>0</v>
      </c>
    </row>
    <row r="832" spans="1:7" x14ac:dyDescent="0.25">
      <c r="A832" t="s">
        <v>14020</v>
      </c>
      <c r="B832" s="34">
        <v>4.24</v>
      </c>
      <c r="C832" s="34">
        <v>0.353333333333333</v>
      </c>
      <c r="D832" t="s">
        <v>480</v>
      </c>
      <c r="E832" s="34">
        <v>21.2</v>
      </c>
      <c r="F832" t="s">
        <v>16487</v>
      </c>
      <c r="G832" t="b">
        <v>0</v>
      </c>
    </row>
    <row r="833" spans="1:7" x14ac:dyDescent="0.25">
      <c r="A833" t="s">
        <v>14459</v>
      </c>
      <c r="B833" s="34">
        <v>4.234</v>
      </c>
      <c r="C833" s="34">
        <v>0.352833333333333</v>
      </c>
      <c r="D833" t="s">
        <v>35</v>
      </c>
      <c r="E833" s="34">
        <v>21.17</v>
      </c>
      <c r="F833" t="s">
        <v>16919</v>
      </c>
      <c r="G833" t="b">
        <v>0</v>
      </c>
    </row>
    <row r="834" spans="1:7" x14ac:dyDescent="0.25">
      <c r="A834" t="s">
        <v>14633</v>
      </c>
      <c r="B834" s="34">
        <v>4.226</v>
      </c>
      <c r="C834" s="34">
        <v>0.35216666666666602</v>
      </c>
      <c r="D834" t="s">
        <v>3250</v>
      </c>
      <c r="E834" s="34">
        <v>10.565</v>
      </c>
      <c r="F834" t="s">
        <v>17086</v>
      </c>
      <c r="G834" t="b">
        <v>0</v>
      </c>
    </row>
    <row r="835" spans="1:7" x14ac:dyDescent="0.25">
      <c r="A835" t="s">
        <v>14057</v>
      </c>
      <c r="B835" s="34">
        <v>4.2222099999999996</v>
      </c>
      <c r="C835" s="34">
        <v>0.351850833333333</v>
      </c>
      <c r="D835" t="s">
        <v>2768</v>
      </c>
      <c r="E835" s="34">
        <v>21.111049999999999</v>
      </c>
      <c r="F835" t="s">
        <v>16524</v>
      </c>
      <c r="G835" t="b">
        <v>0</v>
      </c>
    </row>
    <row r="836" spans="1:7" x14ac:dyDescent="0.25">
      <c r="A836" t="s">
        <v>12847</v>
      </c>
      <c r="B836" s="34">
        <v>4.2088000000000001</v>
      </c>
      <c r="C836" s="34">
        <v>0.35073333333333301</v>
      </c>
      <c r="D836" t="s">
        <v>632</v>
      </c>
      <c r="E836" s="34">
        <v>21.044</v>
      </c>
      <c r="F836" t="s">
        <v>15322</v>
      </c>
      <c r="G836" t="b">
        <v>0</v>
      </c>
    </row>
    <row r="837" spans="1:7" x14ac:dyDescent="0.25">
      <c r="A837" t="s">
        <v>12992</v>
      </c>
      <c r="B837" s="34">
        <v>4.2018000000000004</v>
      </c>
      <c r="C837" s="34">
        <v>0.35015000000000002</v>
      </c>
      <c r="D837" t="s">
        <v>139</v>
      </c>
      <c r="E837" s="34">
        <v>21.009</v>
      </c>
      <c r="F837" t="s">
        <v>15467</v>
      </c>
      <c r="G837" t="b">
        <v>0</v>
      </c>
    </row>
    <row r="838" spans="1:7" x14ac:dyDescent="0.25">
      <c r="A838" t="s">
        <v>13798</v>
      </c>
      <c r="B838" s="34">
        <v>4.1962000000000002</v>
      </c>
      <c r="C838" s="34">
        <v>0.34968333333333301</v>
      </c>
      <c r="D838" t="s">
        <v>35</v>
      </c>
      <c r="E838" s="34">
        <v>20.980999999999899</v>
      </c>
      <c r="F838" t="s">
        <v>16265</v>
      </c>
      <c r="G838" t="b">
        <v>0</v>
      </c>
    </row>
    <row r="839" spans="1:7" x14ac:dyDescent="0.25">
      <c r="A839" t="s">
        <v>14037</v>
      </c>
      <c r="B839" s="34">
        <v>4.1905000000000001</v>
      </c>
      <c r="C839" s="34">
        <v>0.34920833333333301</v>
      </c>
      <c r="D839" t="s">
        <v>312</v>
      </c>
      <c r="E839" s="34">
        <v>20.952500000000001</v>
      </c>
      <c r="F839" t="s">
        <v>16504</v>
      </c>
      <c r="G839" t="b">
        <v>0</v>
      </c>
    </row>
    <row r="840" spans="1:7" x14ac:dyDescent="0.25">
      <c r="A840" t="s">
        <v>12727</v>
      </c>
      <c r="B840" s="34">
        <v>4.1809000000000003</v>
      </c>
      <c r="C840" s="34">
        <v>0.34840833333333299</v>
      </c>
      <c r="D840" t="s">
        <v>26</v>
      </c>
      <c r="E840" s="34">
        <v>20.904499999999999</v>
      </c>
      <c r="F840" t="s">
        <v>15202</v>
      </c>
      <c r="G840" t="b">
        <v>0</v>
      </c>
    </row>
    <row r="841" spans="1:7" x14ac:dyDescent="0.25">
      <c r="A841" t="s">
        <v>13522</v>
      </c>
      <c r="B841" s="34">
        <v>4.1573726000000004</v>
      </c>
      <c r="C841" s="34">
        <v>0.34644771666666602</v>
      </c>
      <c r="D841" t="s">
        <v>35</v>
      </c>
      <c r="E841" s="34">
        <v>20.786863</v>
      </c>
      <c r="F841" t="s">
        <v>15991</v>
      </c>
      <c r="G841" t="b">
        <v>0</v>
      </c>
    </row>
    <row r="842" spans="1:7" x14ac:dyDescent="0.25">
      <c r="A842" t="s">
        <v>14323</v>
      </c>
      <c r="B842" s="34">
        <v>4.1399999999999997</v>
      </c>
      <c r="C842" s="34">
        <v>0.34499999999999997</v>
      </c>
      <c r="D842" t="s">
        <v>409</v>
      </c>
      <c r="E842" s="34">
        <v>20.7</v>
      </c>
      <c r="F842" t="s">
        <v>16786</v>
      </c>
      <c r="G842" t="b">
        <v>0</v>
      </c>
    </row>
    <row r="843" spans="1:7" x14ac:dyDescent="0.25">
      <c r="A843" t="s">
        <v>12937</v>
      </c>
      <c r="B843" s="34">
        <v>4.1169999999999902</v>
      </c>
      <c r="C843" s="34">
        <v>0.34308333333333302</v>
      </c>
      <c r="D843" t="s">
        <v>6988</v>
      </c>
      <c r="E843" s="34">
        <v>20.585000000000001</v>
      </c>
      <c r="F843" t="s">
        <v>15412</v>
      </c>
      <c r="G843" t="b">
        <v>0</v>
      </c>
    </row>
    <row r="844" spans="1:7" x14ac:dyDescent="0.25">
      <c r="A844" t="s">
        <v>13787</v>
      </c>
      <c r="B844" s="34">
        <v>4.1113</v>
      </c>
      <c r="C844" s="34">
        <v>0.34260833333333301</v>
      </c>
      <c r="D844" t="s">
        <v>1861</v>
      </c>
      <c r="E844" s="34">
        <v>20.5565</v>
      </c>
      <c r="F844" t="s">
        <v>16254</v>
      </c>
      <c r="G844" t="b">
        <v>0</v>
      </c>
    </row>
    <row r="845" spans="1:7" x14ac:dyDescent="0.25">
      <c r="A845" t="s">
        <v>12833</v>
      </c>
      <c r="B845" s="34">
        <v>4.1099399999999999</v>
      </c>
      <c r="C845" s="34">
        <v>0.34249499999999999</v>
      </c>
      <c r="D845" t="s">
        <v>145</v>
      </c>
      <c r="E845" s="34">
        <v>20.549700000000001</v>
      </c>
      <c r="F845" t="s">
        <v>15308</v>
      </c>
      <c r="G845" t="b">
        <v>0</v>
      </c>
    </row>
    <row r="846" spans="1:7" x14ac:dyDescent="0.25">
      <c r="A846" t="s">
        <v>13872</v>
      </c>
      <c r="B846" s="34">
        <v>4.1079999999999997</v>
      </c>
      <c r="C846" s="34">
        <v>0.34233333333333299</v>
      </c>
      <c r="D846" t="s">
        <v>35</v>
      </c>
      <c r="E846" s="34">
        <v>20.54</v>
      </c>
      <c r="F846" t="s">
        <v>16339</v>
      </c>
      <c r="G846" t="b">
        <v>0</v>
      </c>
    </row>
    <row r="847" spans="1:7" x14ac:dyDescent="0.25">
      <c r="A847" t="s">
        <v>14663</v>
      </c>
      <c r="B847" s="34">
        <v>4.0871000000000004</v>
      </c>
      <c r="C847" s="34">
        <v>0.34059166666666602</v>
      </c>
      <c r="D847" t="s">
        <v>409</v>
      </c>
      <c r="E847" s="34">
        <v>20.435500000000001</v>
      </c>
      <c r="F847" t="s">
        <v>17116</v>
      </c>
      <c r="G847" t="b">
        <v>0</v>
      </c>
    </row>
    <row r="848" spans="1:7" x14ac:dyDescent="0.25">
      <c r="A848" t="s">
        <v>13640</v>
      </c>
      <c r="B848" s="34">
        <v>4.0724999999999998</v>
      </c>
      <c r="C848" s="34">
        <v>0.33937499999999998</v>
      </c>
      <c r="D848" t="s">
        <v>3105</v>
      </c>
      <c r="E848" s="34">
        <v>20.362500000000001</v>
      </c>
      <c r="F848" t="s">
        <v>16109</v>
      </c>
      <c r="G848" t="b">
        <v>0</v>
      </c>
    </row>
    <row r="849" spans="1:7" x14ac:dyDescent="0.25">
      <c r="A849" t="s">
        <v>13431</v>
      </c>
      <c r="B849" s="34">
        <v>4.0656999999999996</v>
      </c>
      <c r="C849" s="34">
        <v>0.33880833333333299</v>
      </c>
      <c r="D849" t="s">
        <v>2301</v>
      </c>
      <c r="E849" s="34">
        <v>20.328499999999998</v>
      </c>
      <c r="F849" t="s">
        <v>15900</v>
      </c>
      <c r="G849" t="b">
        <v>0</v>
      </c>
    </row>
    <row r="850" spans="1:7" x14ac:dyDescent="0.25">
      <c r="A850" t="s">
        <v>12631</v>
      </c>
      <c r="B850" s="34">
        <v>4.0597000000000003</v>
      </c>
      <c r="C850" s="34">
        <v>0.33830833333333299</v>
      </c>
      <c r="D850" t="s">
        <v>35</v>
      </c>
      <c r="E850" s="34">
        <v>10.14925</v>
      </c>
      <c r="F850" t="s">
        <v>15106</v>
      </c>
      <c r="G850" t="b">
        <v>0</v>
      </c>
    </row>
    <row r="851" spans="1:7" x14ac:dyDescent="0.25">
      <c r="A851" t="s">
        <v>13489</v>
      </c>
      <c r="B851" s="34">
        <v>4.04244</v>
      </c>
      <c r="C851" s="34">
        <v>0.33687</v>
      </c>
      <c r="D851" t="s">
        <v>26</v>
      </c>
      <c r="E851" s="34">
        <v>20.212199999999999</v>
      </c>
      <c r="F851" t="s">
        <v>15958</v>
      </c>
      <c r="G851" t="b">
        <v>0</v>
      </c>
    </row>
    <row r="852" spans="1:7" x14ac:dyDescent="0.25">
      <c r="A852" t="s">
        <v>12930</v>
      </c>
      <c r="B852" s="34">
        <v>4.0355999999999996</v>
      </c>
      <c r="C852" s="34">
        <v>0.33629999999999899</v>
      </c>
      <c r="D852" t="s">
        <v>1382</v>
      </c>
      <c r="E852" s="34">
        <v>20.178000000000001</v>
      </c>
      <c r="F852" t="s">
        <v>15405</v>
      </c>
      <c r="G852" t="b">
        <v>0</v>
      </c>
    </row>
    <row r="853" spans="1:7" x14ac:dyDescent="0.25">
      <c r="A853" t="s">
        <v>13458</v>
      </c>
      <c r="B853" s="34">
        <v>4.0222056000000004</v>
      </c>
      <c r="C853" s="34">
        <v>0.33518379999999998</v>
      </c>
      <c r="D853" t="s">
        <v>35</v>
      </c>
      <c r="E853" s="34">
        <v>20.111028000000001</v>
      </c>
      <c r="F853" t="s">
        <v>15927</v>
      </c>
      <c r="G853" t="b">
        <v>0</v>
      </c>
    </row>
    <row r="854" spans="1:7" x14ac:dyDescent="0.25">
      <c r="A854" t="s">
        <v>14274</v>
      </c>
      <c r="B854" s="34">
        <v>4.0211999999999897</v>
      </c>
      <c r="C854" s="34">
        <v>0.33509999999999901</v>
      </c>
      <c r="D854" t="s">
        <v>35</v>
      </c>
      <c r="E854" s="34">
        <v>20.106000000000002</v>
      </c>
      <c r="F854" t="s">
        <v>16738</v>
      </c>
      <c r="G854" t="b">
        <v>0</v>
      </c>
    </row>
    <row r="855" spans="1:7" x14ac:dyDescent="0.25">
      <c r="A855" t="s">
        <v>13795</v>
      </c>
      <c r="B855" s="34">
        <v>4.0146950999999902</v>
      </c>
      <c r="C855" s="34">
        <v>0.33455792499999998</v>
      </c>
      <c r="D855" t="s">
        <v>35</v>
      </c>
      <c r="E855" s="34">
        <v>20.073475500000001</v>
      </c>
      <c r="F855" t="s">
        <v>16262</v>
      </c>
      <c r="G855" t="b">
        <v>0</v>
      </c>
    </row>
    <row r="856" spans="1:7" x14ac:dyDescent="0.25">
      <c r="A856" t="s">
        <v>13946</v>
      </c>
      <c r="B856" s="34">
        <v>4.0101794000000002</v>
      </c>
      <c r="C856" s="34">
        <v>0.33418161666666601</v>
      </c>
      <c r="D856" t="s">
        <v>67</v>
      </c>
      <c r="E856" s="34">
        <v>20.050896999999999</v>
      </c>
      <c r="F856" t="s">
        <v>16413</v>
      </c>
      <c r="G856" t="b">
        <v>0</v>
      </c>
    </row>
    <row r="857" spans="1:7" x14ac:dyDescent="0.25">
      <c r="A857" t="s">
        <v>13597</v>
      </c>
      <c r="B857" s="34">
        <v>4.0038</v>
      </c>
      <c r="C857" s="34">
        <v>0.333649999999999</v>
      </c>
      <c r="D857" t="s">
        <v>35</v>
      </c>
      <c r="E857" s="34">
        <v>20.018999999999998</v>
      </c>
      <c r="F857" t="s">
        <v>16066</v>
      </c>
      <c r="G857" t="b">
        <v>0</v>
      </c>
    </row>
    <row r="858" spans="1:7" x14ac:dyDescent="0.25">
      <c r="A858" t="s">
        <v>12920</v>
      </c>
      <c r="B858" s="34">
        <v>3.9942299999999999</v>
      </c>
      <c r="C858" s="34">
        <v>0.332852499999999</v>
      </c>
      <c r="D858" t="s">
        <v>26</v>
      </c>
      <c r="E858" s="34">
        <v>19.971150000000002</v>
      </c>
      <c r="F858" t="s">
        <v>15395</v>
      </c>
      <c r="G858" t="b">
        <v>0</v>
      </c>
    </row>
    <row r="859" spans="1:7" x14ac:dyDescent="0.25">
      <c r="A859" t="s">
        <v>14616</v>
      </c>
      <c r="B859" s="34">
        <v>3.9900283000000001</v>
      </c>
      <c r="C859" s="34">
        <v>0.33250235833333303</v>
      </c>
      <c r="D859" t="s">
        <v>798</v>
      </c>
      <c r="E859" s="34">
        <v>6.6500471666666598</v>
      </c>
      <c r="F859" t="s">
        <v>17070</v>
      </c>
      <c r="G859" t="b">
        <v>0</v>
      </c>
    </row>
    <row r="860" spans="1:7" x14ac:dyDescent="0.25">
      <c r="A860" t="s">
        <v>14160</v>
      </c>
      <c r="B860" s="34">
        <v>3.9849399999999999</v>
      </c>
      <c r="C860" s="34">
        <v>0.33207833333333298</v>
      </c>
      <c r="D860" t="s">
        <v>132</v>
      </c>
      <c r="E860" s="34">
        <v>19.924700000000001</v>
      </c>
      <c r="F860" t="s">
        <v>16627</v>
      </c>
      <c r="G860" t="b">
        <v>0</v>
      </c>
    </row>
    <row r="861" spans="1:7" x14ac:dyDescent="0.25">
      <c r="A861" t="s">
        <v>13059</v>
      </c>
      <c r="B861" s="34">
        <v>3.9767000000000001</v>
      </c>
      <c r="C861" s="34">
        <v>0.33139166666666597</v>
      </c>
      <c r="D861" t="s">
        <v>904</v>
      </c>
      <c r="E861" s="34">
        <v>19.883500000000002</v>
      </c>
      <c r="F861" t="s">
        <v>15534</v>
      </c>
      <c r="G861" t="b">
        <v>0</v>
      </c>
    </row>
    <row r="862" spans="1:7" x14ac:dyDescent="0.25">
      <c r="A862" t="s">
        <v>13211</v>
      </c>
      <c r="B862" s="34">
        <v>3.96516</v>
      </c>
      <c r="C862" s="34">
        <v>0.330429999999999</v>
      </c>
      <c r="D862" t="s">
        <v>682</v>
      </c>
      <c r="E862" s="34">
        <v>19.825800000000001</v>
      </c>
      <c r="F862" t="s">
        <v>15685</v>
      </c>
      <c r="G862" t="b">
        <v>0</v>
      </c>
    </row>
    <row r="863" spans="1:7" x14ac:dyDescent="0.25">
      <c r="A863" t="s">
        <v>14806</v>
      </c>
      <c r="B863" s="34">
        <v>3.9095185799999999</v>
      </c>
      <c r="C863" s="34">
        <v>0.32579321500000002</v>
      </c>
      <c r="D863" t="s">
        <v>385</v>
      </c>
      <c r="E863" s="34">
        <v>9.7737964499999901</v>
      </c>
      <c r="F863" t="s">
        <v>17250</v>
      </c>
      <c r="G863" t="b">
        <v>0</v>
      </c>
    </row>
    <row r="864" spans="1:7" x14ac:dyDescent="0.25">
      <c r="A864" t="s">
        <v>13079</v>
      </c>
      <c r="B864" s="34">
        <v>3.8988</v>
      </c>
      <c r="C864" s="34">
        <v>0.32490000000000002</v>
      </c>
      <c r="D864" t="s">
        <v>1209</v>
      </c>
      <c r="E864" s="34">
        <v>19.494</v>
      </c>
      <c r="F864" t="s">
        <v>15554</v>
      </c>
      <c r="G864" t="b">
        <v>0</v>
      </c>
    </row>
    <row r="865" spans="1:7" x14ac:dyDescent="0.25">
      <c r="A865" t="s">
        <v>14221</v>
      </c>
      <c r="B865" s="34">
        <v>3.8975199999999899</v>
      </c>
      <c r="C865" s="34">
        <v>0.32479333333333299</v>
      </c>
      <c r="D865" t="s">
        <v>45</v>
      </c>
      <c r="E865" s="34">
        <v>19.4876</v>
      </c>
      <c r="F865" t="s">
        <v>16685</v>
      </c>
      <c r="G865" t="b">
        <v>0</v>
      </c>
    </row>
    <row r="866" spans="1:7" x14ac:dyDescent="0.25">
      <c r="A866" t="s">
        <v>14243</v>
      </c>
      <c r="B866" s="34">
        <v>3.8965999999999998</v>
      </c>
      <c r="C866" s="34">
        <v>0.32471666666666599</v>
      </c>
      <c r="D866" t="s">
        <v>512</v>
      </c>
      <c r="E866" s="34">
        <v>19.483000000000001</v>
      </c>
      <c r="F866" t="s">
        <v>16707</v>
      </c>
      <c r="G866" t="b">
        <v>0</v>
      </c>
    </row>
    <row r="867" spans="1:7" x14ac:dyDescent="0.25">
      <c r="A867" t="s">
        <v>13557</v>
      </c>
      <c r="B867" s="34">
        <v>3.8908</v>
      </c>
      <c r="C867" s="34">
        <v>0.32423333333333298</v>
      </c>
      <c r="D867" t="s">
        <v>1275</v>
      </c>
      <c r="E867" s="34">
        <v>19.454000000000001</v>
      </c>
      <c r="F867" t="s">
        <v>16026</v>
      </c>
      <c r="G867" t="b">
        <v>0</v>
      </c>
    </row>
    <row r="868" spans="1:7" x14ac:dyDescent="0.25">
      <c r="A868" t="s">
        <v>13481</v>
      </c>
      <c r="B868" s="34">
        <v>3.8824999999999998</v>
      </c>
      <c r="C868" s="34">
        <v>0.32354166666666601</v>
      </c>
      <c r="D868" t="s">
        <v>35</v>
      </c>
      <c r="E868" s="34">
        <v>19.412500000000001</v>
      </c>
      <c r="F868" t="s">
        <v>15950</v>
      </c>
      <c r="G868" t="b">
        <v>0</v>
      </c>
    </row>
    <row r="869" spans="1:7" x14ac:dyDescent="0.25">
      <c r="A869" t="s">
        <v>14562</v>
      </c>
      <c r="B869" s="34">
        <v>3.8792799999999898</v>
      </c>
      <c r="C869" s="34">
        <v>0.32327333333333302</v>
      </c>
      <c r="D869" t="s">
        <v>90</v>
      </c>
      <c r="E869" s="34">
        <v>19.3964</v>
      </c>
      <c r="F869" t="s">
        <v>17021</v>
      </c>
      <c r="G869" t="b">
        <v>0</v>
      </c>
    </row>
    <row r="870" spans="1:7" x14ac:dyDescent="0.25">
      <c r="A870" t="s">
        <v>12708</v>
      </c>
      <c r="B870" s="34">
        <v>3.8589787999999898</v>
      </c>
      <c r="C870" s="34">
        <v>0.32158156666666599</v>
      </c>
      <c r="D870" t="s">
        <v>35</v>
      </c>
      <c r="E870" s="34">
        <v>19.294893999999999</v>
      </c>
      <c r="F870" t="s">
        <v>15183</v>
      </c>
      <c r="G870" t="b">
        <v>0</v>
      </c>
    </row>
    <row r="871" spans="1:7" x14ac:dyDescent="0.25">
      <c r="A871" t="s">
        <v>12689</v>
      </c>
      <c r="B871" s="34">
        <v>3.8560367000000002</v>
      </c>
      <c r="C871" s="34">
        <v>0.321336391666666</v>
      </c>
      <c r="D871" t="s">
        <v>590</v>
      </c>
      <c r="E871" s="34">
        <v>19.2801835</v>
      </c>
      <c r="F871" t="s">
        <v>15164</v>
      </c>
      <c r="G871" t="b">
        <v>0</v>
      </c>
    </row>
    <row r="872" spans="1:7" x14ac:dyDescent="0.25">
      <c r="A872" t="s">
        <v>14206</v>
      </c>
      <c r="B872" s="34">
        <v>3.8536000000000001</v>
      </c>
      <c r="C872" s="34">
        <v>0.32113333333333299</v>
      </c>
      <c r="D872" t="s">
        <v>1853</v>
      </c>
      <c r="E872" s="34">
        <v>19.268000000000001</v>
      </c>
      <c r="F872" t="s">
        <v>16670</v>
      </c>
      <c r="G872" t="b">
        <v>0</v>
      </c>
    </row>
    <row r="873" spans="1:7" x14ac:dyDescent="0.25">
      <c r="A873" t="s">
        <v>12884</v>
      </c>
      <c r="B873" s="34">
        <v>3.8510800000000001</v>
      </c>
      <c r="C873" s="34">
        <v>0.32092333333333301</v>
      </c>
      <c r="D873" t="s">
        <v>2106</v>
      </c>
      <c r="E873" s="34">
        <v>19.255400000000002</v>
      </c>
      <c r="F873" t="s">
        <v>15359</v>
      </c>
      <c r="G873" t="b">
        <v>0</v>
      </c>
    </row>
    <row r="874" spans="1:7" x14ac:dyDescent="0.25">
      <c r="A874" t="s">
        <v>13080</v>
      </c>
      <c r="B874" s="34">
        <v>3.8428580000000001</v>
      </c>
      <c r="C874" s="34">
        <v>0.32023816666666599</v>
      </c>
      <c r="D874" t="s">
        <v>853</v>
      </c>
      <c r="E874" s="34">
        <v>19.214289999999998</v>
      </c>
      <c r="F874" t="s">
        <v>15555</v>
      </c>
      <c r="G874" t="b">
        <v>0</v>
      </c>
    </row>
    <row r="875" spans="1:7" x14ac:dyDescent="0.25">
      <c r="A875" t="s">
        <v>13939</v>
      </c>
      <c r="B875" s="34">
        <v>3.8389000000000002</v>
      </c>
      <c r="C875" s="34">
        <v>0.31990833333333302</v>
      </c>
      <c r="D875" t="s">
        <v>26</v>
      </c>
      <c r="E875" s="34">
        <v>19.194500000000001</v>
      </c>
      <c r="F875" t="s">
        <v>16406</v>
      </c>
      <c r="G875" t="b">
        <v>0</v>
      </c>
    </row>
    <row r="876" spans="1:7" x14ac:dyDescent="0.25">
      <c r="A876" t="s">
        <v>14608</v>
      </c>
      <c r="B876" s="34">
        <v>3.8200500000000002</v>
      </c>
      <c r="C876" s="34">
        <v>0.3183375</v>
      </c>
      <c r="D876" t="s">
        <v>132</v>
      </c>
      <c r="E876" s="34">
        <v>19.100249999999999</v>
      </c>
      <c r="F876" t="s">
        <v>17062</v>
      </c>
      <c r="G876" t="b">
        <v>0</v>
      </c>
    </row>
    <row r="877" spans="1:7" x14ac:dyDescent="0.25">
      <c r="A877" t="s">
        <v>12710</v>
      </c>
      <c r="B877" s="34">
        <v>3.7947652000000001</v>
      </c>
      <c r="C877" s="34">
        <v>0.31623043333333301</v>
      </c>
      <c r="D877" t="s">
        <v>35</v>
      </c>
      <c r="E877" s="34">
        <v>18.973825999999999</v>
      </c>
      <c r="F877" t="s">
        <v>15185</v>
      </c>
      <c r="G877" t="b">
        <v>0</v>
      </c>
    </row>
    <row r="878" spans="1:7" x14ac:dyDescent="0.25">
      <c r="A878" t="s">
        <v>14535</v>
      </c>
      <c r="B878" s="34">
        <v>3.7896000000000001</v>
      </c>
      <c r="C878" s="34">
        <v>0.31580000000000003</v>
      </c>
      <c r="D878" t="s">
        <v>35</v>
      </c>
      <c r="E878" s="34">
        <v>9.4740000000000002</v>
      </c>
      <c r="F878" t="s">
        <v>16994</v>
      </c>
      <c r="G878" t="b">
        <v>0</v>
      </c>
    </row>
    <row r="879" spans="1:7" x14ac:dyDescent="0.25">
      <c r="A879" t="s">
        <v>12977</v>
      </c>
      <c r="B879" s="34">
        <v>3.7799</v>
      </c>
      <c r="C879" s="34">
        <v>0.314991666666666</v>
      </c>
      <c r="D879" t="s">
        <v>904</v>
      </c>
      <c r="E879" s="34">
        <v>18.8995</v>
      </c>
      <c r="F879" t="s">
        <v>15452</v>
      </c>
      <c r="G879" t="b">
        <v>0</v>
      </c>
    </row>
    <row r="880" spans="1:7" x14ac:dyDescent="0.25">
      <c r="A880" t="s">
        <v>13561</v>
      </c>
      <c r="B880" s="34">
        <v>3.77673999999999</v>
      </c>
      <c r="C880" s="34">
        <v>0.314728333333333</v>
      </c>
      <c r="D880" t="s">
        <v>35</v>
      </c>
      <c r="E880" s="34">
        <v>18.883700000000001</v>
      </c>
      <c r="F880" t="s">
        <v>16030</v>
      </c>
      <c r="G880" t="b">
        <v>0</v>
      </c>
    </row>
    <row r="881" spans="1:7" x14ac:dyDescent="0.25">
      <c r="A881" t="s">
        <v>13969</v>
      </c>
      <c r="B881" s="34">
        <v>3.7569999999999899</v>
      </c>
      <c r="C881" s="34">
        <v>0.31308333333333299</v>
      </c>
      <c r="D881" t="s">
        <v>234</v>
      </c>
      <c r="E881" s="34">
        <v>18.785</v>
      </c>
      <c r="F881" t="s">
        <v>16436</v>
      </c>
      <c r="G881" t="b">
        <v>0</v>
      </c>
    </row>
    <row r="882" spans="1:7" x14ac:dyDescent="0.25">
      <c r="A882" t="s">
        <v>13386</v>
      </c>
      <c r="B882" s="34">
        <v>3.7512623</v>
      </c>
      <c r="C882" s="34">
        <v>0.312605191666666</v>
      </c>
      <c r="D882" t="s">
        <v>35</v>
      </c>
      <c r="E882" s="34">
        <v>18.756311499999999</v>
      </c>
      <c r="F882" t="s">
        <v>15856</v>
      </c>
      <c r="G882" t="b">
        <v>0</v>
      </c>
    </row>
    <row r="883" spans="1:7" x14ac:dyDescent="0.25">
      <c r="A883" t="s">
        <v>14621</v>
      </c>
      <c r="B883" s="34">
        <v>3.7382</v>
      </c>
      <c r="C883" s="34">
        <v>0.311516666666666</v>
      </c>
      <c r="D883" t="s">
        <v>35</v>
      </c>
      <c r="E883" s="34">
        <v>18.690999999999999</v>
      </c>
      <c r="F883" t="s">
        <v>17074</v>
      </c>
      <c r="G883" t="b">
        <v>0</v>
      </c>
    </row>
    <row r="884" spans="1:7" x14ac:dyDescent="0.25">
      <c r="A884" t="s">
        <v>14377</v>
      </c>
      <c r="B884" s="34">
        <v>3.7315999999999998</v>
      </c>
      <c r="C884" s="34">
        <v>0.310966666666666</v>
      </c>
      <c r="D884" t="s">
        <v>35</v>
      </c>
      <c r="E884" s="34">
        <v>18.658000000000001</v>
      </c>
      <c r="F884" t="s">
        <v>16839</v>
      </c>
      <c r="G884" t="b">
        <v>0</v>
      </c>
    </row>
    <row r="885" spans="1:7" x14ac:dyDescent="0.25">
      <c r="A885" t="s">
        <v>13700</v>
      </c>
      <c r="B885" s="34">
        <v>3.7289721</v>
      </c>
      <c r="C885" s="34">
        <v>0.310747675</v>
      </c>
      <c r="D885" t="s">
        <v>35</v>
      </c>
      <c r="E885" s="34">
        <v>9.32243025</v>
      </c>
      <c r="F885" t="s">
        <v>16168</v>
      </c>
      <c r="G885" t="b">
        <v>0</v>
      </c>
    </row>
    <row r="886" spans="1:7" x14ac:dyDescent="0.25">
      <c r="A886" t="s">
        <v>13655</v>
      </c>
      <c r="B886" s="34">
        <v>3.7058525000000002</v>
      </c>
      <c r="C886" s="34">
        <v>0.30882104166666602</v>
      </c>
      <c r="D886" t="s">
        <v>35</v>
      </c>
      <c r="E886" s="34">
        <v>18.529262500000002</v>
      </c>
      <c r="F886" t="s">
        <v>16123</v>
      </c>
      <c r="G886" t="b">
        <v>0</v>
      </c>
    </row>
    <row r="887" spans="1:7" x14ac:dyDescent="0.25">
      <c r="A887" t="s">
        <v>13575</v>
      </c>
      <c r="B887" s="34">
        <v>3.6923999999999899</v>
      </c>
      <c r="C887" s="34">
        <v>0.30769999999999897</v>
      </c>
      <c r="D887" t="s">
        <v>35</v>
      </c>
      <c r="E887" s="34">
        <v>18.462</v>
      </c>
      <c r="F887" t="s">
        <v>16044</v>
      </c>
      <c r="G887" t="b">
        <v>0</v>
      </c>
    </row>
    <row r="888" spans="1:7" x14ac:dyDescent="0.25">
      <c r="A888" t="s">
        <v>13488</v>
      </c>
      <c r="B888" s="34">
        <v>3.6818385</v>
      </c>
      <c r="C888" s="34">
        <v>0.30681987500000002</v>
      </c>
      <c r="D888" t="s">
        <v>162</v>
      </c>
      <c r="E888" s="34">
        <v>18.4091925</v>
      </c>
      <c r="F888" t="s">
        <v>15957</v>
      </c>
      <c r="G888" t="b">
        <v>0</v>
      </c>
    </row>
    <row r="889" spans="1:7" x14ac:dyDescent="0.25">
      <c r="A889" t="s">
        <v>12919</v>
      </c>
      <c r="B889" s="34">
        <v>3.6802000000000001</v>
      </c>
      <c r="C889" s="34">
        <v>0.30668333333333297</v>
      </c>
      <c r="D889" t="s">
        <v>35</v>
      </c>
      <c r="E889" s="34">
        <v>18.401</v>
      </c>
      <c r="F889" t="s">
        <v>15394</v>
      </c>
      <c r="G889" t="b">
        <v>0</v>
      </c>
    </row>
    <row r="890" spans="1:7" x14ac:dyDescent="0.25">
      <c r="A890" t="s">
        <v>14451</v>
      </c>
      <c r="B890" s="34">
        <v>3.6689099999999999</v>
      </c>
      <c r="C890" s="34">
        <v>0.30574249999999997</v>
      </c>
      <c r="D890" t="s">
        <v>2768</v>
      </c>
      <c r="E890" s="34">
        <v>18.344550000000002</v>
      </c>
      <c r="F890" t="s">
        <v>16911</v>
      </c>
      <c r="G890" t="b">
        <v>0</v>
      </c>
    </row>
    <row r="891" spans="1:7" x14ac:dyDescent="0.25">
      <c r="A891" t="s">
        <v>14148</v>
      </c>
      <c r="B891" s="34">
        <v>3.665</v>
      </c>
      <c r="C891" s="34">
        <v>0.305416666666666</v>
      </c>
      <c r="D891" t="s">
        <v>35</v>
      </c>
      <c r="E891" s="34">
        <v>18.324999999999999</v>
      </c>
      <c r="F891" t="s">
        <v>16615</v>
      </c>
      <c r="G891" t="b">
        <v>0</v>
      </c>
    </row>
    <row r="892" spans="1:7" x14ac:dyDescent="0.25">
      <c r="A892" t="s">
        <v>12709</v>
      </c>
      <c r="B892" s="34">
        <v>3.6569754999999899</v>
      </c>
      <c r="C892" s="34">
        <v>0.30474795833333301</v>
      </c>
      <c r="D892" t="s">
        <v>35</v>
      </c>
      <c r="E892" s="34">
        <v>18.2848775</v>
      </c>
      <c r="F892" t="s">
        <v>15184</v>
      </c>
      <c r="G892" t="b">
        <v>0</v>
      </c>
    </row>
    <row r="893" spans="1:7" x14ac:dyDescent="0.25">
      <c r="A893" t="s">
        <v>14751</v>
      </c>
      <c r="B893" s="34">
        <v>3.6427999999999998</v>
      </c>
      <c r="C893" s="34">
        <v>0.30356666666666599</v>
      </c>
      <c r="D893" t="s">
        <v>385</v>
      </c>
      <c r="E893" s="34">
        <v>6.0713333333333299</v>
      </c>
      <c r="F893" t="s">
        <v>17200</v>
      </c>
      <c r="G893" t="b">
        <v>0</v>
      </c>
    </row>
    <row r="894" spans="1:7" x14ac:dyDescent="0.25">
      <c r="A894" t="s">
        <v>14415</v>
      </c>
      <c r="B894" s="34">
        <v>3.6427</v>
      </c>
      <c r="C894" s="34">
        <v>0.30355833333333299</v>
      </c>
      <c r="D894" t="s">
        <v>753</v>
      </c>
      <c r="E894" s="34">
        <v>4.553375</v>
      </c>
      <c r="F894" t="s">
        <v>16876</v>
      </c>
      <c r="G894" t="b">
        <v>0</v>
      </c>
    </row>
    <row r="895" spans="1:7" x14ac:dyDescent="0.25">
      <c r="A895" t="s">
        <v>13768</v>
      </c>
      <c r="B895" s="34">
        <v>3.6040000000000001</v>
      </c>
      <c r="C895" s="34">
        <v>0.30033333333333301</v>
      </c>
      <c r="D895" t="s">
        <v>35</v>
      </c>
      <c r="E895" s="34">
        <v>18.02</v>
      </c>
      <c r="F895" t="s">
        <v>16236</v>
      </c>
      <c r="G895" t="b">
        <v>0</v>
      </c>
    </row>
    <row r="896" spans="1:7" x14ac:dyDescent="0.25">
      <c r="A896" t="s">
        <v>12901</v>
      </c>
      <c r="B896" s="34">
        <v>3.601</v>
      </c>
      <c r="C896" s="34">
        <v>0.30008333333333298</v>
      </c>
      <c r="D896" t="s">
        <v>6988</v>
      </c>
      <c r="E896" s="34">
        <v>18.004999999999999</v>
      </c>
      <c r="F896" t="s">
        <v>15376</v>
      </c>
      <c r="G896" t="b">
        <v>0</v>
      </c>
    </row>
    <row r="897" spans="1:7" x14ac:dyDescent="0.25">
      <c r="A897" t="s">
        <v>13222</v>
      </c>
      <c r="B897" s="34">
        <v>3.5983999999999998</v>
      </c>
      <c r="C897" s="34">
        <v>0.299866666666666</v>
      </c>
      <c r="D897" t="s">
        <v>1787</v>
      </c>
      <c r="E897" s="34">
        <v>17.991999999999901</v>
      </c>
      <c r="F897" t="s">
        <v>15696</v>
      </c>
      <c r="G897" t="b">
        <v>0</v>
      </c>
    </row>
    <row r="898" spans="1:7" x14ac:dyDescent="0.25">
      <c r="A898" t="s">
        <v>13027</v>
      </c>
      <c r="B898" s="34">
        <v>3.5719199999999902</v>
      </c>
      <c r="C898" s="34">
        <v>0.29765999999999998</v>
      </c>
      <c r="D898" t="s">
        <v>35</v>
      </c>
      <c r="E898" s="34">
        <v>17.8596</v>
      </c>
      <c r="F898" t="s">
        <v>15502</v>
      </c>
      <c r="G898" t="b">
        <v>0</v>
      </c>
    </row>
    <row r="899" spans="1:7" x14ac:dyDescent="0.25">
      <c r="A899" t="s">
        <v>14501</v>
      </c>
      <c r="B899" s="34">
        <v>3.5646505999999998</v>
      </c>
      <c r="C899" s="34">
        <v>0.29705421666666598</v>
      </c>
      <c r="D899" t="s">
        <v>90</v>
      </c>
      <c r="E899" s="34">
        <v>17.823253000000001</v>
      </c>
      <c r="F899" t="s">
        <v>16961</v>
      </c>
      <c r="G899" t="b">
        <v>0</v>
      </c>
    </row>
    <row r="900" spans="1:7" x14ac:dyDescent="0.25">
      <c r="A900" t="s">
        <v>12903</v>
      </c>
      <c r="B900" s="34">
        <v>3.54889999999999</v>
      </c>
      <c r="C900" s="34">
        <v>0.29574166666666601</v>
      </c>
      <c r="D900" t="s">
        <v>35</v>
      </c>
      <c r="E900" s="34">
        <v>17.744499999999899</v>
      </c>
      <c r="F900" t="s">
        <v>15378</v>
      </c>
      <c r="G900" t="b">
        <v>0</v>
      </c>
    </row>
    <row r="901" spans="1:7" x14ac:dyDescent="0.25">
      <c r="A901" t="s">
        <v>13824</v>
      </c>
      <c r="B901" s="34">
        <v>3.50535</v>
      </c>
      <c r="C901" s="34">
        <v>0.2921125</v>
      </c>
      <c r="D901" t="s">
        <v>35</v>
      </c>
      <c r="E901" s="34">
        <v>17.52675</v>
      </c>
      <c r="F901" t="s">
        <v>16291</v>
      </c>
      <c r="G901" t="b">
        <v>0</v>
      </c>
    </row>
    <row r="902" spans="1:7" x14ac:dyDescent="0.25">
      <c r="A902" t="s">
        <v>13542</v>
      </c>
      <c r="B902" s="34">
        <v>3.5034999999999998</v>
      </c>
      <c r="C902" s="34">
        <v>0.29195833333333299</v>
      </c>
      <c r="D902" t="s">
        <v>90</v>
      </c>
      <c r="E902" s="34">
        <v>17.517499999999998</v>
      </c>
      <c r="F902" t="s">
        <v>16011</v>
      </c>
      <c r="G902" t="b">
        <v>0</v>
      </c>
    </row>
    <row r="903" spans="1:7" x14ac:dyDescent="0.25">
      <c r="A903" t="s">
        <v>14600</v>
      </c>
      <c r="B903" s="34">
        <v>3.4995851999999901</v>
      </c>
      <c r="C903" s="34">
        <v>0.29163209999999901</v>
      </c>
      <c r="D903" t="s">
        <v>26</v>
      </c>
      <c r="E903" s="34">
        <v>8.7489629999999998</v>
      </c>
      <c r="F903" t="s">
        <v>17056</v>
      </c>
      <c r="G903" t="b">
        <v>0</v>
      </c>
    </row>
    <row r="904" spans="1:7" x14ac:dyDescent="0.25">
      <c r="A904" t="s">
        <v>12840</v>
      </c>
      <c r="B904" s="34">
        <v>3.4938443999999902</v>
      </c>
      <c r="C904" s="34">
        <v>0.29115370000000002</v>
      </c>
      <c r="D904" t="s">
        <v>682</v>
      </c>
      <c r="E904" s="34">
        <v>17.469221999999998</v>
      </c>
      <c r="F904" t="s">
        <v>15315</v>
      </c>
      <c r="G904" t="b">
        <v>0</v>
      </c>
    </row>
    <row r="905" spans="1:7" x14ac:dyDescent="0.25">
      <c r="A905" t="s">
        <v>13082</v>
      </c>
      <c r="B905" s="34">
        <v>3.4891999999999901</v>
      </c>
      <c r="C905" s="34">
        <v>0.29076666666666601</v>
      </c>
      <c r="D905" t="s">
        <v>10708</v>
      </c>
      <c r="E905" s="34">
        <v>17.445999999999898</v>
      </c>
      <c r="F905" t="s">
        <v>15557</v>
      </c>
      <c r="G905" t="b">
        <v>0</v>
      </c>
    </row>
    <row r="906" spans="1:7" x14ac:dyDescent="0.25">
      <c r="A906" t="s">
        <v>12768</v>
      </c>
      <c r="B906" s="34">
        <v>3.4788000000000001</v>
      </c>
      <c r="C906" s="34">
        <v>0.28989999999999999</v>
      </c>
      <c r="D906" t="s">
        <v>424</v>
      </c>
      <c r="E906" s="34">
        <v>17.393999999999998</v>
      </c>
      <c r="F906" t="s">
        <v>15243</v>
      </c>
      <c r="G906" t="b">
        <v>0</v>
      </c>
    </row>
    <row r="907" spans="1:7" x14ac:dyDescent="0.25">
      <c r="A907" t="s">
        <v>12686</v>
      </c>
      <c r="B907" s="34">
        <v>3.4683000000000002</v>
      </c>
      <c r="C907" s="34">
        <v>0.28902499999999998</v>
      </c>
      <c r="D907" t="s">
        <v>122</v>
      </c>
      <c r="E907" s="34">
        <v>17.3415</v>
      </c>
      <c r="F907" t="s">
        <v>15161</v>
      </c>
      <c r="G907" t="b">
        <v>0</v>
      </c>
    </row>
    <row r="908" spans="1:7" x14ac:dyDescent="0.25">
      <c r="A908" t="s">
        <v>13051</v>
      </c>
      <c r="B908" s="34">
        <v>3.46028</v>
      </c>
      <c r="C908" s="34">
        <v>0.28835666666666598</v>
      </c>
      <c r="D908" t="s">
        <v>3105</v>
      </c>
      <c r="E908" s="34">
        <v>17.301399999999902</v>
      </c>
      <c r="F908" t="s">
        <v>15526</v>
      </c>
      <c r="G908" t="b">
        <v>0</v>
      </c>
    </row>
    <row r="909" spans="1:7" x14ac:dyDescent="0.25">
      <c r="A909" t="s">
        <v>13455</v>
      </c>
      <c r="B909" s="34">
        <v>3.4562778000000001</v>
      </c>
      <c r="C909" s="34">
        <v>0.28802315000000001</v>
      </c>
      <c r="D909" t="s">
        <v>72</v>
      </c>
      <c r="E909" s="34">
        <v>17.281389000000001</v>
      </c>
      <c r="F909" t="s">
        <v>15924</v>
      </c>
      <c r="G909" t="b">
        <v>0</v>
      </c>
    </row>
    <row r="910" spans="1:7" x14ac:dyDescent="0.25">
      <c r="A910" t="s">
        <v>13571</v>
      </c>
      <c r="B910" s="34">
        <v>3.4483000000000001</v>
      </c>
      <c r="C910" s="34">
        <v>0.28735833333333299</v>
      </c>
      <c r="D910" t="s">
        <v>132</v>
      </c>
      <c r="E910" s="34">
        <v>17.241499999999998</v>
      </c>
      <c r="F910" t="s">
        <v>16040</v>
      </c>
      <c r="G910" t="b">
        <v>0</v>
      </c>
    </row>
    <row r="911" spans="1:7" x14ac:dyDescent="0.25">
      <c r="A911" t="s">
        <v>13411</v>
      </c>
      <c r="B911" s="34">
        <v>3.4470499999999999</v>
      </c>
      <c r="C911" s="34">
        <v>0.28725416666666598</v>
      </c>
      <c r="D911" t="s">
        <v>2101</v>
      </c>
      <c r="E911" s="34">
        <v>17.235250000000001</v>
      </c>
      <c r="F911" t="s">
        <v>15881</v>
      </c>
      <c r="G911" t="b">
        <v>0</v>
      </c>
    </row>
    <row r="912" spans="1:7" x14ac:dyDescent="0.25">
      <c r="A912" t="s">
        <v>13382</v>
      </c>
      <c r="B912" s="34">
        <v>3.4346000000000001</v>
      </c>
      <c r="C912" s="34">
        <v>0.28621666666666601</v>
      </c>
      <c r="D912" t="s">
        <v>889</v>
      </c>
      <c r="E912" s="34">
        <v>17.172999999999998</v>
      </c>
      <c r="F912" t="s">
        <v>15852</v>
      </c>
      <c r="G912" t="b">
        <v>0</v>
      </c>
    </row>
    <row r="913" spans="1:7" x14ac:dyDescent="0.25">
      <c r="A913" t="s">
        <v>12907</v>
      </c>
      <c r="B913" s="34">
        <v>3.4237046399999902</v>
      </c>
      <c r="C913" s="34">
        <v>0.28530871999999902</v>
      </c>
      <c r="D913" t="s">
        <v>26</v>
      </c>
      <c r="E913" s="34">
        <v>8.5592615999999904</v>
      </c>
      <c r="F913" t="s">
        <v>15382</v>
      </c>
      <c r="G913" t="b">
        <v>0</v>
      </c>
    </row>
    <row r="914" spans="1:7" x14ac:dyDescent="0.25">
      <c r="A914" t="s">
        <v>14443</v>
      </c>
      <c r="B914" s="34">
        <v>3.4144899999999998</v>
      </c>
      <c r="C914" s="34">
        <v>0.28454083333333302</v>
      </c>
      <c r="D914" t="s">
        <v>132</v>
      </c>
      <c r="E914" s="34">
        <v>17.07245</v>
      </c>
      <c r="F914" t="s">
        <v>16903</v>
      </c>
      <c r="G914" t="b">
        <v>0</v>
      </c>
    </row>
    <row r="915" spans="1:7" x14ac:dyDescent="0.25">
      <c r="A915" t="s">
        <v>13360</v>
      </c>
      <c r="B915" s="34">
        <v>3.4118358</v>
      </c>
      <c r="C915" s="34">
        <v>0.28431964999999998</v>
      </c>
      <c r="D915" t="s">
        <v>35</v>
      </c>
      <c r="E915" s="34">
        <v>17.059179</v>
      </c>
      <c r="F915" t="s">
        <v>15830</v>
      </c>
      <c r="G915" t="b">
        <v>0</v>
      </c>
    </row>
    <row r="916" spans="1:7" x14ac:dyDescent="0.25">
      <c r="A916" t="s">
        <v>12720</v>
      </c>
      <c r="B916" s="34">
        <v>3.4039000000000001</v>
      </c>
      <c r="C916" s="34">
        <v>0.28365833333333301</v>
      </c>
      <c r="D916" t="s">
        <v>5908</v>
      </c>
      <c r="E916" s="34">
        <v>17.019500000000001</v>
      </c>
      <c r="F916" t="s">
        <v>15195</v>
      </c>
      <c r="G916" t="b">
        <v>0</v>
      </c>
    </row>
    <row r="917" spans="1:7" x14ac:dyDescent="0.25">
      <c r="A917" t="s">
        <v>13530</v>
      </c>
      <c r="B917" s="34">
        <v>3.4009999999999998</v>
      </c>
      <c r="C917" s="34">
        <v>0.28341666666666598</v>
      </c>
      <c r="D917" t="s">
        <v>35</v>
      </c>
      <c r="E917" s="34">
        <v>17.004999999999999</v>
      </c>
      <c r="F917" t="s">
        <v>15999</v>
      </c>
      <c r="G917" t="b">
        <v>0</v>
      </c>
    </row>
    <row r="918" spans="1:7" x14ac:dyDescent="0.25">
      <c r="A918" t="s">
        <v>13934</v>
      </c>
      <c r="B918" s="34">
        <v>3.3839999999999901</v>
      </c>
      <c r="C918" s="34">
        <v>0.28199999999999997</v>
      </c>
      <c r="D918" t="s">
        <v>132</v>
      </c>
      <c r="E918" s="34">
        <v>16.919999999999899</v>
      </c>
      <c r="F918" t="s">
        <v>16401</v>
      </c>
      <c r="G918" t="b">
        <v>0</v>
      </c>
    </row>
    <row r="919" spans="1:7" x14ac:dyDescent="0.25">
      <c r="A919" t="s">
        <v>13753</v>
      </c>
      <c r="B919" s="34">
        <v>3.3816000000000002</v>
      </c>
      <c r="C919" s="34">
        <v>0.28179999999999999</v>
      </c>
      <c r="D919" t="s">
        <v>162</v>
      </c>
      <c r="E919" s="34">
        <v>16.908000000000001</v>
      </c>
      <c r="F919" t="s">
        <v>16221</v>
      </c>
      <c r="G919" t="b">
        <v>0</v>
      </c>
    </row>
    <row r="920" spans="1:7" x14ac:dyDescent="0.25">
      <c r="A920" t="s">
        <v>14184</v>
      </c>
      <c r="B920" s="34">
        <v>3.3812999999999902</v>
      </c>
      <c r="C920" s="34">
        <v>0.281774999999999</v>
      </c>
      <c r="D920" t="s">
        <v>1676</v>
      </c>
      <c r="E920" s="34">
        <v>16.906499999999902</v>
      </c>
      <c r="F920" t="s">
        <v>16648</v>
      </c>
      <c r="G920" t="b">
        <v>0</v>
      </c>
    </row>
    <row r="921" spans="1:7" x14ac:dyDescent="0.25">
      <c r="A921" t="s">
        <v>12804</v>
      </c>
      <c r="B921" s="34">
        <v>3.3751999999999902</v>
      </c>
      <c r="C921" s="34">
        <v>0.281266666666666</v>
      </c>
      <c r="D921" t="s">
        <v>1464</v>
      </c>
      <c r="E921" s="34">
        <v>16.875999999999902</v>
      </c>
      <c r="F921" t="s">
        <v>15279</v>
      </c>
      <c r="G921" t="b">
        <v>0</v>
      </c>
    </row>
    <row r="922" spans="1:7" x14ac:dyDescent="0.25">
      <c r="A922" t="s">
        <v>14331</v>
      </c>
      <c r="B922" s="34">
        <v>3.3740000000000001</v>
      </c>
      <c r="C922" s="34">
        <v>0.28116666666666601</v>
      </c>
      <c r="D922" t="s">
        <v>776</v>
      </c>
      <c r="E922" s="34">
        <v>16.869999999999902</v>
      </c>
      <c r="F922" t="s">
        <v>16794</v>
      </c>
      <c r="G922" t="b">
        <v>0</v>
      </c>
    </row>
    <row r="923" spans="1:7" x14ac:dyDescent="0.25">
      <c r="A923" t="s">
        <v>12677</v>
      </c>
      <c r="B923" s="34">
        <v>3.3610199999999999</v>
      </c>
      <c r="C923" s="34">
        <v>0.28008499999999997</v>
      </c>
      <c r="D923" t="s">
        <v>215</v>
      </c>
      <c r="E923" s="34">
        <v>16.805099999999999</v>
      </c>
      <c r="F923" t="s">
        <v>15152</v>
      </c>
      <c r="G923" t="b">
        <v>0</v>
      </c>
    </row>
    <row r="924" spans="1:7" x14ac:dyDescent="0.25">
      <c r="A924" t="s">
        <v>14559</v>
      </c>
      <c r="B924" s="34">
        <v>3.3462700000000001</v>
      </c>
      <c r="C924" s="34">
        <v>0.27885583333333303</v>
      </c>
      <c r="D924" t="s">
        <v>390</v>
      </c>
      <c r="E924" s="34">
        <v>16.731349999999999</v>
      </c>
      <c r="F924" t="s">
        <v>17018</v>
      </c>
      <c r="G924" t="b">
        <v>0</v>
      </c>
    </row>
    <row r="925" spans="1:7" x14ac:dyDescent="0.25">
      <c r="A925" t="s">
        <v>13627</v>
      </c>
      <c r="B925" s="34">
        <v>3.3325399999999901</v>
      </c>
      <c r="C925" s="34">
        <v>0.27771166666666602</v>
      </c>
      <c r="D925" t="s">
        <v>35</v>
      </c>
      <c r="E925" s="34">
        <v>16.662699999999901</v>
      </c>
      <c r="F925" t="s">
        <v>16096</v>
      </c>
      <c r="G925" t="b">
        <v>0</v>
      </c>
    </row>
    <row r="926" spans="1:7" x14ac:dyDescent="0.25">
      <c r="A926" t="s">
        <v>13980</v>
      </c>
      <c r="B926" s="34">
        <v>3.3317999999999999</v>
      </c>
      <c r="C926" s="34">
        <v>0.27765000000000001</v>
      </c>
      <c r="D926" t="s">
        <v>312</v>
      </c>
      <c r="E926" s="34">
        <v>16.658999999999999</v>
      </c>
      <c r="F926" t="s">
        <v>16447</v>
      </c>
      <c r="G926" t="b">
        <v>0</v>
      </c>
    </row>
    <row r="927" spans="1:7" x14ac:dyDescent="0.25">
      <c r="A927" t="s">
        <v>13420</v>
      </c>
      <c r="B927" s="34">
        <v>3.3292000000000002</v>
      </c>
      <c r="C927" s="34">
        <v>0.27743333333333298</v>
      </c>
      <c r="D927" t="s">
        <v>2267</v>
      </c>
      <c r="E927" s="34">
        <v>16.646000000000001</v>
      </c>
      <c r="F927" t="s">
        <v>15890</v>
      </c>
      <c r="G927" t="b">
        <v>0</v>
      </c>
    </row>
    <row r="928" spans="1:7" x14ac:dyDescent="0.25">
      <c r="A928" t="s">
        <v>13199</v>
      </c>
      <c r="B928" s="34">
        <v>3.3247499999999999</v>
      </c>
      <c r="C928" s="34">
        <v>0.27706249999999999</v>
      </c>
      <c r="D928" t="s">
        <v>1519</v>
      </c>
      <c r="E928" s="34">
        <v>16.623750000000001</v>
      </c>
      <c r="F928" t="s">
        <v>15673</v>
      </c>
      <c r="G928" t="b">
        <v>0</v>
      </c>
    </row>
    <row r="929" spans="1:7" x14ac:dyDescent="0.25">
      <c r="A929" t="s">
        <v>12753</v>
      </c>
      <c r="B929" s="34">
        <v>3.3089999999999899</v>
      </c>
      <c r="C929" s="34">
        <v>0.27575</v>
      </c>
      <c r="D929" t="s">
        <v>168</v>
      </c>
      <c r="E929" s="34">
        <v>16.545000000000002</v>
      </c>
      <c r="F929" t="s">
        <v>15228</v>
      </c>
      <c r="G929" t="b">
        <v>0</v>
      </c>
    </row>
    <row r="930" spans="1:7" x14ac:dyDescent="0.25">
      <c r="A930" t="s">
        <v>14316</v>
      </c>
      <c r="B930" s="34">
        <v>3.2843599999999999</v>
      </c>
      <c r="C930" s="34">
        <v>0.27369666666666598</v>
      </c>
      <c r="D930" t="s">
        <v>1240</v>
      </c>
      <c r="E930" s="34">
        <v>8.2109000000000005</v>
      </c>
      <c r="F930" t="s">
        <v>16779</v>
      </c>
      <c r="G930" t="b">
        <v>0</v>
      </c>
    </row>
    <row r="931" spans="1:7" x14ac:dyDescent="0.25">
      <c r="A931" t="s">
        <v>12965</v>
      </c>
      <c r="B931" s="34">
        <v>3.2795000000000001</v>
      </c>
      <c r="C931" s="34">
        <v>0.27329166666666599</v>
      </c>
      <c r="D931" t="s">
        <v>6844</v>
      </c>
      <c r="E931" s="34">
        <v>16.397499999999901</v>
      </c>
      <c r="F931" t="s">
        <v>15440</v>
      </c>
      <c r="G931" t="b">
        <v>0</v>
      </c>
    </row>
    <row r="932" spans="1:7" x14ac:dyDescent="0.25">
      <c r="A932" t="s">
        <v>12608</v>
      </c>
      <c r="B932" s="34">
        <v>3.2389000000000001</v>
      </c>
      <c r="C932" s="34">
        <v>0.26990833333333297</v>
      </c>
      <c r="D932" t="s">
        <v>13</v>
      </c>
      <c r="E932" s="34">
        <v>16.194500000000001</v>
      </c>
      <c r="F932" t="s">
        <v>15083</v>
      </c>
      <c r="G932" t="b">
        <v>0</v>
      </c>
    </row>
    <row r="933" spans="1:7" x14ac:dyDescent="0.25">
      <c r="A933" t="s">
        <v>13800</v>
      </c>
      <c r="B933" s="34">
        <v>3.2357</v>
      </c>
      <c r="C933" s="34">
        <v>0.269641666666666</v>
      </c>
      <c r="D933" t="s">
        <v>35</v>
      </c>
      <c r="E933" s="34">
        <v>16.1785</v>
      </c>
      <c r="F933" t="s">
        <v>16267</v>
      </c>
      <c r="G933" t="b">
        <v>0</v>
      </c>
    </row>
    <row r="934" spans="1:7" x14ac:dyDescent="0.25">
      <c r="A934" t="s">
        <v>14575</v>
      </c>
      <c r="B934" s="34">
        <v>3.2265999999999999</v>
      </c>
      <c r="C934" s="34">
        <v>0.26888333333333297</v>
      </c>
      <c r="D934" t="s">
        <v>35</v>
      </c>
      <c r="E934" s="34">
        <v>8.0664999999999996</v>
      </c>
      <c r="F934" t="s">
        <v>17032</v>
      </c>
      <c r="G934" t="b">
        <v>0</v>
      </c>
    </row>
    <row r="935" spans="1:7" x14ac:dyDescent="0.25">
      <c r="A935" t="s">
        <v>13873</v>
      </c>
      <c r="B935" s="34">
        <v>3.2132800000000001</v>
      </c>
      <c r="C935" s="34">
        <v>0.26777333333333297</v>
      </c>
      <c r="D935" t="s">
        <v>145</v>
      </c>
      <c r="E935" s="34">
        <v>16.066400000000002</v>
      </c>
      <c r="F935" t="s">
        <v>16340</v>
      </c>
      <c r="G935" t="b">
        <v>0</v>
      </c>
    </row>
    <row r="936" spans="1:7" x14ac:dyDescent="0.25">
      <c r="A936" t="s">
        <v>14478</v>
      </c>
      <c r="B936" s="34">
        <v>3.2131999999999898</v>
      </c>
      <c r="C936" s="34">
        <v>0.26776666666666599</v>
      </c>
      <c r="D936" t="s">
        <v>35</v>
      </c>
      <c r="E936" s="34">
        <v>8.0329999999999995</v>
      </c>
      <c r="F936" t="s">
        <v>16938</v>
      </c>
      <c r="G936" t="b">
        <v>0</v>
      </c>
    </row>
    <row r="937" spans="1:7" x14ac:dyDescent="0.25">
      <c r="A937" t="s">
        <v>13181</v>
      </c>
      <c r="B937" s="34">
        <v>3.2073</v>
      </c>
      <c r="C937" s="34">
        <v>0.26727499999999998</v>
      </c>
      <c r="D937" t="s">
        <v>2267</v>
      </c>
      <c r="E937" s="34">
        <v>16.0365</v>
      </c>
      <c r="F937" t="s">
        <v>15655</v>
      </c>
      <c r="G937" t="b">
        <v>0</v>
      </c>
    </row>
    <row r="938" spans="1:7" x14ac:dyDescent="0.25">
      <c r="A938" t="s">
        <v>13629</v>
      </c>
      <c r="B938" s="34">
        <v>3.1968000000000001</v>
      </c>
      <c r="C938" s="34">
        <v>0.26640000000000003</v>
      </c>
      <c r="D938" t="s">
        <v>35</v>
      </c>
      <c r="E938" s="34">
        <v>15.984</v>
      </c>
      <c r="F938" t="s">
        <v>16098</v>
      </c>
      <c r="G938" t="b">
        <v>0</v>
      </c>
    </row>
    <row r="939" spans="1:7" x14ac:dyDescent="0.25">
      <c r="A939" t="s">
        <v>13055</v>
      </c>
      <c r="B939" s="34">
        <v>3.1827000000000001</v>
      </c>
      <c r="C939" s="34">
        <v>0.26522499999999999</v>
      </c>
      <c r="D939" t="s">
        <v>1978</v>
      </c>
      <c r="E939" s="34">
        <v>15.913500000000001</v>
      </c>
      <c r="F939" t="s">
        <v>15530</v>
      </c>
      <c r="G939" t="b">
        <v>0</v>
      </c>
    </row>
    <row r="940" spans="1:7" x14ac:dyDescent="0.25">
      <c r="A940" t="s">
        <v>14099</v>
      </c>
      <c r="B940" s="34">
        <v>3.1779999999999999</v>
      </c>
      <c r="C940" s="34">
        <v>0.26483333333333298</v>
      </c>
      <c r="D940" t="s">
        <v>35</v>
      </c>
      <c r="E940" s="34">
        <v>15.89</v>
      </c>
      <c r="F940" t="s">
        <v>16566</v>
      </c>
      <c r="G940" t="b">
        <v>0</v>
      </c>
    </row>
    <row r="941" spans="1:7" x14ac:dyDescent="0.25">
      <c r="A941" t="s">
        <v>12931</v>
      </c>
      <c r="B941" s="34">
        <v>3.1717</v>
      </c>
      <c r="C941" s="34">
        <v>0.26430833333333298</v>
      </c>
      <c r="D941" t="s">
        <v>3523</v>
      </c>
      <c r="E941" s="34">
        <v>15.858499999999999</v>
      </c>
      <c r="F941" t="s">
        <v>15406</v>
      </c>
      <c r="G941" t="b">
        <v>0</v>
      </c>
    </row>
    <row r="942" spans="1:7" x14ac:dyDescent="0.25">
      <c r="A942" t="s">
        <v>14442</v>
      </c>
      <c r="B942" s="34">
        <v>3.1703000000000001</v>
      </c>
      <c r="C942" s="34">
        <v>0.26419166666666599</v>
      </c>
      <c r="D942" t="s">
        <v>139</v>
      </c>
      <c r="E942" s="34">
        <v>15.8515</v>
      </c>
      <c r="F942" t="s">
        <v>16902</v>
      </c>
      <c r="G942" t="b">
        <v>0</v>
      </c>
    </row>
    <row r="943" spans="1:7" x14ac:dyDescent="0.25">
      <c r="A943" t="s">
        <v>12691</v>
      </c>
      <c r="B943" s="34">
        <v>3.1547999999999998</v>
      </c>
      <c r="C943" s="34">
        <v>0.26290000000000002</v>
      </c>
      <c r="D943" t="s">
        <v>2267</v>
      </c>
      <c r="E943" s="34">
        <v>15.773999999999999</v>
      </c>
      <c r="F943" t="s">
        <v>15166</v>
      </c>
      <c r="G943" t="b">
        <v>0</v>
      </c>
    </row>
    <row r="944" spans="1:7" x14ac:dyDescent="0.25">
      <c r="A944" t="s">
        <v>12770</v>
      </c>
      <c r="B944" s="34">
        <v>3.1519999999999899</v>
      </c>
      <c r="C944" s="34">
        <v>0.26266666666666599</v>
      </c>
      <c r="D944" t="s">
        <v>2137</v>
      </c>
      <c r="E944" s="34">
        <v>15.76</v>
      </c>
      <c r="F944" t="s">
        <v>15245</v>
      </c>
      <c r="G944" t="b">
        <v>0</v>
      </c>
    </row>
    <row r="945" spans="1:7" x14ac:dyDescent="0.25">
      <c r="A945" t="s">
        <v>13276</v>
      </c>
      <c r="B945" s="34">
        <v>3.1450999999999998</v>
      </c>
      <c r="C945" s="34">
        <v>0.262091666666666</v>
      </c>
      <c r="D945" t="s">
        <v>168</v>
      </c>
      <c r="E945" s="34">
        <v>15.725499999999901</v>
      </c>
      <c r="F945" t="s">
        <v>15748</v>
      </c>
      <c r="G945" t="b">
        <v>0</v>
      </c>
    </row>
    <row r="946" spans="1:7" x14ac:dyDescent="0.25">
      <c r="A946" t="s">
        <v>14332</v>
      </c>
      <c r="B946" s="34">
        <v>3.1286</v>
      </c>
      <c r="C946" s="34">
        <v>0.26071666666666599</v>
      </c>
      <c r="D946" t="s">
        <v>26</v>
      </c>
      <c r="E946" s="34">
        <v>7.8214999999999897</v>
      </c>
      <c r="F946" t="s">
        <v>16795</v>
      </c>
      <c r="G946" t="b">
        <v>0</v>
      </c>
    </row>
    <row r="947" spans="1:7" x14ac:dyDescent="0.25">
      <c r="A947" t="s">
        <v>14152</v>
      </c>
      <c r="B947" s="34">
        <v>3.1168999999999998</v>
      </c>
      <c r="C947" s="34">
        <v>0.25974166666666598</v>
      </c>
      <c r="D947" t="s">
        <v>35</v>
      </c>
      <c r="E947" s="34">
        <v>15.584499999999901</v>
      </c>
      <c r="F947" t="s">
        <v>16619</v>
      </c>
      <c r="G947" t="b">
        <v>0</v>
      </c>
    </row>
    <row r="948" spans="1:7" x14ac:dyDescent="0.25">
      <c r="A948" t="s">
        <v>12861</v>
      </c>
      <c r="B948" s="34">
        <v>3.11</v>
      </c>
      <c r="C948" s="34">
        <v>0.25916666666666599</v>
      </c>
      <c r="D948" t="s">
        <v>296</v>
      </c>
      <c r="E948" s="34">
        <v>15.55</v>
      </c>
      <c r="F948" t="s">
        <v>15336</v>
      </c>
      <c r="G948" t="b">
        <v>0</v>
      </c>
    </row>
    <row r="949" spans="1:7" x14ac:dyDescent="0.25">
      <c r="A949" t="s">
        <v>12777</v>
      </c>
      <c r="B949" s="34">
        <v>3.1061000000000001</v>
      </c>
      <c r="C949" s="34">
        <v>0.25884166666666603</v>
      </c>
      <c r="D949" t="s">
        <v>3523</v>
      </c>
      <c r="E949" s="34">
        <v>15.5305</v>
      </c>
      <c r="F949" t="s">
        <v>15252</v>
      </c>
      <c r="G949" t="b">
        <v>0</v>
      </c>
    </row>
    <row r="950" spans="1:7" x14ac:dyDescent="0.25">
      <c r="A950" t="s">
        <v>12979</v>
      </c>
      <c r="B950" s="34">
        <v>3.0977000000000001</v>
      </c>
      <c r="C950" s="34">
        <v>0.25814166666666599</v>
      </c>
      <c r="D950" t="s">
        <v>35</v>
      </c>
      <c r="E950" s="34">
        <v>15.4885</v>
      </c>
      <c r="F950" t="s">
        <v>15454</v>
      </c>
      <c r="G950" t="b">
        <v>0</v>
      </c>
    </row>
    <row r="951" spans="1:7" x14ac:dyDescent="0.25">
      <c r="A951" t="s">
        <v>12976</v>
      </c>
      <c r="B951" s="34">
        <v>3.0880999999999998</v>
      </c>
      <c r="C951" s="34">
        <v>0.25734166666666602</v>
      </c>
      <c r="D951" t="s">
        <v>35</v>
      </c>
      <c r="E951" s="34">
        <v>15.4405</v>
      </c>
      <c r="F951" t="s">
        <v>15451</v>
      </c>
      <c r="G951" t="b">
        <v>0</v>
      </c>
    </row>
    <row r="952" spans="1:7" x14ac:dyDescent="0.25">
      <c r="A952" t="s">
        <v>14843</v>
      </c>
      <c r="B952" s="34">
        <v>3.0832000000000002</v>
      </c>
      <c r="C952" s="34">
        <v>0.25693333333333301</v>
      </c>
      <c r="D952" t="s">
        <v>2178</v>
      </c>
      <c r="E952" s="34">
        <v>15.415999999999899</v>
      </c>
      <c r="F952" t="s">
        <v>17280</v>
      </c>
      <c r="G952" t="b">
        <v>0</v>
      </c>
    </row>
    <row r="953" spans="1:7" x14ac:dyDescent="0.25">
      <c r="A953" t="s">
        <v>13778</v>
      </c>
      <c r="B953" s="34">
        <v>3.0817890000000001</v>
      </c>
      <c r="C953" s="34">
        <v>0.25681575000000001</v>
      </c>
      <c r="D953" t="s">
        <v>132</v>
      </c>
      <c r="E953" s="34">
        <v>15.408944999999999</v>
      </c>
      <c r="F953" t="s">
        <v>16246</v>
      </c>
      <c r="G953" t="b">
        <v>0</v>
      </c>
    </row>
    <row r="954" spans="1:7" x14ac:dyDescent="0.25">
      <c r="A954" t="s">
        <v>12899</v>
      </c>
      <c r="B954" s="34">
        <v>3.0758999999999999</v>
      </c>
      <c r="C954" s="34">
        <v>0.25632500000000003</v>
      </c>
      <c r="D954" t="s">
        <v>1032</v>
      </c>
      <c r="E954" s="34">
        <v>15.3795</v>
      </c>
      <c r="F954" t="s">
        <v>15374</v>
      </c>
      <c r="G954" t="b">
        <v>0</v>
      </c>
    </row>
    <row r="955" spans="1:7" x14ac:dyDescent="0.25">
      <c r="A955" t="s">
        <v>14116</v>
      </c>
      <c r="B955" s="34">
        <v>3.0748000000000002</v>
      </c>
      <c r="C955" s="34">
        <v>0.25623333333333298</v>
      </c>
      <c r="D955" t="s">
        <v>35</v>
      </c>
      <c r="E955" s="34">
        <v>15.374000000000001</v>
      </c>
      <c r="F955" t="s">
        <v>16583</v>
      </c>
      <c r="G955" t="b">
        <v>0</v>
      </c>
    </row>
    <row r="956" spans="1:7" x14ac:dyDescent="0.25">
      <c r="A956" t="s">
        <v>13777</v>
      </c>
      <c r="B956" s="34">
        <v>3.0735000000000001</v>
      </c>
      <c r="C956" s="34">
        <v>0.25612499999999999</v>
      </c>
      <c r="D956" t="s">
        <v>35</v>
      </c>
      <c r="E956" s="34">
        <v>15.3674999999999</v>
      </c>
      <c r="F956" t="s">
        <v>16245</v>
      </c>
      <c r="G956" t="b">
        <v>0</v>
      </c>
    </row>
    <row r="957" spans="1:7" x14ac:dyDescent="0.25">
      <c r="A957" t="s">
        <v>14273</v>
      </c>
      <c r="B957" s="34">
        <v>3.06543999999999</v>
      </c>
      <c r="C957" s="34">
        <v>0.25545333333333298</v>
      </c>
      <c r="D957" t="s">
        <v>221</v>
      </c>
      <c r="E957" s="34">
        <v>7.6635999999999997</v>
      </c>
      <c r="F957" t="s">
        <v>16737</v>
      </c>
      <c r="G957" t="b">
        <v>0</v>
      </c>
    </row>
    <row r="958" spans="1:7" x14ac:dyDescent="0.25">
      <c r="A958" t="s">
        <v>14689</v>
      </c>
      <c r="B958" s="34">
        <v>3.0580468000000001</v>
      </c>
      <c r="C958" s="34">
        <v>0.25483723333333302</v>
      </c>
      <c r="D958" t="s">
        <v>798</v>
      </c>
      <c r="E958" s="34">
        <v>15.290234</v>
      </c>
      <c r="F958" t="s">
        <v>17141</v>
      </c>
      <c r="G958" t="b">
        <v>0</v>
      </c>
    </row>
    <row r="959" spans="1:7" x14ac:dyDescent="0.25">
      <c r="A959" t="s">
        <v>14014</v>
      </c>
      <c r="B959" s="34">
        <v>3.0566955999999998</v>
      </c>
      <c r="C959" s="34">
        <v>0.25472463333333301</v>
      </c>
      <c r="D959" t="s">
        <v>566</v>
      </c>
      <c r="E959" s="34">
        <v>15.283478000000001</v>
      </c>
      <c r="F959" t="s">
        <v>16481</v>
      </c>
      <c r="G959" t="b">
        <v>0</v>
      </c>
    </row>
    <row r="960" spans="1:7" x14ac:dyDescent="0.25">
      <c r="A960" t="s">
        <v>12751</v>
      </c>
      <c r="B960" s="34">
        <v>3.0353780000000001</v>
      </c>
      <c r="C960" s="34">
        <v>0.25294816666666597</v>
      </c>
      <c r="D960" t="s">
        <v>35</v>
      </c>
      <c r="E960" s="34">
        <v>15.17689</v>
      </c>
      <c r="F960" t="s">
        <v>15226</v>
      </c>
      <c r="G960" t="b">
        <v>0</v>
      </c>
    </row>
    <row r="961" spans="1:7" x14ac:dyDescent="0.25">
      <c r="A961" t="s">
        <v>13637</v>
      </c>
      <c r="B961" s="34">
        <v>3.0303</v>
      </c>
      <c r="C961" s="34">
        <v>0.252525</v>
      </c>
      <c r="D961" t="s">
        <v>97</v>
      </c>
      <c r="E961" s="34">
        <v>15.1515</v>
      </c>
      <c r="F961" t="s">
        <v>16106</v>
      </c>
      <c r="G961" t="b">
        <v>0</v>
      </c>
    </row>
    <row r="962" spans="1:7" x14ac:dyDescent="0.25">
      <c r="A962" t="s">
        <v>12890</v>
      </c>
      <c r="B962" s="34">
        <v>3.02773</v>
      </c>
      <c r="C962" s="34">
        <v>0.25231083333333298</v>
      </c>
      <c r="D962" t="s">
        <v>72</v>
      </c>
      <c r="E962" s="34">
        <v>15.13865</v>
      </c>
      <c r="F962" t="s">
        <v>15365</v>
      </c>
      <c r="G962" t="b">
        <v>0</v>
      </c>
    </row>
    <row r="963" spans="1:7" x14ac:dyDescent="0.25">
      <c r="A963" t="s">
        <v>14237</v>
      </c>
      <c r="B963" s="34">
        <v>3.0239999999999898</v>
      </c>
      <c r="C963" s="34">
        <v>0.252</v>
      </c>
      <c r="D963" t="s">
        <v>35</v>
      </c>
      <c r="E963" s="34">
        <v>15.12</v>
      </c>
      <c r="F963" t="s">
        <v>16701</v>
      </c>
      <c r="G963" t="b">
        <v>0</v>
      </c>
    </row>
    <row r="964" spans="1:7" x14ac:dyDescent="0.25">
      <c r="A964" t="s">
        <v>14471</v>
      </c>
      <c r="B964" s="34">
        <v>3.01039999999999</v>
      </c>
      <c r="C964" s="34">
        <v>0.25086666666666602</v>
      </c>
      <c r="D964" t="s">
        <v>132</v>
      </c>
      <c r="E964" s="34">
        <v>5.0173333333333296</v>
      </c>
      <c r="F964" t="s">
        <v>16931</v>
      </c>
      <c r="G964" t="b">
        <v>0</v>
      </c>
    </row>
    <row r="965" spans="1:7" x14ac:dyDescent="0.25">
      <c r="A965" t="s">
        <v>13751</v>
      </c>
      <c r="B965" s="34">
        <v>3.0103</v>
      </c>
      <c r="C965" s="34">
        <v>0.25085833333333302</v>
      </c>
      <c r="D965" t="s">
        <v>162</v>
      </c>
      <c r="E965" s="34">
        <v>15.051500000000001</v>
      </c>
      <c r="F965" t="s">
        <v>16219</v>
      </c>
      <c r="G965" t="b">
        <v>0</v>
      </c>
    </row>
    <row r="966" spans="1:7" x14ac:dyDescent="0.25">
      <c r="A966" t="s">
        <v>14622</v>
      </c>
      <c r="B966" s="34">
        <v>2.9935999999999998</v>
      </c>
      <c r="C966" s="34">
        <v>0.249466666666666</v>
      </c>
      <c r="D966" t="s">
        <v>480</v>
      </c>
      <c r="E966" s="34">
        <v>14.968</v>
      </c>
      <c r="F966" t="s">
        <v>17075</v>
      </c>
      <c r="G966" t="b">
        <v>0</v>
      </c>
    </row>
    <row r="967" spans="1:7" x14ac:dyDescent="0.25">
      <c r="A967" t="s">
        <v>12909</v>
      </c>
      <c r="B967" s="34">
        <v>2.9767199999999998</v>
      </c>
      <c r="C967" s="34">
        <v>0.24806</v>
      </c>
      <c r="D967" t="s">
        <v>3176</v>
      </c>
      <c r="E967" s="34">
        <v>14.883599999999999</v>
      </c>
      <c r="F967" t="s">
        <v>15384</v>
      </c>
      <c r="G967" t="b">
        <v>0</v>
      </c>
    </row>
    <row r="968" spans="1:7" x14ac:dyDescent="0.25">
      <c r="A968" t="s">
        <v>13354</v>
      </c>
      <c r="B968" s="34">
        <v>2.9740027000000002</v>
      </c>
      <c r="C968" s="34">
        <v>0.24783355833333301</v>
      </c>
      <c r="D968" t="s">
        <v>4566</v>
      </c>
      <c r="E968" s="34">
        <v>14.870013500000001</v>
      </c>
      <c r="F968" t="s">
        <v>15824</v>
      </c>
      <c r="G968" t="b">
        <v>0</v>
      </c>
    </row>
    <row r="969" spans="1:7" x14ac:dyDescent="0.25">
      <c r="A969" t="s">
        <v>12946</v>
      </c>
      <c r="B969" s="34">
        <v>2.96746</v>
      </c>
      <c r="C969" s="34">
        <v>0.247288333333333</v>
      </c>
      <c r="D969" t="s">
        <v>35</v>
      </c>
      <c r="E969" s="34">
        <v>14.837300000000001</v>
      </c>
      <c r="F969" t="s">
        <v>15421</v>
      </c>
      <c r="G969" t="b">
        <v>0</v>
      </c>
    </row>
    <row r="970" spans="1:7" x14ac:dyDescent="0.25">
      <c r="A970" t="s">
        <v>12796</v>
      </c>
      <c r="B970" s="34">
        <v>2.9485000000000001</v>
      </c>
      <c r="C970" s="34">
        <v>0.245708333333333</v>
      </c>
      <c r="D970" t="s">
        <v>4894</v>
      </c>
      <c r="E970" s="34">
        <v>14.7425</v>
      </c>
      <c r="F970" t="s">
        <v>15271</v>
      </c>
      <c r="G970" t="b">
        <v>0</v>
      </c>
    </row>
    <row r="971" spans="1:7" x14ac:dyDescent="0.25">
      <c r="A971" t="s">
        <v>13118</v>
      </c>
      <c r="B971" s="34">
        <v>2.9468000000000001</v>
      </c>
      <c r="C971" s="34">
        <v>0.24556666666666599</v>
      </c>
      <c r="D971" t="s">
        <v>35</v>
      </c>
      <c r="E971" s="34">
        <v>14.734</v>
      </c>
      <c r="F971" t="s">
        <v>15593</v>
      </c>
      <c r="G971" t="b">
        <v>0</v>
      </c>
    </row>
    <row r="972" spans="1:7" x14ac:dyDescent="0.25">
      <c r="A972" t="s">
        <v>12973</v>
      </c>
      <c r="B972" s="34">
        <v>2.9392</v>
      </c>
      <c r="C972" s="34">
        <v>0.244933333333333</v>
      </c>
      <c r="D972" t="s">
        <v>2583</v>
      </c>
      <c r="E972" s="34">
        <v>14.696</v>
      </c>
      <c r="F972" t="s">
        <v>15448</v>
      </c>
      <c r="G972" t="b">
        <v>0</v>
      </c>
    </row>
    <row r="973" spans="1:7" x14ac:dyDescent="0.25">
      <c r="A973" t="s">
        <v>13785</v>
      </c>
      <c r="B973" s="34">
        <v>2.9360400000000002</v>
      </c>
      <c r="C973" s="34">
        <v>0.244669999999999</v>
      </c>
      <c r="D973" t="s">
        <v>35</v>
      </c>
      <c r="E973" s="34">
        <v>14.680199999999999</v>
      </c>
      <c r="F973" t="s">
        <v>16252</v>
      </c>
      <c r="G973" t="b">
        <v>0</v>
      </c>
    </row>
    <row r="974" spans="1:7" x14ac:dyDescent="0.25">
      <c r="A974" t="s">
        <v>13068</v>
      </c>
      <c r="B974" s="34">
        <v>2.9275000000000002</v>
      </c>
      <c r="C974" s="34">
        <v>0.243958333333333</v>
      </c>
      <c r="D974" t="s">
        <v>2101</v>
      </c>
      <c r="E974" s="34">
        <v>14.637499999999999</v>
      </c>
      <c r="F974" t="s">
        <v>15543</v>
      </c>
      <c r="G974" t="b">
        <v>0</v>
      </c>
    </row>
    <row r="975" spans="1:7" x14ac:dyDescent="0.25">
      <c r="A975" t="s">
        <v>12997</v>
      </c>
      <c r="B975" s="34">
        <v>2.9228999999999998</v>
      </c>
      <c r="C975" s="34">
        <v>0.24357500000000001</v>
      </c>
      <c r="D975" t="s">
        <v>1787</v>
      </c>
      <c r="E975" s="34">
        <v>14.6145</v>
      </c>
      <c r="F975" t="s">
        <v>15472</v>
      </c>
      <c r="G975" t="b">
        <v>0</v>
      </c>
    </row>
    <row r="976" spans="1:7" x14ac:dyDescent="0.25">
      <c r="A976" t="s">
        <v>13235</v>
      </c>
      <c r="B976" s="34">
        <v>2.9121000000000001</v>
      </c>
      <c r="C976" s="34">
        <v>0.242675</v>
      </c>
      <c r="D976" t="s">
        <v>1281</v>
      </c>
      <c r="E976" s="34">
        <v>14.560499999999999</v>
      </c>
      <c r="F976" t="s">
        <v>15709</v>
      </c>
      <c r="G976" t="b">
        <v>0</v>
      </c>
    </row>
    <row r="977" spans="1:7" x14ac:dyDescent="0.25">
      <c r="A977" t="s">
        <v>14232</v>
      </c>
      <c r="B977" s="34">
        <v>2.910072</v>
      </c>
      <c r="C977" s="34">
        <v>0.242506</v>
      </c>
      <c r="D977" t="s">
        <v>853</v>
      </c>
      <c r="E977" s="34">
        <v>14.55036</v>
      </c>
      <c r="F977" t="s">
        <v>16696</v>
      </c>
      <c r="G977" t="b">
        <v>0</v>
      </c>
    </row>
    <row r="978" spans="1:7" x14ac:dyDescent="0.25">
      <c r="A978" t="s">
        <v>14333</v>
      </c>
      <c r="B978" s="34">
        <v>2.9096901000000002</v>
      </c>
      <c r="C978" s="34">
        <v>0.24247417499999999</v>
      </c>
      <c r="D978" t="s">
        <v>35</v>
      </c>
      <c r="E978" s="34">
        <v>14.5484505</v>
      </c>
      <c r="F978" t="s">
        <v>16796</v>
      </c>
      <c r="G978" t="b">
        <v>0</v>
      </c>
    </row>
    <row r="979" spans="1:7" x14ac:dyDescent="0.25">
      <c r="A979" t="s">
        <v>14307</v>
      </c>
      <c r="B979" s="34">
        <v>2.9034</v>
      </c>
      <c r="C979" s="34">
        <v>0.24195</v>
      </c>
      <c r="D979" t="s">
        <v>168</v>
      </c>
      <c r="E979" s="34">
        <v>14.516999999999999</v>
      </c>
      <c r="F979" t="s">
        <v>16770</v>
      </c>
      <c r="G979" t="b">
        <v>0</v>
      </c>
    </row>
    <row r="980" spans="1:7" x14ac:dyDescent="0.25">
      <c r="A980" t="s">
        <v>13707</v>
      </c>
      <c r="B980" s="34">
        <v>2.9016999999999999</v>
      </c>
      <c r="C980" s="34">
        <v>0.24180833333333299</v>
      </c>
      <c r="D980" t="s">
        <v>35</v>
      </c>
      <c r="E980" s="34">
        <v>14.5085</v>
      </c>
      <c r="F980" t="s">
        <v>16175</v>
      </c>
      <c r="G980" t="b">
        <v>0</v>
      </c>
    </row>
    <row r="981" spans="1:7" x14ac:dyDescent="0.25">
      <c r="A981" t="s">
        <v>14605</v>
      </c>
      <c r="B981" s="34">
        <v>2.9004599999999998</v>
      </c>
      <c r="C981" s="34">
        <v>0.241704999999999</v>
      </c>
      <c r="D981" t="s">
        <v>385</v>
      </c>
      <c r="E981" s="34">
        <v>7.2511499999999902</v>
      </c>
      <c r="F981" t="s">
        <v>17059</v>
      </c>
      <c r="G981" t="b">
        <v>0</v>
      </c>
    </row>
    <row r="982" spans="1:7" x14ac:dyDescent="0.25">
      <c r="A982" t="s">
        <v>14254</v>
      </c>
      <c r="B982" s="34">
        <v>2.88855879999999</v>
      </c>
      <c r="C982" s="34">
        <v>0.240713233333333</v>
      </c>
      <c r="D982" t="s">
        <v>682</v>
      </c>
      <c r="E982" s="34">
        <v>14.442793999999999</v>
      </c>
      <c r="F982" t="s">
        <v>16718</v>
      </c>
      <c r="G982" t="b">
        <v>0</v>
      </c>
    </row>
    <row r="983" spans="1:7" x14ac:dyDescent="0.25">
      <c r="A983" t="s">
        <v>13077</v>
      </c>
      <c r="B983" s="34">
        <v>2.8858071999999901</v>
      </c>
      <c r="C983" s="34">
        <v>0.24048393333333301</v>
      </c>
      <c r="D983" t="s">
        <v>72</v>
      </c>
      <c r="E983" s="34">
        <v>14.4290359999999</v>
      </c>
      <c r="F983" t="s">
        <v>15552</v>
      </c>
      <c r="G983" t="b">
        <v>0</v>
      </c>
    </row>
    <row r="984" spans="1:7" x14ac:dyDescent="0.25">
      <c r="A984" t="s">
        <v>12542</v>
      </c>
      <c r="B984" s="34">
        <v>2.8701999999999899</v>
      </c>
      <c r="C984" s="34">
        <v>0.239183333333333</v>
      </c>
      <c r="D984" t="s">
        <v>239</v>
      </c>
      <c r="E984" s="34">
        <v>7.1754999999999898</v>
      </c>
      <c r="F984" t="s">
        <v>15017</v>
      </c>
      <c r="G984" t="b">
        <v>0</v>
      </c>
    </row>
    <row r="985" spans="1:7" x14ac:dyDescent="0.25">
      <c r="A985" t="s">
        <v>12767</v>
      </c>
      <c r="B985" s="34">
        <v>2.8639999999999999</v>
      </c>
      <c r="C985" s="34">
        <v>0.238666666666666</v>
      </c>
      <c r="D985" t="s">
        <v>1323</v>
      </c>
      <c r="E985" s="34">
        <v>14.32</v>
      </c>
      <c r="F985" t="s">
        <v>15242</v>
      </c>
      <c r="G985" t="b">
        <v>0</v>
      </c>
    </row>
    <row r="986" spans="1:7" x14ac:dyDescent="0.25">
      <c r="A986" t="s">
        <v>13944</v>
      </c>
      <c r="B986" s="34">
        <v>2.8480225799999901</v>
      </c>
      <c r="C986" s="34">
        <v>0.23733521499999999</v>
      </c>
      <c r="D986" t="s">
        <v>35</v>
      </c>
      <c r="E986" s="34">
        <v>7.1200564499999901</v>
      </c>
      <c r="F986" t="s">
        <v>16411</v>
      </c>
      <c r="G986" t="b">
        <v>0</v>
      </c>
    </row>
    <row r="987" spans="1:7" x14ac:dyDescent="0.25">
      <c r="A987" t="s">
        <v>13903</v>
      </c>
      <c r="B987" s="34">
        <v>2.8359999999999901</v>
      </c>
      <c r="C987" s="34">
        <v>0.23633333333333301</v>
      </c>
      <c r="D987" t="s">
        <v>409</v>
      </c>
      <c r="E987" s="34">
        <v>14.1799999999999</v>
      </c>
      <c r="F987" t="s">
        <v>16370</v>
      </c>
      <c r="G987" t="b">
        <v>0</v>
      </c>
    </row>
    <row r="988" spans="1:7" x14ac:dyDescent="0.25">
      <c r="A988" t="s">
        <v>14370</v>
      </c>
      <c r="B988" s="34">
        <v>2.8246790800000001</v>
      </c>
      <c r="C988" s="34">
        <v>0.235389923333333</v>
      </c>
      <c r="D988" t="s">
        <v>35</v>
      </c>
      <c r="E988" s="34">
        <v>14.1233954</v>
      </c>
      <c r="F988" t="s">
        <v>16832</v>
      </c>
      <c r="G988" t="b">
        <v>0</v>
      </c>
    </row>
    <row r="989" spans="1:7" x14ac:dyDescent="0.25">
      <c r="A989" t="s">
        <v>12690</v>
      </c>
      <c r="B989" s="34">
        <v>2.8220799599999999</v>
      </c>
      <c r="C989" s="34">
        <v>0.23517333000000001</v>
      </c>
      <c r="D989" t="s">
        <v>590</v>
      </c>
      <c r="E989" s="34">
        <v>14.1103998</v>
      </c>
      <c r="F989" t="s">
        <v>15165</v>
      </c>
      <c r="G989" t="b">
        <v>0</v>
      </c>
    </row>
    <row r="990" spans="1:7" x14ac:dyDescent="0.25">
      <c r="A990" t="s">
        <v>14036</v>
      </c>
      <c r="B990" s="34">
        <v>2.8106</v>
      </c>
      <c r="C990" s="34">
        <v>0.23421666666666599</v>
      </c>
      <c r="D990" t="s">
        <v>312</v>
      </c>
      <c r="E990" s="34">
        <v>14.0529999999999</v>
      </c>
      <c r="F990" t="s">
        <v>16503</v>
      </c>
      <c r="G990" t="b">
        <v>0</v>
      </c>
    </row>
    <row r="991" spans="1:7" x14ac:dyDescent="0.25">
      <c r="A991" t="s">
        <v>13533</v>
      </c>
      <c r="B991" s="34">
        <v>2.8104</v>
      </c>
      <c r="C991" s="34">
        <v>0.23419999999999999</v>
      </c>
      <c r="D991" t="s">
        <v>35</v>
      </c>
      <c r="E991" s="34">
        <v>14.052</v>
      </c>
      <c r="F991" t="s">
        <v>16002</v>
      </c>
      <c r="G991" t="b">
        <v>0</v>
      </c>
    </row>
    <row r="992" spans="1:7" x14ac:dyDescent="0.25">
      <c r="A992" t="s">
        <v>14512</v>
      </c>
      <c r="B992" s="34">
        <v>2.8009536000000002</v>
      </c>
      <c r="C992" s="34">
        <v>0.233412799999999</v>
      </c>
      <c r="D992" t="s">
        <v>26</v>
      </c>
      <c r="E992" s="34">
        <v>7.0023839999999904</v>
      </c>
      <c r="F992" t="s">
        <v>16972</v>
      </c>
      <c r="G992" t="b">
        <v>0</v>
      </c>
    </row>
    <row r="993" spans="1:7" x14ac:dyDescent="0.25">
      <c r="A993" t="s">
        <v>14000</v>
      </c>
      <c r="B993" s="34">
        <v>2.8</v>
      </c>
      <c r="C993" s="34">
        <v>0.233333333333333</v>
      </c>
      <c r="D993" t="s">
        <v>132</v>
      </c>
      <c r="E993" s="34">
        <v>14</v>
      </c>
      <c r="F993" t="s">
        <v>16467</v>
      </c>
      <c r="G993" t="b">
        <v>0</v>
      </c>
    </row>
    <row r="994" spans="1:7" x14ac:dyDescent="0.25">
      <c r="A994" t="s">
        <v>12723</v>
      </c>
      <c r="B994" s="34">
        <v>2.78947999999999</v>
      </c>
      <c r="C994" s="34">
        <v>0.23245666666666601</v>
      </c>
      <c r="D994" t="s">
        <v>726</v>
      </c>
      <c r="E994" s="34">
        <v>13.9474</v>
      </c>
      <c r="F994" t="s">
        <v>15198</v>
      </c>
      <c r="G994" t="b">
        <v>0</v>
      </c>
    </row>
    <row r="995" spans="1:7" x14ac:dyDescent="0.25">
      <c r="A995" t="s">
        <v>13713</v>
      </c>
      <c r="B995" s="34">
        <v>2.7713999999999999</v>
      </c>
      <c r="C995" s="34">
        <v>0.23094999999999999</v>
      </c>
      <c r="D995" t="s">
        <v>35</v>
      </c>
      <c r="E995" s="34">
        <v>13.856999999999999</v>
      </c>
      <c r="F995" t="s">
        <v>16181</v>
      </c>
      <c r="G995" t="b">
        <v>0</v>
      </c>
    </row>
    <row r="996" spans="1:7" x14ac:dyDescent="0.25">
      <c r="A996" t="s">
        <v>13951</v>
      </c>
      <c r="B996" s="34">
        <v>2.7713999999999901</v>
      </c>
      <c r="C996" s="34">
        <v>0.23094999999999999</v>
      </c>
      <c r="D996" t="s">
        <v>1064</v>
      </c>
      <c r="E996" s="34">
        <v>13.8569999999999</v>
      </c>
      <c r="F996" t="s">
        <v>16418</v>
      </c>
      <c r="G996" t="b">
        <v>0</v>
      </c>
    </row>
    <row r="997" spans="1:7" x14ac:dyDescent="0.25">
      <c r="A997" t="s">
        <v>12949</v>
      </c>
      <c r="B997" s="34">
        <v>2.7561477999999999</v>
      </c>
      <c r="C997" s="34">
        <v>0.229678983333333</v>
      </c>
      <c r="D997" t="s">
        <v>35</v>
      </c>
      <c r="E997" s="34">
        <v>13.780739000000001</v>
      </c>
      <c r="F997" t="s">
        <v>15424</v>
      </c>
      <c r="G997" t="b">
        <v>0</v>
      </c>
    </row>
    <row r="998" spans="1:7" x14ac:dyDescent="0.25">
      <c r="A998" t="s">
        <v>13752</v>
      </c>
      <c r="B998" s="34">
        <v>2.7549000000000001</v>
      </c>
      <c r="C998" s="34">
        <v>0.229575</v>
      </c>
      <c r="D998" t="s">
        <v>162</v>
      </c>
      <c r="E998" s="34">
        <v>13.7745</v>
      </c>
      <c r="F998" t="s">
        <v>16220</v>
      </c>
      <c r="G998" t="b">
        <v>0</v>
      </c>
    </row>
    <row r="999" spans="1:7" x14ac:dyDescent="0.25">
      <c r="A999" t="s">
        <v>13218</v>
      </c>
      <c r="B999" s="34">
        <v>2.7538</v>
      </c>
      <c r="C999" s="34">
        <v>0.22948333333333301</v>
      </c>
      <c r="D999" t="s">
        <v>9839</v>
      </c>
      <c r="E999" s="34">
        <v>6.8845000000000001</v>
      </c>
      <c r="F999" t="s">
        <v>15692</v>
      </c>
      <c r="G999" t="b">
        <v>0</v>
      </c>
    </row>
    <row r="1000" spans="1:7" x14ac:dyDescent="0.25">
      <c r="A1000" t="s">
        <v>12665</v>
      </c>
      <c r="B1000" s="34">
        <v>2.7422678</v>
      </c>
      <c r="C1000" s="34">
        <v>0.228522316666666</v>
      </c>
      <c r="D1000" t="s">
        <v>35</v>
      </c>
      <c r="E1000" s="34">
        <v>13.711339000000001</v>
      </c>
      <c r="F1000" t="s">
        <v>15140</v>
      </c>
      <c r="G1000" t="b">
        <v>0</v>
      </c>
    </row>
    <row r="1001" spans="1:7" x14ac:dyDescent="0.25">
      <c r="A1001" t="s">
        <v>14108</v>
      </c>
      <c r="B1001" s="34">
        <v>2.7372000000000001</v>
      </c>
      <c r="C1001" s="34">
        <v>0.2281</v>
      </c>
      <c r="D1001" t="s">
        <v>35</v>
      </c>
      <c r="E1001" s="34">
        <v>13.686</v>
      </c>
      <c r="F1001" t="s">
        <v>16575</v>
      </c>
      <c r="G1001" t="b">
        <v>0</v>
      </c>
    </row>
    <row r="1002" spans="1:7" x14ac:dyDescent="0.25">
      <c r="A1002" t="s">
        <v>12850</v>
      </c>
      <c r="B1002" s="34">
        <v>2.73639999999999</v>
      </c>
      <c r="C1002" s="34">
        <v>0.228033333333333</v>
      </c>
      <c r="D1002" t="s">
        <v>385</v>
      </c>
      <c r="E1002" s="34">
        <v>13.681999999999899</v>
      </c>
      <c r="F1002" t="s">
        <v>15325</v>
      </c>
      <c r="G1002" t="b">
        <v>0</v>
      </c>
    </row>
    <row r="1003" spans="1:7" x14ac:dyDescent="0.25">
      <c r="A1003" t="s">
        <v>12672</v>
      </c>
      <c r="B1003" s="34">
        <v>2.7307000000000001</v>
      </c>
      <c r="C1003" s="34">
        <v>0.227558333333333</v>
      </c>
      <c r="D1003" t="s">
        <v>26</v>
      </c>
      <c r="E1003" s="34">
        <v>13.653499999999999</v>
      </c>
      <c r="F1003" t="s">
        <v>15147</v>
      </c>
      <c r="G1003" t="b">
        <v>0</v>
      </c>
    </row>
    <row r="1004" spans="1:7" x14ac:dyDescent="0.25">
      <c r="A1004" t="s">
        <v>13124</v>
      </c>
      <c r="B1004" s="34">
        <v>2.6756080999999998</v>
      </c>
      <c r="C1004" s="34">
        <v>0.22296734166666601</v>
      </c>
      <c r="D1004" t="s">
        <v>162</v>
      </c>
      <c r="E1004" s="34">
        <v>6.6890202499999898</v>
      </c>
      <c r="F1004" t="s">
        <v>15599</v>
      </c>
      <c r="G1004" t="b">
        <v>0</v>
      </c>
    </row>
    <row r="1005" spans="1:7" x14ac:dyDescent="0.25">
      <c r="A1005" t="s">
        <v>13930</v>
      </c>
      <c r="B1005" s="34">
        <v>2.6688765999999999</v>
      </c>
      <c r="C1005" s="34">
        <v>0.22240638333333301</v>
      </c>
      <c r="D1005" t="s">
        <v>904</v>
      </c>
      <c r="E1005" s="34">
        <v>6.6721915000000003</v>
      </c>
      <c r="F1005" t="s">
        <v>16397</v>
      </c>
      <c r="G1005" t="b">
        <v>0</v>
      </c>
    </row>
    <row r="1006" spans="1:7" x14ac:dyDescent="0.25">
      <c r="A1006" t="s">
        <v>13471</v>
      </c>
      <c r="B1006" s="34">
        <v>2.6652</v>
      </c>
      <c r="C1006" s="34">
        <v>0.22209999999999999</v>
      </c>
      <c r="D1006" t="s">
        <v>35</v>
      </c>
      <c r="E1006" s="34">
        <v>13.326000000000001</v>
      </c>
      <c r="F1006" t="s">
        <v>15940</v>
      </c>
      <c r="G1006" t="b">
        <v>0</v>
      </c>
    </row>
    <row r="1007" spans="1:7" x14ac:dyDescent="0.25">
      <c r="A1007" t="s">
        <v>13875</v>
      </c>
      <c r="B1007" s="34">
        <v>2.6604000000000001</v>
      </c>
      <c r="C1007" s="34">
        <v>0.22169999999999901</v>
      </c>
      <c r="D1007" t="s">
        <v>35</v>
      </c>
      <c r="E1007" s="34">
        <v>13.3019999999999</v>
      </c>
      <c r="F1007" t="s">
        <v>16342</v>
      </c>
      <c r="G1007" t="b">
        <v>0</v>
      </c>
    </row>
    <row r="1008" spans="1:7" x14ac:dyDescent="0.25">
      <c r="A1008" t="s">
        <v>13043</v>
      </c>
      <c r="B1008" s="34">
        <v>2.6591900000000002</v>
      </c>
      <c r="C1008" s="34">
        <v>0.22159916666666599</v>
      </c>
      <c r="D1008" t="s">
        <v>35</v>
      </c>
      <c r="E1008" s="34">
        <v>13.295949999999999</v>
      </c>
      <c r="F1008" t="s">
        <v>15518</v>
      </c>
      <c r="G1008" t="b">
        <v>0</v>
      </c>
    </row>
    <row r="1009" spans="1:7" x14ac:dyDescent="0.25">
      <c r="A1009" t="s">
        <v>14329</v>
      </c>
      <c r="B1009" s="34">
        <v>2.6587356</v>
      </c>
      <c r="C1009" s="34">
        <v>0.22156129999999999</v>
      </c>
      <c r="D1009" t="s">
        <v>1240</v>
      </c>
      <c r="E1009" s="34">
        <v>13.293678</v>
      </c>
      <c r="F1009" t="s">
        <v>16792</v>
      </c>
      <c r="G1009" t="b">
        <v>0</v>
      </c>
    </row>
    <row r="1010" spans="1:7" x14ac:dyDescent="0.25">
      <c r="A1010" t="s">
        <v>13850</v>
      </c>
      <c r="B1010" s="34">
        <v>2.6341000000000001</v>
      </c>
      <c r="C1010" s="34">
        <v>0.219508333333333</v>
      </c>
      <c r="D1010" t="s">
        <v>35</v>
      </c>
      <c r="E1010" s="34">
        <v>13.170500000000001</v>
      </c>
      <c r="F1010" t="s">
        <v>16317</v>
      </c>
      <c r="G1010" t="b">
        <v>0</v>
      </c>
    </row>
    <row r="1011" spans="1:7" x14ac:dyDescent="0.25">
      <c r="A1011" t="s">
        <v>14031</v>
      </c>
      <c r="B1011" s="34">
        <v>2.6335999999999999</v>
      </c>
      <c r="C1011" s="34">
        <v>0.219466666666666</v>
      </c>
      <c r="D1011" t="s">
        <v>480</v>
      </c>
      <c r="E1011" s="34">
        <v>13.167999999999999</v>
      </c>
      <c r="F1011" t="s">
        <v>16498</v>
      </c>
      <c r="G1011" t="b">
        <v>0</v>
      </c>
    </row>
    <row r="1012" spans="1:7" x14ac:dyDescent="0.25">
      <c r="A1012" t="s">
        <v>13070</v>
      </c>
      <c r="B1012" s="34">
        <v>2.6160730000000001</v>
      </c>
      <c r="C1012" s="34">
        <v>0.21800608333333299</v>
      </c>
      <c r="D1012" t="s">
        <v>571</v>
      </c>
      <c r="E1012" s="34">
        <v>6.5401825000000002</v>
      </c>
      <c r="F1012" t="s">
        <v>15545</v>
      </c>
      <c r="G1012" t="b">
        <v>0</v>
      </c>
    </row>
    <row r="1013" spans="1:7" x14ac:dyDescent="0.25">
      <c r="A1013" t="s">
        <v>13523</v>
      </c>
      <c r="B1013" s="34">
        <v>2.6047102999999998</v>
      </c>
      <c r="C1013" s="34">
        <v>0.21705919166666601</v>
      </c>
      <c r="D1013" t="s">
        <v>35</v>
      </c>
      <c r="E1013" s="34">
        <v>13.0235514999999</v>
      </c>
      <c r="F1013" t="s">
        <v>15992</v>
      </c>
      <c r="G1013" t="b">
        <v>0</v>
      </c>
    </row>
    <row r="1014" spans="1:7" x14ac:dyDescent="0.25">
      <c r="A1014" t="s">
        <v>12999</v>
      </c>
      <c r="B1014" s="34">
        <v>2.5962000000000001</v>
      </c>
      <c r="C1014" s="34">
        <v>0.21634999999999999</v>
      </c>
      <c r="D1014" t="s">
        <v>132</v>
      </c>
      <c r="E1014" s="34">
        <v>12.981</v>
      </c>
      <c r="F1014" t="s">
        <v>15474</v>
      </c>
      <c r="G1014" t="b">
        <v>0</v>
      </c>
    </row>
    <row r="1015" spans="1:7" x14ac:dyDescent="0.25">
      <c r="A1015" t="s">
        <v>14209</v>
      </c>
      <c r="B1015" s="34">
        <v>2.5854004999999902</v>
      </c>
      <c r="C1015" s="34">
        <v>0.21545004166666601</v>
      </c>
      <c r="D1015" t="s">
        <v>26</v>
      </c>
      <c r="E1015" s="34">
        <v>6.4635012499999904</v>
      </c>
      <c r="F1015" t="s">
        <v>16673</v>
      </c>
      <c r="G1015" t="b">
        <v>0</v>
      </c>
    </row>
    <row r="1016" spans="1:7" x14ac:dyDescent="0.25">
      <c r="A1016" t="s">
        <v>13898</v>
      </c>
      <c r="B1016" s="34">
        <v>2.5781999999999998</v>
      </c>
      <c r="C1016" s="34">
        <v>0.21484999999999899</v>
      </c>
      <c r="D1016" t="s">
        <v>35</v>
      </c>
      <c r="E1016" s="34">
        <v>6.4455</v>
      </c>
      <c r="F1016" t="s">
        <v>16365</v>
      </c>
      <c r="G1016" t="b">
        <v>0</v>
      </c>
    </row>
    <row r="1017" spans="1:7" x14ac:dyDescent="0.25">
      <c r="A1017" t="s">
        <v>13116</v>
      </c>
      <c r="B1017" s="34">
        <v>2.5756800000000002</v>
      </c>
      <c r="C1017" s="34">
        <v>0.21464</v>
      </c>
      <c r="D1017" t="s">
        <v>1240</v>
      </c>
      <c r="E1017" s="34">
        <v>12.878399999999999</v>
      </c>
      <c r="F1017" t="s">
        <v>15591</v>
      </c>
      <c r="G1017" t="b">
        <v>0</v>
      </c>
    </row>
    <row r="1018" spans="1:7" x14ac:dyDescent="0.25">
      <c r="A1018" t="s">
        <v>12860</v>
      </c>
      <c r="B1018" s="34">
        <v>2.5741000000000001</v>
      </c>
      <c r="C1018" s="34">
        <v>0.214508333333333</v>
      </c>
      <c r="D1018" t="s">
        <v>296</v>
      </c>
      <c r="E1018" s="34">
        <v>12.8705</v>
      </c>
      <c r="F1018" t="s">
        <v>15335</v>
      </c>
      <c r="G1018" t="b">
        <v>0</v>
      </c>
    </row>
    <row r="1019" spans="1:7" x14ac:dyDescent="0.25">
      <c r="A1019" t="s">
        <v>13760</v>
      </c>
      <c r="B1019" s="34">
        <v>2.5709941999999999</v>
      </c>
      <c r="C1019" s="34">
        <v>0.214249516666666</v>
      </c>
      <c r="D1019" t="s">
        <v>132</v>
      </c>
      <c r="E1019" s="34">
        <v>12.854971000000001</v>
      </c>
      <c r="F1019" t="s">
        <v>16228</v>
      </c>
      <c r="G1019" t="b">
        <v>0</v>
      </c>
    </row>
    <row r="1020" spans="1:7" x14ac:dyDescent="0.25">
      <c r="A1020" t="s">
        <v>14615</v>
      </c>
      <c r="B1020" s="34">
        <v>2.5627169999999899</v>
      </c>
      <c r="C1020" s="34">
        <v>0.21355974999999999</v>
      </c>
      <c r="D1020" t="s">
        <v>90</v>
      </c>
      <c r="E1020" s="34">
        <v>12.813585</v>
      </c>
      <c r="F1020" t="s">
        <v>17069</v>
      </c>
      <c r="G1020" t="b">
        <v>0</v>
      </c>
    </row>
    <row r="1021" spans="1:7" x14ac:dyDescent="0.25">
      <c r="A1021" t="s">
        <v>14673</v>
      </c>
      <c r="B1021" s="34">
        <v>2.5495399999999999</v>
      </c>
      <c r="C1021" s="34">
        <v>0.21246166666666599</v>
      </c>
      <c r="D1021" t="s">
        <v>221</v>
      </c>
      <c r="E1021" s="34">
        <v>12.7477</v>
      </c>
      <c r="F1021" t="s">
        <v>17126</v>
      </c>
      <c r="G1021" t="b">
        <v>0</v>
      </c>
    </row>
    <row r="1022" spans="1:7" x14ac:dyDescent="0.25">
      <c r="A1022" t="s">
        <v>13426</v>
      </c>
      <c r="B1022" s="34">
        <v>2.549086</v>
      </c>
      <c r="C1022" s="34">
        <v>0.21242383333333301</v>
      </c>
      <c r="D1022" t="s">
        <v>548</v>
      </c>
      <c r="E1022" s="34">
        <v>12.745430000000001</v>
      </c>
      <c r="F1022" t="s">
        <v>15896</v>
      </c>
      <c r="G1022" t="b">
        <v>0</v>
      </c>
    </row>
    <row r="1023" spans="1:7" x14ac:dyDescent="0.25">
      <c r="A1023" t="s">
        <v>14454</v>
      </c>
      <c r="B1023" s="34">
        <v>2.5464000000000002</v>
      </c>
      <c r="C1023" s="34">
        <v>0.2122</v>
      </c>
      <c r="D1023" t="s">
        <v>26</v>
      </c>
      <c r="E1023" s="34">
        <v>12.731999999999999</v>
      </c>
      <c r="F1023" t="s">
        <v>16914</v>
      </c>
      <c r="G1023" t="b">
        <v>0</v>
      </c>
    </row>
    <row r="1024" spans="1:7" x14ac:dyDescent="0.25">
      <c r="A1024" t="s">
        <v>12707</v>
      </c>
      <c r="B1024" s="34">
        <v>2.5350857999999898</v>
      </c>
      <c r="C1024" s="34">
        <v>0.21125715</v>
      </c>
      <c r="D1024" t="s">
        <v>35</v>
      </c>
      <c r="E1024" s="34">
        <v>12.675428999999999</v>
      </c>
      <c r="F1024" t="s">
        <v>15182</v>
      </c>
      <c r="G1024" t="b">
        <v>0</v>
      </c>
    </row>
    <row r="1025" spans="1:7" x14ac:dyDescent="0.25">
      <c r="A1025" t="s">
        <v>13032</v>
      </c>
      <c r="B1025" s="34">
        <v>2.5247022000000001</v>
      </c>
      <c r="C1025" s="34">
        <v>0.21039184999999999</v>
      </c>
      <c r="D1025" t="s">
        <v>35</v>
      </c>
      <c r="E1025" s="34">
        <v>6.3117555000000003</v>
      </c>
      <c r="F1025" t="s">
        <v>15507</v>
      </c>
      <c r="G1025" t="b">
        <v>0</v>
      </c>
    </row>
    <row r="1026" spans="1:7" x14ac:dyDescent="0.25">
      <c r="A1026" t="s">
        <v>14667</v>
      </c>
      <c r="B1026" s="34">
        <v>2.5173999999999999</v>
      </c>
      <c r="C1026" s="34">
        <v>0.20978333333333299</v>
      </c>
      <c r="D1026" t="s">
        <v>1336</v>
      </c>
      <c r="E1026" s="34">
        <v>12.587</v>
      </c>
      <c r="F1026" t="s">
        <v>17120</v>
      </c>
      <c r="G1026" t="b">
        <v>0</v>
      </c>
    </row>
    <row r="1027" spans="1:7" x14ac:dyDescent="0.25">
      <c r="A1027" t="s">
        <v>13572</v>
      </c>
      <c r="B1027" s="34">
        <v>2.5110000000000001</v>
      </c>
      <c r="C1027" s="34">
        <v>0.20924999999999999</v>
      </c>
      <c r="D1027" t="s">
        <v>35</v>
      </c>
      <c r="E1027" s="34">
        <v>12.555</v>
      </c>
      <c r="F1027" t="s">
        <v>16041</v>
      </c>
      <c r="G1027" t="b">
        <v>0</v>
      </c>
    </row>
    <row r="1028" spans="1:7" x14ac:dyDescent="0.25">
      <c r="A1028" t="s">
        <v>12553</v>
      </c>
      <c r="B1028" s="34">
        <v>2.5076000000000001</v>
      </c>
      <c r="C1028" s="34">
        <v>0.208966666666666</v>
      </c>
      <c r="D1028" t="s">
        <v>35</v>
      </c>
      <c r="E1028" s="34">
        <v>12.538</v>
      </c>
      <c r="F1028" t="s">
        <v>15028</v>
      </c>
      <c r="G1028" t="b">
        <v>0</v>
      </c>
    </row>
    <row r="1029" spans="1:7" x14ac:dyDescent="0.25">
      <c r="A1029" t="s">
        <v>14586</v>
      </c>
      <c r="B1029" s="34">
        <v>2.5053200000000002</v>
      </c>
      <c r="C1029" s="34">
        <v>0.208776666666666</v>
      </c>
      <c r="D1029" t="s">
        <v>632</v>
      </c>
      <c r="E1029" s="34">
        <v>12.5266</v>
      </c>
      <c r="F1029" t="s">
        <v>17043</v>
      </c>
      <c r="G1029" t="b">
        <v>0</v>
      </c>
    </row>
    <row r="1030" spans="1:7" x14ac:dyDescent="0.25">
      <c r="A1030" t="s">
        <v>13383</v>
      </c>
      <c r="B1030" s="34">
        <v>2.49716</v>
      </c>
      <c r="C1030" s="34">
        <v>0.20809666666666601</v>
      </c>
      <c r="D1030" t="s">
        <v>215</v>
      </c>
      <c r="E1030" s="34">
        <v>12.485799999999999</v>
      </c>
      <c r="F1030" t="s">
        <v>15853</v>
      </c>
      <c r="G1030" t="b">
        <v>0</v>
      </c>
    </row>
    <row r="1031" spans="1:7" x14ac:dyDescent="0.25">
      <c r="A1031" t="s">
        <v>13083</v>
      </c>
      <c r="B1031" s="34">
        <v>2.4775999999999998</v>
      </c>
      <c r="C1031" s="34">
        <v>0.20646666666666599</v>
      </c>
      <c r="D1031" t="s">
        <v>2101</v>
      </c>
      <c r="E1031" s="34">
        <v>12.388</v>
      </c>
      <c r="F1031" t="s">
        <v>15558</v>
      </c>
      <c r="G1031" t="b">
        <v>0</v>
      </c>
    </row>
    <row r="1032" spans="1:7" x14ac:dyDescent="0.25">
      <c r="A1032" t="s">
        <v>14808</v>
      </c>
      <c r="B1032" s="34">
        <v>2.4756</v>
      </c>
      <c r="C1032" s="34">
        <v>0.20630000000000001</v>
      </c>
      <c r="D1032" t="s">
        <v>253</v>
      </c>
      <c r="E1032" s="34">
        <v>12.377999999999901</v>
      </c>
      <c r="F1032" t="s">
        <v>17252</v>
      </c>
      <c r="G1032" t="b">
        <v>0</v>
      </c>
    </row>
    <row r="1033" spans="1:7" x14ac:dyDescent="0.25">
      <c r="A1033" t="s">
        <v>14661</v>
      </c>
      <c r="B1033" s="34">
        <v>2.452</v>
      </c>
      <c r="C1033" s="34">
        <v>0.20433333333333301</v>
      </c>
      <c r="D1033" t="s">
        <v>4424</v>
      </c>
      <c r="E1033" s="34">
        <v>12.26</v>
      </c>
      <c r="F1033" t="s">
        <v>17114</v>
      </c>
      <c r="G1033" t="b">
        <v>0</v>
      </c>
    </row>
    <row r="1034" spans="1:7" x14ac:dyDescent="0.25">
      <c r="A1034" t="s">
        <v>14652</v>
      </c>
      <c r="B1034" s="34">
        <v>2.4503306</v>
      </c>
      <c r="C1034" s="34">
        <v>0.20419421666666601</v>
      </c>
      <c r="D1034" t="s">
        <v>35</v>
      </c>
      <c r="E1034" s="34">
        <v>12.251652999999999</v>
      </c>
      <c r="F1034" t="s">
        <v>17105</v>
      </c>
      <c r="G1034" t="b">
        <v>0</v>
      </c>
    </row>
    <row r="1035" spans="1:7" x14ac:dyDescent="0.25">
      <c r="A1035" t="s">
        <v>13040</v>
      </c>
      <c r="B1035" s="34">
        <v>2.4460000000000002</v>
      </c>
      <c r="C1035" s="34">
        <v>0.20383333333333301</v>
      </c>
      <c r="D1035" t="s">
        <v>162</v>
      </c>
      <c r="E1035" s="34">
        <v>12.23</v>
      </c>
      <c r="F1035" t="s">
        <v>15515</v>
      </c>
      <c r="G1035" t="b">
        <v>0</v>
      </c>
    </row>
    <row r="1036" spans="1:7" x14ac:dyDescent="0.25">
      <c r="A1036" t="s">
        <v>14487</v>
      </c>
      <c r="B1036" s="34">
        <v>2.43506</v>
      </c>
      <c r="C1036" s="34">
        <v>0.202921666666666</v>
      </c>
      <c r="D1036" t="s">
        <v>162</v>
      </c>
      <c r="E1036" s="34">
        <v>12.175299999999901</v>
      </c>
      <c r="F1036" t="s">
        <v>16947</v>
      </c>
      <c r="G1036" t="b">
        <v>0</v>
      </c>
    </row>
    <row r="1037" spans="1:7" x14ac:dyDescent="0.25">
      <c r="A1037" t="s">
        <v>14039</v>
      </c>
      <c r="B1037" s="34">
        <v>2.427</v>
      </c>
      <c r="C1037" s="34">
        <v>0.20225000000000001</v>
      </c>
      <c r="D1037" t="s">
        <v>7376</v>
      </c>
      <c r="E1037" s="34">
        <v>12.135</v>
      </c>
      <c r="F1037" t="s">
        <v>16506</v>
      </c>
      <c r="G1037" t="b">
        <v>0</v>
      </c>
    </row>
    <row r="1038" spans="1:7" x14ac:dyDescent="0.25">
      <c r="A1038" t="s">
        <v>13012</v>
      </c>
      <c r="B1038" s="34">
        <v>2.3917601999999998</v>
      </c>
      <c r="C1038" s="34">
        <v>0.19931335</v>
      </c>
      <c r="D1038" t="s">
        <v>4483</v>
      </c>
      <c r="E1038" s="34">
        <v>11.958800999999999</v>
      </c>
      <c r="F1038" t="s">
        <v>15487</v>
      </c>
      <c r="G1038" t="b">
        <v>0</v>
      </c>
    </row>
    <row r="1039" spans="1:7" x14ac:dyDescent="0.25">
      <c r="A1039" t="s">
        <v>12729</v>
      </c>
      <c r="B1039" s="34">
        <v>2.3872</v>
      </c>
      <c r="C1039" s="34">
        <v>0.19893333333333299</v>
      </c>
      <c r="D1039" t="s">
        <v>26</v>
      </c>
      <c r="E1039" s="34">
        <v>11.936</v>
      </c>
      <c r="F1039" t="s">
        <v>15204</v>
      </c>
      <c r="G1039" t="b">
        <v>0</v>
      </c>
    </row>
    <row r="1040" spans="1:7" x14ac:dyDescent="0.25">
      <c r="A1040" t="s">
        <v>12739</v>
      </c>
      <c r="B1040" s="34">
        <v>2.38056</v>
      </c>
      <c r="C1040" s="34">
        <v>0.19838</v>
      </c>
      <c r="D1040" t="s">
        <v>461</v>
      </c>
      <c r="E1040" s="34">
        <v>11.902799999999999</v>
      </c>
      <c r="F1040" t="s">
        <v>15214</v>
      </c>
      <c r="G1040" t="b">
        <v>0</v>
      </c>
    </row>
    <row r="1041" spans="1:7" x14ac:dyDescent="0.25">
      <c r="A1041" t="s">
        <v>13337</v>
      </c>
      <c r="B1041" s="34">
        <v>2.3742386</v>
      </c>
      <c r="C1041" s="34">
        <v>0.197853216666666</v>
      </c>
      <c r="D1041" t="s">
        <v>385</v>
      </c>
      <c r="E1041" s="34">
        <v>11.871193</v>
      </c>
      <c r="F1041" t="s">
        <v>15807</v>
      </c>
      <c r="G1041" t="b">
        <v>0</v>
      </c>
    </row>
    <row r="1042" spans="1:7" x14ac:dyDescent="0.25">
      <c r="A1042" t="s">
        <v>12545</v>
      </c>
      <c r="B1042" s="34">
        <v>2.3610999999999902</v>
      </c>
      <c r="C1042" s="34">
        <v>0.19675833333333301</v>
      </c>
      <c r="D1042" t="s">
        <v>104</v>
      </c>
      <c r="E1042" s="34">
        <v>11.805499999999901</v>
      </c>
      <c r="F1042" t="s">
        <v>15020</v>
      </c>
      <c r="G1042" t="b">
        <v>0</v>
      </c>
    </row>
    <row r="1043" spans="1:7" x14ac:dyDescent="0.25">
      <c r="A1043" t="s">
        <v>12780</v>
      </c>
      <c r="B1043" s="34">
        <v>2.3547799999999901</v>
      </c>
      <c r="C1043" s="34">
        <v>0.196231666666666</v>
      </c>
      <c r="D1043" t="s">
        <v>456</v>
      </c>
      <c r="E1043" s="34">
        <v>11.7738999999999</v>
      </c>
      <c r="F1043" t="s">
        <v>15255</v>
      </c>
      <c r="G1043" t="b">
        <v>0</v>
      </c>
    </row>
    <row r="1044" spans="1:7" x14ac:dyDescent="0.25">
      <c r="A1044" t="s">
        <v>13388</v>
      </c>
      <c r="B1044" s="34">
        <v>2.3515999999999999</v>
      </c>
      <c r="C1044" s="34">
        <v>0.19596666666666601</v>
      </c>
      <c r="D1044" t="s">
        <v>1240</v>
      </c>
      <c r="E1044" s="34">
        <v>5.8789999999999996</v>
      </c>
      <c r="F1044" t="s">
        <v>15858</v>
      </c>
      <c r="G1044" t="b">
        <v>0</v>
      </c>
    </row>
    <row r="1045" spans="1:7" x14ac:dyDescent="0.25">
      <c r="A1045" t="s">
        <v>13891</v>
      </c>
      <c r="B1045" s="34">
        <v>2.3492599999999899</v>
      </c>
      <c r="C1045" s="34">
        <v>0.19577166666666601</v>
      </c>
      <c r="D1045" t="s">
        <v>35</v>
      </c>
      <c r="E1045" s="34">
        <v>11.7463</v>
      </c>
      <c r="F1045" t="s">
        <v>16358</v>
      </c>
      <c r="G1045" t="b">
        <v>0</v>
      </c>
    </row>
    <row r="1046" spans="1:7" x14ac:dyDescent="0.25">
      <c r="A1046" t="s">
        <v>13300</v>
      </c>
      <c r="B1046" s="34">
        <v>2.3315999999999999</v>
      </c>
      <c r="C1046" s="34">
        <v>0.1943</v>
      </c>
      <c r="D1046" t="s">
        <v>3105</v>
      </c>
      <c r="E1046" s="34">
        <v>11.657999999999999</v>
      </c>
      <c r="F1046" t="s">
        <v>15770</v>
      </c>
      <c r="G1046" t="b">
        <v>0</v>
      </c>
    </row>
    <row r="1047" spans="1:7" x14ac:dyDescent="0.25">
      <c r="A1047" t="s">
        <v>13047</v>
      </c>
      <c r="B1047" s="34">
        <v>2.3300999999999998</v>
      </c>
      <c r="C1047" s="34">
        <v>0.19417499999999999</v>
      </c>
      <c r="D1047" t="s">
        <v>2526</v>
      </c>
      <c r="E1047" s="34">
        <v>11.650499999999999</v>
      </c>
      <c r="F1047" t="s">
        <v>15522</v>
      </c>
      <c r="G1047" t="b">
        <v>0</v>
      </c>
    </row>
    <row r="1048" spans="1:7" x14ac:dyDescent="0.25">
      <c r="A1048" t="s">
        <v>14720</v>
      </c>
      <c r="B1048" s="34">
        <v>2.3296600000000001</v>
      </c>
      <c r="C1048" s="34">
        <v>0.194138333333333</v>
      </c>
      <c r="D1048" t="s">
        <v>318</v>
      </c>
      <c r="E1048" s="34">
        <v>11.648300000000001</v>
      </c>
      <c r="F1048" t="s">
        <v>17171</v>
      </c>
      <c r="G1048" t="b">
        <v>0</v>
      </c>
    </row>
    <row r="1049" spans="1:7" x14ac:dyDescent="0.25">
      <c r="A1049" t="s">
        <v>12968</v>
      </c>
      <c r="B1049" s="34">
        <v>2.3287610999999999</v>
      </c>
      <c r="C1049" s="34">
        <v>0.19406342500000001</v>
      </c>
      <c r="D1049" t="s">
        <v>4083</v>
      </c>
      <c r="E1049" s="34">
        <v>11.643805499999999</v>
      </c>
      <c r="F1049" t="s">
        <v>15443</v>
      </c>
      <c r="G1049" t="b">
        <v>0</v>
      </c>
    </row>
    <row r="1050" spans="1:7" x14ac:dyDescent="0.25">
      <c r="A1050" t="s">
        <v>13788</v>
      </c>
      <c r="B1050" s="34">
        <v>2.3279999999999998</v>
      </c>
      <c r="C1050" s="34">
        <v>0.19400000000000001</v>
      </c>
      <c r="D1050" t="s">
        <v>2267</v>
      </c>
      <c r="E1050" s="34">
        <v>5.82</v>
      </c>
      <c r="F1050" t="s">
        <v>16255</v>
      </c>
      <c r="G1050" t="b">
        <v>0</v>
      </c>
    </row>
    <row r="1051" spans="1:7" x14ac:dyDescent="0.25">
      <c r="A1051" t="s">
        <v>12664</v>
      </c>
      <c r="B1051" s="34">
        <v>2.3128000000000002</v>
      </c>
      <c r="C1051" s="34">
        <v>0.19273333333333301</v>
      </c>
      <c r="D1051" t="s">
        <v>781</v>
      </c>
      <c r="E1051" s="34">
        <v>11.564</v>
      </c>
      <c r="F1051" t="s">
        <v>15139</v>
      </c>
      <c r="G1051" t="b">
        <v>0</v>
      </c>
    </row>
    <row r="1052" spans="1:7" x14ac:dyDescent="0.25">
      <c r="A1052" t="s">
        <v>13196</v>
      </c>
      <c r="B1052" s="34">
        <v>2.3023158000000001</v>
      </c>
      <c r="C1052" s="34">
        <v>0.19185964999999999</v>
      </c>
      <c r="D1052" t="s">
        <v>1013</v>
      </c>
      <c r="E1052" s="34">
        <v>11.511578999999999</v>
      </c>
      <c r="F1052" t="s">
        <v>15670</v>
      </c>
      <c r="G1052" t="b">
        <v>0</v>
      </c>
    </row>
    <row r="1053" spans="1:7" x14ac:dyDescent="0.25">
      <c r="A1053" t="s">
        <v>13833</v>
      </c>
      <c r="B1053" s="34">
        <v>2.2996133999999899</v>
      </c>
      <c r="C1053" s="34">
        <v>0.19163445000000001</v>
      </c>
      <c r="D1053" t="s">
        <v>35</v>
      </c>
      <c r="E1053" s="34">
        <v>11.498067000000001</v>
      </c>
      <c r="F1053" t="s">
        <v>16300</v>
      </c>
      <c r="G1053" t="b">
        <v>0</v>
      </c>
    </row>
    <row r="1054" spans="1:7" x14ac:dyDescent="0.25">
      <c r="A1054" t="s">
        <v>13076</v>
      </c>
      <c r="B1054" s="34">
        <v>2.29949479999999</v>
      </c>
      <c r="C1054" s="34">
        <v>0.191624566666666</v>
      </c>
      <c r="D1054" t="s">
        <v>2267</v>
      </c>
      <c r="E1054" s="34">
        <v>11.497474</v>
      </c>
      <c r="F1054" t="s">
        <v>15551</v>
      </c>
      <c r="G1054" t="b">
        <v>0</v>
      </c>
    </row>
    <row r="1055" spans="1:7" x14ac:dyDescent="0.25">
      <c r="A1055" t="s">
        <v>13960</v>
      </c>
      <c r="B1055" s="34">
        <v>2.29</v>
      </c>
      <c r="C1055" s="34">
        <v>0.19083333333333299</v>
      </c>
      <c r="D1055" t="s">
        <v>409</v>
      </c>
      <c r="E1055" s="34">
        <v>11.4499999999999</v>
      </c>
      <c r="F1055" t="s">
        <v>16427</v>
      </c>
      <c r="G1055" t="b">
        <v>0</v>
      </c>
    </row>
    <row r="1056" spans="1:7" x14ac:dyDescent="0.25">
      <c r="A1056" t="s">
        <v>12908</v>
      </c>
      <c r="B1056" s="34">
        <v>2.2815979</v>
      </c>
      <c r="C1056" s="34">
        <v>0.190133158333333</v>
      </c>
      <c r="D1056" t="s">
        <v>35</v>
      </c>
      <c r="E1056" s="34">
        <v>11.407989499999999</v>
      </c>
      <c r="F1056" t="s">
        <v>15383</v>
      </c>
      <c r="G1056" t="b">
        <v>0</v>
      </c>
    </row>
    <row r="1057" spans="1:7" x14ac:dyDescent="0.25">
      <c r="A1057" t="s">
        <v>13880</v>
      </c>
      <c r="B1057" s="34">
        <v>2.2769599999999999</v>
      </c>
      <c r="C1057" s="34">
        <v>0.18974666666666601</v>
      </c>
      <c r="D1057" t="s">
        <v>35</v>
      </c>
      <c r="E1057" s="34">
        <v>11.3848</v>
      </c>
      <c r="F1057" t="s">
        <v>16347</v>
      </c>
      <c r="G1057" t="b">
        <v>0</v>
      </c>
    </row>
    <row r="1058" spans="1:7" x14ac:dyDescent="0.25">
      <c r="A1058" t="s">
        <v>14705</v>
      </c>
      <c r="B1058" s="34">
        <v>2.2764600000000002</v>
      </c>
      <c r="C1058" s="34">
        <v>0.18970500000000001</v>
      </c>
      <c r="D1058" t="s">
        <v>35</v>
      </c>
      <c r="E1058" s="34">
        <v>11.382300000000001</v>
      </c>
      <c r="F1058" t="s">
        <v>17156</v>
      </c>
      <c r="G1058" t="b">
        <v>0</v>
      </c>
    </row>
    <row r="1059" spans="1:7" x14ac:dyDescent="0.25">
      <c r="A1059" t="s">
        <v>13548</v>
      </c>
      <c r="B1059" s="34">
        <v>2.2740999999999998</v>
      </c>
      <c r="C1059" s="34">
        <v>0.189508333333333</v>
      </c>
      <c r="D1059" t="s">
        <v>35</v>
      </c>
      <c r="E1059" s="34">
        <v>11.3705</v>
      </c>
      <c r="F1059" t="s">
        <v>16017</v>
      </c>
      <c r="G1059" t="b">
        <v>0</v>
      </c>
    </row>
    <row r="1060" spans="1:7" x14ac:dyDescent="0.25">
      <c r="A1060" t="s">
        <v>13041</v>
      </c>
      <c r="B1060" s="34">
        <v>2.2397999999999998</v>
      </c>
      <c r="C1060" s="34">
        <v>0.18665000000000001</v>
      </c>
      <c r="D1060" t="s">
        <v>162</v>
      </c>
      <c r="E1060" s="34">
        <v>11.199</v>
      </c>
      <c r="F1060" t="s">
        <v>15516</v>
      </c>
      <c r="G1060" t="b">
        <v>0</v>
      </c>
    </row>
    <row r="1061" spans="1:7" x14ac:dyDescent="0.25">
      <c r="A1061" t="s">
        <v>14526</v>
      </c>
      <c r="B1061" s="34">
        <v>2.238686</v>
      </c>
      <c r="C1061" s="34">
        <v>0.186557166666666</v>
      </c>
      <c r="D1061" t="s">
        <v>35</v>
      </c>
      <c r="E1061" s="34">
        <v>11.193429999999999</v>
      </c>
      <c r="F1061" t="s">
        <v>16986</v>
      </c>
      <c r="G1061" t="b">
        <v>0</v>
      </c>
    </row>
    <row r="1062" spans="1:7" x14ac:dyDescent="0.25">
      <c r="A1062" t="s">
        <v>12935</v>
      </c>
      <c r="B1062" s="34">
        <v>2.2381000000000002</v>
      </c>
      <c r="C1062" s="34">
        <v>0.186508333333333</v>
      </c>
      <c r="D1062" t="s">
        <v>4135</v>
      </c>
      <c r="E1062" s="34">
        <v>11.190499999999901</v>
      </c>
      <c r="F1062" t="s">
        <v>15410</v>
      </c>
      <c r="G1062" t="b">
        <v>0</v>
      </c>
    </row>
    <row r="1063" spans="1:7" x14ac:dyDescent="0.25">
      <c r="A1063" t="s">
        <v>12520</v>
      </c>
      <c r="B1063" s="34">
        <v>2.2317</v>
      </c>
      <c r="C1063" s="34">
        <v>0.185975</v>
      </c>
      <c r="D1063" t="s">
        <v>97</v>
      </c>
      <c r="E1063" s="34">
        <v>11.1585</v>
      </c>
      <c r="F1063" t="s">
        <v>14995</v>
      </c>
      <c r="G1063" t="b">
        <v>0</v>
      </c>
    </row>
    <row r="1064" spans="1:7" x14ac:dyDescent="0.25">
      <c r="A1064" t="s">
        <v>13444</v>
      </c>
      <c r="B1064" s="34">
        <v>2.2236093000000001</v>
      </c>
      <c r="C1064" s="34">
        <v>0.185300775</v>
      </c>
      <c r="D1064" t="s">
        <v>3079</v>
      </c>
      <c r="E1064" s="34">
        <v>11.118046499999901</v>
      </c>
      <c r="F1064" t="s">
        <v>15913</v>
      </c>
      <c r="G1064" t="b">
        <v>0</v>
      </c>
    </row>
    <row r="1065" spans="1:7" x14ac:dyDescent="0.25">
      <c r="A1065" t="s">
        <v>14356</v>
      </c>
      <c r="B1065" s="34">
        <v>2.2233999999999998</v>
      </c>
      <c r="C1065" s="34">
        <v>0.18528333333333299</v>
      </c>
      <c r="D1065" t="s">
        <v>480</v>
      </c>
      <c r="E1065" s="34">
        <v>11.117000000000001</v>
      </c>
      <c r="F1065" t="s">
        <v>16818</v>
      </c>
      <c r="G1065" t="b">
        <v>0</v>
      </c>
    </row>
    <row r="1066" spans="1:7" x14ac:dyDescent="0.25">
      <c r="A1066" t="s">
        <v>14431</v>
      </c>
      <c r="B1066" s="34">
        <v>2.2153527999999998</v>
      </c>
      <c r="C1066" s="34">
        <v>0.184612733333333</v>
      </c>
      <c r="D1066" t="s">
        <v>35</v>
      </c>
      <c r="E1066" s="34">
        <v>5.5383820000000004</v>
      </c>
      <c r="F1066" t="s">
        <v>16892</v>
      </c>
      <c r="G1066" t="b">
        <v>0</v>
      </c>
    </row>
    <row r="1067" spans="1:7" x14ac:dyDescent="0.25">
      <c r="A1067" t="s">
        <v>14749</v>
      </c>
      <c r="B1067" s="34">
        <v>2.2113</v>
      </c>
      <c r="C1067" s="34">
        <v>0.18427499999999999</v>
      </c>
      <c r="D1067" t="s">
        <v>35</v>
      </c>
      <c r="E1067" s="34">
        <v>5.5282499999999999</v>
      </c>
      <c r="F1067" t="s">
        <v>17198</v>
      </c>
      <c r="G1067" t="b">
        <v>0</v>
      </c>
    </row>
    <row r="1068" spans="1:7" x14ac:dyDescent="0.25">
      <c r="A1068" t="s">
        <v>13733</v>
      </c>
      <c r="B1068" s="34">
        <v>2.2042107999999998</v>
      </c>
      <c r="C1068" s="34">
        <v>0.183684233333333</v>
      </c>
      <c r="D1068" t="s">
        <v>2583</v>
      </c>
      <c r="E1068" s="34">
        <v>11.021053999999999</v>
      </c>
      <c r="F1068" t="s">
        <v>16201</v>
      </c>
      <c r="G1068" t="b">
        <v>0</v>
      </c>
    </row>
    <row r="1069" spans="1:7" x14ac:dyDescent="0.25">
      <c r="A1069" t="s">
        <v>14872</v>
      </c>
      <c r="B1069" s="34">
        <v>2.1989999999999998</v>
      </c>
      <c r="C1069" s="34">
        <v>0.18325</v>
      </c>
      <c r="D1069" t="s">
        <v>122</v>
      </c>
      <c r="E1069" s="34">
        <v>10.994999999999999</v>
      </c>
      <c r="F1069" t="s">
        <v>17308</v>
      </c>
      <c r="G1069" t="b">
        <v>0</v>
      </c>
    </row>
    <row r="1070" spans="1:7" x14ac:dyDescent="0.25">
      <c r="A1070" t="s">
        <v>13560</v>
      </c>
      <c r="B1070" s="34">
        <v>2.1967574179999998</v>
      </c>
      <c r="C1070" s="34">
        <v>0.18306311816666601</v>
      </c>
      <c r="D1070" t="s">
        <v>97</v>
      </c>
      <c r="E1070" s="34">
        <v>10.98378709</v>
      </c>
      <c r="F1070" t="s">
        <v>16029</v>
      </c>
      <c r="G1070" t="b">
        <v>0</v>
      </c>
    </row>
    <row r="1071" spans="1:7" x14ac:dyDescent="0.25">
      <c r="A1071" t="s">
        <v>14061</v>
      </c>
      <c r="B1071" s="34">
        <v>2.1934999999999998</v>
      </c>
      <c r="C1071" s="34">
        <v>0.18279166666666599</v>
      </c>
      <c r="D1071" t="s">
        <v>1451</v>
      </c>
      <c r="E1071" s="34">
        <v>10.967499999999999</v>
      </c>
      <c r="F1071" t="s">
        <v>16528</v>
      </c>
      <c r="G1071" t="b">
        <v>0</v>
      </c>
    </row>
    <row r="1072" spans="1:7" x14ac:dyDescent="0.25">
      <c r="A1072" t="s">
        <v>12786</v>
      </c>
      <c r="B1072" s="34">
        <v>2.18614</v>
      </c>
      <c r="C1072" s="34">
        <v>0.182178333333333</v>
      </c>
      <c r="D1072" t="s">
        <v>424</v>
      </c>
      <c r="E1072" s="34">
        <v>10.9307</v>
      </c>
      <c r="F1072" t="s">
        <v>15261</v>
      </c>
      <c r="G1072" t="b">
        <v>0</v>
      </c>
    </row>
    <row r="1073" spans="1:7" x14ac:dyDescent="0.25">
      <c r="A1073" t="s">
        <v>14496</v>
      </c>
      <c r="B1073" s="34">
        <v>2.1619599999999899</v>
      </c>
      <c r="C1073" s="34">
        <v>0.18016333333333301</v>
      </c>
      <c r="D1073" t="s">
        <v>132</v>
      </c>
      <c r="E1073" s="34">
        <v>5.4048999999999996</v>
      </c>
      <c r="F1073" t="s">
        <v>16956</v>
      </c>
      <c r="G1073" t="b">
        <v>0</v>
      </c>
    </row>
    <row r="1074" spans="1:7" x14ac:dyDescent="0.25">
      <c r="A1074" t="s">
        <v>13122</v>
      </c>
      <c r="B1074" s="34">
        <v>2.1613000000000002</v>
      </c>
      <c r="C1074" s="34">
        <v>0.18010833333333301</v>
      </c>
      <c r="D1074" t="s">
        <v>35</v>
      </c>
      <c r="E1074" s="34">
        <v>10.8064999999999</v>
      </c>
      <c r="F1074" t="s">
        <v>15597</v>
      </c>
      <c r="G1074" t="b">
        <v>0</v>
      </c>
    </row>
    <row r="1075" spans="1:7" x14ac:dyDescent="0.25">
      <c r="A1075" t="s">
        <v>13281</v>
      </c>
      <c r="B1075" s="34">
        <v>2.1545999999999998</v>
      </c>
      <c r="C1075" s="34">
        <v>0.17954999999999999</v>
      </c>
      <c r="D1075" t="s">
        <v>162</v>
      </c>
      <c r="E1075" s="34">
        <v>10.773</v>
      </c>
      <c r="F1075" t="s">
        <v>15753</v>
      </c>
      <c r="G1075" t="b">
        <v>0</v>
      </c>
    </row>
    <row r="1076" spans="1:7" x14ac:dyDescent="0.25">
      <c r="A1076" t="s">
        <v>14410</v>
      </c>
      <c r="B1076" s="34">
        <v>2.14567</v>
      </c>
      <c r="C1076" s="34">
        <v>0.178805833333333</v>
      </c>
      <c r="D1076" t="s">
        <v>390</v>
      </c>
      <c r="E1076" s="34">
        <v>10.728350000000001</v>
      </c>
      <c r="F1076" t="s">
        <v>16871</v>
      </c>
      <c r="G1076" t="b">
        <v>0</v>
      </c>
    </row>
    <row r="1077" spans="1:7" x14ac:dyDescent="0.25">
      <c r="A1077" t="s">
        <v>12958</v>
      </c>
      <c r="B1077" s="34">
        <v>2.1386500000000002</v>
      </c>
      <c r="C1077" s="34">
        <v>0.178220833333333</v>
      </c>
      <c r="D1077" t="s">
        <v>1288</v>
      </c>
      <c r="E1077" s="34">
        <v>10.693250000000001</v>
      </c>
      <c r="F1077" t="s">
        <v>15433</v>
      </c>
      <c r="G1077" t="b">
        <v>0</v>
      </c>
    </row>
    <row r="1078" spans="1:7" x14ac:dyDescent="0.25">
      <c r="A1078" t="s">
        <v>14850</v>
      </c>
      <c r="B1078" s="34">
        <v>2.1343000000000001</v>
      </c>
      <c r="C1078" s="34">
        <v>0.17785833333333301</v>
      </c>
      <c r="D1078" t="s">
        <v>8917</v>
      </c>
      <c r="E1078" s="34">
        <v>10.671499999999901</v>
      </c>
      <c r="F1078" t="s">
        <v>17287</v>
      </c>
      <c r="G1078" t="b">
        <v>0</v>
      </c>
    </row>
    <row r="1079" spans="1:7" x14ac:dyDescent="0.25">
      <c r="A1079" t="s">
        <v>14503</v>
      </c>
      <c r="B1079" s="34">
        <v>2.1295000000000002</v>
      </c>
      <c r="C1079" s="34">
        <v>0.177458333333333</v>
      </c>
      <c r="D1079" t="s">
        <v>239</v>
      </c>
      <c r="E1079" s="34">
        <v>10.647500000000001</v>
      </c>
      <c r="F1079" t="s">
        <v>16963</v>
      </c>
      <c r="G1079" t="b">
        <v>0</v>
      </c>
    </row>
    <row r="1080" spans="1:7" x14ac:dyDescent="0.25">
      <c r="A1080" t="s">
        <v>14418</v>
      </c>
      <c r="B1080" s="34">
        <v>2.1019336000000002</v>
      </c>
      <c r="C1080" s="34">
        <v>0.175161133333333</v>
      </c>
      <c r="D1080" t="s">
        <v>7038</v>
      </c>
      <c r="E1080" s="34">
        <v>10.509668</v>
      </c>
      <c r="F1080" t="s">
        <v>16879</v>
      </c>
      <c r="G1080" t="b">
        <v>0</v>
      </c>
    </row>
    <row r="1081" spans="1:7" x14ac:dyDescent="0.25">
      <c r="A1081" t="s">
        <v>14548</v>
      </c>
      <c r="B1081" s="34">
        <v>2.0985100000000001</v>
      </c>
      <c r="C1081" s="34">
        <v>0.17487583333333301</v>
      </c>
      <c r="D1081" t="s">
        <v>26</v>
      </c>
      <c r="E1081" s="34">
        <v>5.24627499999999</v>
      </c>
      <c r="F1081" t="s">
        <v>17007</v>
      </c>
      <c r="G1081" t="b">
        <v>0</v>
      </c>
    </row>
    <row r="1082" spans="1:7" x14ac:dyDescent="0.25">
      <c r="A1082" t="s">
        <v>14049</v>
      </c>
      <c r="B1082" s="34">
        <v>2.0962000000000001</v>
      </c>
      <c r="C1082" s="34">
        <v>0.174683333333333</v>
      </c>
      <c r="D1082" t="s">
        <v>35</v>
      </c>
      <c r="E1082" s="34">
        <v>10.4809999999999</v>
      </c>
      <c r="F1082" t="s">
        <v>16516</v>
      </c>
      <c r="G1082" t="b">
        <v>0</v>
      </c>
    </row>
    <row r="1083" spans="1:7" x14ac:dyDescent="0.25">
      <c r="A1083" t="s">
        <v>14517</v>
      </c>
      <c r="B1083" s="34">
        <v>2.0943999999999998</v>
      </c>
      <c r="C1083" s="34">
        <v>0.17453333333333301</v>
      </c>
      <c r="D1083" t="s">
        <v>90</v>
      </c>
      <c r="E1083" s="34">
        <v>10.4719999999999</v>
      </c>
      <c r="F1083" t="s">
        <v>16977</v>
      </c>
      <c r="G1083" t="b">
        <v>0</v>
      </c>
    </row>
    <row r="1084" spans="1:7" x14ac:dyDescent="0.25">
      <c r="A1084" t="s">
        <v>14236</v>
      </c>
      <c r="B1084" s="34">
        <v>2.0938355999999998</v>
      </c>
      <c r="C1084" s="34">
        <v>0.17448629999999901</v>
      </c>
      <c r="D1084" t="s">
        <v>26</v>
      </c>
      <c r="E1084" s="34">
        <v>10.469177999999999</v>
      </c>
      <c r="F1084" t="s">
        <v>16700</v>
      </c>
      <c r="G1084" t="b">
        <v>0</v>
      </c>
    </row>
    <row r="1085" spans="1:7" x14ac:dyDescent="0.25">
      <c r="A1085" t="s">
        <v>12928</v>
      </c>
      <c r="B1085" s="34">
        <v>2.0607099999999998</v>
      </c>
      <c r="C1085" s="34">
        <v>0.17172583333333299</v>
      </c>
      <c r="D1085" t="s">
        <v>1064</v>
      </c>
      <c r="E1085" s="34">
        <v>10.30355</v>
      </c>
      <c r="F1085" t="s">
        <v>15403</v>
      </c>
      <c r="G1085" t="b">
        <v>0</v>
      </c>
    </row>
    <row r="1086" spans="1:7" x14ac:dyDescent="0.25">
      <c r="A1086" t="s">
        <v>13636</v>
      </c>
      <c r="B1086" s="34">
        <v>2.0470999999999901</v>
      </c>
      <c r="C1086" s="34">
        <v>0.170591666666666</v>
      </c>
      <c r="D1086" t="s">
        <v>1013</v>
      </c>
      <c r="E1086" s="34">
        <v>10.235499999999901</v>
      </c>
      <c r="F1086" t="s">
        <v>16105</v>
      </c>
      <c r="G1086" t="b">
        <v>0</v>
      </c>
    </row>
    <row r="1087" spans="1:7" x14ac:dyDescent="0.25">
      <c r="A1087" t="s">
        <v>13518</v>
      </c>
      <c r="B1087" s="34">
        <v>2.0439128000000002</v>
      </c>
      <c r="C1087" s="34">
        <v>0.170326066666666</v>
      </c>
      <c r="D1087" t="s">
        <v>35</v>
      </c>
      <c r="E1087" s="34">
        <v>10.219564</v>
      </c>
      <c r="F1087" t="s">
        <v>15987</v>
      </c>
      <c r="G1087" t="b">
        <v>0</v>
      </c>
    </row>
    <row r="1088" spans="1:7" x14ac:dyDescent="0.25">
      <c r="A1088" t="s">
        <v>12771</v>
      </c>
      <c r="B1088" s="34">
        <v>2.0339999999999998</v>
      </c>
      <c r="C1088" s="34">
        <v>0.16950000000000001</v>
      </c>
      <c r="D1088" t="s">
        <v>2137</v>
      </c>
      <c r="E1088" s="34">
        <v>10.17</v>
      </c>
      <c r="F1088" t="s">
        <v>15246</v>
      </c>
      <c r="G1088" t="b">
        <v>0</v>
      </c>
    </row>
    <row r="1089" spans="1:7" x14ac:dyDescent="0.25">
      <c r="A1089" t="s">
        <v>14372</v>
      </c>
      <c r="B1089" s="34">
        <v>2.0257784999999999</v>
      </c>
      <c r="C1089" s="34">
        <v>0.168814875</v>
      </c>
      <c r="D1089" t="s">
        <v>162</v>
      </c>
      <c r="E1089" s="34">
        <v>5.0644462499999996</v>
      </c>
      <c r="F1089" t="s">
        <v>16834</v>
      </c>
      <c r="G1089" t="b">
        <v>0</v>
      </c>
    </row>
    <row r="1090" spans="1:7" x14ac:dyDescent="0.25">
      <c r="A1090" t="s">
        <v>13823</v>
      </c>
      <c r="B1090" s="34">
        <v>2.0224000000000002</v>
      </c>
      <c r="C1090" s="34">
        <v>0.16853333333333301</v>
      </c>
      <c r="D1090" t="s">
        <v>35</v>
      </c>
      <c r="E1090" s="34">
        <v>10.112</v>
      </c>
      <c r="F1090" t="s">
        <v>16290</v>
      </c>
      <c r="G1090" t="b">
        <v>0</v>
      </c>
    </row>
    <row r="1091" spans="1:7" x14ac:dyDescent="0.25">
      <c r="A1091" t="s">
        <v>14050</v>
      </c>
      <c r="B1091" s="34">
        <v>2.0205000000000002</v>
      </c>
      <c r="C1091" s="34">
        <v>0.168375</v>
      </c>
      <c r="D1091" t="s">
        <v>132</v>
      </c>
      <c r="E1091" s="34">
        <v>10.102499999999999</v>
      </c>
      <c r="F1091" t="s">
        <v>16517</v>
      </c>
      <c r="G1091" t="b">
        <v>0</v>
      </c>
    </row>
    <row r="1092" spans="1:7" x14ac:dyDescent="0.25">
      <c r="A1092" t="s">
        <v>13173</v>
      </c>
      <c r="B1092" s="34">
        <v>2.0151569999999999</v>
      </c>
      <c r="C1092" s="34">
        <v>0.16792974999999999</v>
      </c>
      <c r="D1092" t="s">
        <v>35</v>
      </c>
      <c r="E1092" s="34">
        <v>10.075785</v>
      </c>
      <c r="F1092" t="s">
        <v>15647</v>
      </c>
      <c r="G1092" t="b">
        <v>0</v>
      </c>
    </row>
    <row r="1093" spans="1:7" x14ac:dyDescent="0.25">
      <c r="A1093" t="s">
        <v>14754</v>
      </c>
      <c r="B1093" s="34">
        <v>2.00848</v>
      </c>
      <c r="C1093" s="34">
        <v>0.16737333333333301</v>
      </c>
      <c r="D1093" t="s">
        <v>480</v>
      </c>
      <c r="E1093" s="34">
        <v>10.042400000000001</v>
      </c>
      <c r="F1093" t="s">
        <v>17203</v>
      </c>
      <c r="G1093" t="b">
        <v>0</v>
      </c>
    </row>
    <row r="1094" spans="1:7" x14ac:dyDescent="0.25">
      <c r="A1094" t="s">
        <v>13327</v>
      </c>
      <c r="B1094" s="34">
        <v>1.9970154</v>
      </c>
      <c r="C1094" s="34">
        <v>0.16641794999999901</v>
      </c>
      <c r="D1094" t="s">
        <v>3151</v>
      </c>
      <c r="E1094" s="34">
        <v>9.9850770000000004</v>
      </c>
      <c r="F1094" t="s">
        <v>15797</v>
      </c>
      <c r="G1094" t="b">
        <v>0</v>
      </c>
    </row>
    <row r="1095" spans="1:7" x14ac:dyDescent="0.25">
      <c r="A1095" t="s">
        <v>14427</v>
      </c>
      <c r="B1095" s="34">
        <v>1.99298</v>
      </c>
      <c r="C1095" s="34">
        <v>0.16608166666666599</v>
      </c>
      <c r="D1095" t="s">
        <v>480</v>
      </c>
      <c r="E1095" s="34">
        <v>9.9649000000000001</v>
      </c>
      <c r="F1095" t="s">
        <v>16888</v>
      </c>
      <c r="G1095" t="b">
        <v>0</v>
      </c>
    </row>
    <row r="1096" spans="1:7" x14ac:dyDescent="0.25">
      <c r="A1096" t="s">
        <v>12938</v>
      </c>
      <c r="B1096" s="34">
        <v>1.9740306000000001</v>
      </c>
      <c r="C1096" s="34">
        <v>0.16450255</v>
      </c>
      <c r="D1096" t="s">
        <v>122</v>
      </c>
      <c r="E1096" s="34">
        <v>9.8701530000000002</v>
      </c>
      <c r="F1096" t="s">
        <v>15413</v>
      </c>
      <c r="G1096" t="b">
        <v>0</v>
      </c>
    </row>
    <row r="1097" spans="1:7" x14ac:dyDescent="0.25">
      <c r="A1097" t="s">
        <v>14188</v>
      </c>
      <c r="B1097" s="34">
        <v>1.9626619999999999</v>
      </c>
      <c r="C1097" s="34">
        <v>0.163555166666666</v>
      </c>
      <c r="D1097" t="s">
        <v>409</v>
      </c>
      <c r="E1097" s="34">
        <v>9.8133099999999995</v>
      </c>
      <c r="F1097" t="s">
        <v>16652</v>
      </c>
      <c r="G1097" t="b">
        <v>0</v>
      </c>
    </row>
    <row r="1098" spans="1:7" x14ac:dyDescent="0.25">
      <c r="A1098" t="s">
        <v>13267</v>
      </c>
      <c r="B1098" s="34">
        <v>1.9592166</v>
      </c>
      <c r="C1098" s="34">
        <v>0.16326805</v>
      </c>
      <c r="D1098" t="s">
        <v>1013</v>
      </c>
      <c r="E1098" s="34">
        <v>9.7960829999999994</v>
      </c>
      <c r="F1098" t="s">
        <v>15739</v>
      </c>
      <c r="G1098" t="b">
        <v>0</v>
      </c>
    </row>
    <row r="1099" spans="1:7" x14ac:dyDescent="0.25">
      <c r="A1099" t="s">
        <v>13358</v>
      </c>
      <c r="B1099" s="34">
        <v>1.9501949999999899</v>
      </c>
      <c r="C1099" s="34">
        <v>0.16251625</v>
      </c>
      <c r="D1099" t="s">
        <v>1727</v>
      </c>
      <c r="E1099" s="34">
        <v>1.6251625000000001</v>
      </c>
      <c r="F1099" t="s">
        <v>15828</v>
      </c>
      <c r="G1099" t="b">
        <v>0</v>
      </c>
    </row>
    <row r="1100" spans="1:7" x14ac:dyDescent="0.25">
      <c r="A1100" t="s">
        <v>14309</v>
      </c>
      <c r="B1100" s="34">
        <v>1.9480999999999999</v>
      </c>
      <c r="C1100" s="34">
        <v>0.162341666666666</v>
      </c>
      <c r="D1100" t="s">
        <v>132</v>
      </c>
      <c r="E1100" s="34">
        <v>9.7405000000000008</v>
      </c>
      <c r="F1100" t="s">
        <v>16772</v>
      </c>
      <c r="G1100" t="b">
        <v>0</v>
      </c>
    </row>
    <row r="1101" spans="1:7" x14ac:dyDescent="0.25">
      <c r="A1101" t="s">
        <v>13241</v>
      </c>
      <c r="B1101" s="34">
        <v>1.9454</v>
      </c>
      <c r="C1101" s="34">
        <v>0.16211666666666599</v>
      </c>
      <c r="D1101" t="s">
        <v>7844</v>
      </c>
      <c r="E1101" s="34">
        <v>9.7270000000000003</v>
      </c>
      <c r="F1101" t="s">
        <v>15715</v>
      </c>
      <c r="G1101" t="b">
        <v>0</v>
      </c>
    </row>
    <row r="1102" spans="1:7" x14ac:dyDescent="0.25">
      <c r="A1102" t="s">
        <v>13817</v>
      </c>
      <c r="B1102" s="34">
        <v>1.944536</v>
      </c>
      <c r="C1102" s="34">
        <v>0.162044666666666</v>
      </c>
      <c r="D1102" t="s">
        <v>35</v>
      </c>
      <c r="E1102" s="34">
        <v>1.6204466666666599</v>
      </c>
      <c r="F1102" t="s">
        <v>16284</v>
      </c>
      <c r="G1102" t="b">
        <v>0</v>
      </c>
    </row>
    <row r="1103" spans="1:7" x14ac:dyDescent="0.25">
      <c r="A1103" t="s">
        <v>14489</v>
      </c>
      <c r="B1103" s="34">
        <v>1.9439</v>
      </c>
      <c r="C1103" s="34">
        <v>0.16199166666666601</v>
      </c>
      <c r="D1103" t="s">
        <v>215</v>
      </c>
      <c r="E1103" s="34">
        <v>4.85975</v>
      </c>
      <c r="F1103" t="s">
        <v>16949</v>
      </c>
      <c r="G1103" t="b">
        <v>0</v>
      </c>
    </row>
    <row r="1104" spans="1:7" x14ac:dyDescent="0.25">
      <c r="A1104" t="s">
        <v>13667</v>
      </c>
      <c r="B1104" s="34">
        <v>1.9428723000000001</v>
      </c>
      <c r="C1104" s="34">
        <v>0.16190602499999901</v>
      </c>
      <c r="D1104" t="s">
        <v>35</v>
      </c>
      <c r="E1104" s="34">
        <v>9.7143615000000008</v>
      </c>
      <c r="F1104" t="s">
        <v>16135</v>
      </c>
      <c r="G1104" t="b">
        <v>0</v>
      </c>
    </row>
    <row r="1105" spans="1:7" x14ac:dyDescent="0.25">
      <c r="A1105" t="s">
        <v>14005</v>
      </c>
      <c r="B1105" s="34">
        <v>1.9382599999999901</v>
      </c>
      <c r="C1105" s="34">
        <v>0.16152166666666601</v>
      </c>
      <c r="D1105" t="s">
        <v>1240</v>
      </c>
      <c r="E1105" s="34">
        <v>9.6913</v>
      </c>
      <c r="F1105" t="s">
        <v>16472</v>
      </c>
      <c r="G1105" t="b">
        <v>0</v>
      </c>
    </row>
    <row r="1106" spans="1:7" x14ac:dyDescent="0.25">
      <c r="A1106" t="s">
        <v>12952</v>
      </c>
      <c r="B1106" s="34">
        <v>1.9095854000000001</v>
      </c>
      <c r="C1106" s="34">
        <v>0.15913211666666599</v>
      </c>
      <c r="D1106" t="s">
        <v>7482</v>
      </c>
      <c r="E1106" s="34">
        <v>9.5479269999999996</v>
      </c>
      <c r="F1106" t="s">
        <v>15427</v>
      </c>
      <c r="G1106" t="b">
        <v>0</v>
      </c>
    </row>
    <row r="1107" spans="1:7" x14ac:dyDescent="0.25">
      <c r="A1107" t="s">
        <v>14068</v>
      </c>
      <c r="B1107" s="34">
        <v>1.9076</v>
      </c>
      <c r="C1107" s="34">
        <v>0.15896666666666601</v>
      </c>
      <c r="D1107" t="s">
        <v>234</v>
      </c>
      <c r="E1107" s="34">
        <v>9.5380000000000003</v>
      </c>
      <c r="F1107" t="s">
        <v>16535</v>
      </c>
      <c r="G1107" t="b">
        <v>0</v>
      </c>
    </row>
    <row r="1108" spans="1:7" x14ac:dyDescent="0.25">
      <c r="A1108" t="s">
        <v>12962</v>
      </c>
      <c r="B1108" s="34">
        <v>1.8895754</v>
      </c>
      <c r="C1108" s="34">
        <v>0.157464616666666</v>
      </c>
      <c r="D1108" t="s">
        <v>35</v>
      </c>
      <c r="E1108" s="34">
        <v>9.4478770000000001</v>
      </c>
      <c r="F1108" t="s">
        <v>15437</v>
      </c>
      <c r="G1108" t="b">
        <v>0</v>
      </c>
    </row>
    <row r="1109" spans="1:7" x14ac:dyDescent="0.25">
      <c r="A1109" t="s">
        <v>13631</v>
      </c>
      <c r="B1109" s="34">
        <v>1.8832</v>
      </c>
      <c r="C1109" s="34">
        <v>0.15693333333333301</v>
      </c>
      <c r="D1109" t="s">
        <v>11279</v>
      </c>
      <c r="E1109" s="34">
        <v>9.4160000000000004</v>
      </c>
      <c r="F1109" t="s">
        <v>16100</v>
      </c>
      <c r="G1109" t="b">
        <v>0</v>
      </c>
    </row>
    <row r="1110" spans="1:7" x14ac:dyDescent="0.25">
      <c r="A1110" t="s">
        <v>13069</v>
      </c>
      <c r="B1110" s="34">
        <v>1.8794</v>
      </c>
      <c r="C1110" s="34">
        <v>0.15661666666666599</v>
      </c>
      <c r="D1110" t="s">
        <v>663</v>
      </c>
      <c r="E1110" s="34">
        <v>9.3970000000000002</v>
      </c>
      <c r="F1110" t="s">
        <v>15544</v>
      </c>
      <c r="G1110" t="b">
        <v>0</v>
      </c>
    </row>
    <row r="1111" spans="1:7" x14ac:dyDescent="0.25">
      <c r="A1111" t="s">
        <v>14126</v>
      </c>
      <c r="B1111" s="34">
        <v>1.875426</v>
      </c>
      <c r="C1111" s="34">
        <v>0.15628549999999999</v>
      </c>
      <c r="D1111" t="s">
        <v>456</v>
      </c>
      <c r="E1111" s="34">
        <v>9.3771299999999993</v>
      </c>
      <c r="F1111" t="s">
        <v>16593</v>
      </c>
      <c r="G1111" t="b">
        <v>0</v>
      </c>
    </row>
    <row r="1112" spans="1:7" x14ac:dyDescent="0.25">
      <c r="A1112" t="s">
        <v>13555</v>
      </c>
      <c r="B1112" s="34">
        <v>1.8743810999999999</v>
      </c>
      <c r="C1112" s="34">
        <v>0.156198425</v>
      </c>
      <c r="D1112" t="s">
        <v>3198</v>
      </c>
      <c r="E1112" s="34">
        <v>9.3719054999999898</v>
      </c>
      <c r="F1112" t="s">
        <v>16024</v>
      </c>
      <c r="G1112" t="b">
        <v>0</v>
      </c>
    </row>
    <row r="1113" spans="1:7" x14ac:dyDescent="0.25">
      <c r="A1113" t="s">
        <v>14450</v>
      </c>
      <c r="B1113" s="34">
        <v>1.8715999999999999</v>
      </c>
      <c r="C1113" s="34">
        <v>0.155966666666666</v>
      </c>
      <c r="D1113" t="s">
        <v>35</v>
      </c>
      <c r="E1113" s="34">
        <v>9.3579999999999899</v>
      </c>
      <c r="F1113" t="s">
        <v>16910</v>
      </c>
      <c r="G1113" t="b">
        <v>0</v>
      </c>
    </row>
    <row r="1114" spans="1:7" x14ac:dyDescent="0.25">
      <c r="A1114" t="s">
        <v>13103</v>
      </c>
      <c r="B1114" s="34">
        <v>1.86489999999999</v>
      </c>
      <c r="C1114" s="34">
        <v>0.15540833333333301</v>
      </c>
      <c r="D1114" t="s">
        <v>35</v>
      </c>
      <c r="E1114" s="34">
        <v>9.3244999999999898</v>
      </c>
      <c r="F1114" t="s">
        <v>15578</v>
      </c>
      <c r="G1114" t="b">
        <v>0</v>
      </c>
    </row>
    <row r="1115" spans="1:7" x14ac:dyDescent="0.25">
      <c r="A1115" t="s">
        <v>13674</v>
      </c>
      <c r="B1115" s="34">
        <v>1.8546199999999999</v>
      </c>
      <c r="C1115" s="34">
        <v>0.154551666666666</v>
      </c>
      <c r="D1115" t="s">
        <v>35</v>
      </c>
      <c r="E1115" s="34">
        <v>9.2730999999999995</v>
      </c>
      <c r="F1115" t="s">
        <v>16142</v>
      </c>
      <c r="G1115" t="b">
        <v>0</v>
      </c>
    </row>
    <row r="1116" spans="1:7" x14ac:dyDescent="0.25">
      <c r="A1116" t="s">
        <v>13774</v>
      </c>
      <c r="B1116" s="34">
        <v>1.8511613999999901</v>
      </c>
      <c r="C1116" s="34">
        <v>0.15426345</v>
      </c>
      <c r="D1116" t="s">
        <v>26</v>
      </c>
      <c r="E1116" s="34">
        <v>4.6279035000000004</v>
      </c>
      <c r="F1116" t="s">
        <v>16242</v>
      </c>
      <c r="G1116" t="b">
        <v>0</v>
      </c>
    </row>
    <row r="1117" spans="1:7" x14ac:dyDescent="0.25">
      <c r="A1117" t="s">
        <v>13033</v>
      </c>
      <c r="B1117" s="34">
        <v>1.8458993399999899</v>
      </c>
      <c r="C1117" s="34">
        <v>0.15382494499999999</v>
      </c>
      <c r="D1117" t="s">
        <v>35</v>
      </c>
      <c r="E1117" s="34">
        <v>4.6147483499999904</v>
      </c>
      <c r="F1117" t="s">
        <v>15508</v>
      </c>
      <c r="G1117" t="b">
        <v>0</v>
      </c>
    </row>
    <row r="1118" spans="1:7" x14ac:dyDescent="0.25">
      <c r="A1118" t="s">
        <v>14034</v>
      </c>
      <c r="B1118" s="34">
        <v>1.8426218999999999</v>
      </c>
      <c r="C1118" s="34">
        <v>0.153551825</v>
      </c>
      <c r="D1118" t="s">
        <v>883</v>
      </c>
      <c r="E1118" s="34">
        <v>9.2131094999999998</v>
      </c>
      <c r="F1118" t="s">
        <v>16501</v>
      </c>
      <c r="G1118" t="b">
        <v>0</v>
      </c>
    </row>
    <row r="1119" spans="1:7" x14ac:dyDescent="0.25">
      <c r="A1119" t="s">
        <v>12943</v>
      </c>
      <c r="B1119" s="34">
        <v>1.8426001599999999</v>
      </c>
      <c r="C1119" s="34">
        <v>0.15355001333333301</v>
      </c>
      <c r="D1119" t="s">
        <v>35</v>
      </c>
      <c r="E1119" s="34">
        <v>9.2130007999999997</v>
      </c>
      <c r="F1119" t="s">
        <v>15418</v>
      </c>
      <c r="G1119" t="b">
        <v>0</v>
      </c>
    </row>
    <row r="1120" spans="1:7" x14ac:dyDescent="0.25">
      <c r="A1120" t="s">
        <v>13839</v>
      </c>
      <c r="B1120" s="34">
        <v>1.8375600000000001</v>
      </c>
      <c r="C1120" s="34">
        <v>0.15312999999999999</v>
      </c>
      <c r="D1120" t="s">
        <v>26</v>
      </c>
      <c r="E1120" s="34">
        <v>9.1877999999999993</v>
      </c>
      <c r="F1120" t="s">
        <v>16306</v>
      </c>
      <c r="G1120" t="b">
        <v>0</v>
      </c>
    </row>
    <row r="1121" spans="1:7" x14ac:dyDescent="0.25">
      <c r="A1121" t="s">
        <v>12726</v>
      </c>
      <c r="B1121" s="34">
        <v>1.8295999999999999</v>
      </c>
      <c r="C1121" s="34">
        <v>0.152466666666666</v>
      </c>
      <c r="D1121" t="s">
        <v>215</v>
      </c>
      <c r="E1121" s="34">
        <v>9.1479999999999908</v>
      </c>
      <c r="F1121" t="s">
        <v>15201</v>
      </c>
      <c r="G1121" t="b">
        <v>0</v>
      </c>
    </row>
    <row r="1122" spans="1:7" x14ac:dyDescent="0.25">
      <c r="A1122" t="s">
        <v>12702</v>
      </c>
      <c r="B1122" s="34">
        <v>1.829248</v>
      </c>
      <c r="C1122" s="34">
        <v>0.15243733333333301</v>
      </c>
      <c r="D1122" t="s">
        <v>7055</v>
      </c>
      <c r="E1122" s="34">
        <v>9.1462400000000006</v>
      </c>
      <c r="F1122" t="s">
        <v>15177</v>
      </c>
      <c r="G1122" t="b">
        <v>0</v>
      </c>
    </row>
    <row r="1123" spans="1:7" x14ac:dyDescent="0.25">
      <c r="A1123" t="s">
        <v>12944</v>
      </c>
      <c r="B1123" s="34">
        <v>1.8281000000000001</v>
      </c>
      <c r="C1123" s="34">
        <v>0.15234166666666599</v>
      </c>
      <c r="D1123" t="s">
        <v>110</v>
      </c>
      <c r="E1123" s="34">
        <v>9.1404999999999994</v>
      </c>
      <c r="F1123" t="s">
        <v>15419</v>
      </c>
      <c r="G1123" t="b">
        <v>0</v>
      </c>
    </row>
    <row r="1124" spans="1:7" x14ac:dyDescent="0.25">
      <c r="A1124" t="s">
        <v>14196</v>
      </c>
      <c r="B1124" s="34">
        <v>1.82576</v>
      </c>
      <c r="C1124" s="34">
        <v>0.15214666666666599</v>
      </c>
      <c r="D1124" t="s">
        <v>548</v>
      </c>
      <c r="E1124" s="34">
        <v>9.1288</v>
      </c>
      <c r="F1124" t="s">
        <v>16660</v>
      </c>
      <c r="G1124" t="b">
        <v>0</v>
      </c>
    </row>
    <row r="1125" spans="1:7" x14ac:dyDescent="0.25">
      <c r="A1125" t="s">
        <v>14367</v>
      </c>
      <c r="B1125" s="34">
        <v>1.819</v>
      </c>
      <c r="C1125" s="34">
        <v>0.15158333333333299</v>
      </c>
      <c r="D1125" t="s">
        <v>168</v>
      </c>
      <c r="E1125" s="34">
        <v>9.0950000000000006</v>
      </c>
      <c r="F1125" t="s">
        <v>16829</v>
      </c>
      <c r="G1125" t="b">
        <v>0</v>
      </c>
    </row>
    <row r="1126" spans="1:7" x14ac:dyDescent="0.25">
      <c r="A1126" t="s">
        <v>14398</v>
      </c>
      <c r="B1126" s="34">
        <v>1.8117699999999901</v>
      </c>
      <c r="C1126" s="34">
        <v>0.15098083333333301</v>
      </c>
      <c r="D1126" t="s">
        <v>645</v>
      </c>
      <c r="E1126" s="34">
        <v>4.5294249999999998</v>
      </c>
      <c r="F1126" t="s">
        <v>16860</v>
      </c>
      <c r="G1126" t="b">
        <v>0</v>
      </c>
    </row>
    <row r="1127" spans="1:7" x14ac:dyDescent="0.25">
      <c r="A1127" t="s">
        <v>14327</v>
      </c>
      <c r="B1127" s="34">
        <v>1.8113999999999999</v>
      </c>
      <c r="C1127" s="34">
        <v>0.15095</v>
      </c>
      <c r="D1127" t="s">
        <v>1323</v>
      </c>
      <c r="E1127" s="34">
        <v>9.0570000000000004</v>
      </c>
      <c r="F1127" t="s">
        <v>16790</v>
      </c>
      <c r="G1127" t="b">
        <v>0</v>
      </c>
    </row>
    <row r="1128" spans="1:7" x14ac:dyDescent="0.25">
      <c r="A1128" t="s">
        <v>14229</v>
      </c>
      <c r="B1128" s="34">
        <v>1.8053999999999999</v>
      </c>
      <c r="C1128" s="34">
        <v>0.15045</v>
      </c>
      <c r="D1128" t="s">
        <v>132</v>
      </c>
      <c r="E1128" s="34">
        <v>9.0269999999999992</v>
      </c>
      <c r="F1128" t="s">
        <v>16693</v>
      </c>
      <c r="G1128" t="b">
        <v>0</v>
      </c>
    </row>
    <row r="1129" spans="1:7" x14ac:dyDescent="0.25">
      <c r="A1129" t="s">
        <v>14154</v>
      </c>
      <c r="B1129" s="34">
        <v>1.7975958000000001</v>
      </c>
      <c r="C1129" s="34">
        <v>0.14979965000000001</v>
      </c>
      <c r="D1129" t="s">
        <v>1345</v>
      </c>
      <c r="E1129" s="34">
        <v>8.9879789999999993</v>
      </c>
      <c r="F1129" t="s">
        <v>16621</v>
      </c>
      <c r="G1129" t="b">
        <v>0</v>
      </c>
    </row>
    <row r="1130" spans="1:7" x14ac:dyDescent="0.25">
      <c r="A1130" t="s">
        <v>13646</v>
      </c>
      <c r="B1130" s="34">
        <v>1.7951999999999999</v>
      </c>
      <c r="C1130" s="34">
        <v>0.14959999999999901</v>
      </c>
      <c r="D1130" t="s">
        <v>139</v>
      </c>
      <c r="E1130" s="34">
        <v>8.9759999999999902</v>
      </c>
      <c r="F1130" t="s">
        <v>16115</v>
      </c>
      <c r="G1130" t="b">
        <v>0</v>
      </c>
    </row>
    <row r="1131" spans="1:7" x14ac:dyDescent="0.25">
      <c r="A1131" t="s">
        <v>14085</v>
      </c>
      <c r="B1131" s="34">
        <v>1.7866</v>
      </c>
      <c r="C1131" s="34">
        <v>0.14888333333333301</v>
      </c>
      <c r="D1131" t="s">
        <v>1275</v>
      </c>
      <c r="E1131" s="34">
        <v>8.9329999999999998</v>
      </c>
      <c r="F1131" t="s">
        <v>16552</v>
      </c>
      <c r="G1131" t="b">
        <v>0</v>
      </c>
    </row>
    <row r="1132" spans="1:7" x14ac:dyDescent="0.25">
      <c r="A1132" t="s">
        <v>12747</v>
      </c>
      <c r="B1132" s="34">
        <v>1.7854000000000001</v>
      </c>
      <c r="C1132" s="34">
        <v>0.14878333333333299</v>
      </c>
      <c r="D1132" t="s">
        <v>3863</v>
      </c>
      <c r="E1132" s="34">
        <v>8.9269999999999996</v>
      </c>
      <c r="F1132" t="s">
        <v>15222</v>
      </c>
      <c r="G1132" t="b">
        <v>0</v>
      </c>
    </row>
    <row r="1133" spans="1:7" x14ac:dyDescent="0.25">
      <c r="A1133" t="s">
        <v>13635</v>
      </c>
      <c r="B1133" s="34">
        <v>1.78199999999999</v>
      </c>
      <c r="C1133" s="34">
        <v>0.14849999999999999</v>
      </c>
      <c r="D1133" t="s">
        <v>35</v>
      </c>
      <c r="E1133" s="34">
        <v>8.91</v>
      </c>
      <c r="F1133" t="s">
        <v>16104</v>
      </c>
      <c r="G1133" t="b">
        <v>0</v>
      </c>
    </row>
    <row r="1134" spans="1:7" x14ac:dyDescent="0.25">
      <c r="A1134" t="s">
        <v>14104</v>
      </c>
      <c r="B1134" s="34">
        <v>1.77728</v>
      </c>
      <c r="C1134" s="34">
        <v>0.148106666666666</v>
      </c>
      <c r="D1134" t="s">
        <v>84</v>
      </c>
      <c r="E1134" s="34">
        <v>8.8864000000000001</v>
      </c>
      <c r="F1134" t="s">
        <v>16571</v>
      </c>
      <c r="G1134" t="b">
        <v>0</v>
      </c>
    </row>
    <row r="1135" spans="1:7" x14ac:dyDescent="0.25">
      <c r="A1135" t="s">
        <v>12784</v>
      </c>
      <c r="B1135" s="34">
        <v>1.7763599999999999</v>
      </c>
      <c r="C1135" s="34">
        <v>0.14802999999999999</v>
      </c>
      <c r="D1135" t="s">
        <v>13</v>
      </c>
      <c r="E1135" s="34">
        <v>8.8818000000000001</v>
      </c>
      <c r="F1135" t="s">
        <v>15259</v>
      </c>
      <c r="G1135" t="b">
        <v>0</v>
      </c>
    </row>
    <row r="1136" spans="1:7" x14ac:dyDescent="0.25">
      <c r="A1136" t="s">
        <v>13248</v>
      </c>
      <c r="B1136" s="34">
        <v>1.7748999999999999</v>
      </c>
      <c r="C1136" s="34">
        <v>0.147908333333333</v>
      </c>
      <c r="D1136" t="s">
        <v>1323</v>
      </c>
      <c r="E1136" s="34">
        <v>8.8744999999999994</v>
      </c>
      <c r="F1136" t="s">
        <v>15721</v>
      </c>
      <c r="G1136" t="b">
        <v>0</v>
      </c>
    </row>
    <row r="1137" spans="1:7" x14ac:dyDescent="0.25">
      <c r="A1137" t="s">
        <v>12980</v>
      </c>
      <c r="B1137" s="34">
        <v>1.7726336</v>
      </c>
      <c r="C1137" s="34">
        <v>0.14771946666666599</v>
      </c>
      <c r="D1137" t="s">
        <v>3151</v>
      </c>
      <c r="E1137" s="34">
        <v>8.8631679999999999</v>
      </c>
      <c r="F1137" t="s">
        <v>15455</v>
      </c>
      <c r="G1137" t="b">
        <v>0</v>
      </c>
    </row>
    <row r="1138" spans="1:7" x14ac:dyDescent="0.25">
      <c r="A1138" t="s">
        <v>14302</v>
      </c>
      <c r="B1138" s="34">
        <v>1.7724</v>
      </c>
      <c r="C1138" s="34">
        <v>0.1477</v>
      </c>
      <c r="D1138" t="s">
        <v>375</v>
      </c>
      <c r="E1138" s="34">
        <v>8.8620000000000001</v>
      </c>
      <c r="F1138" t="s">
        <v>16765</v>
      </c>
      <c r="G1138" t="b">
        <v>0</v>
      </c>
    </row>
    <row r="1139" spans="1:7" x14ac:dyDescent="0.25">
      <c r="A1139" t="s">
        <v>12825</v>
      </c>
      <c r="B1139" s="34">
        <v>1.7647999999999999</v>
      </c>
      <c r="C1139" s="34">
        <v>0.14706666666666601</v>
      </c>
      <c r="D1139" t="s">
        <v>904</v>
      </c>
      <c r="E1139" s="34">
        <v>8.8239999999999998</v>
      </c>
      <c r="F1139" t="s">
        <v>15300</v>
      </c>
      <c r="G1139" t="b">
        <v>0</v>
      </c>
    </row>
    <row r="1140" spans="1:7" x14ac:dyDescent="0.25">
      <c r="A1140" t="s">
        <v>13782</v>
      </c>
      <c r="B1140" s="34">
        <v>1.7628999999999999</v>
      </c>
      <c r="C1140" s="34">
        <v>0.146908333333333</v>
      </c>
      <c r="D1140" t="s">
        <v>3105</v>
      </c>
      <c r="E1140" s="34">
        <v>8.8145000000000007</v>
      </c>
      <c r="F1140" t="s">
        <v>16249</v>
      </c>
      <c r="G1140" t="b">
        <v>0</v>
      </c>
    </row>
    <row r="1141" spans="1:7" x14ac:dyDescent="0.25">
      <c r="A1141" t="s">
        <v>12822</v>
      </c>
      <c r="B1141" s="34">
        <v>1.7578499999999899</v>
      </c>
      <c r="C1141" s="34">
        <v>0.14648749999999899</v>
      </c>
      <c r="D1141" t="s">
        <v>1787</v>
      </c>
      <c r="E1141" s="34">
        <v>8.7892499999999902</v>
      </c>
      <c r="F1141" t="s">
        <v>15297</v>
      </c>
      <c r="G1141" t="b">
        <v>0</v>
      </c>
    </row>
    <row r="1142" spans="1:7" x14ac:dyDescent="0.25">
      <c r="A1142" t="s">
        <v>14472</v>
      </c>
      <c r="B1142" s="34">
        <v>1.75554999999999</v>
      </c>
      <c r="C1142" s="34">
        <v>0.14629583333333299</v>
      </c>
      <c r="D1142" t="s">
        <v>139</v>
      </c>
      <c r="E1142" s="34">
        <v>8.7777499999999904</v>
      </c>
      <c r="F1142" t="s">
        <v>16932</v>
      </c>
      <c r="G1142" t="b">
        <v>0</v>
      </c>
    </row>
    <row r="1143" spans="1:7" x14ac:dyDescent="0.25">
      <c r="A1143" t="s">
        <v>13210</v>
      </c>
      <c r="B1143" s="34">
        <v>1.7505599999999899</v>
      </c>
      <c r="C1143" s="34">
        <v>0.14587999999999901</v>
      </c>
      <c r="D1143" t="s">
        <v>1209</v>
      </c>
      <c r="E1143" s="34">
        <v>8.7527999999999899</v>
      </c>
      <c r="F1143" t="s">
        <v>15684</v>
      </c>
      <c r="G1143" t="b">
        <v>0</v>
      </c>
    </row>
    <row r="1144" spans="1:7" x14ac:dyDescent="0.25">
      <c r="A1144" t="s">
        <v>14380</v>
      </c>
      <c r="B1144" s="34">
        <v>1.7498</v>
      </c>
      <c r="C1144" s="34">
        <v>0.14581666666666601</v>
      </c>
      <c r="D1144" t="s">
        <v>26</v>
      </c>
      <c r="E1144" s="34">
        <v>8.7490000000000006</v>
      </c>
      <c r="F1144" t="s">
        <v>16842</v>
      </c>
      <c r="G1144" t="b">
        <v>0</v>
      </c>
    </row>
    <row r="1145" spans="1:7" x14ac:dyDescent="0.25">
      <c r="A1145" t="s">
        <v>12597</v>
      </c>
      <c r="B1145" s="34">
        <v>1.7486751</v>
      </c>
      <c r="C1145" s="34">
        <v>0.145722925</v>
      </c>
      <c r="D1145" t="s">
        <v>35</v>
      </c>
      <c r="E1145" s="34">
        <v>1.7486751</v>
      </c>
      <c r="F1145" t="s">
        <v>15072</v>
      </c>
      <c r="G1145" t="b">
        <v>0</v>
      </c>
    </row>
    <row r="1146" spans="1:7" x14ac:dyDescent="0.25">
      <c r="A1146" t="s">
        <v>12712</v>
      </c>
      <c r="B1146" s="34">
        <v>1.7443599999999899</v>
      </c>
      <c r="C1146" s="34">
        <v>0.14536333333333301</v>
      </c>
      <c r="D1146" t="s">
        <v>2287</v>
      </c>
      <c r="E1146" s="34">
        <v>8.7217999999999893</v>
      </c>
      <c r="F1146" t="s">
        <v>15187</v>
      </c>
      <c r="G1146" t="b">
        <v>0</v>
      </c>
    </row>
    <row r="1147" spans="1:7" x14ac:dyDescent="0.25">
      <c r="A1147" t="s">
        <v>12632</v>
      </c>
      <c r="B1147" s="34">
        <v>1.74420199999999</v>
      </c>
      <c r="C1147" s="34">
        <v>0.145350166666666</v>
      </c>
      <c r="D1147" t="s">
        <v>35</v>
      </c>
      <c r="E1147" s="34">
        <v>1.744202</v>
      </c>
      <c r="F1147" t="s">
        <v>15107</v>
      </c>
      <c r="G1147" t="b">
        <v>0</v>
      </c>
    </row>
    <row r="1148" spans="1:7" x14ac:dyDescent="0.25">
      <c r="A1148" t="s">
        <v>12815</v>
      </c>
      <c r="B1148" s="34">
        <v>1.7432399999999999</v>
      </c>
      <c r="C1148" s="34">
        <v>0.14527000000000001</v>
      </c>
      <c r="D1148" t="s">
        <v>35</v>
      </c>
      <c r="E1148" s="34">
        <v>8.7162000000000006</v>
      </c>
      <c r="F1148" t="s">
        <v>15290</v>
      </c>
      <c r="G1148" t="b">
        <v>0</v>
      </c>
    </row>
    <row r="1149" spans="1:7" x14ac:dyDescent="0.25">
      <c r="A1149" t="s">
        <v>14561</v>
      </c>
      <c r="B1149" s="34">
        <v>1.7394000000000001</v>
      </c>
      <c r="C1149" s="34">
        <v>0.14495</v>
      </c>
      <c r="D1149" t="s">
        <v>132</v>
      </c>
      <c r="E1149" s="34">
        <v>4.3484999999999996</v>
      </c>
      <c r="F1149" t="s">
        <v>17020</v>
      </c>
      <c r="G1149" t="b">
        <v>0</v>
      </c>
    </row>
    <row r="1150" spans="1:7" x14ac:dyDescent="0.25">
      <c r="A1150" t="s">
        <v>12972</v>
      </c>
      <c r="B1150" s="34">
        <v>1.7373449999999999</v>
      </c>
      <c r="C1150" s="34">
        <v>0.14477874999999901</v>
      </c>
      <c r="D1150" t="s">
        <v>253</v>
      </c>
      <c r="E1150" s="34">
        <v>8.6867249999999991</v>
      </c>
      <c r="F1150" t="s">
        <v>15447</v>
      </c>
      <c r="G1150" t="b">
        <v>0</v>
      </c>
    </row>
    <row r="1151" spans="1:7" x14ac:dyDescent="0.25">
      <c r="A1151" t="s">
        <v>13708</v>
      </c>
      <c r="B1151" s="34">
        <v>1.737206</v>
      </c>
      <c r="C1151" s="34">
        <v>0.144767166666666</v>
      </c>
      <c r="D1151" t="s">
        <v>1064</v>
      </c>
      <c r="E1151" s="34">
        <v>4.3430150000000003</v>
      </c>
      <c r="F1151" t="s">
        <v>16176</v>
      </c>
      <c r="G1151" t="b">
        <v>0</v>
      </c>
    </row>
    <row r="1152" spans="1:7" x14ac:dyDescent="0.25">
      <c r="A1152" t="s">
        <v>12760</v>
      </c>
      <c r="B1152" s="34">
        <v>1.7347999999999999</v>
      </c>
      <c r="C1152" s="34">
        <v>0.14456666666666601</v>
      </c>
      <c r="D1152" t="s">
        <v>1345</v>
      </c>
      <c r="E1152" s="34">
        <v>8.6739999999999995</v>
      </c>
      <c r="F1152" t="s">
        <v>15235</v>
      </c>
      <c r="G1152" t="b">
        <v>0</v>
      </c>
    </row>
    <row r="1153" spans="1:7" x14ac:dyDescent="0.25">
      <c r="A1153" t="s">
        <v>14342</v>
      </c>
      <c r="B1153" s="34">
        <v>1.7343999999999899</v>
      </c>
      <c r="C1153" s="34">
        <v>0.14453333333333299</v>
      </c>
      <c r="D1153" t="s">
        <v>2287</v>
      </c>
      <c r="E1153" s="34">
        <v>8.6719999999999899</v>
      </c>
      <c r="F1153" t="s">
        <v>16805</v>
      </c>
      <c r="G1153" t="b">
        <v>0</v>
      </c>
    </row>
    <row r="1154" spans="1:7" x14ac:dyDescent="0.25">
      <c r="A1154" t="s">
        <v>12888</v>
      </c>
      <c r="B1154" s="34">
        <v>1.7330000000000001</v>
      </c>
      <c r="C1154" s="34">
        <v>0.144416666666666</v>
      </c>
      <c r="D1154" t="s">
        <v>239</v>
      </c>
      <c r="E1154" s="34">
        <v>8.6649999999999991</v>
      </c>
      <c r="F1154" t="s">
        <v>15363</v>
      </c>
      <c r="G1154" t="b">
        <v>0</v>
      </c>
    </row>
    <row r="1155" spans="1:7" x14ac:dyDescent="0.25">
      <c r="A1155" t="s">
        <v>14247</v>
      </c>
      <c r="B1155" s="34">
        <v>1.73</v>
      </c>
      <c r="C1155" s="34">
        <v>0.144166666666666</v>
      </c>
      <c r="D1155" t="s">
        <v>168</v>
      </c>
      <c r="E1155" s="34">
        <v>8.65</v>
      </c>
      <c r="F1155" t="s">
        <v>16711</v>
      </c>
      <c r="G1155" t="b">
        <v>0</v>
      </c>
    </row>
    <row r="1156" spans="1:7" x14ac:dyDescent="0.25">
      <c r="A1156" t="s">
        <v>14304</v>
      </c>
      <c r="B1156" s="34">
        <v>1.7299081999999999</v>
      </c>
      <c r="C1156" s="34">
        <v>0.144159016666666</v>
      </c>
      <c r="D1156" t="s">
        <v>471</v>
      </c>
      <c r="E1156" s="34">
        <v>8.6495409999999993</v>
      </c>
      <c r="F1156" t="s">
        <v>16767</v>
      </c>
      <c r="G1156" t="b">
        <v>0</v>
      </c>
    </row>
    <row r="1157" spans="1:7" x14ac:dyDescent="0.25">
      <c r="A1157" t="s">
        <v>14167</v>
      </c>
      <c r="B1157" s="34">
        <v>1.7294</v>
      </c>
      <c r="C1157" s="34">
        <v>0.144116666666666</v>
      </c>
      <c r="D1157" t="s">
        <v>480</v>
      </c>
      <c r="E1157" s="34">
        <v>8.6470000000000002</v>
      </c>
      <c r="F1157" t="s">
        <v>16634</v>
      </c>
      <c r="G1157" t="b">
        <v>0</v>
      </c>
    </row>
    <row r="1158" spans="1:7" x14ac:dyDescent="0.25">
      <c r="A1158" t="s">
        <v>12756</v>
      </c>
      <c r="B1158" s="34">
        <v>1.7292548000000001</v>
      </c>
      <c r="C1158" s="34">
        <v>0.14410456666666599</v>
      </c>
      <c r="D1158" t="s">
        <v>566</v>
      </c>
      <c r="E1158" s="34">
        <v>8.646274</v>
      </c>
      <c r="F1158" t="s">
        <v>15231</v>
      </c>
      <c r="G1158" t="b">
        <v>0</v>
      </c>
    </row>
    <row r="1159" spans="1:7" x14ac:dyDescent="0.25">
      <c r="A1159" t="s">
        <v>14406</v>
      </c>
      <c r="B1159" s="34">
        <v>1.7181999999999999</v>
      </c>
      <c r="C1159" s="34">
        <v>0.143183333333333</v>
      </c>
      <c r="D1159" t="s">
        <v>35</v>
      </c>
      <c r="E1159" s="34">
        <v>8.5909999999999993</v>
      </c>
      <c r="F1159" t="s">
        <v>16868</v>
      </c>
      <c r="G1159" t="b">
        <v>0</v>
      </c>
    </row>
    <row r="1160" spans="1:7" x14ac:dyDescent="0.25">
      <c r="A1160" t="s">
        <v>13207</v>
      </c>
      <c r="B1160" s="34">
        <v>1.7091000000000001</v>
      </c>
      <c r="C1160" s="34">
        <v>0.142425</v>
      </c>
      <c r="D1160" t="s">
        <v>928</v>
      </c>
      <c r="E1160" s="34">
        <v>4.2727500000000003</v>
      </c>
      <c r="F1160" t="s">
        <v>15681</v>
      </c>
      <c r="G1160" t="b">
        <v>0</v>
      </c>
    </row>
    <row r="1161" spans="1:7" x14ac:dyDescent="0.25">
      <c r="A1161" t="s">
        <v>12540</v>
      </c>
      <c r="B1161" s="34">
        <v>1.7035</v>
      </c>
      <c r="C1161" s="34">
        <v>0.14195833333333299</v>
      </c>
      <c r="D1161" t="s">
        <v>11857</v>
      </c>
      <c r="E1161" s="34">
        <v>8.5175000000000001</v>
      </c>
      <c r="F1161" t="s">
        <v>15015</v>
      </c>
      <c r="G1161" t="b">
        <v>0</v>
      </c>
    </row>
    <row r="1162" spans="1:7" x14ac:dyDescent="0.25">
      <c r="A1162" t="s">
        <v>12834</v>
      </c>
      <c r="B1162" s="34">
        <v>1.6968000000000001</v>
      </c>
      <c r="C1162" s="34">
        <v>0.1414</v>
      </c>
      <c r="D1162" t="s">
        <v>1451</v>
      </c>
      <c r="E1162" s="34">
        <v>8.484</v>
      </c>
      <c r="F1162" t="s">
        <v>15309</v>
      </c>
      <c r="G1162" t="b">
        <v>0</v>
      </c>
    </row>
    <row r="1163" spans="1:7" x14ac:dyDescent="0.25">
      <c r="A1163" t="s">
        <v>14178</v>
      </c>
      <c r="B1163" s="34">
        <v>1.68277999999999</v>
      </c>
      <c r="C1163" s="34">
        <v>0.140231666666666</v>
      </c>
      <c r="D1163" t="s">
        <v>90</v>
      </c>
      <c r="E1163" s="34">
        <v>8.4138999999999893</v>
      </c>
      <c r="F1163" t="s">
        <v>16644</v>
      </c>
      <c r="G1163" t="b">
        <v>0</v>
      </c>
    </row>
    <row r="1164" spans="1:7" x14ac:dyDescent="0.25">
      <c r="A1164" t="s">
        <v>13226</v>
      </c>
      <c r="B1164" s="34">
        <v>1.67891999999999</v>
      </c>
      <c r="C1164" s="34">
        <v>0.13990999999999901</v>
      </c>
      <c r="D1164" t="s">
        <v>385</v>
      </c>
      <c r="E1164" s="34">
        <v>8.3945999999999898</v>
      </c>
      <c r="F1164" t="s">
        <v>15700</v>
      </c>
      <c r="G1164" t="b">
        <v>0</v>
      </c>
    </row>
    <row r="1165" spans="1:7" x14ac:dyDescent="0.25">
      <c r="A1165" t="s">
        <v>12576</v>
      </c>
      <c r="B1165" s="34">
        <v>1.6692</v>
      </c>
      <c r="C1165" s="34">
        <v>0.1391</v>
      </c>
      <c r="D1165" t="s">
        <v>35</v>
      </c>
      <c r="E1165" s="34">
        <v>8.3460000000000001</v>
      </c>
      <c r="F1165" t="s">
        <v>15051</v>
      </c>
      <c r="G1165" t="b">
        <v>0</v>
      </c>
    </row>
    <row r="1166" spans="1:7" x14ac:dyDescent="0.25">
      <c r="A1166" t="s">
        <v>13228</v>
      </c>
      <c r="B1166" s="34">
        <v>1.66685999999999</v>
      </c>
      <c r="C1166" s="34">
        <v>0.138904999999999</v>
      </c>
      <c r="D1166" t="s">
        <v>67</v>
      </c>
      <c r="E1166" s="34">
        <v>8.33429999999999</v>
      </c>
      <c r="F1166" t="s">
        <v>15702</v>
      </c>
      <c r="G1166" t="b">
        <v>0</v>
      </c>
    </row>
    <row r="1167" spans="1:7" x14ac:dyDescent="0.25">
      <c r="A1167" t="s">
        <v>13106</v>
      </c>
      <c r="B1167" s="34">
        <v>1.6459999999999999</v>
      </c>
      <c r="C1167" s="34">
        <v>0.13716666666666599</v>
      </c>
      <c r="D1167" t="s">
        <v>4338</v>
      </c>
      <c r="E1167" s="34">
        <v>8.23</v>
      </c>
      <c r="F1167" t="s">
        <v>15581</v>
      </c>
      <c r="G1167" t="b">
        <v>0</v>
      </c>
    </row>
    <row r="1168" spans="1:7" x14ac:dyDescent="0.25">
      <c r="A1168" t="s">
        <v>14242</v>
      </c>
      <c r="B1168" s="34">
        <v>1.6437739999999901</v>
      </c>
      <c r="C1168" s="34">
        <v>0.13698116666666599</v>
      </c>
      <c r="D1168" t="s">
        <v>853</v>
      </c>
      <c r="E1168" s="34">
        <v>8.2188699999999901</v>
      </c>
      <c r="F1168" t="s">
        <v>16706</v>
      </c>
      <c r="G1168" t="b">
        <v>0</v>
      </c>
    </row>
    <row r="1169" spans="1:7" x14ac:dyDescent="0.25">
      <c r="A1169" t="s">
        <v>14479</v>
      </c>
      <c r="B1169" s="34">
        <v>1.6339999999999999</v>
      </c>
      <c r="C1169" s="34">
        <v>0.13616666666666599</v>
      </c>
      <c r="D1169" t="s">
        <v>2178</v>
      </c>
      <c r="E1169" s="34">
        <v>8.17</v>
      </c>
      <c r="F1169" t="s">
        <v>16939</v>
      </c>
      <c r="G1169" t="b">
        <v>0</v>
      </c>
    </row>
    <row r="1170" spans="1:7" x14ac:dyDescent="0.25">
      <c r="A1170" t="s">
        <v>14568</v>
      </c>
      <c r="B1170" s="34">
        <v>1.6277291999999901</v>
      </c>
      <c r="C1170" s="34">
        <v>0.13564409999999899</v>
      </c>
      <c r="D1170" t="s">
        <v>1611</v>
      </c>
      <c r="E1170" s="34">
        <v>8.1386459999999907</v>
      </c>
      <c r="F1170" t="s">
        <v>17025</v>
      </c>
      <c r="G1170" t="b">
        <v>0</v>
      </c>
    </row>
    <row r="1171" spans="1:7" x14ac:dyDescent="0.25">
      <c r="A1171" t="s">
        <v>13467</v>
      </c>
      <c r="B1171" s="34">
        <v>1.62618</v>
      </c>
      <c r="C1171" s="34">
        <v>0.135515</v>
      </c>
      <c r="D1171" t="s">
        <v>385</v>
      </c>
      <c r="E1171" s="34">
        <v>8.1309000000000005</v>
      </c>
      <c r="F1171" t="s">
        <v>15936</v>
      </c>
      <c r="G1171" t="b">
        <v>0</v>
      </c>
    </row>
    <row r="1172" spans="1:7" x14ac:dyDescent="0.25">
      <c r="A1172" t="s">
        <v>14696</v>
      </c>
      <c r="B1172" s="34">
        <v>1.6248400000000001</v>
      </c>
      <c r="C1172" s="34">
        <v>0.13540333333333299</v>
      </c>
      <c r="D1172" t="s">
        <v>853</v>
      </c>
      <c r="E1172" s="34">
        <v>8.1242000000000001</v>
      </c>
      <c r="F1172" t="s">
        <v>17148</v>
      </c>
      <c r="G1172" t="b">
        <v>0</v>
      </c>
    </row>
    <row r="1173" spans="1:7" x14ac:dyDescent="0.25">
      <c r="A1173" t="s">
        <v>14580</v>
      </c>
      <c r="B1173" s="34">
        <v>1.6222381399999899</v>
      </c>
      <c r="C1173" s="34">
        <v>0.13518651166666601</v>
      </c>
      <c r="D1173" t="s">
        <v>424</v>
      </c>
      <c r="E1173" s="34">
        <v>4.0555953499999902</v>
      </c>
      <c r="F1173" t="s">
        <v>17037</v>
      </c>
      <c r="G1173" t="b">
        <v>0</v>
      </c>
    </row>
    <row r="1174" spans="1:7" x14ac:dyDescent="0.25">
      <c r="A1174" t="s">
        <v>12806</v>
      </c>
      <c r="B1174" s="34">
        <v>1.62114</v>
      </c>
      <c r="C1174" s="34">
        <v>0.13509499999999999</v>
      </c>
      <c r="D1174" t="s">
        <v>104</v>
      </c>
      <c r="E1174" s="34">
        <v>8.1057000000000006</v>
      </c>
      <c r="F1174" t="s">
        <v>15281</v>
      </c>
      <c r="G1174" t="b">
        <v>0</v>
      </c>
    </row>
    <row r="1175" spans="1:7" x14ac:dyDescent="0.25">
      <c r="A1175" t="s">
        <v>14179</v>
      </c>
      <c r="B1175" s="34">
        <v>1.6099000000000001</v>
      </c>
      <c r="C1175" s="34">
        <v>0.13415833333333299</v>
      </c>
      <c r="D1175" t="s">
        <v>35</v>
      </c>
      <c r="E1175" s="34">
        <v>8.0495000000000001</v>
      </c>
      <c r="F1175" t="s">
        <v>16645</v>
      </c>
      <c r="G1175" t="b">
        <v>0</v>
      </c>
    </row>
    <row r="1176" spans="1:7" x14ac:dyDescent="0.25">
      <c r="A1176" t="s">
        <v>14529</v>
      </c>
      <c r="B1176" s="34">
        <v>1.6080893999999999</v>
      </c>
      <c r="C1176" s="34">
        <v>0.134007449999999</v>
      </c>
      <c r="D1176" t="s">
        <v>35</v>
      </c>
      <c r="E1176" s="34">
        <v>4.0202235000000002</v>
      </c>
      <c r="F1176" t="s">
        <v>16989</v>
      </c>
      <c r="G1176" t="b">
        <v>0</v>
      </c>
    </row>
    <row r="1177" spans="1:7" x14ac:dyDescent="0.25">
      <c r="A1177" t="s">
        <v>12668</v>
      </c>
      <c r="B1177" s="34">
        <v>1.6045681000000001</v>
      </c>
      <c r="C1177" s="34">
        <v>0.133714008333333</v>
      </c>
      <c r="D1177" t="s">
        <v>35</v>
      </c>
      <c r="E1177" s="34">
        <v>8.0228404999999992</v>
      </c>
      <c r="F1177" t="s">
        <v>15143</v>
      </c>
      <c r="G1177" t="b">
        <v>0</v>
      </c>
    </row>
    <row r="1178" spans="1:7" x14ac:dyDescent="0.25">
      <c r="A1178" t="s">
        <v>13024</v>
      </c>
      <c r="B1178" s="34">
        <v>1.5942400000000001</v>
      </c>
      <c r="C1178" s="34">
        <v>0.13285333333333299</v>
      </c>
      <c r="D1178" t="s">
        <v>35</v>
      </c>
      <c r="E1178" s="34">
        <v>7.9711999999999996</v>
      </c>
      <c r="F1178" t="s">
        <v>15499</v>
      </c>
      <c r="G1178" t="b">
        <v>0</v>
      </c>
    </row>
    <row r="1179" spans="1:7" x14ac:dyDescent="0.25">
      <c r="A1179" t="s">
        <v>12745</v>
      </c>
      <c r="B1179" s="34">
        <v>1.5889038</v>
      </c>
      <c r="C1179" s="34">
        <v>0.13240864999999999</v>
      </c>
      <c r="D1179" t="s">
        <v>526</v>
      </c>
      <c r="E1179" s="34">
        <v>7.9445189999999997</v>
      </c>
      <c r="F1179" t="s">
        <v>15220</v>
      </c>
      <c r="G1179" t="b">
        <v>0</v>
      </c>
    </row>
    <row r="1180" spans="1:7" x14ac:dyDescent="0.25">
      <c r="A1180" t="s">
        <v>14528</v>
      </c>
      <c r="B1180" s="34">
        <v>1.5850959999999901</v>
      </c>
      <c r="C1180" s="34">
        <v>0.13209133333333301</v>
      </c>
      <c r="D1180" t="s">
        <v>26</v>
      </c>
      <c r="E1180" s="34">
        <v>7.9254799999999896</v>
      </c>
      <c r="F1180" t="s">
        <v>16988</v>
      </c>
      <c r="G1180" t="b">
        <v>0</v>
      </c>
    </row>
    <row r="1181" spans="1:7" x14ac:dyDescent="0.25">
      <c r="A1181" t="s">
        <v>13092</v>
      </c>
      <c r="B1181" s="34">
        <v>1.5833699999999999</v>
      </c>
      <c r="C1181" s="34">
        <v>0.1319475</v>
      </c>
      <c r="D1181" t="s">
        <v>883</v>
      </c>
      <c r="E1181" s="34">
        <v>7.9168499999999904</v>
      </c>
      <c r="F1181" t="s">
        <v>15567</v>
      </c>
      <c r="G1181" t="b">
        <v>0</v>
      </c>
    </row>
    <row r="1182" spans="1:7" x14ac:dyDescent="0.25">
      <c r="A1182" t="s">
        <v>12701</v>
      </c>
      <c r="B1182" s="34">
        <v>1.582192</v>
      </c>
      <c r="C1182" s="34">
        <v>0.13184933333333301</v>
      </c>
      <c r="D1182" t="s">
        <v>35</v>
      </c>
      <c r="E1182" s="34">
        <v>7.9109600000000002</v>
      </c>
      <c r="F1182" t="s">
        <v>15176</v>
      </c>
      <c r="G1182" t="b">
        <v>0</v>
      </c>
    </row>
    <row r="1183" spans="1:7" x14ac:dyDescent="0.25">
      <c r="A1183" t="s">
        <v>14073</v>
      </c>
      <c r="B1183" s="34">
        <v>1.577</v>
      </c>
      <c r="C1183" s="34">
        <v>0.13141666666666599</v>
      </c>
      <c r="D1183" t="s">
        <v>35</v>
      </c>
      <c r="E1183" s="34">
        <v>7.8849999999999998</v>
      </c>
      <c r="F1183" t="s">
        <v>16540</v>
      </c>
      <c r="G1183" t="b">
        <v>0</v>
      </c>
    </row>
    <row r="1184" spans="1:7" x14ac:dyDescent="0.25">
      <c r="A1184" t="s">
        <v>13611</v>
      </c>
      <c r="B1184" s="34">
        <v>1.5736000000000001</v>
      </c>
      <c r="C1184" s="34">
        <v>0.13113333333333299</v>
      </c>
      <c r="D1184" t="s">
        <v>1382</v>
      </c>
      <c r="E1184" s="34">
        <v>7.8679999999999897</v>
      </c>
      <c r="F1184" t="s">
        <v>16080</v>
      </c>
      <c r="G1184" t="b">
        <v>0</v>
      </c>
    </row>
    <row r="1185" spans="1:7" x14ac:dyDescent="0.25">
      <c r="A1185" t="s">
        <v>12795</v>
      </c>
      <c r="B1185" s="34">
        <v>1.569</v>
      </c>
      <c r="C1185" s="34">
        <v>0.13075000000000001</v>
      </c>
      <c r="D1185" t="s">
        <v>296</v>
      </c>
      <c r="E1185" s="34">
        <v>7.8449999999999998</v>
      </c>
      <c r="F1185" t="s">
        <v>15270</v>
      </c>
      <c r="G1185" t="b">
        <v>0</v>
      </c>
    </row>
    <row r="1186" spans="1:7" x14ac:dyDescent="0.25">
      <c r="A1186" t="s">
        <v>12757</v>
      </c>
      <c r="B1186" s="34">
        <v>1.55852399999999</v>
      </c>
      <c r="C1186" s="34">
        <v>0.12987699999999999</v>
      </c>
      <c r="D1186" t="s">
        <v>1249</v>
      </c>
      <c r="E1186" s="34">
        <v>7.7926199999999897</v>
      </c>
      <c r="F1186" t="s">
        <v>15232</v>
      </c>
      <c r="G1186" t="b">
        <v>0</v>
      </c>
    </row>
    <row r="1187" spans="1:7" x14ac:dyDescent="0.25">
      <c r="A1187" t="s">
        <v>13910</v>
      </c>
      <c r="B1187" s="34">
        <v>1.550994</v>
      </c>
      <c r="C1187" s="34">
        <v>0.12924949999999999</v>
      </c>
      <c r="D1187" t="s">
        <v>11773</v>
      </c>
      <c r="E1187" s="34">
        <v>7.7549700000000001</v>
      </c>
      <c r="F1187" t="s">
        <v>16377</v>
      </c>
      <c r="G1187" t="b">
        <v>0</v>
      </c>
    </row>
    <row r="1188" spans="1:7" x14ac:dyDescent="0.25">
      <c r="A1188" t="s">
        <v>12785</v>
      </c>
      <c r="B1188" s="34">
        <v>1.54969</v>
      </c>
      <c r="C1188" s="34">
        <v>0.12914083333333301</v>
      </c>
      <c r="D1188" t="s">
        <v>982</v>
      </c>
      <c r="E1188" s="34">
        <v>7.7484500000000001</v>
      </c>
      <c r="F1188" t="s">
        <v>15260</v>
      </c>
      <c r="G1188" t="b">
        <v>0</v>
      </c>
    </row>
    <row r="1189" spans="1:7" x14ac:dyDescent="0.25">
      <c r="A1189" t="s">
        <v>13193</v>
      </c>
      <c r="B1189" s="34">
        <v>1.548908</v>
      </c>
      <c r="C1189" s="34">
        <v>0.12907566666666601</v>
      </c>
      <c r="D1189" t="s">
        <v>2101</v>
      </c>
      <c r="E1189" s="34">
        <v>7.7445399999999998</v>
      </c>
      <c r="F1189" t="s">
        <v>15667</v>
      </c>
      <c r="G1189" t="b">
        <v>0</v>
      </c>
    </row>
    <row r="1190" spans="1:7" x14ac:dyDescent="0.25">
      <c r="A1190" t="s">
        <v>14509</v>
      </c>
      <c r="B1190" s="34">
        <v>1.5392813999999899</v>
      </c>
      <c r="C1190" s="34">
        <v>0.12827344999999901</v>
      </c>
      <c r="D1190" t="s">
        <v>35</v>
      </c>
      <c r="E1190" s="34">
        <v>2.56546899999999</v>
      </c>
      <c r="F1190" t="s">
        <v>16969</v>
      </c>
      <c r="G1190" t="b">
        <v>0</v>
      </c>
    </row>
    <row r="1191" spans="1:7" x14ac:dyDescent="0.25">
      <c r="A1191" t="s">
        <v>12844</v>
      </c>
      <c r="B1191" s="34">
        <v>1.5303</v>
      </c>
      <c r="C1191" s="34">
        <v>0.127525</v>
      </c>
      <c r="D1191" t="s">
        <v>3204</v>
      </c>
      <c r="E1191" s="34">
        <v>7.6515000000000004</v>
      </c>
      <c r="F1191" t="s">
        <v>15319</v>
      </c>
      <c r="G1191" t="b">
        <v>0</v>
      </c>
    </row>
    <row r="1192" spans="1:7" x14ac:dyDescent="0.25">
      <c r="A1192" t="s">
        <v>13715</v>
      </c>
      <c r="B1192" s="34">
        <v>1.53</v>
      </c>
      <c r="C1192" s="34">
        <v>0.1275</v>
      </c>
      <c r="D1192" t="s">
        <v>132</v>
      </c>
      <c r="E1192" s="34">
        <v>7.65</v>
      </c>
      <c r="F1192" t="s">
        <v>16183</v>
      </c>
      <c r="G1192" t="b">
        <v>0</v>
      </c>
    </row>
    <row r="1193" spans="1:7" x14ac:dyDescent="0.25">
      <c r="A1193" t="s">
        <v>13220</v>
      </c>
      <c r="B1193" s="34">
        <v>1.5293000000000001</v>
      </c>
      <c r="C1193" s="34">
        <v>0.12744166666666601</v>
      </c>
      <c r="D1193" t="s">
        <v>3459</v>
      </c>
      <c r="E1193" s="34">
        <v>7.6464999999999996</v>
      </c>
      <c r="F1193" t="s">
        <v>15694</v>
      </c>
      <c r="G1193" t="b">
        <v>0</v>
      </c>
    </row>
    <row r="1194" spans="1:7" x14ac:dyDescent="0.25">
      <c r="A1194" t="s">
        <v>14774</v>
      </c>
      <c r="B1194" s="34">
        <v>1.5207999999999999</v>
      </c>
      <c r="C1194" s="34">
        <v>0.126733333333333</v>
      </c>
      <c r="D1194" t="s">
        <v>35</v>
      </c>
      <c r="E1194" s="34">
        <v>7.6040000000000001</v>
      </c>
      <c r="F1194" t="s">
        <v>17222</v>
      </c>
      <c r="G1194" t="b">
        <v>0</v>
      </c>
    </row>
    <row r="1195" spans="1:7" x14ac:dyDescent="0.25">
      <c r="A1195" t="s">
        <v>13232</v>
      </c>
      <c r="B1195" s="34">
        <v>1.51095</v>
      </c>
      <c r="C1195" s="34">
        <v>0.12591250000000001</v>
      </c>
      <c r="D1195" t="s">
        <v>26</v>
      </c>
      <c r="E1195" s="34">
        <v>7.5547500000000003</v>
      </c>
      <c r="F1195" t="s">
        <v>15706</v>
      </c>
      <c r="G1195" t="b">
        <v>0</v>
      </c>
    </row>
    <row r="1196" spans="1:7" x14ac:dyDescent="0.25">
      <c r="A1196" t="s">
        <v>13240</v>
      </c>
      <c r="B1196" s="34">
        <v>1.51049999999999</v>
      </c>
      <c r="C1196" s="34">
        <v>0.12587499999999999</v>
      </c>
      <c r="D1196" t="s">
        <v>4816</v>
      </c>
      <c r="E1196" s="34">
        <v>7.5524999999999904</v>
      </c>
      <c r="F1196" t="s">
        <v>15714</v>
      </c>
      <c r="G1196" t="b">
        <v>0</v>
      </c>
    </row>
    <row r="1197" spans="1:7" x14ac:dyDescent="0.25">
      <c r="A1197" t="s">
        <v>14635</v>
      </c>
      <c r="B1197" s="34">
        <v>1.5084</v>
      </c>
      <c r="C1197" s="34">
        <v>0.12570000000000001</v>
      </c>
      <c r="D1197" t="s">
        <v>571</v>
      </c>
      <c r="E1197" s="34">
        <v>3.7709999999999999</v>
      </c>
      <c r="F1197" t="s">
        <v>17088</v>
      </c>
      <c r="G1197" t="b">
        <v>0</v>
      </c>
    </row>
    <row r="1198" spans="1:7" x14ac:dyDescent="0.25">
      <c r="A1198" t="s">
        <v>14449</v>
      </c>
      <c r="B1198" s="34">
        <v>1.5051999999999901</v>
      </c>
      <c r="C1198" s="34">
        <v>0.12543333333333301</v>
      </c>
      <c r="D1198" t="s">
        <v>35</v>
      </c>
      <c r="E1198" s="34">
        <v>3.7629999999999999</v>
      </c>
      <c r="F1198" t="s">
        <v>16909</v>
      </c>
      <c r="G1198" t="b">
        <v>0</v>
      </c>
    </row>
    <row r="1199" spans="1:7" x14ac:dyDescent="0.25">
      <c r="A1199" t="s">
        <v>14485</v>
      </c>
      <c r="B1199" s="34">
        <v>1.5048999999999999</v>
      </c>
      <c r="C1199" s="34">
        <v>0.12540833333333301</v>
      </c>
      <c r="D1199" t="s">
        <v>512</v>
      </c>
      <c r="E1199" s="34">
        <v>7.5244999999999997</v>
      </c>
      <c r="F1199" t="s">
        <v>16945</v>
      </c>
      <c r="G1199" t="b">
        <v>0</v>
      </c>
    </row>
    <row r="1200" spans="1:7" x14ac:dyDescent="0.25">
      <c r="A1200" t="s">
        <v>12667</v>
      </c>
      <c r="B1200" s="34">
        <v>1.5044312</v>
      </c>
      <c r="C1200" s="34">
        <v>0.12536926666666601</v>
      </c>
      <c r="D1200" t="s">
        <v>215</v>
      </c>
      <c r="E1200" s="34">
        <v>7.5221559999999998</v>
      </c>
      <c r="F1200" t="s">
        <v>15142</v>
      </c>
      <c r="G1200" t="b">
        <v>0</v>
      </c>
    </row>
    <row r="1201" spans="1:7" x14ac:dyDescent="0.25">
      <c r="A1201" t="s">
        <v>12823</v>
      </c>
      <c r="B1201" s="34">
        <v>1.5009999999999999</v>
      </c>
      <c r="C1201" s="34">
        <v>0.12508333333333299</v>
      </c>
      <c r="D1201" t="s">
        <v>145</v>
      </c>
      <c r="E1201" s="34">
        <v>7.5049999999999999</v>
      </c>
      <c r="F1201" t="s">
        <v>15298</v>
      </c>
      <c r="G1201" t="b">
        <v>0</v>
      </c>
    </row>
    <row r="1202" spans="1:7" x14ac:dyDescent="0.25">
      <c r="A1202" t="s">
        <v>14644</v>
      </c>
      <c r="B1202" s="34">
        <v>1.4897800000000001</v>
      </c>
      <c r="C1202" s="34">
        <v>0.124148333333333</v>
      </c>
      <c r="D1202" t="s">
        <v>132</v>
      </c>
      <c r="E1202" s="34">
        <v>7.4488999999999903</v>
      </c>
      <c r="F1202" t="s">
        <v>17097</v>
      </c>
      <c r="G1202" t="b">
        <v>0</v>
      </c>
    </row>
    <row r="1203" spans="1:7" x14ac:dyDescent="0.25">
      <c r="A1203" t="s">
        <v>13285</v>
      </c>
      <c r="B1203" s="34">
        <v>1.4863312819999901</v>
      </c>
      <c r="C1203" s="34">
        <v>0.123860940166666</v>
      </c>
      <c r="D1203" t="s">
        <v>45</v>
      </c>
      <c r="E1203" s="34">
        <v>7.4316564100000004</v>
      </c>
      <c r="F1203" t="s">
        <v>15757</v>
      </c>
      <c r="G1203" t="b">
        <v>0</v>
      </c>
    </row>
    <row r="1204" spans="1:7" x14ac:dyDescent="0.25">
      <c r="A1204" t="s">
        <v>13303</v>
      </c>
      <c r="B1204" s="34">
        <v>1.4790000000000001</v>
      </c>
      <c r="C1204" s="34">
        <v>0.12325</v>
      </c>
      <c r="D1204" t="s">
        <v>480</v>
      </c>
      <c r="E1204" s="34">
        <v>7.3949999999999996</v>
      </c>
      <c r="F1204" t="s">
        <v>15773</v>
      </c>
      <c r="G1204" t="b">
        <v>0</v>
      </c>
    </row>
    <row r="1205" spans="1:7" x14ac:dyDescent="0.25">
      <c r="A1205" t="s">
        <v>14581</v>
      </c>
      <c r="B1205" s="34">
        <v>1.4734217999999899</v>
      </c>
      <c r="C1205" s="34">
        <v>0.122785149999999</v>
      </c>
      <c r="D1205" t="s">
        <v>132</v>
      </c>
      <c r="E1205" s="34">
        <v>3.6835544999999899</v>
      </c>
      <c r="F1205" t="s">
        <v>17038</v>
      </c>
      <c r="G1205" t="b">
        <v>0</v>
      </c>
    </row>
    <row r="1206" spans="1:7" x14ac:dyDescent="0.25">
      <c r="A1206" t="s">
        <v>13372</v>
      </c>
      <c r="B1206" s="34">
        <v>1.47227999999999</v>
      </c>
      <c r="C1206" s="34">
        <v>0.12268999999999899</v>
      </c>
      <c r="D1206" t="s">
        <v>162</v>
      </c>
      <c r="E1206" s="34">
        <v>7.36139999999999</v>
      </c>
      <c r="F1206" t="s">
        <v>15842</v>
      </c>
      <c r="G1206" t="b">
        <v>0</v>
      </c>
    </row>
    <row r="1207" spans="1:7" x14ac:dyDescent="0.25">
      <c r="A1207" t="s">
        <v>14438</v>
      </c>
      <c r="B1207" s="34">
        <v>1.463414</v>
      </c>
      <c r="C1207" s="34">
        <v>0.121951166666666</v>
      </c>
      <c r="D1207" t="s">
        <v>35</v>
      </c>
      <c r="E1207" s="34">
        <v>7.3170699999999904</v>
      </c>
      <c r="F1207" t="s">
        <v>16898</v>
      </c>
      <c r="G1207" t="b">
        <v>0</v>
      </c>
    </row>
    <row r="1208" spans="1:7" x14ac:dyDescent="0.25">
      <c r="A1208" t="s">
        <v>13892</v>
      </c>
      <c r="B1208" s="34">
        <v>1.45759999999999</v>
      </c>
      <c r="C1208" s="34">
        <v>0.121466666666666</v>
      </c>
      <c r="D1208" t="s">
        <v>35</v>
      </c>
      <c r="E1208" s="34">
        <v>7.2879999999999896</v>
      </c>
      <c r="F1208" t="s">
        <v>16359</v>
      </c>
      <c r="G1208" t="b">
        <v>0</v>
      </c>
    </row>
    <row r="1209" spans="1:7" x14ac:dyDescent="0.25">
      <c r="A1209" t="s">
        <v>14111</v>
      </c>
      <c r="B1209" s="34">
        <v>1.4509346000000001</v>
      </c>
      <c r="C1209" s="34">
        <v>0.120911216666666</v>
      </c>
      <c r="D1209" t="s">
        <v>2696</v>
      </c>
      <c r="E1209" s="34">
        <v>7.2546729999999897</v>
      </c>
      <c r="F1209" t="s">
        <v>16578</v>
      </c>
      <c r="G1209" t="b">
        <v>0</v>
      </c>
    </row>
    <row r="1210" spans="1:7" x14ac:dyDescent="0.25">
      <c r="A1210" t="s">
        <v>13005</v>
      </c>
      <c r="B1210" s="34">
        <v>1.448</v>
      </c>
      <c r="C1210" s="34">
        <v>0.12066666666666601</v>
      </c>
      <c r="D1210" t="s">
        <v>239</v>
      </c>
      <c r="E1210" s="34">
        <v>7.24</v>
      </c>
      <c r="F1210" t="s">
        <v>15480</v>
      </c>
      <c r="G1210" t="b">
        <v>0</v>
      </c>
    </row>
    <row r="1211" spans="1:7" x14ac:dyDescent="0.25">
      <c r="A1211" t="s">
        <v>13369</v>
      </c>
      <c r="B1211" s="34">
        <v>1.4471099999999999</v>
      </c>
      <c r="C1211" s="34">
        <v>0.12059249999999901</v>
      </c>
      <c r="D1211" t="s">
        <v>461</v>
      </c>
      <c r="E1211" s="34">
        <v>7.2355499999999999</v>
      </c>
      <c r="F1211" t="s">
        <v>15839</v>
      </c>
      <c r="G1211" t="b">
        <v>0</v>
      </c>
    </row>
    <row r="1212" spans="1:7" x14ac:dyDescent="0.25">
      <c r="A1212" t="s">
        <v>13182</v>
      </c>
      <c r="B1212" s="34">
        <v>1.44599856</v>
      </c>
      <c r="C1212" s="34">
        <v>0.12049988</v>
      </c>
      <c r="D1212" t="s">
        <v>4816</v>
      </c>
      <c r="E1212" s="34">
        <v>7.2299927999999998</v>
      </c>
      <c r="F1212" t="s">
        <v>15656</v>
      </c>
      <c r="G1212" t="b">
        <v>0</v>
      </c>
    </row>
    <row r="1213" spans="1:7" x14ac:dyDescent="0.25">
      <c r="A1213" t="s">
        <v>14657</v>
      </c>
      <c r="B1213" s="34">
        <v>1.4379599999999899</v>
      </c>
      <c r="C1213" s="34">
        <v>0.11982999999999901</v>
      </c>
      <c r="D1213" t="s">
        <v>1240</v>
      </c>
      <c r="E1213" s="34">
        <v>3.5948999999999902</v>
      </c>
      <c r="F1213" t="s">
        <v>17110</v>
      </c>
      <c r="G1213" t="b">
        <v>0</v>
      </c>
    </row>
    <row r="1214" spans="1:7" x14ac:dyDescent="0.25">
      <c r="A1214" t="s">
        <v>13998</v>
      </c>
      <c r="B1214" s="34">
        <v>1.4370099999999999</v>
      </c>
      <c r="C1214" s="34">
        <v>0.119750833333333</v>
      </c>
      <c r="D1214" t="s">
        <v>35</v>
      </c>
      <c r="E1214" s="34">
        <v>7.1850500000000004</v>
      </c>
      <c r="F1214" t="s">
        <v>16465</v>
      </c>
      <c r="G1214" t="b">
        <v>0</v>
      </c>
    </row>
    <row r="1215" spans="1:7" x14ac:dyDescent="0.25">
      <c r="A1215" t="s">
        <v>14552</v>
      </c>
      <c r="B1215" s="34">
        <v>1.4369999999999901</v>
      </c>
      <c r="C1215" s="34">
        <v>0.11975</v>
      </c>
      <c r="D1215" t="s">
        <v>2897</v>
      </c>
      <c r="E1215" s="34">
        <v>7.1849999999999996</v>
      </c>
      <c r="F1215" t="s">
        <v>17011</v>
      </c>
      <c r="G1215" t="b">
        <v>0</v>
      </c>
    </row>
    <row r="1216" spans="1:7" x14ac:dyDescent="0.25">
      <c r="A1216" t="s">
        <v>13621</v>
      </c>
      <c r="B1216" s="34">
        <v>1.4363999999999999</v>
      </c>
      <c r="C1216" s="34">
        <v>0.1197</v>
      </c>
      <c r="D1216" t="s">
        <v>35</v>
      </c>
      <c r="E1216" s="34">
        <v>7.1820000000000004</v>
      </c>
      <c r="F1216" t="s">
        <v>16090</v>
      </c>
      <c r="G1216" t="b">
        <v>0</v>
      </c>
    </row>
    <row r="1217" spans="1:7" x14ac:dyDescent="0.25">
      <c r="A1217" t="s">
        <v>12852</v>
      </c>
      <c r="B1217" s="34">
        <v>1.4313187999999999</v>
      </c>
      <c r="C1217" s="34">
        <v>0.119276566666666</v>
      </c>
      <c r="D1217" t="s">
        <v>663</v>
      </c>
      <c r="E1217" s="34">
        <v>7.1565940000000001</v>
      </c>
      <c r="F1217" t="s">
        <v>15327</v>
      </c>
      <c r="G1217" t="b">
        <v>0</v>
      </c>
    </row>
    <row r="1218" spans="1:7" x14ac:dyDescent="0.25">
      <c r="A1218" t="s">
        <v>13816</v>
      </c>
      <c r="B1218" s="34">
        <v>1.42526666666666</v>
      </c>
      <c r="C1218" s="34">
        <v>0.118772222222222</v>
      </c>
      <c r="D1218" t="s">
        <v>7318</v>
      </c>
      <c r="E1218" s="34">
        <v>7.1263333333333296</v>
      </c>
      <c r="F1218" t="s">
        <v>16283</v>
      </c>
      <c r="G1218" t="b">
        <v>0</v>
      </c>
    </row>
    <row r="1219" spans="1:7" x14ac:dyDescent="0.25">
      <c r="A1219" t="s">
        <v>12736</v>
      </c>
      <c r="B1219" s="34">
        <v>1.4241999999999999</v>
      </c>
      <c r="C1219" s="34">
        <v>0.118683333333333</v>
      </c>
      <c r="D1219" t="s">
        <v>226</v>
      </c>
      <c r="E1219" s="34">
        <v>7.1210000000000004</v>
      </c>
      <c r="F1219" t="s">
        <v>15211</v>
      </c>
      <c r="G1219" t="b">
        <v>0</v>
      </c>
    </row>
    <row r="1220" spans="1:7" x14ac:dyDescent="0.25">
      <c r="A1220" t="s">
        <v>14876</v>
      </c>
      <c r="B1220" s="34">
        <v>1.4239999999999999</v>
      </c>
      <c r="C1220" s="34">
        <v>0.118666666666666</v>
      </c>
      <c r="D1220" t="s">
        <v>1676</v>
      </c>
      <c r="E1220" s="34">
        <v>7.1199999999999903</v>
      </c>
      <c r="F1220" t="s">
        <v>17312</v>
      </c>
      <c r="G1220" t="b">
        <v>0</v>
      </c>
    </row>
    <row r="1221" spans="1:7" x14ac:dyDescent="0.25">
      <c r="A1221" t="s">
        <v>14647</v>
      </c>
      <c r="B1221" s="34">
        <v>1.4233</v>
      </c>
      <c r="C1221" s="34">
        <v>0.118608333333333</v>
      </c>
      <c r="D1221" t="s">
        <v>35</v>
      </c>
      <c r="E1221" s="34">
        <v>7.1165000000000003</v>
      </c>
      <c r="F1221" t="s">
        <v>17100</v>
      </c>
      <c r="G1221" t="b">
        <v>0</v>
      </c>
    </row>
    <row r="1222" spans="1:7" x14ac:dyDescent="0.25">
      <c r="A1222" t="s">
        <v>13058</v>
      </c>
      <c r="B1222" s="34">
        <v>1.4219200000000001</v>
      </c>
      <c r="C1222" s="34">
        <v>0.11849333333333301</v>
      </c>
      <c r="D1222" t="s">
        <v>1978</v>
      </c>
      <c r="E1222" s="34">
        <v>7.1096000000000004</v>
      </c>
      <c r="F1222" t="s">
        <v>15533</v>
      </c>
      <c r="G1222" t="b">
        <v>0</v>
      </c>
    </row>
    <row r="1223" spans="1:7" x14ac:dyDescent="0.25">
      <c r="A1223" t="s">
        <v>13343</v>
      </c>
      <c r="B1223" s="34">
        <v>1.4182372000000001</v>
      </c>
      <c r="C1223" s="34">
        <v>0.11818643333333299</v>
      </c>
      <c r="D1223" t="s">
        <v>35</v>
      </c>
      <c r="E1223" s="34">
        <v>7.0911860000000004</v>
      </c>
      <c r="F1223" t="s">
        <v>15813</v>
      </c>
      <c r="G1223" t="b">
        <v>0</v>
      </c>
    </row>
    <row r="1224" spans="1:7" x14ac:dyDescent="0.25">
      <c r="A1224" t="s">
        <v>13598</v>
      </c>
      <c r="B1224" s="34">
        <v>1.4135200000000001</v>
      </c>
      <c r="C1224" s="34">
        <v>0.117793333333333</v>
      </c>
      <c r="D1224" t="s">
        <v>221</v>
      </c>
      <c r="E1224" s="34">
        <v>7.0675999999999997</v>
      </c>
      <c r="F1224" t="s">
        <v>16067</v>
      </c>
      <c r="G1224" t="b">
        <v>0</v>
      </c>
    </row>
    <row r="1225" spans="1:7" x14ac:dyDescent="0.25">
      <c r="A1225" t="s">
        <v>13894</v>
      </c>
      <c r="B1225" s="34">
        <v>1.40994</v>
      </c>
      <c r="C1225" s="34">
        <v>0.117495</v>
      </c>
      <c r="D1225" t="s">
        <v>35</v>
      </c>
      <c r="E1225" s="34">
        <v>7.0496999999999996</v>
      </c>
      <c r="F1225" t="s">
        <v>16361</v>
      </c>
      <c r="G1225" t="b">
        <v>0</v>
      </c>
    </row>
    <row r="1226" spans="1:7" x14ac:dyDescent="0.25">
      <c r="A1226" t="s">
        <v>14712</v>
      </c>
      <c r="B1226" s="34">
        <v>1.40866</v>
      </c>
      <c r="C1226" s="34">
        <v>0.117388333333333</v>
      </c>
      <c r="D1226" t="s">
        <v>356</v>
      </c>
      <c r="E1226" s="34">
        <v>3.5216500000000002</v>
      </c>
      <c r="F1226" t="s">
        <v>17163</v>
      </c>
      <c r="G1226" t="b">
        <v>0</v>
      </c>
    </row>
    <row r="1227" spans="1:7" x14ac:dyDescent="0.25">
      <c r="A1227" t="s">
        <v>13443</v>
      </c>
      <c r="B1227" s="34">
        <v>1.4011412000000001</v>
      </c>
      <c r="C1227" s="34">
        <v>0.116761766666666</v>
      </c>
      <c r="D1227" t="s">
        <v>35</v>
      </c>
      <c r="E1227" s="34">
        <v>7.005706</v>
      </c>
      <c r="F1227" t="s">
        <v>15912</v>
      </c>
      <c r="G1227" t="b">
        <v>0</v>
      </c>
    </row>
    <row r="1228" spans="1:7" x14ac:dyDescent="0.25">
      <c r="A1228" t="s">
        <v>13375</v>
      </c>
      <c r="B1228" s="34">
        <v>1.3994</v>
      </c>
      <c r="C1228" s="34">
        <v>0.11661666666666599</v>
      </c>
      <c r="D1228" t="s">
        <v>385</v>
      </c>
      <c r="E1228" s="34">
        <v>6.9969999999999999</v>
      </c>
      <c r="F1228" t="s">
        <v>15845</v>
      </c>
      <c r="G1228" t="b">
        <v>0</v>
      </c>
    </row>
    <row r="1229" spans="1:7" x14ac:dyDescent="0.25">
      <c r="A1229" t="s">
        <v>13175</v>
      </c>
      <c r="B1229" s="34">
        <v>1.3962000000000001</v>
      </c>
      <c r="C1229" s="34">
        <v>0.11635</v>
      </c>
      <c r="D1229" t="s">
        <v>3688</v>
      </c>
      <c r="E1229" s="34">
        <v>6.9809999999999999</v>
      </c>
      <c r="F1229" t="s">
        <v>15649</v>
      </c>
      <c r="G1229" t="b">
        <v>0</v>
      </c>
    </row>
    <row r="1230" spans="1:7" x14ac:dyDescent="0.25">
      <c r="A1230" t="s">
        <v>13441</v>
      </c>
      <c r="B1230" s="34">
        <v>1.39279999999999</v>
      </c>
      <c r="C1230" s="34">
        <v>0.116066666666666</v>
      </c>
      <c r="D1230" t="s">
        <v>35</v>
      </c>
      <c r="E1230" s="34">
        <v>6.9640000000000004</v>
      </c>
      <c r="F1230" t="s">
        <v>15910</v>
      </c>
      <c r="G1230" t="b">
        <v>0</v>
      </c>
    </row>
    <row r="1231" spans="1:7" x14ac:dyDescent="0.25">
      <c r="A1231" t="s">
        <v>13008</v>
      </c>
      <c r="B1231" s="34">
        <v>1.3895</v>
      </c>
      <c r="C1231" s="34">
        <v>0.115791666666666</v>
      </c>
      <c r="D1231" t="s">
        <v>90</v>
      </c>
      <c r="E1231" s="34">
        <v>6.9474999999999998</v>
      </c>
      <c r="F1231" t="s">
        <v>15483</v>
      </c>
      <c r="G1231" t="b">
        <v>0</v>
      </c>
    </row>
    <row r="1232" spans="1:7" x14ac:dyDescent="0.25">
      <c r="A1232" t="s">
        <v>13231</v>
      </c>
      <c r="B1232" s="34">
        <v>1.38175</v>
      </c>
      <c r="C1232" s="34">
        <v>0.115145833333333</v>
      </c>
      <c r="D1232" t="s">
        <v>3656</v>
      </c>
      <c r="E1232" s="34">
        <v>6.9087500000000004</v>
      </c>
      <c r="F1232" t="s">
        <v>15705</v>
      </c>
      <c r="G1232" t="b">
        <v>0</v>
      </c>
    </row>
    <row r="1233" spans="1:7" x14ac:dyDescent="0.25">
      <c r="A1233" t="s">
        <v>13450</v>
      </c>
      <c r="B1233" s="34">
        <v>1.3743049999999899</v>
      </c>
      <c r="C1233" s="34">
        <v>0.11452541666666601</v>
      </c>
      <c r="D1233" t="s">
        <v>221</v>
      </c>
      <c r="E1233" s="34">
        <v>6.8715250000000001</v>
      </c>
      <c r="F1233" t="s">
        <v>15919</v>
      </c>
      <c r="G1233" t="b">
        <v>0</v>
      </c>
    </row>
    <row r="1234" spans="1:7" x14ac:dyDescent="0.25">
      <c r="A1234" t="s">
        <v>13317</v>
      </c>
      <c r="B1234" s="34">
        <v>1.3658079999999899</v>
      </c>
      <c r="C1234" s="34">
        <v>0.11381733333333301</v>
      </c>
      <c r="D1234" t="s">
        <v>35</v>
      </c>
      <c r="E1234" s="34">
        <v>3.4145199999999898</v>
      </c>
      <c r="F1234" t="s">
        <v>15787</v>
      </c>
      <c r="G1234" t="b">
        <v>0</v>
      </c>
    </row>
    <row r="1235" spans="1:7" x14ac:dyDescent="0.25">
      <c r="A1235" t="s">
        <v>14480</v>
      </c>
      <c r="B1235" s="34">
        <v>1.357224</v>
      </c>
      <c r="C1235" s="34">
        <v>0.11310199999999999</v>
      </c>
      <c r="D1235" t="s">
        <v>26</v>
      </c>
      <c r="E1235" s="34">
        <v>6.7861199999999897</v>
      </c>
      <c r="F1235" t="s">
        <v>16940</v>
      </c>
      <c r="G1235" t="b">
        <v>0</v>
      </c>
    </row>
    <row r="1236" spans="1:7" x14ac:dyDescent="0.25">
      <c r="A1236" t="s">
        <v>14452</v>
      </c>
      <c r="B1236" s="34">
        <v>1.3553899999999901</v>
      </c>
      <c r="C1236" s="34">
        <v>0.112949166666666</v>
      </c>
      <c r="D1236" t="s">
        <v>35</v>
      </c>
      <c r="E1236" s="34">
        <v>3.3884749999999899</v>
      </c>
      <c r="F1236" t="s">
        <v>16912</v>
      </c>
      <c r="G1236" t="b">
        <v>0</v>
      </c>
    </row>
    <row r="1237" spans="1:7" x14ac:dyDescent="0.25">
      <c r="A1237" t="s">
        <v>12866</v>
      </c>
      <c r="B1237" s="34">
        <v>1.351197</v>
      </c>
      <c r="C1237" s="34">
        <v>0.11259975</v>
      </c>
      <c r="D1237" t="s">
        <v>2768</v>
      </c>
      <c r="E1237" s="34">
        <v>6.7559849999999999</v>
      </c>
      <c r="F1237" t="s">
        <v>15341</v>
      </c>
      <c r="G1237" t="b">
        <v>0</v>
      </c>
    </row>
    <row r="1238" spans="1:7" x14ac:dyDescent="0.25">
      <c r="A1238" t="s">
        <v>14482</v>
      </c>
      <c r="B1238" s="34">
        <v>1.3506</v>
      </c>
      <c r="C1238" s="34">
        <v>0.11255</v>
      </c>
      <c r="D1238" t="s">
        <v>1519</v>
      </c>
      <c r="E1238" s="34">
        <v>6.7530000000000001</v>
      </c>
      <c r="F1238" t="s">
        <v>16942</v>
      </c>
      <c r="G1238" t="b">
        <v>0</v>
      </c>
    </row>
    <row r="1239" spans="1:7" x14ac:dyDescent="0.25">
      <c r="A1239" t="s">
        <v>12932</v>
      </c>
      <c r="B1239" s="34">
        <v>1.3482992</v>
      </c>
      <c r="C1239" s="34">
        <v>0.112358266666666</v>
      </c>
      <c r="D1239" t="s">
        <v>1074</v>
      </c>
      <c r="E1239" s="34">
        <v>6.7414959999999997</v>
      </c>
      <c r="F1239" t="s">
        <v>15407</v>
      </c>
      <c r="G1239" t="b">
        <v>0</v>
      </c>
    </row>
    <row r="1240" spans="1:7" x14ac:dyDescent="0.25">
      <c r="A1240" t="s">
        <v>14205</v>
      </c>
      <c r="B1240" s="34">
        <v>1.3471</v>
      </c>
      <c r="C1240" s="34">
        <v>0.112258333333333</v>
      </c>
      <c r="D1240" t="s">
        <v>35</v>
      </c>
      <c r="E1240" s="34">
        <v>6.7355</v>
      </c>
      <c r="F1240" t="s">
        <v>16669</v>
      </c>
      <c r="G1240" t="b">
        <v>0</v>
      </c>
    </row>
    <row r="1241" spans="1:7" x14ac:dyDescent="0.25">
      <c r="A1241" t="s">
        <v>13654</v>
      </c>
      <c r="B1241" s="34">
        <v>1.34698369999999</v>
      </c>
      <c r="C1241" s="34">
        <v>0.112248641666666</v>
      </c>
      <c r="D1241" t="s">
        <v>1288</v>
      </c>
      <c r="E1241" s="34">
        <v>6.7349184999999903</v>
      </c>
      <c r="F1241" t="s">
        <v>16122</v>
      </c>
      <c r="G1241" t="b">
        <v>0</v>
      </c>
    </row>
    <row r="1242" spans="1:7" x14ac:dyDescent="0.25">
      <c r="A1242" t="s">
        <v>13190</v>
      </c>
      <c r="B1242" s="34">
        <v>1.3439140000000001</v>
      </c>
      <c r="C1242" s="34">
        <v>0.111992833333333</v>
      </c>
      <c r="D1242" t="s">
        <v>1451</v>
      </c>
      <c r="E1242" s="34">
        <v>6.71957</v>
      </c>
      <c r="F1242" t="s">
        <v>15664</v>
      </c>
      <c r="G1242" t="b">
        <v>0</v>
      </c>
    </row>
    <row r="1243" spans="1:7" x14ac:dyDescent="0.25">
      <c r="A1243" t="s">
        <v>13111</v>
      </c>
      <c r="B1243" s="34">
        <v>1.3438000000000001</v>
      </c>
      <c r="C1243" s="34">
        <v>0.111983333333333</v>
      </c>
      <c r="D1243" t="s">
        <v>35</v>
      </c>
      <c r="E1243" s="34">
        <v>6.7189999999999896</v>
      </c>
      <c r="F1243" t="s">
        <v>15586</v>
      </c>
      <c r="G1243" t="b">
        <v>0</v>
      </c>
    </row>
    <row r="1244" spans="1:7" x14ac:dyDescent="0.25">
      <c r="A1244" t="s">
        <v>12957</v>
      </c>
      <c r="B1244" s="34">
        <v>1.3413600000000001</v>
      </c>
      <c r="C1244" s="34">
        <v>0.11177999999999901</v>
      </c>
      <c r="D1244" t="s">
        <v>6844</v>
      </c>
      <c r="E1244" s="34">
        <v>6.7068000000000003</v>
      </c>
      <c r="F1244" t="s">
        <v>15432</v>
      </c>
      <c r="G1244" t="b">
        <v>0</v>
      </c>
    </row>
    <row r="1245" spans="1:7" x14ac:dyDescent="0.25">
      <c r="A1245" t="s">
        <v>13453</v>
      </c>
      <c r="B1245" s="34">
        <v>1.34</v>
      </c>
      <c r="C1245" s="34">
        <v>0.111666666666666</v>
      </c>
      <c r="D1245" t="s">
        <v>3045</v>
      </c>
      <c r="E1245" s="34">
        <v>6.7</v>
      </c>
      <c r="F1245" t="s">
        <v>15922</v>
      </c>
      <c r="G1245" t="b">
        <v>0</v>
      </c>
    </row>
    <row r="1246" spans="1:7" x14ac:dyDescent="0.25">
      <c r="A1246" t="s">
        <v>14597</v>
      </c>
      <c r="B1246" s="34">
        <v>1.3325612</v>
      </c>
      <c r="C1246" s="34">
        <v>0.11104676666666601</v>
      </c>
      <c r="D1246" t="s">
        <v>13</v>
      </c>
      <c r="E1246" s="34">
        <v>6.6628059999999998</v>
      </c>
      <c r="F1246" t="s">
        <v>17053</v>
      </c>
      <c r="G1246" t="b">
        <v>0</v>
      </c>
    </row>
    <row r="1247" spans="1:7" x14ac:dyDescent="0.25">
      <c r="A1247" t="s">
        <v>13088</v>
      </c>
      <c r="B1247" s="34">
        <v>1.3258000000000001</v>
      </c>
      <c r="C1247" s="34">
        <v>0.110483333333333</v>
      </c>
      <c r="D1247" t="s">
        <v>1275</v>
      </c>
      <c r="E1247" s="34">
        <v>6.6289999999999996</v>
      </c>
      <c r="F1247" t="s">
        <v>15563</v>
      </c>
      <c r="G1247" t="b">
        <v>0</v>
      </c>
    </row>
    <row r="1248" spans="1:7" x14ac:dyDescent="0.25">
      <c r="A1248" t="s">
        <v>13754</v>
      </c>
      <c r="B1248" s="34">
        <v>1.3258000000000001</v>
      </c>
      <c r="C1248" s="34">
        <v>0.110483333333333</v>
      </c>
      <c r="D1248" t="s">
        <v>162</v>
      </c>
      <c r="E1248" s="34">
        <v>6.6289999999999996</v>
      </c>
      <c r="F1248" t="s">
        <v>16222</v>
      </c>
      <c r="G1248" t="b">
        <v>0</v>
      </c>
    </row>
    <row r="1249" spans="1:7" x14ac:dyDescent="0.25">
      <c r="A1249" t="s">
        <v>14546</v>
      </c>
      <c r="B1249" s="34">
        <v>1.3169999999999999</v>
      </c>
      <c r="C1249" s="34">
        <v>0.10975</v>
      </c>
      <c r="D1249" t="s">
        <v>461</v>
      </c>
      <c r="E1249" s="34">
        <v>6.585</v>
      </c>
      <c r="F1249" t="s">
        <v>17005</v>
      </c>
      <c r="G1249" t="b">
        <v>0</v>
      </c>
    </row>
    <row r="1250" spans="1:7" x14ac:dyDescent="0.25">
      <c r="A1250" t="s">
        <v>14777</v>
      </c>
      <c r="B1250" s="34">
        <v>1.3144</v>
      </c>
      <c r="C1250" s="34">
        <v>0.109533333333333</v>
      </c>
      <c r="D1250" t="s">
        <v>35</v>
      </c>
      <c r="E1250" s="34">
        <v>2.1906666666666599</v>
      </c>
      <c r="F1250" t="s">
        <v>17224</v>
      </c>
      <c r="G1250" t="b">
        <v>0</v>
      </c>
    </row>
    <row r="1251" spans="1:7" x14ac:dyDescent="0.25">
      <c r="A1251" t="s">
        <v>12589</v>
      </c>
      <c r="B1251" s="34">
        <v>1.3140999999999901</v>
      </c>
      <c r="C1251" s="34">
        <v>0.109508333333333</v>
      </c>
      <c r="D1251" t="s">
        <v>35</v>
      </c>
      <c r="E1251" s="34">
        <v>6.5704999999999902</v>
      </c>
      <c r="F1251" t="s">
        <v>15064</v>
      </c>
      <c r="G1251" t="b">
        <v>0</v>
      </c>
    </row>
    <row r="1252" spans="1:7" x14ac:dyDescent="0.25">
      <c r="A1252" t="s">
        <v>12567</v>
      </c>
      <c r="B1252" s="34">
        <v>1.3082144</v>
      </c>
      <c r="C1252" s="34">
        <v>0.10901786666666601</v>
      </c>
      <c r="D1252" t="s">
        <v>385</v>
      </c>
      <c r="E1252" s="34">
        <v>2.1803573333333301</v>
      </c>
      <c r="F1252" t="s">
        <v>15042</v>
      </c>
      <c r="G1252" t="b">
        <v>0</v>
      </c>
    </row>
    <row r="1253" spans="1:7" x14ac:dyDescent="0.25">
      <c r="A1253" t="s">
        <v>13593</v>
      </c>
      <c r="B1253" s="34">
        <v>1.3077478</v>
      </c>
      <c r="C1253" s="34">
        <v>0.108978983333333</v>
      </c>
      <c r="D1253" t="s">
        <v>1611</v>
      </c>
      <c r="E1253" s="34">
        <v>6.5387389999999996</v>
      </c>
      <c r="F1253" t="s">
        <v>16062</v>
      </c>
      <c r="G1253" t="b">
        <v>0</v>
      </c>
    </row>
    <row r="1254" spans="1:7" x14ac:dyDescent="0.25">
      <c r="A1254" t="s">
        <v>14299</v>
      </c>
      <c r="B1254" s="34">
        <v>1.3032999999999999</v>
      </c>
      <c r="C1254" s="34">
        <v>0.108608333333333</v>
      </c>
      <c r="D1254" t="s">
        <v>35</v>
      </c>
      <c r="E1254" s="34">
        <v>6.5164999999999997</v>
      </c>
      <c r="F1254" t="s">
        <v>16762</v>
      </c>
      <c r="G1254" t="b">
        <v>0</v>
      </c>
    </row>
    <row r="1255" spans="1:7" x14ac:dyDescent="0.25">
      <c r="A1255" t="s">
        <v>14322</v>
      </c>
      <c r="B1255" s="34">
        <v>1.3028952</v>
      </c>
      <c r="C1255" s="34">
        <v>0.10857459999999999</v>
      </c>
      <c r="D1255" t="s">
        <v>35</v>
      </c>
      <c r="E1255" s="34">
        <v>6.5144760000000002</v>
      </c>
      <c r="F1255" t="s">
        <v>16785</v>
      </c>
      <c r="G1255" t="b">
        <v>0</v>
      </c>
    </row>
    <row r="1256" spans="1:7" x14ac:dyDescent="0.25">
      <c r="A1256" t="s">
        <v>12550</v>
      </c>
      <c r="B1256" s="34">
        <v>1.301944</v>
      </c>
      <c r="C1256" s="34">
        <v>0.108495333333333</v>
      </c>
      <c r="D1256" t="s">
        <v>84</v>
      </c>
      <c r="E1256" s="34">
        <v>0.54247666666666605</v>
      </c>
      <c r="F1256" t="s">
        <v>15025</v>
      </c>
      <c r="G1256" t="b">
        <v>0</v>
      </c>
    </row>
    <row r="1257" spans="1:7" x14ac:dyDescent="0.25">
      <c r="A1257" t="s">
        <v>12961</v>
      </c>
      <c r="B1257" s="34">
        <v>1.3005</v>
      </c>
      <c r="C1257" s="34">
        <v>0.108375</v>
      </c>
      <c r="D1257" t="s">
        <v>151</v>
      </c>
      <c r="E1257" s="34">
        <v>6.5025000000000004</v>
      </c>
      <c r="F1257" t="s">
        <v>15436</v>
      </c>
      <c r="G1257" t="b">
        <v>0</v>
      </c>
    </row>
    <row r="1258" spans="1:7" x14ac:dyDescent="0.25">
      <c r="A1258" t="s">
        <v>12809</v>
      </c>
      <c r="B1258" s="34">
        <v>1.2928999999999999</v>
      </c>
      <c r="C1258" s="34">
        <v>0.107741666666666</v>
      </c>
      <c r="D1258" t="s">
        <v>1240</v>
      </c>
      <c r="E1258" s="34">
        <v>6.4645000000000001</v>
      </c>
      <c r="F1258" t="s">
        <v>15284</v>
      </c>
      <c r="G1258" t="b">
        <v>0</v>
      </c>
    </row>
    <row r="1259" spans="1:7" x14ac:dyDescent="0.25">
      <c r="A1259" t="s">
        <v>13519</v>
      </c>
      <c r="B1259" s="34">
        <v>1.29019999999999</v>
      </c>
      <c r="C1259" s="34">
        <v>0.107516666666666</v>
      </c>
      <c r="D1259" t="s">
        <v>873</v>
      </c>
      <c r="E1259" s="34">
        <v>6.4509999999999899</v>
      </c>
      <c r="F1259" t="s">
        <v>15988</v>
      </c>
      <c r="G1259" t="b">
        <v>0</v>
      </c>
    </row>
    <row r="1260" spans="1:7" x14ac:dyDescent="0.25">
      <c r="A1260" t="s">
        <v>14069</v>
      </c>
      <c r="B1260" s="34">
        <v>1.2864</v>
      </c>
      <c r="C1260" s="34">
        <v>0.1072</v>
      </c>
      <c r="D1260" t="s">
        <v>1670</v>
      </c>
      <c r="E1260" s="34">
        <v>6.4320000000000004</v>
      </c>
      <c r="F1260" t="s">
        <v>16536</v>
      </c>
      <c r="G1260" t="b">
        <v>0</v>
      </c>
    </row>
    <row r="1261" spans="1:7" x14ac:dyDescent="0.25">
      <c r="A1261" t="s">
        <v>12647</v>
      </c>
      <c r="B1261" s="34">
        <v>1.28479999999999</v>
      </c>
      <c r="C1261" s="34">
        <v>0.107066666666666</v>
      </c>
      <c r="D1261" t="s">
        <v>853</v>
      </c>
      <c r="E1261" s="34">
        <v>6.4239999999999897</v>
      </c>
      <c r="F1261" t="s">
        <v>15122</v>
      </c>
      <c r="G1261" t="b">
        <v>0</v>
      </c>
    </row>
    <row r="1262" spans="1:7" x14ac:dyDescent="0.25">
      <c r="A1262" t="s">
        <v>13810</v>
      </c>
      <c r="B1262" s="34">
        <v>1.2843</v>
      </c>
      <c r="C1262" s="34">
        <v>0.107025</v>
      </c>
      <c r="D1262" t="s">
        <v>35</v>
      </c>
      <c r="E1262" s="34">
        <v>6.4215</v>
      </c>
      <c r="F1262" t="s">
        <v>16277</v>
      </c>
      <c r="G1262" t="b">
        <v>0</v>
      </c>
    </row>
    <row r="1263" spans="1:7" x14ac:dyDescent="0.25">
      <c r="A1263" t="s">
        <v>14537</v>
      </c>
      <c r="B1263" s="34">
        <v>1.2836000000000001</v>
      </c>
      <c r="C1263" s="34">
        <v>0.106966666666666</v>
      </c>
      <c r="D1263" t="s">
        <v>35</v>
      </c>
      <c r="E1263" s="34">
        <v>3.2090000000000001</v>
      </c>
      <c r="F1263" t="s">
        <v>16996</v>
      </c>
      <c r="G1263" t="b">
        <v>0</v>
      </c>
    </row>
    <row r="1264" spans="1:7" x14ac:dyDescent="0.25">
      <c r="A1264" t="s">
        <v>13270</v>
      </c>
      <c r="B1264" s="34">
        <v>1.2821800000000001</v>
      </c>
      <c r="C1264" s="34">
        <v>0.106848333333333</v>
      </c>
      <c r="D1264" t="s">
        <v>548</v>
      </c>
      <c r="E1264" s="34">
        <v>6.4108999999999998</v>
      </c>
      <c r="F1264" t="s">
        <v>15742</v>
      </c>
      <c r="G1264" t="b">
        <v>0</v>
      </c>
    </row>
    <row r="1265" spans="1:7" x14ac:dyDescent="0.25">
      <c r="A1265" t="s">
        <v>13255</v>
      </c>
      <c r="B1265" s="34">
        <v>1.2810452000000001</v>
      </c>
      <c r="C1265" s="34">
        <v>0.106753766666666</v>
      </c>
      <c r="D1265" t="s">
        <v>1382</v>
      </c>
      <c r="E1265" s="34">
        <v>6.4052259999999999</v>
      </c>
      <c r="F1265" t="s">
        <v>15728</v>
      </c>
      <c r="G1265" t="b">
        <v>0</v>
      </c>
    </row>
    <row r="1266" spans="1:7" x14ac:dyDescent="0.25">
      <c r="A1266" t="s">
        <v>13449</v>
      </c>
      <c r="B1266" s="34">
        <v>1.279528</v>
      </c>
      <c r="C1266" s="34">
        <v>0.106627333333333</v>
      </c>
      <c r="D1266" t="s">
        <v>72</v>
      </c>
      <c r="E1266" s="34">
        <v>6.39764</v>
      </c>
      <c r="F1266" t="s">
        <v>15918</v>
      </c>
      <c r="G1266" t="b">
        <v>0</v>
      </c>
    </row>
    <row r="1267" spans="1:7" x14ac:dyDescent="0.25">
      <c r="A1267" t="s">
        <v>14355</v>
      </c>
      <c r="B1267" s="34">
        <v>1.27012199999999</v>
      </c>
      <c r="C1267" s="34">
        <v>0.10584349999999899</v>
      </c>
      <c r="D1267" t="s">
        <v>1716</v>
      </c>
      <c r="E1267" s="34">
        <v>6.3506099999999899</v>
      </c>
      <c r="F1267" t="s">
        <v>16817</v>
      </c>
      <c r="G1267" t="b">
        <v>0</v>
      </c>
    </row>
    <row r="1268" spans="1:7" x14ac:dyDescent="0.25">
      <c r="A1268" t="s">
        <v>12682</v>
      </c>
      <c r="B1268" s="34">
        <v>1.2694000000000001</v>
      </c>
      <c r="C1268" s="34">
        <v>0.10578333333333299</v>
      </c>
      <c r="D1268" t="s">
        <v>3230</v>
      </c>
      <c r="E1268" s="34">
        <v>6.3470000000000004</v>
      </c>
      <c r="F1268" t="s">
        <v>15157</v>
      </c>
      <c r="G1268" t="b">
        <v>0</v>
      </c>
    </row>
    <row r="1269" spans="1:7" x14ac:dyDescent="0.25">
      <c r="A1269" t="s">
        <v>14338</v>
      </c>
      <c r="B1269" s="34">
        <v>1.2687999999999999</v>
      </c>
      <c r="C1269" s="34">
        <v>0.105733333333333</v>
      </c>
      <c r="D1269" t="s">
        <v>290</v>
      </c>
      <c r="E1269" s="34">
        <v>6.3439999999999896</v>
      </c>
      <c r="F1269" t="s">
        <v>16801</v>
      </c>
      <c r="G1269" t="b">
        <v>0</v>
      </c>
    </row>
    <row r="1270" spans="1:7" x14ac:dyDescent="0.25">
      <c r="A1270" t="s">
        <v>14523</v>
      </c>
      <c r="B1270" s="34">
        <v>1.25831</v>
      </c>
      <c r="C1270" s="34">
        <v>0.104859166666666</v>
      </c>
      <c r="D1270" t="s">
        <v>132</v>
      </c>
      <c r="E1270" s="34">
        <v>6.29155</v>
      </c>
      <c r="F1270" t="s">
        <v>16983</v>
      </c>
      <c r="G1270" t="b">
        <v>0</v>
      </c>
    </row>
    <row r="1271" spans="1:7" x14ac:dyDescent="0.25">
      <c r="A1271" t="s">
        <v>14022</v>
      </c>
      <c r="B1271" s="34">
        <v>1.2581909999999901</v>
      </c>
      <c r="C1271" s="34">
        <v>0.10484924999999901</v>
      </c>
      <c r="D1271" t="s">
        <v>1382</v>
      </c>
      <c r="E1271" s="34">
        <v>3.1454774999999899</v>
      </c>
      <c r="F1271" t="s">
        <v>16489</v>
      </c>
      <c r="G1271" t="b">
        <v>0</v>
      </c>
    </row>
    <row r="1272" spans="1:7" x14ac:dyDescent="0.25">
      <c r="A1272" t="s">
        <v>14742</v>
      </c>
      <c r="B1272" s="34">
        <v>1.256</v>
      </c>
      <c r="C1272" s="34">
        <v>0.10466666666666601</v>
      </c>
      <c r="D1272" t="s">
        <v>2106</v>
      </c>
      <c r="E1272" s="34">
        <v>6.28</v>
      </c>
      <c r="F1272" t="s">
        <v>17191</v>
      </c>
      <c r="G1272" t="b">
        <v>0</v>
      </c>
    </row>
    <row r="1273" spans="1:7" x14ac:dyDescent="0.25">
      <c r="A1273" t="s">
        <v>12911</v>
      </c>
      <c r="B1273" s="34">
        <v>1.2544999999999999</v>
      </c>
      <c r="C1273" s="34">
        <v>0.10454166666666601</v>
      </c>
      <c r="D1273" t="s">
        <v>6919</v>
      </c>
      <c r="E1273" s="34">
        <v>6.2725</v>
      </c>
      <c r="F1273" t="s">
        <v>15386</v>
      </c>
      <c r="G1273" t="b">
        <v>0</v>
      </c>
    </row>
    <row r="1274" spans="1:7" x14ac:dyDescent="0.25">
      <c r="A1274" t="s">
        <v>12762</v>
      </c>
      <c r="B1274" s="34">
        <v>1.24799999999999</v>
      </c>
      <c r="C1274" s="34">
        <v>0.104</v>
      </c>
      <c r="D1274" t="s">
        <v>151</v>
      </c>
      <c r="E1274" s="34">
        <v>6.2399999999999904</v>
      </c>
      <c r="F1274" t="s">
        <v>15237</v>
      </c>
      <c r="G1274" t="b">
        <v>0</v>
      </c>
    </row>
    <row r="1275" spans="1:7" x14ac:dyDescent="0.25">
      <c r="A1275" t="s">
        <v>14426</v>
      </c>
      <c r="B1275" s="34">
        <v>1.2446999999999999</v>
      </c>
      <c r="C1275" s="34">
        <v>0.103725</v>
      </c>
      <c r="D1275" t="s">
        <v>1288</v>
      </c>
      <c r="E1275" s="34">
        <v>6.2234999999999996</v>
      </c>
      <c r="F1275" t="s">
        <v>16887</v>
      </c>
      <c r="G1275" t="b">
        <v>0</v>
      </c>
    </row>
    <row r="1276" spans="1:7" x14ac:dyDescent="0.25">
      <c r="A1276" t="s">
        <v>13260</v>
      </c>
      <c r="B1276" s="34">
        <v>1.2429399999999999</v>
      </c>
      <c r="C1276" s="34">
        <v>0.10357833333333299</v>
      </c>
      <c r="D1276" t="s">
        <v>2340</v>
      </c>
      <c r="E1276" s="34">
        <v>6.2146999999999997</v>
      </c>
      <c r="F1276" t="s">
        <v>15733</v>
      </c>
      <c r="G1276" t="b">
        <v>0</v>
      </c>
    </row>
    <row r="1277" spans="1:7" x14ac:dyDescent="0.25">
      <c r="A1277" t="s">
        <v>12826</v>
      </c>
      <c r="B1277" s="34">
        <v>1.23468</v>
      </c>
      <c r="C1277" s="34">
        <v>0.10289</v>
      </c>
      <c r="D1277" t="s">
        <v>151</v>
      </c>
      <c r="E1277" s="34">
        <v>6.1734</v>
      </c>
      <c r="F1277" t="s">
        <v>15301</v>
      </c>
      <c r="G1277" t="b">
        <v>0</v>
      </c>
    </row>
    <row r="1278" spans="1:7" x14ac:dyDescent="0.25">
      <c r="A1278" t="s">
        <v>13141</v>
      </c>
      <c r="B1278" s="34">
        <v>1.228</v>
      </c>
      <c r="C1278" s="34">
        <v>0.102333333333333</v>
      </c>
      <c r="D1278" t="s">
        <v>2101</v>
      </c>
      <c r="E1278" s="34">
        <v>6.14</v>
      </c>
      <c r="F1278" t="s">
        <v>15616</v>
      </c>
      <c r="G1278" t="b">
        <v>0</v>
      </c>
    </row>
    <row r="1279" spans="1:7" x14ac:dyDescent="0.25">
      <c r="A1279" t="s">
        <v>12960</v>
      </c>
      <c r="B1279" s="34">
        <v>1.2233000000000001</v>
      </c>
      <c r="C1279" s="34">
        <v>0.101941666666666</v>
      </c>
      <c r="D1279" t="s">
        <v>84</v>
      </c>
      <c r="E1279" s="34">
        <v>6.1165000000000003</v>
      </c>
      <c r="F1279" t="s">
        <v>15435</v>
      </c>
      <c r="G1279" t="b">
        <v>0</v>
      </c>
    </row>
    <row r="1280" spans="1:7" x14ac:dyDescent="0.25">
      <c r="A1280" t="s">
        <v>13609</v>
      </c>
      <c r="B1280" s="34">
        <v>1.222</v>
      </c>
      <c r="C1280" s="34">
        <v>0.101833333333333</v>
      </c>
      <c r="D1280" t="s">
        <v>318</v>
      </c>
      <c r="E1280" s="34">
        <v>6.1099999999999897</v>
      </c>
      <c r="F1280" t="s">
        <v>16078</v>
      </c>
      <c r="G1280" t="b">
        <v>0</v>
      </c>
    </row>
    <row r="1281" spans="1:7" x14ac:dyDescent="0.25">
      <c r="A1281" t="s">
        <v>13003</v>
      </c>
      <c r="B1281" s="34">
        <v>1.2166999999999999</v>
      </c>
      <c r="C1281" s="34">
        <v>0.10139166666666601</v>
      </c>
      <c r="D1281" t="s">
        <v>145</v>
      </c>
      <c r="E1281" s="34">
        <v>6.0834999999999999</v>
      </c>
      <c r="F1281" t="s">
        <v>15478</v>
      </c>
      <c r="G1281" t="b">
        <v>0</v>
      </c>
    </row>
    <row r="1282" spans="1:7" x14ac:dyDescent="0.25">
      <c r="A1282" t="s">
        <v>14094</v>
      </c>
      <c r="B1282" s="34">
        <v>1.21254</v>
      </c>
      <c r="C1282" s="34">
        <v>0.101045</v>
      </c>
      <c r="D1282" t="s">
        <v>35</v>
      </c>
      <c r="E1282" s="34">
        <v>6.0627000000000004</v>
      </c>
      <c r="F1282" t="s">
        <v>16561</v>
      </c>
      <c r="G1282" t="b">
        <v>0</v>
      </c>
    </row>
    <row r="1283" spans="1:7" x14ac:dyDescent="0.25">
      <c r="A1283" t="s">
        <v>12805</v>
      </c>
      <c r="B1283" s="34">
        <v>1.20804</v>
      </c>
      <c r="C1283" s="34">
        <v>0.10067</v>
      </c>
      <c r="D1283" t="s">
        <v>9074</v>
      </c>
      <c r="E1283" s="34">
        <v>6.0401999999999996</v>
      </c>
      <c r="F1283" t="s">
        <v>15280</v>
      </c>
      <c r="G1283" t="b">
        <v>0</v>
      </c>
    </row>
    <row r="1284" spans="1:7" x14ac:dyDescent="0.25">
      <c r="A1284" t="s">
        <v>14511</v>
      </c>
      <c r="B1284" s="34">
        <v>1.20394</v>
      </c>
      <c r="C1284" s="34">
        <v>0.10032833333333301</v>
      </c>
      <c r="D1284" t="s">
        <v>35</v>
      </c>
      <c r="E1284" s="34">
        <v>6.0197000000000003</v>
      </c>
      <c r="F1284" t="s">
        <v>16971</v>
      </c>
      <c r="G1284" t="b">
        <v>0</v>
      </c>
    </row>
    <row r="1285" spans="1:7" x14ac:dyDescent="0.25">
      <c r="A1285" t="s">
        <v>14851</v>
      </c>
      <c r="B1285" s="34">
        <v>1.1893</v>
      </c>
      <c r="C1285" s="34">
        <v>9.9108333333333298E-2</v>
      </c>
      <c r="D1285" t="s">
        <v>97</v>
      </c>
      <c r="E1285" s="34">
        <v>5.9465000000000003</v>
      </c>
      <c r="F1285" t="s">
        <v>17288</v>
      </c>
      <c r="G1285" t="b">
        <v>0</v>
      </c>
    </row>
    <row r="1286" spans="1:7" x14ac:dyDescent="0.25">
      <c r="A1286" t="s">
        <v>14813</v>
      </c>
      <c r="B1286" s="34">
        <v>1.1867669999999999</v>
      </c>
      <c r="C1286" s="34">
        <v>9.8897250000000006E-2</v>
      </c>
      <c r="D1286" t="s">
        <v>883</v>
      </c>
      <c r="E1286" s="34">
        <v>5.9338350000000002</v>
      </c>
      <c r="F1286" t="s">
        <v>17256</v>
      </c>
      <c r="G1286" t="b">
        <v>0</v>
      </c>
    </row>
    <row r="1287" spans="1:7" x14ac:dyDescent="0.25">
      <c r="A1287" t="s">
        <v>13174</v>
      </c>
      <c r="B1287" s="34">
        <v>1.1837</v>
      </c>
      <c r="C1287" s="34">
        <v>9.86416666666666E-2</v>
      </c>
      <c r="D1287" t="s">
        <v>8552</v>
      </c>
      <c r="E1287" s="34">
        <v>5.9184999999999999</v>
      </c>
      <c r="F1287" t="s">
        <v>15648</v>
      </c>
      <c r="G1287" t="b">
        <v>0</v>
      </c>
    </row>
    <row r="1288" spans="1:7" x14ac:dyDescent="0.25">
      <c r="A1288" t="s">
        <v>13721</v>
      </c>
      <c r="B1288" s="34">
        <v>1.1828999999999901</v>
      </c>
      <c r="C1288" s="34">
        <v>9.8574999999999996E-2</v>
      </c>
      <c r="D1288" t="s">
        <v>726</v>
      </c>
      <c r="E1288" s="34">
        <v>5.9144999999999897</v>
      </c>
      <c r="F1288" t="s">
        <v>16189</v>
      </c>
      <c r="G1288" t="b">
        <v>0</v>
      </c>
    </row>
    <row r="1289" spans="1:7" x14ac:dyDescent="0.25">
      <c r="A1289" t="s">
        <v>13955</v>
      </c>
      <c r="B1289" s="34">
        <v>1.1826000000000001</v>
      </c>
      <c r="C1289" s="34">
        <v>9.8549999999999902E-2</v>
      </c>
      <c r="D1289" t="s">
        <v>35</v>
      </c>
      <c r="E1289" s="34">
        <v>5.9129999999999896</v>
      </c>
      <c r="F1289" t="s">
        <v>16422</v>
      </c>
      <c r="G1289" t="b">
        <v>0</v>
      </c>
    </row>
    <row r="1290" spans="1:7" x14ac:dyDescent="0.25">
      <c r="A1290" t="s">
        <v>14778</v>
      </c>
      <c r="B1290" s="34">
        <v>1.1818553599999899</v>
      </c>
      <c r="C1290" s="34">
        <v>9.8487946666666604E-2</v>
      </c>
      <c r="D1290" t="s">
        <v>35</v>
      </c>
      <c r="E1290" s="34">
        <v>5.90927679999999</v>
      </c>
      <c r="F1290" t="s">
        <v>17225</v>
      </c>
      <c r="G1290" t="b">
        <v>0</v>
      </c>
    </row>
    <row r="1291" spans="1:7" x14ac:dyDescent="0.25">
      <c r="A1291" t="s">
        <v>14245</v>
      </c>
      <c r="B1291" s="34">
        <v>1.1763999999999999</v>
      </c>
      <c r="C1291" s="34">
        <v>9.8033333333333306E-2</v>
      </c>
      <c r="D1291" t="s">
        <v>168</v>
      </c>
      <c r="E1291" s="34">
        <v>5.8819999999999997</v>
      </c>
      <c r="F1291" t="s">
        <v>16709</v>
      </c>
      <c r="G1291" t="b">
        <v>0</v>
      </c>
    </row>
    <row r="1292" spans="1:7" x14ac:dyDescent="0.25">
      <c r="A1292" t="s">
        <v>12862</v>
      </c>
      <c r="B1292" s="34">
        <v>1.17523759999999</v>
      </c>
      <c r="C1292" s="34">
        <v>9.7936466666666597E-2</v>
      </c>
      <c r="D1292" t="s">
        <v>2583</v>
      </c>
      <c r="E1292" s="34">
        <v>5.8761879999999902</v>
      </c>
      <c r="F1292" t="s">
        <v>15337</v>
      </c>
      <c r="G1292" t="b">
        <v>0</v>
      </c>
    </row>
    <row r="1293" spans="1:7" x14ac:dyDescent="0.25">
      <c r="A1293" t="s">
        <v>13589</v>
      </c>
      <c r="B1293" s="34">
        <v>1.1742999999999899</v>
      </c>
      <c r="C1293" s="34">
        <v>9.7858333333333297E-2</v>
      </c>
      <c r="D1293" t="s">
        <v>1861</v>
      </c>
      <c r="E1293" s="34">
        <v>2.9357499999999899</v>
      </c>
      <c r="F1293" t="s">
        <v>16058</v>
      </c>
      <c r="G1293" t="b">
        <v>0</v>
      </c>
    </row>
    <row r="1294" spans="1:7" x14ac:dyDescent="0.25">
      <c r="A1294" t="s">
        <v>13992</v>
      </c>
      <c r="B1294" s="34">
        <v>1.1730282000000001</v>
      </c>
      <c r="C1294" s="34">
        <v>9.7752350000000002E-2</v>
      </c>
      <c r="D1294" t="s">
        <v>239</v>
      </c>
      <c r="E1294" s="34">
        <v>5.8651410000000004</v>
      </c>
      <c r="F1294" t="s">
        <v>16459</v>
      </c>
      <c r="G1294" t="b">
        <v>0</v>
      </c>
    </row>
    <row r="1295" spans="1:7" x14ac:dyDescent="0.25">
      <c r="A1295" t="s">
        <v>13237</v>
      </c>
      <c r="B1295" s="34">
        <v>1.1709000000000001</v>
      </c>
      <c r="C1295" s="34">
        <v>9.7574999999999995E-2</v>
      </c>
      <c r="D1295" t="s">
        <v>306</v>
      </c>
      <c r="E1295" s="34">
        <v>5.8544999999999998</v>
      </c>
      <c r="F1295" t="s">
        <v>15711</v>
      </c>
      <c r="G1295" t="b">
        <v>0</v>
      </c>
    </row>
    <row r="1296" spans="1:7" x14ac:dyDescent="0.25">
      <c r="A1296" t="s">
        <v>13977</v>
      </c>
      <c r="B1296" s="34">
        <v>1.1707399999999999</v>
      </c>
      <c r="C1296" s="34">
        <v>9.7561666666666602E-2</v>
      </c>
      <c r="D1296" t="s">
        <v>26</v>
      </c>
      <c r="E1296" s="34">
        <v>5.8536999999999999</v>
      </c>
      <c r="F1296" t="s">
        <v>16444</v>
      </c>
      <c r="G1296" t="b">
        <v>0</v>
      </c>
    </row>
    <row r="1297" spans="1:7" x14ac:dyDescent="0.25">
      <c r="A1297" t="s">
        <v>12971</v>
      </c>
      <c r="B1297" s="34">
        <v>1.1689909999999999</v>
      </c>
      <c r="C1297" s="34">
        <v>9.7415916666666602E-2</v>
      </c>
      <c r="D1297" t="s">
        <v>209</v>
      </c>
      <c r="E1297" s="34">
        <v>5.8449549999999997</v>
      </c>
      <c r="F1297" t="s">
        <v>15446</v>
      </c>
      <c r="G1297" t="b">
        <v>0</v>
      </c>
    </row>
    <row r="1298" spans="1:7" x14ac:dyDescent="0.25">
      <c r="A1298" t="s">
        <v>12738</v>
      </c>
      <c r="B1298" s="34">
        <v>1.1636599999999999</v>
      </c>
      <c r="C1298" s="34">
        <v>9.6971666666666595E-2</v>
      </c>
      <c r="D1298" t="s">
        <v>395</v>
      </c>
      <c r="E1298" s="34">
        <v>5.8182999999999998</v>
      </c>
      <c r="F1298" t="s">
        <v>15213</v>
      </c>
      <c r="G1298" t="b">
        <v>0</v>
      </c>
    </row>
    <row r="1299" spans="1:7" x14ac:dyDescent="0.25">
      <c r="A1299" t="s">
        <v>13437</v>
      </c>
      <c r="B1299" s="34">
        <v>1.1494420000000001</v>
      </c>
      <c r="C1299" s="34">
        <v>9.5786833333333293E-2</v>
      </c>
      <c r="D1299" t="s">
        <v>35</v>
      </c>
      <c r="E1299" s="34">
        <v>5.7472099999999902</v>
      </c>
      <c r="F1299" t="s">
        <v>15906</v>
      </c>
      <c r="G1299" t="b">
        <v>0</v>
      </c>
    </row>
    <row r="1300" spans="1:7" x14ac:dyDescent="0.25">
      <c r="A1300" t="s">
        <v>14434</v>
      </c>
      <c r="B1300" s="34">
        <v>1.1385719999999999</v>
      </c>
      <c r="C1300" s="34">
        <v>9.4880999999999993E-2</v>
      </c>
      <c r="D1300" t="s">
        <v>26</v>
      </c>
      <c r="E1300" s="34">
        <v>5.6928599999999996</v>
      </c>
      <c r="F1300" t="s">
        <v>16895</v>
      </c>
      <c r="G1300" t="b">
        <v>0</v>
      </c>
    </row>
    <row r="1301" spans="1:7" x14ac:dyDescent="0.25">
      <c r="A1301" t="s">
        <v>14019</v>
      </c>
      <c r="B1301" s="34">
        <v>1.1365719999999999</v>
      </c>
      <c r="C1301" s="34">
        <v>9.4714333333333303E-2</v>
      </c>
      <c r="D1301" t="s">
        <v>2768</v>
      </c>
      <c r="E1301" s="34">
        <v>5.6828599999999998</v>
      </c>
      <c r="F1301" t="s">
        <v>16486</v>
      </c>
      <c r="G1301" t="b">
        <v>0</v>
      </c>
    </row>
    <row r="1302" spans="1:7" x14ac:dyDescent="0.25">
      <c r="A1302" t="s">
        <v>12737</v>
      </c>
      <c r="B1302" s="34">
        <v>1.1353</v>
      </c>
      <c r="C1302" s="34">
        <v>9.4608333333333294E-2</v>
      </c>
      <c r="D1302" t="s">
        <v>226</v>
      </c>
      <c r="E1302" s="34">
        <v>5.6764999999999999</v>
      </c>
      <c r="F1302" t="s">
        <v>15212</v>
      </c>
      <c r="G1302" t="b">
        <v>0</v>
      </c>
    </row>
    <row r="1303" spans="1:7" x14ac:dyDescent="0.25">
      <c r="A1303" t="s">
        <v>14868</v>
      </c>
      <c r="B1303" s="34">
        <v>1.1328601999999901</v>
      </c>
      <c r="C1303" s="34">
        <v>9.4405016666666605E-2</v>
      </c>
      <c r="D1303" t="s">
        <v>5895</v>
      </c>
      <c r="E1303" s="34">
        <v>5.664301</v>
      </c>
      <c r="F1303" t="s">
        <v>17304</v>
      </c>
      <c r="G1303" t="b">
        <v>0</v>
      </c>
    </row>
    <row r="1304" spans="1:7" x14ac:dyDescent="0.25">
      <c r="A1304" t="s">
        <v>12666</v>
      </c>
      <c r="B1304" s="34">
        <v>1.1298998</v>
      </c>
      <c r="C1304" s="34">
        <v>9.4158316666666603E-2</v>
      </c>
      <c r="D1304" t="s">
        <v>215</v>
      </c>
      <c r="E1304" s="34">
        <v>5.6494989999999996</v>
      </c>
      <c r="F1304" t="s">
        <v>15141</v>
      </c>
      <c r="G1304" t="b">
        <v>0</v>
      </c>
    </row>
    <row r="1305" spans="1:7" x14ac:dyDescent="0.25">
      <c r="A1305" t="s">
        <v>14419</v>
      </c>
      <c r="B1305" s="34">
        <v>1.1293886</v>
      </c>
      <c r="C1305" s="34">
        <v>9.4115716666666599E-2</v>
      </c>
      <c r="D1305" t="s">
        <v>35</v>
      </c>
      <c r="E1305" s="34">
        <v>2.8234714999999899</v>
      </c>
      <c r="F1305" t="s">
        <v>16880</v>
      </c>
      <c r="G1305" t="b">
        <v>0</v>
      </c>
    </row>
    <row r="1306" spans="1:7" x14ac:dyDescent="0.25">
      <c r="A1306" t="s">
        <v>12841</v>
      </c>
      <c r="B1306" s="34">
        <v>1.1243364999999901</v>
      </c>
      <c r="C1306" s="34">
        <v>9.3694708333333293E-2</v>
      </c>
      <c r="D1306" t="s">
        <v>122</v>
      </c>
      <c r="E1306" s="34">
        <v>5.6216825000000004</v>
      </c>
      <c r="F1306" t="s">
        <v>15316</v>
      </c>
      <c r="G1306" t="b">
        <v>0</v>
      </c>
    </row>
    <row r="1307" spans="1:7" x14ac:dyDescent="0.25">
      <c r="A1307" t="s">
        <v>14320</v>
      </c>
      <c r="B1307" s="34">
        <v>1.1207699999999901</v>
      </c>
      <c r="C1307" s="34">
        <v>9.3397499999999994E-2</v>
      </c>
      <c r="D1307" t="s">
        <v>645</v>
      </c>
      <c r="E1307" s="34">
        <v>5.6038500000000004</v>
      </c>
      <c r="F1307" t="s">
        <v>16783</v>
      </c>
      <c r="G1307" t="b">
        <v>0</v>
      </c>
    </row>
    <row r="1308" spans="1:7" x14ac:dyDescent="0.25">
      <c r="A1308" t="s">
        <v>12984</v>
      </c>
      <c r="B1308" s="34">
        <v>1.1146</v>
      </c>
      <c r="C1308" s="34">
        <v>9.2883333333333304E-2</v>
      </c>
      <c r="D1308" t="s">
        <v>2101</v>
      </c>
      <c r="E1308" s="34">
        <v>5.5729999999999897</v>
      </c>
      <c r="F1308" t="s">
        <v>15459</v>
      </c>
      <c r="G1308" t="b">
        <v>0</v>
      </c>
    </row>
    <row r="1309" spans="1:7" x14ac:dyDescent="0.25">
      <c r="A1309" t="s">
        <v>13115</v>
      </c>
      <c r="B1309" s="34">
        <v>1.1143000000000001</v>
      </c>
      <c r="C1309" s="34">
        <v>9.2858333333333307E-2</v>
      </c>
      <c r="D1309" t="s">
        <v>35</v>
      </c>
      <c r="E1309" s="34">
        <v>5.5715000000000003</v>
      </c>
      <c r="F1309" t="s">
        <v>15590</v>
      </c>
      <c r="G1309" t="b">
        <v>0</v>
      </c>
    </row>
    <row r="1310" spans="1:7" x14ac:dyDescent="0.25">
      <c r="A1310" t="s">
        <v>13466</v>
      </c>
      <c r="B1310" s="34">
        <v>1.1121692999999999</v>
      </c>
      <c r="C1310" s="34">
        <v>9.2680775000000007E-2</v>
      </c>
      <c r="D1310" t="s">
        <v>2583</v>
      </c>
      <c r="E1310" s="34">
        <v>5.5608464999999896</v>
      </c>
      <c r="F1310" t="s">
        <v>15935</v>
      </c>
      <c r="G1310" t="b">
        <v>0</v>
      </c>
    </row>
    <row r="1311" spans="1:7" x14ac:dyDescent="0.25">
      <c r="A1311" t="s">
        <v>14627</v>
      </c>
      <c r="B1311" s="34">
        <v>1.1082000000000001</v>
      </c>
      <c r="C1311" s="34">
        <v>9.2350000000000002E-2</v>
      </c>
      <c r="D1311" t="s">
        <v>35</v>
      </c>
      <c r="E1311" s="34">
        <v>5.5410000000000004</v>
      </c>
      <c r="F1311" t="s">
        <v>17080</v>
      </c>
      <c r="G1311" t="b">
        <v>0</v>
      </c>
    </row>
    <row r="1312" spans="1:7" x14ac:dyDescent="0.25">
      <c r="A1312" t="s">
        <v>13547</v>
      </c>
      <c r="B1312" s="34">
        <v>1.0995999999999999</v>
      </c>
      <c r="C1312" s="34">
        <v>9.1633333333333303E-2</v>
      </c>
      <c r="D1312" t="s">
        <v>35</v>
      </c>
      <c r="E1312" s="34">
        <v>5.4979999999999896</v>
      </c>
      <c r="F1312" t="s">
        <v>16016</v>
      </c>
      <c r="G1312" t="b">
        <v>0</v>
      </c>
    </row>
    <row r="1313" spans="1:7" x14ac:dyDescent="0.25">
      <c r="A1313" t="s">
        <v>12636</v>
      </c>
      <c r="B1313" s="34">
        <v>1.099</v>
      </c>
      <c r="C1313" s="34">
        <v>9.1583333333333294E-2</v>
      </c>
      <c r="D1313" t="s">
        <v>385</v>
      </c>
      <c r="E1313" s="34">
        <v>5.4950000000000001</v>
      </c>
      <c r="F1313" t="s">
        <v>15111</v>
      </c>
      <c r="G1313" t="b">
        <v>0</v>
      </c>
    </row>
    <row r="1314" spans="1:7" x14ac:dyDescent="0.25">
      <c r="A1314" t="s">
        <v>14387</v>
      </c>
      <c r="B1314" s="34">
        <v>1.0952652</v>
      </c>
      <c r="C1314" s="34">
        <v>9.1272099999999995E-2</v>
      </c>
      <c r="D1314" t="s">
        <v>7038</v>
      </c>
      <c r="E1314" s="34">
        <v>5.4763260000000002</v>
      </c>
      <c r="F1314" t="s">
        <v>16849</v>
      </c>
      <c r="G1314" t="b">
        <v>0</v>
      </c>
    </row>
    <row r="1315" spans="1:7" x14ac:dyDescent="0.25">
      <c r="A1315" t="s">
        <v>13408</v>
      </c>
      <c r="B1315" s="34">
        <v>1.0840000000000001</v>
      </c>
      <c r="C1315" s="34">
        <v>9.0333333333333293E-2</v>
      </c>
      <c r="D1315" t="s">
        <v>234</v>
      </c>
      <c r="E1315" s="34">
        <v>5.42</v>
      </c>
      <c r="F1315" t="s">
        <v>15878</v>
      </c>
      <c r="G1315" t="b">
        <v>0</v>
      </c>
    </row>
    <row r="1316" spans="1:7" x14ac:dyDescent="0.25">
      <c r="A1316" t="s">
        <v>14093</v>
      </c>
      <c r="B1316" s="34">
        <v>1.08266</v>
      </c>
      <c r="C1316" s="34">
        <v>9.0221666666666603E-2</v>
      </c>
      <c r="D1316" t="s">
        <v>5279</v>
      </c>
      <c r="E1316" s="34">
        <v>5.4132999999999996</v>
      </c>
      <c r="F1316" t="s">
        <v>16560</v>
      </c>
      <c r="G1316" t="b">
        <v>0</v>
      </c>
    </row>
    <row r="1317" spans="1:7" x14ac:dyDescent="0.25">
      <c r="A1317" t="s">
        <v>14662</v>
      </c>
      <c r="B1317" s="34">
        <v>1.0821999999999901</v>
      </c>
      <c r="C1317" s="34">
        <v>9.0183333333333296E-2</v>
      </c>
      <c r="D1317" t="s">
        <v>268</v>
      </c>
      <c r="E1317" s="34">
        <v>5.4109999999999996</v>
      </c>
      <c r="F1317" t="s">
        <v>17115</v>
      </c>
      <c r="G1317" t="b">
        <v>0</v>
      </c>
    </row>
    <row r="1318" spans="1:7" x14ac:dyDescent="0.25">
      <c r="A1318" t="s">
        <v>14421</v>
      </c>
      <c r="B1318" s="34">
        <v>1.0799999999999901</v>
      </c>
      <c r="C1318" s="34">
        <v>8.99999999999999E-2</v>
      </c>
      <c r="D1318" t="s">
        <v>7802</v>
      </c>
      <c r="E1318" s="34">
        <v>5.3999999999999897</v>
      </c>
      <c r="F1318" t="s">
        <v>16882</v>
      </c>
      <c r="G1318" t="b">
        <v>0</v>
      </c>
    </row>
    <row r="1319" spans="1:7" x14ac:dyDescent="0.25">
      <c r="A1319" t="s">
        <v>12821</v>
      </c>
      <c r="B1319" s="34">
        <v>1.07764309999999</v>
      </c>
      <c r="C1319" s="34">
        <v>8.9803591666666599E-2</v>
      </c>
      <c r="D1319" t="s">
        <v>2287</v>
      </c>
      <c r="E1319" s="34">
        <v>5.3882154999999896</v>
      </c>
      <c r="F1319" t="s">
        <v>15296</v>
      </c>
      <c r="G1319" t="b">
        <v>0</v>
      </c>
    </row>
    <row r="1320" spans="1:7" x14ac:dyDescent="0.25">
      <c r="A1320" t="s">
        <v>13641</v>
      </c>
      <c r="B1320" s="34">
        <v>1.0741999999999901</v>
      </c>
      <c r="C1320" s="34">
        <v>8.9516666666666606E-2</v>
      </c>
      <c r="D1320" t="s">
        <v>35</v>
      </c>
      <c r="E1320" s="34">
        <v>5.3710000000000004</v>
      </c>
      <c r="F1320" t="s">
        <v>16110</v>
      </c>
      <c r="G1320" t="b">
        <v>0</v>
      </c>
    </row>
    <row r="1321" spans="1:7" x14ac:dyDescent="0.25">
      <c r="A1321" t="s">
        <v>13075</v>
      </c>
      <c r="B1321" s="34">
        <v>1.0702700000000001</v>
      </c>
      <c r="C1321" s="34">
        <v>8.9189166666666597E-2</v>
      </c>
      <c r="D1321" t="s">
        <v>1249</v>
      </c>
      <c r="E1321" s="34">
        <v>5.3513500000000001</v>
      </c>
      <c r="F1321" t="s">
        <v>15550</v>
      </c>
      <c r="G1321" t="b">
        <v>0</v>
      </c>
    </row>
    <row r="1322" spans="1:7" x14ac:dyDescent="0.25">
      <c r="A1322" t="s">
        <v>14734</v>
      </c>
      <c r="B1322" s="34">
        <v>1.0656000000000001</v>
      </c>
      <c r="C1322" s="34">
        <v>8.8799999999999907E-2</v>
      </c>
      <c r="D1322" t="s">
        <v>290</v>
      </c>
      <c r="E1322" s="34">
        <v>5.3279999999999896</v>
      </c>
      <c r="F1322" t="s">
        <v>17184</v>
      </c>
      <c r="G1322" t="b">
        <v>0</v>
      </c>
    </row>
    <row r="1323" spans="1:7" x14ac:dyDescent="0.25">
      <c r="A1323" t="s">
        <v>13422</v>
      </c>
      <c r="B1323" s="34">
        <v>1.0627773</v>
      </c>
      <c r="C1323" s="34">
        <v>8.8564774999999998E-2</v>
      </c>
      <c r="D1323" t="s">
        <v>2696</v>
      </c>
      <c r="E1323" s="34">
        <v>5.3138864999999997</v>
      </c>
      <c r="F1323" t="s">
        <v>15892</v>
      </c>
      <c r="G1323" t="b">
        <v>0</v>
      </c>
    </row>
    <row r="1324" spans="1:7" x14ac:dyDescent="0.25">
      <c r="A1324" t="s">
        <v>13004</v>
      </c>
      <c r="B1324" s="34">
        <v>1.0617399999999999</v>
      </c>
      <c r="C1324" s="34">
        <v>8.8478333333333298E-2</v>
      </c>
      <c r="D1324" t="s">
        <v>35</v>
      </c>
      <c r="E1324" s="34">
        <v>5.3087</v>
      </c>
      <c r="F1324" t="s">
        <v>15479</v>
      </c>
      <c r="G1324" t="b">
        <v>0</v>
      </c>
    </row>
    <row r="1325" spans="1:7" x14ac:dyDescent="0.25">
      <c r="A1325" t="s">
        <v>13584</v>
      </c>
      <c r="B1325" s="34">
        <v>1.056</v>
      </c>
      <c r="C1325" s="34">
        <v>8.7999999999999995E-2</v>
      </c>
      <c r="D1325" t="s">
        <v>26</v>
      </c>
      <c r="E1325" s="34">
        <v>5.28</v>
      </c>
      <c r="F1325" t="s">
        <v>16053</v>
      </c>
      <c r="G1325" t="b">
        <v>0</v>
      </c>
    </row>
    <row r="1326" spans="1:7" x14ac:dyDescent="0.25">
      <c r="A1326" t="s">
        <v>14411</v>
      </c>
      <c r="B1326" s="34">
        <v>1.0555000000000001</v>
      </c>
      <c r="C1326" s="34">
        <v>8.7958333333333305E-2</v>
      </c>
      <c r="D1326" t="s">
        <v>35</v>
      </c>
      <c r="E1326" s="34">
        <v>5.2774999999999999</v>
      </c>
      <c r="F1326" t="s">
        <v>16872</v>
      </c>
      <c r="G1326" t="b">
        <v>0</v>
      </c>
    </row>
    <row r="1327" spans="1:7" x14ac:dyDescent="0.25">
      <c r="A1327" t="s">
        <v>14343</v>
      </c>
      <c r="B1327" s="34">
        <v>1.0532999999999999</v>
      </c>
      <c r="C1327" s="34">
        <v>8.7775000000000006E-2</v>
      </c>
      <c r="D1327" t="s">
        <v>1240</v>
      </c>
      <c r="E1327" s="34">
        <v>5.2664999999999997</v>
      </c>
      <c r="F1327" t="s">
        <v>16806</v>
      </c>
      <c r="G1327" t="b">
        <v>0</v>
      </c>
    </row>
    <row r="1328" spans="1:7" x14ac:dyDescent="0.25">
      <c r="A1328" t="s">
        <v>14220</v>
      </c>
      <c r="B1328" s="34">
        <v>1.0530999999999999</v>
      </c>
      <c r="C1328" s="34">
        <v>8.7758333333333299E-2</v>
      </c>
      <c r="D1328" t="s">
        <v>122</v>
      </c>
      <c r="E1328" s="34">
        <v>5.2655000000000003</v>
      </c>
      <c r="F1328" t="s">
        <v>16684</v>
      </c>
      <c r="G1328" t="b">
        <v>0</v>
      </c>
    </row>
    <row r="1329" spans="1:7" x14ac:dyDescent="0.25">
      <c r="A1329" t="s">
        <v>13802</v>
      </c>
      <c r="B1329" s="34">
        <v>1.0530223999999999</v>
      </c>
      <c r="C1329" s="34">
        <v>8.7751866666666595E-2</v>
      </c>
      <c r="D1329" t="s">
        <v>26</v>
      </c>
      <c r="E1329" s="34">
        <v>5.2651119999999896</v>
      </c>
      <c r="F1329" t="s">
        <v>16269</v>
      </c>
      <c r="G1329" t="b">
        <v>0</v>
      </c>
    </row>
    <row r="1330" spans="1:7" x14ac:dyDescent="0.25">
      <c r="A1330" t="s">
        <v>13595</v>
      </c>
      <c r="B1330" s="34">
        <v>1.05049199999999</v>
      </c>
      <c r="C1330" s="34">
        <v>8.7540999999999994E-2</v>
      </c>
      <c r="D1330" t="s">
        <v>928</v>
      </c>
      <c r="E1330" s="34">
        <v>5.2524599999999904</v>
      </c>
      <c r="F1330" t="s">
        <v>16064</v>
      </c>
      <c r="G1330" t="b">
        <v>0</v>
      </c>
    </row>
    <row r="1331" spans="1:7" x14ac:dyDescent="0.25">
      <c r="A1331" t="s">
        <v>13818</v>
      </c>
      <c r="B1331" s="34">
        <v>1.0501872999999999</v>
      </c>
      <c r="C1331" s="34">
        <v>8.75156083333333E-2</v>
      </c>
      <c r="D1331" t="s">
        <v>35</v>
      </c>
      <c r="E1331" s="34">
        <v>5.2509364999999999</v>
      </c>
      <c r="F1331" t="s">
        <v>16285</v>
      </c>
      <c r="G1331" t="b">
        <v>0</v>
      </c>
    </row>
    <row r="1332" spans="1:7" x14ac:dyDescent="0.25">
      <c r="A1332" t="s">
        <v>13524</v>
      </c>
      <c r="B1332" s="34">
        <v>1.04992</v>
      </c>
      <c r="C1332" s="34">
        <v>8.7493333333333298E-2</v>
      </c>
      <c r="D1332" t="s">
        <v>928</v>
      </c>
      <c r="E1332" s="34">
        <v>5.2496</v>
      </c>
      <c r="F1332" t="s">
        <v>15993</v>
      </c>
      <c r="G1332" t="b">
        <v>0</v>
      </c>
    </row>
    <row r="1333" spans="1:7" x14ac:dyDescent="0.25">
      <c r="A1333" t="s">
        <v>12792</v>
      </c>
      <c r="B1333" s="34">
        <v>1.0495000000000001</v>
      </c>
      <c r="C1333" s="34">
        <v>8.7458333333333305E-2</v>
      </c>
      <c r="D1333" t="s">
        <v>3176</v>
      </c>
      <c r="E1333" s="34">
        <v>5.2474999999999996</v>
      </c>
      <c r="F1333" t="s">
        <v>15267</v>
      </c>
      <c r="G1333" t="b">
        <v>0</v>
      </c>
    </row>
    <row r="1334" spans="1:7" x14ac:dyDescent="0.25">
      <c r="A1334" t="s">
        <v>13564</v>
      </c>
      <c r="B1334" s="34">
        <v>1.0364</v>
      </c>
      <c r="C1334" s="34">
        <v>8.6366666666666606E-2</v>
      </c>
      <c r="D1334" t="s">
        <v>54</v>
      </c>
      <c r="E1334" s="34">
        <v>5.1820000000000004</v>
      </c>
      <c r="F1334" t="s">
        <v>16033</v>
      </c>
      <c r="G1334" t="b">
        <v>0</v>
      </c>
    </row>
    <row r="1335" spans="1:7" x14ac:dyDescent="0.25">
      <c r="A1335" t="s">
        <v>13254</v>
      </c>
      <c r="B1335" s="34">
        <v>1.0339399999999901</v>
      </c>
      <c r="C1335" s="34">
        <v>8.6161666666666595E-2</v>
      </c>
      <c r="D1335" t="s">
        <v>2101</v>
      </c>
      <c r="E1335" s="34">
        <v>5.1696999999999997</v>
      </c>
      <c r="F1335" t="s">
        <v>15727</v>
      </c>
      <c r="G1335" t="b">
        <v>0</v>
      </c>
    </row>
    <row r="1336" spans="1:7" x14ac:dyDescent="0.25">
      <c r="A1336" t="s">
        <v>12849</v>
      </c>
      <c r="B1336" s="34">
        <v>1.0285</v>
      </c>
      <c r="C1336" s="34">
        <v>8.5708333333333303E-2</v>
      </c>
      <c r="D1336" t="s">
        <v>168</v>
      </c>
      <c r="E1336" s="34">
        <v>5.1425000000000001</v>
      </c>
      <c r="F1336" t="s">
        <v>15324</v>
      </c>
      <c r="G1336" t="b">
        <v>0</v>
      </c>
    </row>
    <row r="1337" spans="1:7" x14ac:dyDescent="0.25">
      <c r="A1337" t="s">
        <v>12800</v>
      </c>
      <c r="B1337" s="34">
        <v>1.0249999999999999</v>
      </c>
      <c r="C1337" s="34">
        <v>8.5416666666666599E-2</v>
      </c>
      <c r="D1337" t="s">
        <v>45</v>
      </c>
      <c r="E1337" s="34">
        <v>5.125</v>
      </c>
      <c r="F1337" t="s">
        <v>15275</v>
      </c>
      <c r="G1337" t="b">
        <v>0</v>
      </c>
    </row>
    <row r="1338" spans="1:7" x14ac:dyDescent="0.25">
      <c r="A1338" t="s">
        <v>13765</v>
      </c>
      <c r="B1338" s="34">
        <v>1.02399999999999</v>
      </c>
      <c r="C1338" s="34">
        <v>8.5333333333333303E-2</v>
      </c>
      <c r="D1338" t="s">
        <v>35</v>
      </c>
      <c r="E1338" s="34">
        <v>5.1199999999999903</v>
      </c>
      <c r="F1338" t="s">
        <v>16233</v>
      </c>
      <c r="G1338" t="b">
        <v>0</v>
      </c>
    </row>
    <row r="1339" spans="1:7" x14ac:dyDescent="0.25">
      <c r="A1339" t="s">
        <v>14541</v>
      </c>
      <c r="B1339" s="34">
        <v>1.0218</v>
      </c>
      <c r="C1339" s="34">
        <v>8.5150000000000003E-2</v>
      </c>
      <c r="D1339" t="s">
        <v>853</v>
      </c>
      <c r="E1339" s="34">
        <v>5.109</v>
      </c>
      <c r="F1339" t="s">
        <v>17000</v>
      </c>
      <c r="G1339" t="b">
        <v>0</v>
      </c>
    </row>
    <row r="1340" spans="1:7" x14ac:dyDescent="0.25">
      <c r="A1340" t="s">
        <v>14080</v>
      </c>
      <c r="B1340" s="34">
        <v>1.0206</v>
      </c>
      <c r="C1340" s="34">
        <v>8.5050000000000001E-2</v>
      </c>
      <c r="D1340" t="s">
        <v>35</v>
      </c>
      <c r="E1340" s="34">
        <v>5.1029999999999998</v>
      </c>
      <c r="F1340" t="s">
        <v>16547</v>
      </c>
      <c r="G1340" t="b">
        <v>0</v>
      </c>
    </row>
    <row r="1341" spans="1:7" x14ac:dyDescent="0.25">
      <c r="A1341" t="s">
        <v>13843</v>
      </c>
      <c r="B1341" s="34">
        <v>1.018502</v>
      </c>
      <c r="C1341" s="34">
        <v>8.4875166666666599E-2</v>
      </c>
      <c r="D1341" t="s">
        <v>35</v>
      </c>
      <c r="E1341" s="34">
        <v>5.0925099999999999</v>
      </c>
      <c r="F1341" t="s">
        <v>16310</v>
      </c>
      <c r="G1341" t="b">
        <v>0</v>
      </c>
    </row>
    <row r="1342" spans="1:7" x14ac:dyDescent="0.25">
      <c r="A1342" t="s">
        <v>13105</v>
      </c>
      <c r="B1342" s="34">
        <v>1.0126999999999999</v>
      </c>
      <c r="C1342" s="34">
        <v>8.4391666666666601E-2</v>
      </c>
      <c r="D1342" t="s">
        <v>4338</v>
      </c>
      <c r="E1342" s="34">
        <v>5.0635000000000003</v>
      </c>
      <c r="F1342" t="s">
        <v>15580</v>
      </c>
      <c r="G1342" t="b">
        <v>0</v>
      </c>
    </row>
    <row r="1343" spans="1:7" x14ac:dyDescent="0.25">
      <c r="A1343" t="s">
        <v>14213</v>
      </c>
      <c r="B1343" s="34">
        <v>1.0092000000000001</v>
      </c>
      <c r="C1343" s="34">
        <v>8.4099999999999994E-2</v>
      </c>
      <c r="D1343" t="s">
        <v>1752</v>
      </c>
      <c r="E1343" s="34">
        <v>5.0460000000000003</v>
      </c>
      <c r="F1343" t="s">
        <v>16677</v>
      </c>
      <c r="G1343" t="b">
        <v>0</v>
      </c>
    </row>
    <row r="1344" spans="1:7" x14ac:dyDescent="0.25">
      <c r="A1344" t="s">
        <v>13305</v>
      </c>
      <c r="B1344" s="34">
        <v>1.00891</v>
      </c>
      <c r="C1344" s="34">
        <v>8.4075833333333294E-2</v>
      </c>
      <c r="D1344" t="s">
        <v>151</v>
      </c>
      <c r="E1344" s="34">
        <v>5.0445500000000001</v>
      </c>
      <c r="F1344" t="s">
        <v>15775</v>
      </c>
      <c r="G1344" t="b">
        <v>0</v>
      </c>
    </row>
    <row r="1345" spans="1:7" x14ac:dyDescent="0.25">
      <c r="A1345" t="s">
        <v>13086</v>
      </c>
      <c r="B1345" s="34">
        <v>1.0072099999999999</v>
      </c>
      <c r="C1345" s="34">
        <v>8.3934166666666601E-2</v>
      </c>
      <c r="D1345" t="s">
        <v>3079</v>
      </c>
      <c r="E1345" s="34">
        <v>5.0360500000000004</v>
      </c>
      <c r="F1345" t="s">
        <v>15561</v>
      </c>
      <c r="G1345" t="b">
        <v>0</v>
      </c>
    </row>
    <row r="1346" spans="1:7" x14ac:dyDescent="0.25">
      <c r="A1346" t="s">
        <v>12900</v>
      </c>
      <c r="B1346" s="34">
        <v>1.00379999999999</v>
      </c>
      <c r="C1346" s="34">
        <v>8.3649999999999905E-2</v>
      </c>
      <c r="D1346" t="s">
        <v>1032</v>
      </c>
      <c r="E1346" s="34">
        <v>5.0189999999999904</v>
      </c>
      <c r="F1346" t="s">
        <v>15375</v>
      </c>
      <c r="G1346" t="b">
        <v>0</v>
      </c>
    </row>
    <row r="1347" spans="1:7" x14ac:dyDescent="0.25">
      <c r="A1347" t="s">
        <v>14558</v>
      </c>
      <c r="B1347" s="34">
        <v>0.99034</v>
      </c>
      <c r="C1347" s="34">
        <v>8.2528333333333301E-2</v>
      </c>
      <c r="D1347" t="s">
        <v>2395</v>
      </c>
      <c r="E1347" s="34">
        <v>4.9516999999999998</v>
      </c>
      <c r="F1347" t="s">
        <v>17017</v>
      </c>
      <c r="G1347" t="b">
        <v>0</v>
      </c>
    </row>
    <row r="1348" spans="1:7" x14ac:dyDescent="0.25">
      <c r="A1348" t="s">
        <v>14114</v>
      </c>
      <c r="B1348" s="34">
        <v>0.98980000000000001</v>
      </c>
      <c r="C1348" s="34">
        <v>8.2483333333333297E-2</v>
      </c>
      <c r="D1348" t="s">
        <v>90</v>
      </c>
      <c r="E1348" s="34">
        <v>4.9489999999999998</v>
      </c>
      <c r="F1348" t="s">
        <v>16581</v>
      </c>
      <c r="G1348" t="b">
        <v>0</v>
      </c>
    </row>
    <row r="1349" spans="1:7" x14ac:dyDescent="0.25">
      <c r="A1349" t="s">
        <v>14146</v>
      </c>
      <c r="B1349" s="34">
        <v>0.98741199999999996</v>
      </c>
      <c r="C1349" s="34">
        <v>8.2284333333333307E-2</v>
      </c>
      <c r="D1349" t="s">
        <v>26</v>
      </c>
      <c r="E1349" s="34">
        <v>4.9370599999999998</v>
      </c>
      <c r="F1349" t="s">
        <v>16613</v>
      </c>
      <c r="G1349" t="b">
        <v>0</v>
      </c>
    </row>
    <row r="1350" spans="1:7" x14ac:dyDescent="0.25">
      <c r="A1350" t="s">
        <v>14173</v>
      </c>
      <c r="B1350" s="34">
        <v>0.98150000000000004</v>
      </c>
      <c r="C1350" s="34">
        <v>8.1791666666666596E-2</v>
      </c>
      <c r="D1350" t="s">
        <v>461</v>
      </c>
      <c r="E1350" s="34">
        <v>2.4537499999999999</v>
      </c>
      <c r="F1350" t="s">
        <v>16639</v>
      </c>
      <c r="G1350" t="b">
        <v>0</v>
      </c>
    </row>
    <row r="1351" spans="1:7" x14ac:dyDescent="0.25">
      <c r="A1351" t="s">
        <v>12603</v>
      </c>
      <c r="B1351" s="34">
        <v>0.98046</v>
      </c>
      <c r="C1351" s="34">
        <v>8.1705E-2</v>
      </c>
      <c r="D1351" t="s">
        <v>35</v>
      </c>
      <c r="E1351" s="34">
        <v>2.4511499999999899</v>
      </c>
      <c r="F1351" t="s">
        <v>15078</v>
      </c>
      <c r="G1351" t="b">
        <v>0</v>
      </c>
    </row>
    <row r="1352" spans="1:7" x14ac:dyDescent="0.25">
      <c r="A1352" t="s">
        <v>12811</v>
      </c>
      <c r="B1352" s="34">
        <v>0.97975999999999996</v>
      </c>
      <c r="C1352" s="34">
        <v>8.1646666666666604E-2</v>
      </c>
      <c r="D1352" t="s">
        <v>461</v>
      </c>
      <c r="E1352" s="34">
        <v>4.8987999999999996</v>
      </c>
      <c r="F1352" t="s">
        <v>15286</v>
      </c>
      <c r="G1352" t="b">
        <v>0</v>
      </c>
    </row>
    <row r="1353" spans="1:7" x14ac:dyDescent="0.25">
      <c r="A1353" t="s">
        <v>14162</v>
      </c>
      <c r="B1353" s="34">
        <v>0.97946</v>
      </c>
      <c r="C1353" s="34">
        <v>8.1621666666666606E-2</v>
      </c>
      <c r="D1353" t="s">
        <v>132</v>
      </c>
      <c r="E1353" s="34">
        <v>4.8973000000000004</v>
      </c>
      <c r="F1353" t="s">
        <v>16629</v>
      </c>
      <c r="G1353" t="b">
        <v>0</v>
      </c>
    </row>
    <row r="1354" spans="1:7" x14ac:dyDescent="0.25">
      <c r="A1354" t="s">
        <v>13324</v>
      </c>
      <c r="B1354" s="34">
        <v>0.97515138000000001</v>
      </c>
      <c r="C1354" s="34">
        <v>8.1262614999999996E-2</v>
      </c>
      <c r="D1354" t="s">
        <v>35</v>
      </c>
      <c r="E1354" s="34">
        <v>2.4378784499999999</v>
      </c>
      <c r="F1354" t="s">
        <v>15794</v>
      </c>
      <c r="G1354" t="b">
        <v>0</v>
      </c>
    </row>
    <row r="1355" spans="1:7" x14ac:dyDescent="0.25">
      <c r="A1355" t="s">
        <v>13675</v>
      </c>
      <c r="B1355" s="34">
        <v>0.97509999999999997</v>
      </c>
      <c r="C1355" s="34">
        <v>8.1258333333333294E-2</v>
      </c>
      <c r="D1355" t="s">
        <v>35</v>
      </c>
      <c r="E1355" s="34">
        <v>4.8754999999999997</v>
      </c>
      <c r="F1355" t="s">
        <v>16143</v>
      </c>
      <c r="G1355" t="b">
        <v>0</v>
      </c>
    </row>
    <row r="1356" spans="1:7" x14ac:dyDescent="0.25">
      <c r="A1356" t="s">
        <v>13653</v>
      </c>
      <c r="B1356" s="34">
        <v>0.97340000000000004</v>
      </c>
      <c r="C1356" s="34">
        <v>8.1116666666666601E-2</v>
      </c>
      <c r="D1356" t="s">
        <v>35</v>
      </c>
      <c r="E1356" s="34">
        <v>4.867</v>
      </c>
      <c r="F1356" t="s">
        <v>16121</v>
      </c>
      <c r="G1356" t="b">
        <v>0</v>
      </c>
    </row>
    <row r="1357" spans="1:7" x14ac:dyDescent="0.25">
      <c r="A1357" t="s">
        <v>14337</v>
      </c>
      <c r="B1357" s="34">
        <v>0.96969000000000005</v>
      </c>
      <c r="C1357" s="34">
        <v>8.0807500000000004E-2</v>
      </c>
      <c r="D1357" t="s">
        <v>1240</v>
      </c>
      <c r="E1357" s="34">
        <v>4.8484499999999997</v>
      </c>
      <c r="F1357" t="s">
        <v>16800</v>
      </c>
      <c r="G1357" t="b">
        <v>0</v>
      </c>
    </row>
    <row r="1358" spans="1:7" x14ac:dyDescent="0.25">
      <c r="A1358" t="s">
        <v>12845</v>
      </c>
      <c r="B1358" s="34">
        <v>0.96460000000000001</v>
      </c>
      <c r="C1358" s="34">
        <v>8.0383333333333307E-2</v>
      </c>
      <c r="D1358" t="s">
        <v>290</v>
      </c>
      <c r="E1358" s="34">
        <v>4.8230000000000004</v>
      </c>
      <c r="F1358" t="s">
        <v>15320</v>
      </c>
      <c r="G1358" t="b">
        <v>0</v>
      </c>
    </row>
    <row r="1359" spans="1:7" x14ac:dyDescent="0.25">
      <c r="A1359" t="s">
        <v>12839</v>
      </c>
      <c r="B1359" s="34">
        <v>0.96165999999999996</v>
      </c>
      <c r="C1359" s="34">
        <v>8.0138333333333298E-2</v>
      </c>
      <c r="D1359" t="s">
        <v>2646</v>
      </c>
      <c r="E1359" s="34">
        <v>4.8083</v>
      </c>
      <c r="F1359" t="s">
        <v>15314</v>
      </c>
      <c r="G1359" t="b">
        <v>0</v>
      </c>
    </row>
    <row r="1360" spans="1:7" x14ac:dyDescent="0.25">
      <c r="A1360" t="s">
        <v>13045</v>
      </c>
      <c r="B1360" s="34">
        <v>0.95942300000000003</v>
      </c>
      <c r="C1360" s="34">
        <v>7.9951916666666595E-2</v>
      </c>
      <c r="D1360" t="s">
        <v>35</v>
      </c>
      <c r="E1360" s="34">
        <v>4.7971149999999998</v>
      </c>
      <c r="F1360" t="s">
        <v>15520</v>
      </c>
      <c r="G1360" t="b">
        <v>0</v>
      </c>
    </row>
    <row r="1361" spans="1:7" x14ac:dyDescent="0.25">
      <c r="A1361" t="s">
        <v>13089</v>
      </c>
      <c r="B1361" s="34">
        <v>0.95299999999999996</v>
      </c>
      <c r="C1361" s="34">
        <v>7.9416666666666594E-2</v>
      </c>
      <c r="D1361" t="s">
        <v>1275</v>
      </c>
      <c r="E1361" s="34">
        <v>4.7649999999999997</v>
      </c>
      <c r="F1361" t="s">
        <v>15564</v>
      </c>
      <c r="G1361" t="b">
        <v>0</v>
      </c>
    </row>
    <row r="1362" spans="1:7" x14ac:dyDescent="0.25">
      <c r="A1362" t="s">
        <v>14582</v>
      </c>
      <c r="B1362" s="34">
        <v>0.95279999999999998</v>
      </c>
      <c r="C1362" s="34">
        <v>7.9399999999999998E-2</v>
      </c>
      <c r="D1362" t="s">
        <v>132</v>
      </c>
      <c r="E1362" s="34">
        <v>4.7639999999999896</v>
      </c>
      <c r="F1362" t="s">
        <v>17039</v>
      </c>
      <c r="G1362" t="b">
        <v>0</v>
      </c>
    </row>
    <row r="1363" spans="1:7" x14ac:dyDescent="0.25">
      <c r="A1363" t="s">
        <v>14476</v>
      </c>
      <c r="B1363" s="34">
        <v>0.94677719999999999</v>
      </c>
      <c r="C1363" s="34">
        <v>7.8898099999999999E-2</v>
      </c>
      <c r="D1363" t="s">
        <v>26</v>
      </c>
      <c r="E1363" s="34">
        <v>2.366943</v>
      </c>
      <c r="F1363" t="s">
        <v>16936</v>
      </c>
      <c r="G1363" t="b">
        <v>0</v>
      </c>
    </row>
    <row r="1364" spans="1:7" x14ac:dyDescent="0.25">
      <c r="A1364" t="s">
        <v>13546</v>
      </c>
      <c r="B1364" s="34">
        <v>0.94472999999999996</v>
      </c>
      <c r="C1364" s="34">
        <v>7.8727499999999895E-2</v>
      </c>
      <c r="D1364" t="s">
        <v>1209</v>
      </c>
      <c r="E1364" s="34">
        <v>4.7236500000000001</v>
      </c>
      <c r="F1364" t="s">
        <v>16015</v>
      </c>
      <c r="G1364" t="b">
        <v>0</v>
      </c>
    </row>
    <row r="1365" spans="1:7" x14ac:dyDescent="0.25">
      <c r="A1365" t="s">
        <v>14518</v>
      </c>
      <c r="B1365" s="34">
        <v>0.94399999999999995</v>
      </c>
      <c r="C1365" s="34">
        <v>7.8666666666666593E-2</v>
      </c>
      <c r="D1365" t="s">
        <v>132</v>
      </c>
      <c r="E1365" s="34">
        <v>4.72</v>
      </c>
      <c r="F1365" t="s">
        <v>16978</v>
      </c>
      <c r="G1365" t="b">
        <v>0</v>
      </c>
    </row>
    <row r="1366" spans="1:7" x14ac:dyDescent="0.25">
      <c r="A1366" t="s">
        <v>14707</v>
      </c>
      <c r="B1366" s="34">
        <v>0.92967265999999904</v>
      </c>
      <c r="C1366" s="34">
        <v>7.7472721666666605E-2</v>
      </c>
      <c r="D1366" t="s">
        <v>35</v>
      </c>
      <c r="E1366" s="34">
        <v>0.92967265999999904</v>
      </c>
      <c r="F1366" t="s">
        <v>17158</v>
      </c>
      <c r="G1366" t="b">
        <v>0</v>
      </c>
    </row>
    <row r="1367" spans="1:7" x14ac:dyDescent="0.25">
      <c r="A1367" t="s">
        <v>13230</v>
      </c>
      <c r="B1367" s="34">
        <v>0.92887999999999904</v>
      </c>
      <c r="C1367" s="34">
        <v>7.7406666666666596E-2</v>
      </c>
      <c r="D1367" t="s">
        <v>3688</v>
      </c>
      <c r="E1367" s="34">
        <v>4.6443999999999903</v>
      </c>
      <c r="F1367" t="s">
        <v>15704</v>
      </c>
      <c r="G1367" t="b">
        <v>0</v>
      </c>
    </row>
    <row r="1368" spans="1:7" x14ac:dyDescent="0.25">
      <c r="A1368" t="s">
        <v>13662</v>
      </c>
      <c r="B1368" s="34">
        <v>0.92354000000000003</v>
      </c>
      <c r="C1368" s="34">
        <v>7.6961666666666595E-2</v>
      </c>
      <c r="D1368" t="s">
        <v>1240</v>
      </c>
      <c r="E1368" s="34">
        <v>4.6177000000000001</v>
      </c>
      <c r="F1368" t="s">
        <v>16130</v>
      </c>
      <c r="G1368" t="b">
        <v>0</v>
      </c>
    </row>
    <row r="1369" spans="1:7" x14ac:dyDescent="0.25">
      <c r="A1369" t="s">
        <v>13821</v>
      </c>
      <c r="B1369" s="34">
        <v>0.91460680000000005</v>
      </c>
      <c r="C1369" s="34">
        <v>7.6217233333333301E-2</v>
      </c>
      <c r="D1369" t="s">
        <v>26</v>
      </c>
      <c r="E1369" s="34">
        <v>4.5730339999999998</v>
      </c>
      <c r="F1369" t="s">
        <v>16288</v>
      </c>
      <c r="G1369" t="b">
        <v>0</v>
      </c>
    </row>
    <row r="1370" spans="1:7" x14ac:dyDescent="0.25">
      <c r="A1370" t="s">
        <v>14348</v>
      </c>
      <c r="B1370" s="34">
        <v>0.91376000000000002</v>
      </c>
      <c r="C1370" s="34">
        <v>7.6146666666666599E-2</v>
      </c>
      <c r="D1370" t="s">
        <v>132</v>
      </c>
      <c r="E1370" s="34">
        <v>4.5688000000000004</v>
      </c>
      <c r="F1370" t="s">
        <v>16811</v>
      </c>
      <c r="G1370" t="b">
        <v>0</v>
      </c>
    </row>
    <row r="1371" spans="1:7" x14ac:dyDescent="0.25">
      <c r="A1371" t="s">
        <v>14623</v>
      </c>
      <c r="B1371" s="34">
        <v>0.91202999999999901</v>
      </c>
      <c r="C1371" s="34">
        <v>7.6002500000000001E-2</v>
      </c>
      <c r="D1371" t="s">
        <v>904</v>
      </c>
      <c r="E1371" s="34">
        <v>4.5601500000000001</v>
      </c>
      <c r="F1371" t="s">
        <v>17076</v>
      </c>
      <c r="G1371" t="b">
        <v>0</v>
      </c>
    </row>
    <row r="1372" spans="1:7" x14ac:dyDescent="0.25">
      <c r="A1372" t="s">
        <v>13569</v>
      </c>
      <c r="B1372" s="34">
        <v>0.91143850000000004</v>
      </c>
      <c r="C1372" s="34">
        <v>7.59532083333333E-2</v>
      </c>
      <c r="D1372" t="s">
        <v>645</v>
      </c>
      <c r="E1372" s="34">
        <v>4.5571925000000002</v>
      </c>
      <c r="F1372" t="s">
        <v>16038</v>
      </c>
      <c r="G1372" t="b">
        <v>0</v>
      </c>
    </row>
    <row r="1373" spans="1:7" x14ac:dyDescent="0.25">
      <c r="A1373" t="s">
        <v>14409</v>
      </c>
      <c r="B1373" s="34">
        <v>0.89556999999999998</v>
      </c>
      <c r="C1373" s="34">
        <v>7.4630833333333299E-2</v>
      </c>
      <c r="D1373" t="s">
        <v>1240</v>
      </c>
      <c r="E1373" s="34">
        <v>4.4778500000000001</v>
      </c>
      <c r="F1373" t="s">
        <v>16870</v>
      </c>
      <c r="G1373" t="b">
        <v>0</v>
      </c>
    </row>
    <row r="1374" spans="1:7" x14ac:dyDescent="0.25">
      <c r="A1374" t="s">
        <v>14536</v>
      </c>
      <c r="B1374" s="34">
        <v>0.89487439999999996</v>
      </c>
      <c r="C1374" s="34">
        <v>7.4572866666666598E-2</v>
      </c>
      <c r="D1374" t="s">
        <v>356</v>
      </c>
      <c r="E1374" s="34">
        <v>2.2371859999999999</v>
      </c>
      <c r="F1374" t="s">
        <v>16995</v>
      </c>
      <c r="G1374" t="b">
        <v>0</v>
      </c>
    </row>
    <row r="1375" spans="1:7" x14ac:dyDescent="0.25">
      <c r="A1375" t="s">
        <v>13001</v>
      </c>
      <c r="B1375" s="34">
        <v>0.89178519999999895</v>
      </c>
      <c r="C1375" s="34">
        <v>7.4315433333333306E-2</v>
      </c>
      <c r="D1375" t="s">
        <v>54</v>
      </c>
      <c r="E1375" s="34">
        <v>2.229463</v>
      </c>
      <c r="F1375" t="s">
        <v>15476</v>
      </c>
      <c r="G1375" t="b">
        <v>0</v>
      </c>
    </row>
    <row r="1376" spans="1:7" x14ac:dyDescent="0.25">
      <c r="A1376" t="s">
        <v>13418</v>
      </c>
      <c r="B1376" s="34">
        <v>0.89045799999999997</v>
      </c>
      <c r="C1376" s="34">
        <v>7.4204833333333303E-2</v>
      </c>
      <c r="D1376" t="s">
        <v>2696</v>
      </c>
      <c r="E1376" s="34">
        <v>4.4522899999999996</v>
      </c>
      <c r="F1376" t="s">
        <v>15888</v>
      </c>
      <c r="G1376" t="b">
        <v>0</v>
      </c>
    </row>
    <row r="1377" spans="1:7" x14ac:dyDescent="0.25">
      <c r="A1377" t="s">
        <v>14786</v>
      </c>
      <c r="B1377" s="34">
        <v>0.88924409999999998</v>
      </c>
      <c r="C1377" s="34">
        <v>7.4103674999999994E-2</v>
      </c>
      <c r="D1377" t="s">
        <v>2768</v>
      </c>
      <c r="E1377" s="34">
        <v>4.4462204999999999</v>
      </c>
      <c r="F1377" t="s">
        <v>17233</v>
      </c>
      <c r="G1377" t="b">
        <v>0</v>
      </c>
    </row>
    <row r="1378" spans="1:7" x14ac:dyDescent="0.25">
      <c r="A1378" t="s">
        <v>12895</v>
      </c>
      <c r="B1378" s="34">
        <v>0.88799999999999901</v>
      </c>
      <c r="C1378" s="34">
        <v>7.3999999999999899E-2</v>
      </c>
      <c r="D1378" t="s">
        <v>726</v>
      </c>
      <c r="E1378" s="34">
        <v>4.4399999999999897</v>
      </c>
      <c r="F1378" t="s">
        <v>15370</v>
      </c>
      <c r="G1378" t="b">
        <v>0</v>
      </c>
    </row>
    <row r="1379" spans="1:7" x14ac:dyDescent="0.25">
      <c r="A1379" t="s">
        <v>13221</v>
      </c>
      <c r="B1379" s="34">
        <v>0.88739999999999997</v>
      </c>
      <c r="C1379" s="34">
        <v>7.3950000000000002E-2</v>
      </c>
      <c r="D1379" t="s">
        <v>290</v>
      </c>
      <c r="E1379" s="34">
        <v>2.2184999999999899</v>
      </c>
      <c r="F1379" t="s">
        <v>15695</v>
      </c>
      <c r="G1379" t="b">
        <v>0</v>
      </c>
    </row>
    <row r="1380" spans="1:7" x14ac:dyDescent="0.25">
      <c r="A1380" t="s">
        <v>12941</v>
      </c>
      <c r="B1380" s="34">
        <v>0.88449</v>
      </c>
      <c r="C1380" s="34">
        <v>7.3707499999999995E-2</v>
      </c>
      <c r="D1380" t="s">
        <v>1240</v>
      </c>
      <c r="E1380" s="34">
        <v>4.4224500000000004</v>
      </c>
      <c r="F1380" t="s">
        <v>15416</v>
      </c>
      <c r="G1380" t="b">
        <v>0</v>
      </c>
    </row>
    <row r="1381" spans="1:7" x14ac:dyDescent="0.25">
      <c r="A1381" t="s">
        <v>13283</v>
      </c>
      <c r="B1381" s="34">
        <v>0.88119999999999998</v>
      </c>
      <c r="C1381" s="34">
        <v>7.3433333333333295E-2</v>
      </c>
      <c r="D1381" t="s">
        <v>90</v>
      </c>
      <c r="E1381" s="34">
        <v>4.4059999999999997</v>
      </c>
      <c r="F1381" t="s">
        <v>15755</v>
      </c>
      <c r="G1381" t="b">
        <v>0</v>
      </c>
    </row>
    <row r="1382" spans="1:7" x14ac:dyDescent="0.25">
      <c r="A1382" t="s">
        <v>13249</v>
      </c>
      <c r="B1382" s="34">
        <v>0.87819999999999898</v>
      </c>
      <c r="C1382" s="34">
        <v>7.3183333333333295E-2</v>
      </c>
      <c r="D1382" t="s">
        <v>853</v>
      </c>
      <c r="E1382" s="34">
        <v>4.3909999999999902</v>
      </c>
      <c r="F1382" t="s">
        <v>15722</v>
      </c>
      <c r="G1382" t="b">
        <v>0</v>
      </c>
    </row>
    <row r="1383" spans="1:7" x14ac:dyDescent="0.25">
      <c r="A1383" t="s">
        <v>13206</v>
      </c>
      <c r="B1383" s="34">
        <v>0.87389999999999901</v>
      </c>
      <c r="C1383" s="34">
        <v>7.2824999999999904E-2</v>
      </c>
      <c r="D1383" t="s">
        <v>1288</v>
      </c>
      <c r="E1383" s="34">
        <v>4.3695000000000004</v>
      </c>
      <c r="F1383" t="s">
        <v>15680</v>
      </c>
      <c r="G1383" t="b">
        <v>0</v>
      </c>
    </row>
    <row r="1384" spans="1:7" x14ac:dyDescent="0.25">
      <c r="A1384" t="s">
        <v>14642</v>
      </c>
      <c r="B1384" s="34">
        <v>0.87379999999999902</v>
      </c>
      <c r="C1384" s="34">
        <v>7.2816666666666599E-2</v>
      </c>
      <c r="D1384" t="s">
        <v>35</v>
      </c>
      <c r="E1384" s="34">
        <v>2.1844999999999999</v>
      </c>
      <c r="F1384" t="s">
        <v>17095</v>
      </c>
      <c r="G1384" t="b">
        <v>0</v>
      </c>
    </row>
    <row r="1385" spans="1:7" x14ac:dyDescent="0.25">
      <c r="A1385" t="s">
        <v>14715</v>
      </c>
      <c r="B1385" s="34">
        <v>0.87280400000000002</v>
      </c>
      <c r="C1385" s="34">
        <v>7.2733666666666599E-2</v>
      </c>
      <c r="D1385" t="s">
        <v>853</v>
      </c>
      <c r="E1385" s="34">
        <v>2.18201</v>
      </c>
      <c r="F1385" t="s">
        <v>17166</v>
      </c>
      <c r="G1385" t="b">
        <v>0</v>
      </c>
    </row>
    <row r="1386" spans="1:7" x14ac:dyDescent="0.25">
      <c r="A1386" t="s">
        <v>14840</v>
      </c>
      <c r="B1386" s="34">
        <v>0.871645</v>
      </c>
      <c r="C1386" s="34">
        <v>7.2637083333333297E-2</v>
      </c>
      <c r="D1386" t="s">
        <v>1120</v>
      </c>
      <c r="E1386" s="34">
        <v>2.1791125</v>
      </c>
      <c r="F1386" t="s">
        <v>17277</v>
      </c>
      <c r="G1386" t="b">
        <v>0</v>
      </c>
    </row>
    <row r="1387" spans="1:7" x14ac:dyDescent="0.25">
      <c r="A1387" t="s">
        <v>14579</v>
      </c>
      <c r="B1387" s="34">
        <v>0.86960000000000004</v>
      </c>
      <c r="C1387" s="34">
        <v>7.2466666666666596E-2</v>
      </c>
      <c r="D1387" t="s">
        <v>162</v>
      </c>
      <c r="E1387" s="34">
        <v>2.1739999999999999</v>
      </c>
      <c r="F1387" t="s">
        <v>17036</v>
      </c>
      <c r="G1387" t="b">
        <v>0</v>
      </c>
    </row>
    <row r="1388" spans="1:7" x14ac:dyDescent="0.25">
      <c r="A1388" t="s">
        <v>12964</v>
      </c>
      <c r="B1388" s="34">
        <v>0.86790131999999998</v>
      </c>
      <c r="C1388" s="34">
        <v>7.2325109999999998E-2</v>
      </c>
      <c r="D1388" t="s">
        <v>239</v>
      </c>
      <c r="E1388" s="34">
        <v>4.3395066</v>
      </c>
      <c r="F1388" t="s">
        <v>15439</v>
      </c>
      <c r="G1388" t="b">
        <v>0</v>
      </c>
    </row>
    <row r="1389" spans="1:7" x14ac:dyDescent="0.25">
      <c r="A1389" t="s">
        <v>12974</v>
      </c>
      <c r="B1389" s="34">
        <v>0.86519999999999997</v>
      </c>
      <c r="C1389" s="34">
        <v>7.2099999999999997E-2</v>
      </c>
      <c r="D1389" t="s">
        <v>26</v>
      </c>
      <c r="E1389" s="34">
        <v>4.3259999999999996</v>
      </c>
      <c r="F1389" t="s">
        <v>15449</v>
      </c>
      <c r="G1389" t="b">
        <v>0</v>
      </c>
    </row>
    <row r="1390" spans="1:7" x14ac:dyDescent="0.25">
      <c r="A1390" t="s">
        <v>12703</v>
      </c>
      <c r="B1390" s="34">
        <v>0.86462000000000006</v>
      </c>
      <c r="C1390" s="34">
        <v>7.2051666666666597E-2</v>
      </c>
      <c r="D1390" t="s">
        <v>1752</v>
      </c>
      <c r="E1390" s="34">
        <v>4.3231000000000002</v>
      </c>
      <c r="F1390" t="s">
        <v>15178</v>
      </c>
      <c r="G1390" t="b">
        <v>0</v>
      </c>
    </row>
    <row r="1391" spans="1:7" x14ac:dyDescent="0.25">
      <c r="A1391" t="s">
        <v>14497</v>
      </c>
      <c r="B1391" s="34">
        <v>0.86382000000000003</v>
      </c>
      <c r="C1391" s="34">
        <v>7.1984999999999993E-2</v>
      </c>
      <c r="D1391" t="s">
        <v>480</v>
      </c>
      <c r="E1391" s="34">
        <v>4.3190999999999997</v>
      </c>
      <c r="F1391" t="s">
        <v>16957</v>
      </c>
      <c r="G1391" t="b">
        <v>0</v>
      </c>
    </row>
    <row r="1392" spans="1:7" x14ac:dyDescent="0.25">
      <c r="A1392" t="s">
        <v>14596</v>
      </c>
      <c r="B1392" s="34">
        <v>0.86353999999999898</v>
      </c>
      <c r="C1392" s="34">
        <v>7.1961666666666604E-2</v>
      </c>
      <c r="D1392" t="s">
        <v>26</v>
      </c>
      <c r="E1392" s="34">
        <v>4.3176999999999897</v>
      </c>
      <c r="F1392" t="s">
        <v>17052</v>
      </c>
      <c r="G1392" t="b">
        <v>0</v>
      </c>
    </row>
    <row r="1393" spans="1:7" x14ac:dyDescent="0.25">
      <c r="A1393" t="s">
        <v>14515</v>
      </c>
      <c r="B1393" s="34">
        <v>0.84732399999999997</v>
      </c>
      <c r="C1393" s="34">
        <v>7.0610333333333303E-2</v>
      </c>
      <c r="D1393" t="s">
        <v>456</v>
      </c>
      <c r="E1393" s="34">
        <v>4.2366199999999896</v>
      </c>
      <c r="F1393" t="s">
        <v>16975</v>
      </c>
      <c r="G1393" t="b">
        <v>0</v>
      </c>
    </row>
    <row r="1394" spans="1:7" x14ac:dyDescent="0.25">
      <c r="A1394" t="s">
        <v>13253</v>
      </c>
      <c r="B1394" s="34">
        <v>0.84050000000000002</v>
      </c>
      <c r="C1394" s="34">
        <v>7.0041666666666599E-2</v>
      </c>
      <c r="D1394" t="s">
        <v>2101</v>
      </c>
      <c r="E1394" s="34">
        <v>4.2024999999999997</v>
      </c>
      <c r="F1394" t="s">
        <v>15726</v>
      </c>
      <c r="G1394" t="b">
        <v>0</v>
      </c>
    </row>
    <row r="1395" spans="1:7" x14ac:dyDescent="0.25">
      <c r="A1395" t="s">
        <v>13770</v>
      </c>
      <c r="B1395" s="34">
        <v>0.84</v>
      </c>
      <c r="C1395" s="34">
        <v>7.0000000000000007E-2</v>
      </c>
      <c r="D1395" t="s">
        <v>215</v>
      </c>
      <c r="E1395" s="34">
        <v>4.2</v>
      </c>
      <c r="F1395" t="s">
        <v>16238</v>
      </c>
      <c r="G1395" t="b">
        <v>0</v>
      </c>
    </row>
    <row r="1396" spans="1:7" x14ac:dyDescent="0.25">
      <c r="A1396" t="s">
        <v>13332</v>
      </c>
      <c r="B1396" s="34">
        <v>0.83782809999999996</v>
      </c>
      <c r="C1396" s="34">
        <v>6.9819008333333293E-2</v>
      </c>
      <c r="D1396" t="s">
        <v>35</v>
      </c>
      <c r="E1396" s="34">
        <v>4.1891404999999997</v>
      </c>
      <c r="F1396" t="s">
        <v>15802</v>
      </c>
      <c r="G1396" t="b">
        <v>0</v>
      </c>
    </row>
    <row r="1397" spans="1:7" x14ac:dyDescent="0.25">
      <c r="A1397" t="s">
        <v>13831</v>
      </c>
      <c r="B1397" s="34">
        <v>0.83720000000000006</v>
      </c>
      <c r="C1397" s="34">
        <v>6.9766666666666602E-2</v>
      </c>
      <c r="D1397" t="s">
        <v>35</v>
      </c>
      <c r="E1397" s="34">
        <v>4.1859999999999999</v>
      </c>
      <c r="F1397" t="s">
        <v>16298</v>
      </c>
      <c r="G1397" t="b">
        <v>0</v>
      </c>
    </row>
    <row r="1398" spans="1:7" x14ac:dyDescent="0.25">
      <c r="A1398" t="s">
        <v>14574</v>
      </c>
      <c r="B1398" s="34">
        <v>0.83194799999999902</v>
      </c>
      <c r="C1398" s="34">
        <v>6.9329000000000002E-2</v>
      </c>
      <c r="D1398" t="s">
        <v>132</v>
      </c>
      <c r="E1398" s="34">
        <v>4.1597400000000002</v>
      </c>
      <c r="F1398" t="s">
        <v>17031</v>
      </c>
      <c r="G1398" t="b">
        <v>0</v>
      </c>
    </row>
    <row r="1399" spans="1:7" x14ac:dyDescent="0.25">
      <c r="A1399" t="s">
        <v>13970</v>
      </c>
      <c r="B1399" s="34">
        <v>0.83177999999999996</v>
      </c>
      <c r="C1399" s="34">
        <v>6.9315000000000002E-2</v>
      </c>
      <c r="D1399" t="s">
        <v>853</v>
      </c>
      <c r="E1399" s="34">
        <v>4.1589</v>
      </c>
      <c r="F1399" t="s">
        <v>16437</v>
      </c>
      <c r="G1399" t="b">
        <v>0</v>
      </c>
    </row>
    <row r="1400" spans="1:7" x14ac:dyDescent="0.25">
      <c r="A1400" t="s">
        <v>12991</v>
      </c>
      <c r="B1400" s="34">
        <v>0.83040000000000003</v>
      </c>
      <c r="C1400" s="34">
        <v>6.9199999999999998E-2</v>
      </c>
      <c r="D1400" t="s">
        <v>1064</v>
      </c>
      <c r="E1400" s="34">
        <v>4.1520000000000001</v>
      </c>
      <c r="F1400" t="s">
        <v>15466</v>
      </c>
      <c r="G1400" t="b">
        <v>0</v>
      </c>
    </row>
    <row r="1401" spans="1:7" x14ac:dyDescent="0.25">
      <c r="A1401" t="s">
        <v>12775</v>
      </c>
      <c r="B1401" s="34">
        <v>0.82930000000000004</v>
      </c>
      <c r="C1401" s="34">
        <v>6.9108333333333299E-2</v>
      </c>
      <c r="D1401" t="s">
        <v>318</v>
      </c>
      <c r="E1401" s="34">
        <v>4.1464999999999996</v>
      </c>
      <c r="F1401" t="s">
        <v>15250</v>
      </c>
      <c r="G1401" t="b">
        <v>0</v>
      </c>
    </row>
    <row r="1402" spans="1:7" x14ac:dyDescent="0.25">
      <c r="A1402" t="s">
        <v>13234</v>
      </c>
      <c r="B1402" s="34">
        <v>0.82570999999999894</v>
      </c>
      <c r="C1402" s="34">
        <v>6.8809166666666602E-2</v>
      </c>
      <c r="D1402" t="s">
        <v>590</v>
      </c>
      <c r="E1402" s="34">
        <v>4.1285499999999997</v>
      </c>
      <c r="F1402" t="s">
        <v>15708</v>
      </c>
      <c r="G1402" t="b">
        <v>0</v>
      </c>
    </row>
    <row r="1403" spans="1:7" x14ac:dyDescent="0.25">
      <c r="A1403" t="s">
        <v>13021</v>
      </c>
      <c r="B1403" s="34">
        <v>0.82303799999999905</v>
      </c>
      <c r="C1403" s="34">
        <v>6.8586499999999995E-2</v>
      </c>
      <c r="D1403" t="s">
        <v>1281</v>
      </c>
      <c r="E1403" s="34">
        <v>4.1151900000000001</v>
      </c>
      <c r="F1403" t="s">
        <v>15496</v>
      </c>
      <c r="G1403" t="b">
        <v>0</v>
      </c>
    </row>
    <row r="1404" spans="1:7" x14ac:dyDescent="0.25">
      <c r="A1404" t="s">
        <v>13780</v>
      </c>
      <c r="B1404" s="34">
        <v>0.82129909999999995</v>
      </c>
      <c r="C1404" s="34">
        <v>6.8441591666666607E-2</v>
      </c>
      <c r="D1404" t="s">
        <v>35</v>
      </c>
      <c r="E1404" s="34">
        <v>4.1064955000000003</v>
      </c>
      <c r="F1404" t="s">
        <v>16248</v>
      </c>
      <c r="G1404" t="b">
        <v>0</v>
      </c>
    </row>
    <row r="1405" spans="1:7" x14ac:dyDescent="0.25">
      <c r="A1405" t="s">
        <v>14389</v>
      </c>
      <c r="B1405" s="34">
        <v>0.81668699999999905</v>
      </c>
      <c r="C1405" s="34">
        <v>6.805725E-2</v>
      </c>
      <c r="D1405" t="s">
        <v>781</v>
      </c>
      <c r="E1405" s="34">
        <v>4.0834349999999997</v>
      </c>
      <c r="F1405" t="s">
        <v>16851</v>
      </c>
      <c r="G1405" t="b">
        <v>0</v>
      </c>
    </row>
    <row r="1406" spans="1:7" x14ac:dyDescent="0.25">
      <c r="A1406" t="s">
        <v>14180</v>
      </c>
      <c r="B1406" s="34">
        <v>0.81237219999999999</v>
      </c>
      <c r="C1406" s="34">
        <v>6.76976833333333E-2</v>
      </c>
      <c r="D1406" t="s">
        <v>26</v>
      </c>
      <c r="E1406" s="34">
        <v>4.0618610000000004</v>
      </c>
      <c r="F1406" t="s">
        <v>16646</v>
      </c>
      <c r="G1406" t="b">
        <v>0</v>
      </c>
    </row>
    <row r="1407" spans="1:7" x14ac:dyDescent="0.25">
      <c r="A1407" t="s">
        <v>14821</v>
      </c>
      <c r="B1407" s="34">
        <v>0.80840000000000001</v>
      </c>
      <c r="C1407" s="34">
        <v>6.7366666666666603E-2</v>
      </c>
      <c r="D1407" t="s">
        <v>132</v>
      </c>
      <c r="E1407" s="34">
        <v>2.0209999999999999</v>
      </c>
      <c r="F1407" t="s">
        <v>17262</v>
      </c>
      <c r="G1407" t="b">
        <v>0</v>
      </c>
    </row>
    <row r="1408" spans="1:7" x14ac:dyDescent="0.25">
      <c r="A1408" t="s">
        <v>13622</v>
      </c>
      <c r="B1408" s="34">
        <v>0.79711999999999905</v>
      </c>
      <c r="C1408" s="34">
        <v>6.6426666666666606E-2</v>
      </c>
      <c r="D1408" t="s">
        <v>1240</v>
      </c>
      <c r="E1408" s="34">
        <v>3.9855999999999998</v>
      </c>
      <c r="F1408" t="s">
        <v>16091</v>
      </c>
      <c r="G1408" t="b">
        <v>0</v>
      </c>
    </row>
    <row r="1409" spans="1:7" x14ac:dyDescent="0.25">
      <c r="A1409" t="s">
        <v>13920</v>
      </c>
      <c r="B1409" s="34">
        <v>0.79195000000000004</v>
      </c>
      <c r="C1409" s="34">
        <v>6.5995833333333295E-2</v>
      </c>
      <c r="D1409" t="s">
        <v>132</v>
      </c>
      <c r="E1409" s="34">
        <v>3.9597500000000001</v>
      </c>
      <c r="F1409" t="s">
        <v>16387</v>
      </c>
      <c r="G1409" t="b">
        <v>0</v>
      </c>
    </row>
    <row r="1410" spans="1:7" x14ac:dyDescent="0.25">
      <c r="A1410" t="s">
        <v>14502</v>
      </c>
      <c r="B1410" s="34">
        <v>0.78689999999999904</v>
      </c>
      <c r="C1410" s="34">
        <v>6.5574999999999994E-2</v>
      </c>
      <c r="D1410" t="s">
        <v>35</v>
      </c>
      <c r="E1410" s="34">
        <v>1.9672499999999999</v>
      </c>
      <c r="F1410" t="s">
        <v>16962</v>
      </c>
      <c r="G1410" t="b">
        <v>0</v>
      </c>
    </row>
    <row r="1411" spans="1:7" x14ac:dyDescent="0.25">
      <c r="A1411" t="s">
        <v>13527</v>
      </c>
      <c r="B1411" s="34">
        <v>0.77939999999999998</v>
      </c>
      <c r="C1411" s="34">
        <v>6.4949999999999994E-2</v>
      </c>
      <c r="D1411" t="s">
        <v>35</v>
      </c>
      <c r="E1411" s="34">
        <v>3.8969999999999998</v>
      </c>
      <c r="F1411" t="s">
        <v>15996</v>
      </c>
      <c r="G1411" t="b">
        <v>0</v>
      </c>
    </row>
    <row r="1412" spans="1:7" x14ac:dyDescent="0.25">
      <c r="A1412" t="s">
        <v>14251</v>
      </c>
      <c r="B1412" s="34">
        <v>0.77592999999999901</v>
      </c>
      <c r="C1412" s="34">
        <v>6.4660833333333306E-2</v>
      </c>
      <c r="D1412" t="s">
        <v>151</v>
      </c>
      <c r="E1412" s="34">
        <v>3.8796499999999998</v>
      </c>
      <c r="F1412" t="s">
        <v>16715</v>
      </c>
      <c r="G1412" t="b">
        <v>0</v>
      </c>
    </row>
    <row r="1413" spans="1:7" x14ac:dyDescent="0.25">
      <c r="A1413" t="s">
        <v>13201</v>
      </c>
      <c r="B1413" s="34">
        <v>0.77516479999999999</v>
      </c>
      <c r="C1413" s="34">
        <v>6.4597066666666605E-2</v>
      </c>
      <c r="D1413" t="s">
        <v>395</v>
      </c>
      <c r="E1413" s="34">
        <v>3.8758239999999899</v>
      </c>
      <c r="F1413" t="s">
        <v>15675</v>
      </c>
      <c r="G1413" t="b">
        <v>0</v>
      </c>
    </row>
    <row r="1414" spans="1:7" x14ac:dyDescent="0.25">
      <c r="A1414" t="s">
        <v>13198</v>
      </c>
      <c r="B1414" s="34">
        <v>0.77480000000000004</v>
      </c>
      <c r="C1414" s="34">
        <v>6.4566666666666606E-2</v>
      </c>
      <c r="D1414" t="s">
        <v>122</v>
      </c>
      <c r="E1414" s="34">
        <v>3.8739999999999899</v>
      </c>
      <c r="F1414" t="s">
        <v>15672</v>
      </c>
      <c r="G1414" t="b">
        <v>0</v>
      </c>
    </row>
    <row r="1415" spans="1:7" x14ac:dyDescent="0.25">
      <c r="A1415" t="s">
        <v>14838</v>
      </c>
      <c r="B1415" s="34">
        <v>0.77356999999999998</v>
      </c>
      <c r="C1415" s="34">
        <v>6.44641666666666E-2</v>
      </c>
      <c r="D1415" t="s">
        <v>35</v>
      </c>
      <c r="E1415" s="34">
        <v>1.28928333333333</v>
      </c>
      <c r="F1415" t="s">
        <v>17275</v>
      </c>
      <c r="G1415" t="b">
        <v>0</v>
      </c>
    </row>
    <row r="1416" spans="1:7" x14ac:dyDescent="0.25">
      <c r="A1416" t="s">
        <v>13851</v>
      </c>
      <c r="B1416" s="34">
        <v>0.77310000000000001</v>
      </c>
      <c r="C1416" s="34">
        <v>6.4424999999999996E-2</v>
      </c>
      <c r="D1416" t="s">
        <v>162</v>
      </c>
      <c r="E1416" s="34">
        <v>3.8654999999999999</v>
      </c>
      <c r="F1416" t="s">
        <v>16318</v>
      </c>
      <c r="G1416" t="b">
        <v>0</v>
      </c>
    </row>
    <row r="1417" spans="1:7" x14ac:dyDescent="0.25">
      <c r="A1417" t="s">
        <v>14727</v>
      </c>
      <c r="B1417" s="34">
        <v>0.77200000000000002</v>
      </c>
      <c r="C1417" s="34">
        <v>6.4333333333333298E-2</v>
      </c>
      <c r="D1417" t="s">
        <v>26</v>
      </c>
      <c r="E1417" s="34">
        <v>3.86</v>
      </c>
      <c r="F1417" t="s">
        <v>17177</v>
      </c>
      <c r="G1417" t="b">
        <v>0</v>
      </c>
    </row>
    <row r="1418" spans="1:7" x14ac:dyDescent="0.25">
      <c r="A1418" t="s">
        <v>13923</v>
      </c>
      <c r="B1418" s="34">
        <v>0.77151400000000003</v>
      </c>
      <c r="C1418" s="34">
        <v>6.4292833333333299E-2</v>
      </c>
      <c r="D1418" t="s">
        <v>776</v>
      </c>
      <c r="E1418" s="34">
        <v>3.8575699999999902</v>
      </c>
      <c r="F1418" t="s">
        <v>16390</v>
      </c>
      <c r="G1418" t="b">
        <v>0</v>
      </c>
    </row>
    <row r="1419" spans="1:7" x14ac:dyDescent="0.25">
      <c r="A1419" t="s">
        <v>12978</v>
      </c>
      <c r="B1419" s="34">
        <v>0.76873239999999998</v>
      </c>
      <c r="C1419" s="34">
        <v>6.4061033333333295E-2</v>
      </c>
      <c r="D1419" t="s">
        <v>1382</v>
      </c>
      <c r="E1419" s="34">
        <v>3.8436620000000001</v>
      </c>
      <c r="F1419" t="s">
        <v>15453</v>
      </c>
      <c r="G1419" t="b">
        <v>0</v>
      </c>
    </row>
    <row r="1420" spans="1:7" x14ac:dyDescent="0.25">
      <c r="A1420" t="s">
        <v>13415</v>
      </c>
      <c r="B1420" s="34">
        <v>0.76764100000000002</v>
      </c>
      <c r="C1420" s="34">
        <v>6.3970083333333302E-2</v>
      </c>
      <c r="D1420" t="s">
        <v>853</v>
      </c>
      <c r="E1420" s="34">
        <v>3.8382049999999999</v>
      </c>
      <c r="F1420" t="s">
        <v>15885</v>
      </c>
      <c r="G1420" t="b">
        <v>0</v>
      </c>
    </row>
    <row r="1421" spans="1:7" x14ac:dyDescent="0.25">
      <c r="A1421" t="s">
        <v>13723</v>
      </c>
      <c r="B1421" s="34">
        <v>0.76215200000000005</v>
      </c>
      <c r="C1421" s="34">
        <v>6.3512666666666606E-2</v>
      </c>
      <c r="D1421" t="s">
        <v>853</v>
      </c>
      <c r="E1421" s="34">
        <v>3.8107599999999899</v>
      </c>
      <c r="F1421" t="s">
        <v>16191</v>
      </c>
      <c r="G1421" t="b">
        <v>0</v>
      </c>
    </row>
    <row r="1422" spans="1:7" x14ac:dyDescent="0.25">
      <c r="A1422" t="s">
        <v>12752</v>
      </c>
      <c r="B1422" s="34">
        <v>0.76208999999999905</v>
      </c>
      <c r="C1422" s="34">
        <v>6.3507499999999995E-2</v>
      </c>
      <c r="D1422" t="s">
        <v>424</v>
      </c>
      <c r="E1422" s="34">
        <v>3.8104499999999999</v>
      </c>
      <c r="F1422" t="s">
        <v>15227</v>
      </c>
      <c r="G1422" t="b">
        <v>0</v>
      </c>
    </row>
    <row r="1423" spans="1:7" x14ac:dyDescent="0.25">
      <c r="A1423" t="s">
        <v>13060</v>
      </c>
      <c r="B1423" s="34">
        <v>0.76190000000000002</v>
      </c>
      <c r="C1423" s="34">
        <v>6.3491666666666599E-2</v>
      </c>
      <c r="D1423" t="s">
        <v>957</v>
      </c>
      <c r="E1423" s="34">
        <v>3.8094999999999999</v>
      </c>
      <c r="F1423" t="s">
        <v>15535</v>
      </c>
      <c r="G1423" t="b">
        <v>0</v>
      </c>
    </row>
    <row r="1424" spans="1:7" x14ac:dyDescent="0.25">
      <c r="A1424" t="s">
        <v>13217</v>
      </c>
      <c r="B1424" s="34">
        <v>0.75783999999999996</v>
      </c>
      <c r="C1424" s="34">
        <v>6.3153333333333297E-2</v>
      </c>
      <c r="D1424" t="s">
        <v>132</v>
      </c>
      <c r="E1424" s="34">
        <v>3.7892000000000001</v>
      </c>
      <c r="F1424" t="s">
        <v>15691</v>
      </c>
      <c r="G1424" t="b">
        <v>0</v>
      </c>
    </row>
    <row r="1425" spans="1:7" x14ac:dyDescent="0.25">
      <c r="A1425" t="s">
        <v>13183</v>
      </c>
      <c r="B1425" s="34">
        <v>0.75706461999999997</v>
      </c>
      <c r="C1425" s="34">
        <v>6.3088718333333293E-2</v>
      </c>
      <c r="D1425" t="s">
        <v>957</v>
      </c>
      <c r="E1425" s="34">
        <v>3.7853230999999998</v>
      </c>
      <c r="F1425" t="s">
        <v>15657</v>
      </c>
      <c r="G1425" t="b">
        <v>0</v>
      </c>
    </row>
    <row r="1426" spans="1:7" x14ac:dyDescent="0.25">
      <c r="A1426" t="s">
        <v>13947</v>
      </c>
      <c r="B1426" s="34">
        <v>0.75680000000000003</v>
      </c>
      <c r="C1426" s="34">
        <v>6.3066666666666604E-2</v>
      </c>
      <c r="D1426" t="s">
        <v>132</v>
      </c>
      <c r="E1426" s="34">
        <v>1.8919999999999999</v>
      </c>
      <c r="F1426" t="s">
        <v>16414</v>
      </c>
      <c r="G1426" t="b">
        <v>0</v>
      </c>
    </row>
    <row r="1427" spans="1:7" x14ac:dyDescent="0.25">
      <c r="A1427" t="s">
        <v>13370</v>
      </c>
      <c r="B1427" s="34">
        <v>0.75619000000000003</v>
      </c>
      <c r="C1427" s="34">
        <v>6.3015833333333299E-2</v>
      </c>
      <c r="D1427" t="s">
        <v>385</v>
      </c>
      <c r="E1427" s="34">
        <v>1.8904749999999999</v>
      </c>
      <c r="F1427" t="s">
        <v>15840</v>
      </c>
      <c r="G1427" t="b">
        <v>0</v>
      </c>
    </row>
    <row r="1428" spans="1:7" x14ac:dyDescent="0.25">
      <c r="A1428" t="s">
        <v>14500</v>
      </c>
      <c r="B1428" s="34">
        <v>0.75506119999999899</v>
      </c>
      <c r="C1428" s="34">
        <v>6.2921766666666601E-2</v>
      </c>
      <c r="D1428" t="s">
        <v>1611</v>
      </c>
      <c r="E1428" s="34">
        <v>3.7753060000000001</v>
      </c>
      <c r="F1428" t="s">
        <v>16960</v>
      </c>
      <c r="G1428" t="b">
        <v>0</v>
      </c>
    </row>
    <row r="1429" spans="1:7" x14ac:dyDescent="0.25">
      <c r="A1429" t="s">
        <v>13293</v>
      </c>
      <c r="B1429" s="34">
        <v>0.75460000000000005</v>
      </c>
      <c r="C1429" s="34">
        <v>6.2883333333333305E-2</v>
      </c>
      <c r="D1429" t="s">
        <v>151</v>
      </c>
      <c r="E1429" s="34">
        <v>3.7730000000000001</v>
      </c>
      <c r="F1429" t="s">
        <v>15765</v>
      </c>
      <c r="G1429" t="b">
        <v>0</v>
      </c>
    </row>
    <row r="1430" spans="1:7" x14ac:dyDescent="0.25">
      <c r="A1430" t="s">
        <v>13074</v>
      </c>
      <c r="B1430" s="34">
        <v>0.75029999999999997</v>
      </c>
      <c r="C1430" s="34">
        <v>6.2524999999999997E-2</v>
      </c>
      <c r="D1430" t="s">
        <v>3105</v>
      </c>
      <c r="E1430" s="34">
        <v>3.7515000000000001</v>
      </c>
      <c r="F1430" t="s">
        <v>15549</v>
      </c>
      <c r="G1430" t="b">
        <v>0</v>
      </c>
    </row>
    <row r="1431" spans="1:7" x14ac:dyDescent="0.25">
      <c r="A1431" t="s">
        <v>13002</v>
      </c>
      <c r="B1431" s="34">
        <v>0.74956840000000002</v>
      </c>
      <c r="C1431" s="34">
        <v>6.2464033333333301E-2</v>
      </c>
      <c r="D1431" t="s">
        <v>312</v>
      </c>
      <c r="E1431" s="34">
        <v>3.7478419999999999</v>
      </c>
      <c r="F1431" t="s">
        <v>15477</v>
      </c>
      <c r="G1431" t="b">
        <v>0</v>
      </c>
    </row>
    <row r="1432" spans="1:7" x14ac:dyDescent="0.25">
      <c r="A1432" t="s">
        <v>14767</v>
      </c>
      <c r="B1432" s="34">
        <v>0.74580000000000002</v>
      </c>
      <c r="C1432" s="34">
        <v>6.2149999999999997E-2</v>
      </c>
      <c r="D1432" t="s">
        <v>312</v>
      </c>
      <c r="E1432" s="34">
        <v>3.7289999999999899</v>
      </c>
      <c r="F1432" t="s">
        <v>17215</v>
      </c>
      <c r="G1432" t="b">
        <v>0</v>
      </c>
    </row>
    <row r="1433" spans="1:7" x14ac:dyDescent="0.25">
      <c r="A1433" t="s">
        <v>14693</v>
      </c>
      <c r="B1433" s="34">
        <v>0.74422999999999995</v>
      </c>
      <c r="C1433" s="34">
        <v>6.2019166666666597E-2</v>
      </c>
      <c r="D1433" t="s">
        <v>2696</v>
      </c>
      <c r="E1433" s="34">
        <v>3.7211500000000002</v>
      </c>
      <c r="F1433" t="s">
        <v>17145</v>
      </c>
      <c r="G1433" t="b">
        <v>0</v>
      </c>
    </row>
    <row r="1434" spans="1:7" x14ac:dyDescent="0.25">
      <c r="A1434" t="s">
        <v>13565</v>
      </c>
      <c r="B1434" s="34">
        <v>0.74397819999999903</v>
      </c>
      <c r="C1434" s="34">
        <v>6.1998183333333297E-2</v>
      </c>
      <c r="D1434" t="s">
        <v>390</v>
      </c>
      <c r="E1434" s="34">
        <v>3.7198910000000001</v>
      </c>
      <c r="F1434" t="s">
        <v>16034</v>
      </c>
      <c r="G1434" t="b">
        <v>0</v>
      </c>
    </row>
    <row r="1435" spans="1:7" x14ac:dyDescent="0.25">
      <c r="A1435" t="s">
        <v>14311</v>
      </c>
      <c r="B1435" s="34">
        <v>0.74108999999999903</v>
      </c>
      <c r="C1435" s="34">
        <v>6.17575E-2</v>
      </c>
      <c r="D1435" t="s">
        <v>456</v>
      </c>
      <c r="E1435" s="34">
        <v>3.7054499999999999</v>
      </c>
      <c r="F1435" t="s">
        <v>16774</v>
      </c>
      <c r="G1435" t="b">
        <v>0</v>
      </c>
    </row>
    <row r="1436" spans="1:7" x14ac:dyDescent="0.25">
      <c r="A1436" t="s">
        <v>14839</v>
      </c>
      <c r="B1436" s="34">
        <v>0.74</v>
      </c>
      <c r="C1436" s="34">
        <v>6.1666666666666599E-2</v>
      </c>
      <c r="D1436" t="s">
        <v>1120</v>
      </c>
      <c r="E1436" s="34">
        <v>1.8499999999999901</v>
      </c>
      <c r="F1436" t="s">
        <v>17276</v>
      </c>
      <c r="G1436" t="b">
        <v>0</v>
      </c>
    </row>
    <row r="1437" spans="1:7" x14ac:dyDescent="0.25">
      <c r="A1437" t="s">
        <v>12986</v>
      </c>
      <c r="B1437" s="34">
        <v>0.73919999999999997</v>
      </c>
      <c r="C1437" s="34">
        <v>6.1600000000000002E-2</v>
      </c>
      <c r="D1437" t="s">
        <v>35</v>
      </c>
      <c r="E1437" s="34">
        <v>3.6960000000000002</v>
      </c>
      <c r="F1437" t="s">
        <v>15461</v>
      </c>
      <c r="G1437" t="b">
        <v>0</v>
      </c>
    </row>
    <row r="1438" spans="1:7" x14ac:dyDescent="0.25">
      <c r="A1438" t="s">
        <v>12765</v>
      </c>
      <c r="B1438" s="34">
        <v>0.73640000000000005</v>
      </c>
      <c r="C1438" s="34">
        <v>6.1366666666666597E-2</v>
      </c>
      <c r="D1438" t="s">
        <v>1032</v>
      </c>
      <c r="E1438" s="34">
        <v>3.6819999999999999</v>
      </c>
      <c r="F1438" t="s">
        <v>15240</v>
      </c>
      <c r="G1438" t="b">
        <v>0</v>
      </c>
    </row>
    <row r="1439" spans="1:7" x14ac:dyDescent="0.25">
      <c r="A1439" t="s">
        <v>13648</v>
      </c>
      <c r="B1439" s="34">
        <v>0.73421999999999998</v>
      </c>
      <c r="C1439" s="34">
        <v>6.1185000000000003E-2</v>
      </c>
      <c r="D1439" t="s">
        <v>2267</v>
      </c>
      <c r="E1439" s="34">
        <v>3.6711</v>
      </c>
      <c r="F1439" t="s">
        <v>16117</v>
      </c>
      <c r="G1439" t="b">
        <v>0</v>
      </c>
    </row>
    <row r="1440" spans="1:7" x14ac:dyDescent="0.25">
      <c r="A1440" t="s">
        <v>14264</v>
      </c>
      <c r="B1440" s="34">
        <v>0.73211000000000004</v>
      </c>
      <c r="C1440" s="34">
        <v>6.10091666666666E-2</v>
      </c>
      <c r="D1440" t="s">
        <v>1013</v>
      </c>
      <c r="E1440" s="34">
        <v>3.6605500000000002</v>
      </c>
      <c r="F1440" t="s">
        <v>16728</v>
      </c>
      <c r="G1440" t="b">
        <v>0</v>
      </c>
    </row>
    <row r="1441" spans="1:7" x14ac:dyDescent="0.25">
      <c r="A1441" t="s">
        <v>13050</v>
      </c>
      <c r="B1441" s="34">
        <v>0.72899999999999998</v>
      </c>
      <c r="C1441" s="34">
        <v>6.0749999999999998E-2</v>
      </c>
      <c r="D1441" t="s">
        <v>4455</v>
      </c>
      <c r="E1441" s="34">
        <v>3.645</v>
      </c>
      <c r="F1441" t="s">
        <v>15525</v>
      </c>
      <c r="G1441" t="b">
        <v>0</v>
      </c>
    </row>
    <row r="1442" spans="1:7" x14ac:dyDescent="0.25">
      <c r="A1442" t="s">
        <v>14308</v>
      </c>
      <c r="B1442" s="34">
        <v>0.72712299999999996</v>
      </c>
      <c r="C1442" s="34">
        <v>6.0593583333333298E-2</v>
      </c>
      <c r="D1442" t="s">
        <v>26</v>
      </c>
      <c r="E1442" s="34">
        <v>1.8178075</v>
      </c>
      <c r="F1442" t="s">
        <v>16771</v>
      </c>
      <c r="G1442" t="b">
        <v>0</v>
      </c>
    </row>
    <row r="1443" spans="1:7" x14ac:dyDescent="0.25">
      <c r="A1443" t="s">
        <v>14212</v>
      </c>
      <c r="B1443" s="34">
        <v>0.72326594999999905</v>
      </c>
      <c r="C1443" s="34">
        <v>6.0272162499999997E-2</v>
      </c>
      <c r="D1443" t="s">
        <v>215</v>
      </c>
      <c r="E1443" s="34">
        <v>3.6163297499999998</v>
      </c>
      <c r="F1443" t="s">
        <v>16676</v>
      </c>
      <c r="G1443" t="b">
        <v>0</v>
      </c>
    </row>
    <row r="1444" spans="1:7" x14ac:dyDescent="0.25">
      <c r="A1444" t="s">
        <v>13052</v>
      </c>
      <c r="B1444" s="34">
        <v>0.72206999999999999</v>
      </c>
      <c r="C1444" s="34">
        <v>6.0172499999999997E-2</v>
      </c>
      <c r="D1444" t="s">
        <v>162</v>
      </c>
      <c r="E1444" s="34">
        <v>3.6103499999999999</v>
      </c>
      <c r="F1444" t="s">
        <v>15527</v>
      </c>
      <c r="G1444" t="b">
        <v>0</v>
      </c>
    </row>
    <row r="1445" spans="1:7" x14ac:dyDescent="0.25">
      <c r="A1445" t="s">
        <v>13729</v>
      </c>
      <c r="B1445" s="34">
        <v>0.72160000000000002</v>
      </c>
      <c r="C1445" s="34">
        <v>6.0133333333333303E-2</v>
      </c>
      <c r="D1445" t="s">
        <v>1716</v>
      </c>
      <c r="E1445" s="34">
        <v>3.6080000000000001</v>
      </c>
      <c r="F1445" t="s">
        <v>16197</v>
      </c>
      <c r="G1445" t="b">
        <v>0</v>
      </c>
    </row>
    <row r="1446" spans="1:7" x14ac:dyDescent="0.25">
      <c r="A1446" t="s">
        <v>13709</v>
      </c>
      <c r="B1446" s="34">
        <v>0.72089999999999999</v>
      </c>
      <c r="C1446" s="34">
        <v>6.0075000000000003E-2</v>
      </c>
      <c r="D1446" t="s">
        <v>385</v>
      </c>
      <c r="E1446" s="34">
        <v>3.6044999999999998</v>
      </c>
      <c r="F1446" t="s">
        <v>16177</v>
      </c>
      <c r="G1446" t="b">
        <v>0</v>
      </c>
    </row>
    <row r="1447" spans="1:7" x14ac:dyDescent="0.25">
      <c r="A1447" t="s">
        <v>12593</v>
      </c>
      <c r="B1447" s="34">
        <v>0.719799999999999</v>
      </c>
      <c r="C1447" s="34">
        <v>5.9983333333333298E-2</v>
      </c>
      <c r="D1447" t="s">
        <v>1240</v>
      </c>
      <c r="E1447" s="34">
        <v>1.7995000000000001</v>
      </c>
      <c r="F1447" t="s">
        <v>15068</v>
      </c>
      <c r="G1447" t="b">
        <v>0</v>
      </c>
    </row>
    <row r="1448" spans="1:7" x14ac:dyDescent="0.25">
      <c r="A1448" t="s">
        <v>12922</v>
      </c>
      <c r="B1448" s="34">
        <v>0.71839999999999904</v>
      </c>
      <c r="C1448" s="34">
        <v>5.9866666666666603E-2</v>
      </c>
      <c r="D1448" t="s">
        <v>7802</v>
      </c>
      <c r="E1448" s="34">
        <v>3.5919999999999899</v>
      </c>
      <c r="F1448" t="s">
        <v>15397</v>
      </c>
      <c r="G1448" t="b">
        <v>0</v>
      </c>
    </row>
    <row r="1449" spans="1:7" x14ac:dyDescent="0.25">
      <c r="A1449" t="s">
        <v>12879</v>
      </c>
      <c r="B1449" s="34">
        <v>0.7117</v>
      </c>
      <c r="C1449" s="34">
        <v>5.9308333333333303E-2</v>
      </c>
      <c r="D1449" t="s">
        <v>151</v>
      </c>
      <c r="E1449" s="34">
        <v>3.5585</v>
      </c>
      <c r="F1449" t="s">
        <v>15354</v>
      </c>
      <c r="G1449" t="b">
        <v>0</v>
      </c>
    </row>
    <row r="1450" spans="1:7" x14ac:dyDescent="0.25">
      <c r="A1450" t="s">
        <v>12924</v>
      </c>
      <c r="B1450" s="34">
        <v>0.70360999999999996</v>
      </c>
      <c r="C1450" s="34">
        <v>5.8634166666666598E-2</v>
      </c>
      <c r="D1450" t="s">
        <v>306</v>
      </c>
      <c r="E1450" s="34">
        <v>3.5180500000000001</v>
      </c>
      <c r="F1450" t="s">
        <v>15399</v>
      </c>
      <c r="G1450" t="b">
        <v>0</v>
      </c>
    </row>
    <row r="1451" spans="1:7" x14ac:dyDescent="0.25">
      <c r="A1451" t="s">
        <v>12803</v>
      </c>
      <c r="B1451" s="34">
        <v>0.7036</v>
      </c>
      <c r="C1451" s="34">
        <v>5.8633333333333301E-2</v>
      </c>
      <c r="D1451" t="s">
        <v>162</v>
      </c>
      <c r="E1451" s="34">
        <v>3.5179999999999998</v>
      </c>
      <c r="F1451" t="s">
        <v>15278</v>
      </c>
      <c r="G1451" t="b">
        <v>0</v>
      </c>
    </row>
    <row r="1452" spans="1:7" x14ac:dyDescent="0.25">
      <c r="A1452" t="s">
        <v>12596</v>
      </c>
      <c r="B1452" s="34">
        <v>0.69508549999999902</v>
      </c>
      <c r="C1452" s="34">
        <v>5.7923791666666599E-2</v>
      </c>
      <c r="D1452" t="s">
        <v>35</v>
      </c>
      <c r="E1452" s="34">
        <v>3.4754274999999999</v>
      </c>
      <c r="F1452" t="s">
        <v>15071</v>
      </c>
      <c r="G1452" t="b">
        <v>0</v>
      </c>
    </row>
    <row r="1453" spans="1:7" x14ac:dyDescent="0.25">
      <c r="A1453" t="s">
        <v>12995</v>
      </c>
      <c r="B1453" s="34">
        <v>0.69188000000000005</v>
      </c>
      <c r="C1453" s="34">
        <v>5.7656666666666599E-2</v>
      </c>
      <c r="D1453" t="s">
        <v>239</v>
      </c>
      <c r="E1453" s="34">
        <v>3.4594</v>
      </c>
      <c r="F1453" t="s">
        <v>15470</v>
      </c>
      <c r="G1453" t="b">
        <v>0</v>
      </c>
    </row>
    <row r="1454" spans="1:7" x14ac:dyDescent="0.25">
      <c r="A1454" t="s">
        <v>14824</v>
      </c>
      <c r="B1454" s="34">
        <v>0.69033</v>
      </c>
      <c r="C1454" s="34">
        <v>5.7527500000000002E-2</v>
      </c>
      <c r="D1454" t="s">
        <v>151</v>
      </c>
      <c r="E1454" s="34">
        <v>3.4516499999999999</v>
      </c>
      <c r="F1454" t="s">
        <v>17265</v>
      </c>
      <c r="G1454" t="b">
        <v>0</v>
      </c>
    </row>
    <row r="1455" spans="1:7" x14ac:dyDescent="0.25">
      <c r="A1455" t="s">
        <v>13340</v>
      </c>
      <c r="B1455" s="34">
        <v>0.69027939999999999</v>
      </c>
      <c r="C1455" s="34">
        <v>5.75232833333333E-2</v>
      </c>
      <c r="D1455" t="s">
        <v>2267</v>
      </c>
      <c r="E1455" s="34">
        <v>3.451397</v>
      </c>
      <c r="F1455" t="s">
        <v>15810</v>
      </c>
      <c r="G1455" t="b">
        <v>0</v>
      </c>
    </row>
    <row r="1456" spans="1:7" x14ac:dyDescent="0.25">
      <c r="A1456" t="s">
        <v>14688</v>
      </c>
      <c r="B1456" s="34">
        <v>0.68840000000000001</v>
      </c>
      <c r="C1456" s="34">
        <v>5.7366666666666601E-2</v>
      </c>
      <c r="D1456" t="s">
        <v>2831</v>
      </c>
      <c r="E1456" s="34">
        <v>3.44199999999999</v>
      </c>
      <c r="F1456" t="s">
        <v>17140</v>
      </c>
      <c r="G1456" t="b">
        <v>0</v>
      </c>
    </row>
    <row r="1457" spans="1:7" x14ac:dyDescent="0.25">
      <c r="A1457" t="s">
        <v>13384</v>
      </c>
      <c r="B1457" s="34">
        <v>0.687195</v>
      </c>
      <c r="C1457" s="34">
        <v>5.7266249999999998E-2</v>
      </c>
      <c r="D1457" t="s">
        <v>2531</v>
      </c>
      <c r="E1457" s="34">
        <v>3.435975</v>
      </c>
      <c r="F1457" t="s">
        <v>15854</v>
      </c>
      <c r="G1457" t="b">
        <v>0</v>
      </c>
    </row>
    <row r="1458" spans="1:7" x14ac:dyDescent="0.25">
      <c r="A1458" t="s">
        <v>13292</v>
      </c>
      <c r="B1458" s="34">
        <v>0.68580999999999903</v>
      </c>
      <c r="C1458" s="34">
        <v>5.7150833333333297E-2</v>
      </c>
      <c r="D1458" t="s">
        <v>1690</v>
      </c>
      <c r="E1458" s="34">
        <v>3.4290500000000002</v>
      </c>
      <c r="F1458" t="s">
        <v>15764</v>
      </c>
      <c r="G1458" t="b">
        <v>0</v>
      </c>
    </row>
    <row r="1459" spans="1:7" x14ac:dyDescent="0.25">
      <c r="A1459" t="s">
        <v>14303</v>
      </c>
      <c r="B1459" s="34">
        <v>0.67633999999999905</v>
      </c>
      <c r="C1459" s="34">
        <v>5.6361666666666602E-2</v>
      </c>
      <c r="D1459" t="s">
        <v>5908</v>
      </c>
      <c r="E1459" s="34">
        <v>1.69084999999999</v>
      </c>
      <c r="F1459" t="s">
        <v>16766</v>
      </c>
      <c r="G1459" t="b">
        <v>0</v>
      </c>
    </row>
    <row r="1460" spans="1:7" x14ac:dyDescent="0.25">
      <c r="A1460" t="s">
        <v>13266</v>
      </c>
      <c r="B1460" s="34">
        <v>0.6744</v>
      </c>
      <c r="C1460" s="34">
        <v>5.62E-2</v>
      </c>
      <c r="D1460" t="s">
        <v>162</v>
      </c>
      <c r="E1460" s="34">
        <v>3.3719999999999999</v>
      </c>
      <c r="F1460" t="s">
        <v>15738</v>
      </c>
      <c r="G1460" t="b">
        <v>0</v>
      </c>
    </row>
    <row r="1461" spans="1:7" x14ac:dyDescent="0.25">
      <c r="A1461" t="s">
        <v>13769</v>
      </c>
      <c r="B1461" s="34">
        <v>0.67200610000000005</v>
      </c>
      <c r="C1461" s="34">
        <v>5.6000508333333303E-2</v>
      </c>
      <c r="D1461" t="s">
        <v>26</v>
      </c>
      <c r="E1461" s="34">
        <v>3.3600305000000001</v>
      </c>
      <c r="F1461" t="s">
        <v>16237</v>
      </c>
      <c r="G1461" t="b">
        <v>0</v>
      </c>
    </row>
    <row r="1462" spans="1:7" x14ac:dyDescent="0.25">
      <c r="A1462" t="s">
        <v>13539</v>
      </c>
      <c r="B1462" s="34">
        <v>0.66733999999999905</v>
      </c>
      <c r="C1462" s="34">
        <v>5.5611666666666601E-2</v>
      </c>
      <c r="D1462" t="s">
        <v>982</v>
      </c>
      <c r="E1462" s="34">
        <v>3.3367</v>
      </c>
      <c r="F1462" t="s">
        <v>16008</v>
      </c>
      <c r="G1462" t="b">
        <v>0</v>
      </c>
    </row>
    <row r="1463" spans="1:7" x14ac:dyDescent="0.25">
      <c r="A1463" t="s">
        <v>12788</v>
      </c>
      <c r="B1463" s="34">
        <v>0.66691500000000004</v>
      </c>
      <c r="C1463" s="34">
        <v>5.5576250000000001E-2</v>
      </c>
      <c r="D1463" t="s">
        <v>1382</v>
      </c>
      <c r="E1463" s="34">
        <v>1.6672875</v>
      </c>
      <c r="F1463" t="s">
        <v>15263</v>
      </c>
      <c r="G1463" t="b">
        <v>0</v>
      </c>
    </row>
    <row r="1464" spans="1:7" x14ac:dyDescent="0.25">
      <c r="A1464" t="s">
        <v>13811</v>
      </c>
      <c r="B1464" s="34">
        <v>0.66579999999999995</v>
      </c>
      <c r="C1464" s="34">
        <v>5.5483333333333301E-2</v>
      </c>
      <c r="D1464" t="s">
        <v>35</v>
      </c>
      <c r="E1464" s="34">
        <v>3.32899999999999</v>
      </c>
      <c r="F1464" t="s">
        <v>16278</v>
      </c>
      <c r="G1464" t="b">
        <v>0</v>
      </c>
    </row>
    <row r="1465" spans="1:7" x14ac:dyDescent="0.25">
      <c r="A1465" t="s">
        <v>12793</v>
      </c>
      <c r="B1465" s="34">
        <v>0.66449999999999998</v>
      </c>
      <c r="C1465" s="34">
        <v>5.5375000000000001E-2</v>
      </c>
      <c r="D1465" t="s">
        <v>84</v>
      </c>
      <c r="E1465" s="34">
        <v>3.3224999999999998</v>
      </c>
      <c r="F1465" t="s">
        <v>15268</v>
      </c>
      <c r="G1465" t="b">
        <v>0</v>
      </c>
    </row>
    <row r="1466" spans="1:7" x14ac:dyDescent="0.25">
      <c r="A1466" t="s">
        <v>14376</v>
      </c>
      <c r="B1466" s="34">
        <v>0.66438319999999895</v>
      </c>
      <c r="C1466" s="34">
        <v>5.53652666666666E-2</v>
      </c>
      <c r="D1466" t="s">
        <v>1752</v>
      </c>
      <c r="E1466" s="34">
        <v>3.3219159999999901</v>
      </c>
      <c r="F1466" t="s">
        <v>16838</v>
      </c>
      <c r="G1466" t="b">
        <v>0</v>
      </c>
    </row>
    <row r="1467" spans="1:7" x14ac:dyDescent="0.25">
      <c r="A1467" t="s">
        <v>13735</v>
      </c>
      <c r="B1467" s="34">
        <v>0.66368000000000005</v>
      </c>
      <c r="C1467" s="34">
        <v>5.5306666666666601E-2</v>
      </c>
      <c r="D1467" t="s">
        <v>26</v>
      </c>
      <c r="E1467" s="34">
        <v>3.3184</v>
      </c>
      <c r="F1467" t="s">
        <v>16203</v>
      </c>
      <c r="G1467" t="b">
        <v>0</v>
      </c>
    </row>
    <row r="1468" spans="1:7" x14ac:dyDescent="0.25">
      <c r="A1468" t="s">
        <v>14866</v>
      </c>
      <c r="B1468" s="34">
        <v>0.66354999999999997</v>
      </c>
      <c r="C1468" s="34">
        <v>5.5295833333333301E-2</v>
      </c>
      <c r="D1468" t="s">
        <v>1752</v>
      </c>
      <c r="E1468" s="34">
        <v>3.3177500000000002</v>
      </c>
      <c r="F1468" t="s">
        <v>17302</v>
      </c>
      <c r="G1468" t="b">
        <v>0</v>
      </c>
    </row>
    <row r="1469" spans="1:7" x14ac:dyDescent="0.25">
      <c r="A1469" t="s">
        <v>14714</v>
      </c>
      <c r="B1469" s="34">
        <v>0.66333999999999904</v>
      </c>
      <c r="C1469" s="34">
        <v>5.5278333333333297E-2</v>
      </c>
      <c r="D1469" t="s">
        <v>54</v>
      </c>
      <c r="E1469" s="34">
        <v>3.3167</v>
      </c>
      <c r="F1469" t="s">
        <v>17165</v>
      </c>
      <c r="G1469" t="b">
        <v>0</v>
      </c>
    </row>
    <row r="1470" spans="1:7" x14ac:dyDescent="0.25">
      <c r="A1470" t="s">
        <v>13409</v>
      </c>
      <c r="B1470" s="34">
        <v>0.66142999999999996</v>
      </c>
      <c r="C1470" s="34">
        <v>5.5119166666666601E-2</v>
      </c>
      <c r="D1470" t="s">
        <v>26</v>
      </c>
      <c r="E1470" s="34">
        <v>3.30715</v>
      </c>
      <c r="F1470" t="s">
        <v>15879</v>
      </c>
      <c r="G1470" t="b">
        <v>0</v>
      </c>
    </row>
    <row r="1471" spans="1:7" x14ac:dyDescent="0.25">
      <c r="A1471" t="s">
        <v>14703</v>
      </c>
      <c r="B1471" s="34">
        <v>0.65980000000000005</v>
      </c>
      <c r="C1471" s="34">
        <v>5.4983333333333301E-2</v>
      </c>
      <c r="D1471" t="s">
        <v>853</v>
      </c>
      <c r="E1471" s="34">
        <v>3.2989999999999999</v>
      </c>
      <c r="F1471" t="s">
        <v>17154</v>
      </c>
      <c r="G1471" t="b">
        <v>0</v>
      </c>
    </row>
    <row r="1472" spans="1:7" x14ac:dyDescent="0.25">
      <c r="A1472" t="s">
        <v>14634</v>
      </c>
      <c r="B1472" s="34">
        <v>0.65725799999999901</v>
      </c>
      <c r="C1472" s="34">
        <v>5.4771500000000001E-2</v>
      </c>
      <c r="D1472" t="s">
        <v>35</v>
      </c>
      <c r="E1472" s="34">
        <v>3.2862900000000002</v>
      </c>
      <c r="F1472" t="s">
        <v>17087</v>
      </c>
      <c r="G1472" t="b">
        <v>0</v>
      </c>
    </row>
    <row r="1473" spans="1:7" x14ac:dyDescent="0.25">
      <c r="A1473" t="s">
        <v>14860</v>
      </c>
      <c r="B1473" s="34">
        <v>0.65703999999999996</v>
      </c>
      <c r="C1473" s="34">
        <v>5.47533333333333E-2</v>
      </c>
      <c r="D1473" t="s">
        <v>215</v>
      </c>
      <c r="E1473" s="34">
        <v>3.2852000000000001</v>
      </c>
      <c r="F1473" t="s">
        <v>17297</v>
      </c>
      <c r="G1473" t="b">
        <v>0</v>
      </c>
    </row>
    <row r="1474" spans="1:7" x14ac:dyDescent="0.25">
      <c r="A1474" t="s">
        <v>12993</v>
      </c>
      <c r="B1474" s="34">
        <v>0.65359999999999996</v>
      </c>
      <c r="C1474" s="34">
        <v>5.4466666666666601E-2</v>
      </c>
      <c r="D1474" t="s">
        <v>2267</v>
      </c>
      <c r="E1474" s="34">
        <v>3.2679999999999998</v>
      </c>
      <c r="F1474" t="s">
        <v>15468</v>
      </c>
      <c r="G1474" t="b">
        <v>0</v>
      </c>
    </row>
    <row r="1475" spans="1:7" x14ac:dyDescent="0.25">
      <c r="A1475" t="s">
        <v>13964</v>
      </c>
      <c r="B1475" s="34">
        <v>0.65229999999999999</v>
      </c>
      <c r="C1475" s="34">
        <v>5.43583333333333E-2</v>
      </c>
      <c r="D1475" t="s">
        <v>253</v>
      </c>
      <c r="E1475" s="34">
        <v>3.2614999999999998</v>
      </c>
      <c r="F1475" t="s">
        <v>16431</v>
      </c>
      <c r="G1475" t="b">
        <v>0</v>
      </c>
    </row>
    <row r="1476" spans="1:7" x14ac:dyDescent="0.25">
      <c r="A1476" t="s">
        <v>14686</v>
      </c>
      <c r="B1476" s="34">
        <v>0.65138019999999996</v>
      </c>
      <c r="C1476" s="34">
        <v>5.4281683333333303E-2</v>
      </c>
      <c r="D1476" t="s">
        <v>35</v>
      </c>
      <c r="E1476" s="34">
        <v>1.62845049999999</v>
      </c>
      <c r="F1476" t="s">
        <v>17138</v>
      </c>
      <c r="G1476" t="b">
        <v>0</v>
      </c>
    </row>
    <row r="1477" spans="1:7" x14ac:dyDescent="0.25">
      <c r="A1477" t="s">
        <v>14628</v>
      </c>
      <c r="B1477" s="34">
        <v>0.65080000000000005</v>
      </c>
      <c r="C1477" s="34">
        <v>5.42333333333333E-2</v>
      </c>
      <c r="D1477" t="s">
        <v>853</v>
      </c>
      <c r="E1477" s="34">
        <v>1.08466666666666</v>
      </c>
      <c r="F1477" t="s">
        <v>17081</v>
      </c>
      <c r="G1477" t="b">
        <v>0</v>
      </c>
    </row>
    <row r="1478" spans="1:7" x14ac:dyDescent="0.25">
      <c r="A1478" t="s">
        <v>14283</v>
      </c>
      <c r="B1478" s="34">
        <v>0.64522999999999997</v>
      </c>
      <c r="C1478" s="34">
        <v>5.3769166666666597E-2</v>
      </c>
      <c r="D1478" t="s">
        <v>4377</v>
      </c>
      <c r="E1478" s="34">
        <v>3.2261500000000001</v>
      </c>
      <c r="F1478" t="s">
        <v>16747</v>
      </c>
      <c r="G1478" t="b">
        <v>0</v>
      </c>
    </row>
    <row r="1479" spans="1:7" x14ac:dyDescent="0.25">
      <c r="A1479" t="s">
        <v>13717</v>
      </c>
      <c r="B1479" s="34">
        <v>0.63809700000000003</v>
      </c>
      <c r="C1479" s="34">
        <v>5.317475E-2</v>
      </c>
      <c r="D1479" t="s">
        <v>35</v>
      </c>
      <c r="E1479" s="34">
        <v>1.5952424999999999</v>
      </c>
      <c r="F1479" t="s">
        <v>16185</v>
      </c>
      <c r="G1479" t="b">
        <v>0</v>
      </c>
    </row>
    <row r="1480" spans="1:7" x14ac:dyDescent="0.25">
      <c r="A1480" t="s">
        <v>12656</v>
      </c>
      <c r="B1480" s="34">
        <v>0.63640999999999903</v>
      </c>
      <c r="C1480" s="34">
        <v>5.3034166666666598E-2</v>
      </c>
      <c r="D1480" t="s">
        <v>162</v>
      </c>
      <c r="E1480" s="34">
        <v>3.1820499999999901</v>
      </c>
      <c r="F1480" t="s">
        <v>15131</v>
      </c>
      <c r="G1480" t="b">
        <v>0</v>
      </c>
    </row>
    <row r="1481" spans="1:7" x14ac:dyDescent="0.25">
      <c r="A1481" t="s">
        <v>13974</v>
      </c>
      <c r="B1481" s="34">
        <v>0.63555669199999998</v>
      </c>
      <c r="C1481" s="34">
        <v>5.2963057666666598E-2</v>
      </c>
      <c r="D1481" t="s">
        <v>385</v>
      </c>
      <c r="E1481" s="34">
        <v>1.5888917299999901</v>
      </c>
      <c r="F1481" t="s">
        <v>16441</v>
      </c>
      <c r="G1481" t="b">
        <v>0</v>
      </c>
    </row>
    <row r="1482" spans="1:7" x14ac:dyDescent="0.25">
      <c r="A1482" t="s">
        <v>12713</v>
      </c>
      <c r="B1482" s="34">
        <v>0.63407999999999998</v>
      </c>
      <c r="C1482" s="34">
        <v>5.2839999999999998E-2</v>
      </c>
      <c r="D1482" t="s">
        <v>3459</v>
      </c>
      <c r="E1482" s="34">
        <v>3.1703999999999999</v>
      </c>
      <c r="F1482" t="s">
        <v>15188</v>
      </c>
      <c r="G1482" t="b">
        <v>0</v>
      </c>
    </row>
    <row r="1483" spans="1:7" x14ac:dyDescent="0.25">
      <c r="A1483" t="s">
        <v>14711</v>
      </c>
      <c r="B1483" s="34">
        <v>0.63145999999999902</v>
      </c>
      <c r="C1483" s="34">
        <v>5.2621666666666601E-2</v>
      </c>
      <c r="D1483" t="s">
        <v>1645</v>
      </c>
      <c r="E1483" s="34">
        <v>3.1573000000000002</v>
      </c>
      <c r="F1483" t="s">
        <v>17162</v>
      </c>
      <c r="G1483" t="b">
        <v>0</v>
      </c>
    </row>
    <row r="1484" spans="1:7" x14ac:dyDescent="0.25">
      <c r="A1484" t="s">
        <v>13356</v>
      </c>
      <c r="B1484" s="34">
        <v>0.62831949999999903</v>
      </c>
      <c r="C1484" s="34">
        <v>5.2359958333333297E-2</v>
      </c>
      <c r="D1484" t="s">
        <v>215</v>
      </c>
      <c r="E1484" s="34">
        <v>3.1415975</v>
      </c>
      <c r="F1484" t="s">
        <v>15826</v>
      </c>
      <c r="G1484" t="b">
        <v>0</v>
      </c>
    </row>
    <row r="1485" spans="1:7" x14ac:dyDescent="0.25">
      <c r="A1485" t="s">
        <v>13938</v>
      </c>
      <c r="B1485" s="34">
        <v>0.62709999999999999</v>
      </c>
      <c r="C1485" s="34">
        <v>5.2258333333333302E-2</v>
      </c>
      <c r="D1485" t="s">
        <v>90</v>
      </c>
      <c r="E1485" s="34">
        <v>3.1355</v>
      </c>
      <c r="F1485" t="s">
        <v>16405</v>
      </c>
      <c r="G1485" t="b">
        <v>0</v>
      </c>
    </row>
    <row r="1486" spans="1:7" x14ac:dyDescent="0.25">
      <c r="A1486" t="s">
        <v>14207</v>
      </c>
      <c r="B1486" s="34">
        <v>0.62644</v>
      </c>
      <c r="C1486" s="34">
        <v>5.2203333333333303E-2</v>
      </c>
      <c r="D1486" t="s">
        <v>753</v>
      </c>
      <c r="E1486" s="34">
        <v>3.1322000000000001</v>
      </c>
      <c r="F1486" t="s">
        <v>16671</v>
      </c>
      <c r="G1486" t="b">
        <v>0</v>
      </c>
    </row>
    <row r="1487" spans="1:7" x14ac:dyDescent="0.25">
      <c r="A1487" t="s">
        <v>14076</v>
      </c>
      <c r="B1487" s="34">
        <v>0.62487999999999999</v>
      </c>
      <c r="C1487" s="34">
        <v>5.2073333333333298E-2</v>
      </c>
      <c r="D1487" t="s">
        <v>215</v>
      </c>
      <c r="E1487" s="34">
        <v>3.1244000000000001</v>
      </c>
      <c r="F1487" t="s">
        <v>16543</v>
      </c>
      <c r="G1487" t="b">
        <v>0</v>
      </c>
    </row>
    <row r="1488" spans="1:7" x14ac:dyDescent="0.25">
      <c r="A1488" t="s">
        <v>14199</v>
      </c>
      <c r="B1488" s="34">
        <v>0.62460000000000004</v>
      </c>
      <c r="C1488" s="34">
        <v>5.2049999999999999E-2</v>
      </c>
      <c r="D1488" t="s">
        <v>873</v>
      </c>
      <c r="E1488" s="34">
        <v>3.1230000000000002</v>
      </c>
      <c r="F1488" t="s">
        <v>16663</v>
      </c>
      <c r="G1488" t="b">
        <v>0</v>
      </c>
    </row>
    <row r="1489" spans="1:7" x14ac:dyDescent="0.25">
      <c r="A1489" t="s">
        <v>12989</v>
      </c>
      <c r="B1489" s="34">
        <v>0.62265999999999999</v>
      </c>
      <c r="C1489" s="34">
        <v>5.18883333333333E-2</v>
      </c>
      <c r="D1489" t="s">
        <v>1240</v>
      </c>
      <c r="E1489" s="34">
        <v>3.1133000000000002</v>
      </c>
      <c r="F1489" t="s">
        <v>15464</v>
      </c>
      <c r="G1489" t="b">
        <v>0</v>
      </c>
    </row>
    <row r="1490" spans="1:7" x14ac:dyDescent="0.25">
      <c r="A1490" t="s">
        <v>12990</v>
      </c>
      <c r="B1490" s="34">
        <v>0.62112000000000001</v>
      </c>
      <c r="C1490" s="34">
        <v>5.176E-2</v>
      </c>
      <c r="D1490" t="s">
        <v>928</v>
      </c>
      <c r="E1490" s="34">
        <v>3.1055999999999999</v>
      </c>
      <c r="F1490" t="s">
        <v>15465</v>
      </c>
      <c r="G1490" t="b">
        <v>0</v>
      </c>
    </row>
    <row r="1491" spans="1:7" x14ac:dyDescent="0.25">
      <c r="A1491" t="s">
        <v>13101</v>
      </c>
      <c r="B1491" s="34">
        <v>0.62039999999999895</v>
      </c>
      <c r="C1491" s="34">
        <v>5.1699999999999899E-2</v>
      </c>
      <c r="D1491" t="s">
        <v>6982</v>
      </c>
      <c r="E1491" s="34">
        <v>3.1019999999999901</v>
      </c>
      <c r="F1491" t="s">
        <v>15576</v>
      </c>
      <c r="G1491" t="b">
        <v>0</v>
      </c>
    </row>
    <row r="1492" spans="1:7" x14ac:dyDescent="0.25">
      <c r="A1492" t="s">
        <v>13090</v>
      </c>
      <c r="B1492" s="34">
        <v>0.61751999999999996</v>
      </c>
      <c r="C1492" s="34">
        <v>5.1459999999999999E-2</v>
      </c>
      <c r="D1492" t="s">
        <v>26</v>
      </c>
      <c r="E1492" s="34">
        <v>1.5437999999999901</v>
      </c>
      <c r="F1492" t="s">
        <v>15565</v>
      </c>
      <c r="G1492" t="b">
        <v>0</v>
      </c>
    </row>
    <row r="1493" spans="1:7" x14ac:dyDescent="0.25">
      <c r="A1493" t="s">
        <v>13904</v>
      </c>
      <c r="B1493" s="34">
        <v>0.61657200000000001</v>
      </c>
      <c r="C1493" s="34">
        <v>5.1381000000000003E-2</v>
      </c>
      <c r="D1493" t="s">
        <v>26</v>
      </c>
      <c r="E1493" s="34">
        <v>1.5414299999999901</v>
      </c>
      <c r="F1493" t="s">
        <v>16371</v>
      </c>
      <c r="G1493" t="b">
        <v>0</v>
      </c>
    </row>
    <row r="1494" spans="1:7" x14ac:dyDescent="0.25">
      <c r="A1494" t="s">
        <v>13711</v>
      </c>
      <c r="B1494" s="34">
        <v>0.61410500000000001</v>
      </c>
      <c r="C1494" s="34">
        <v>5.1175416666666598E-2</v>
      </c>
      <c r="D1494" t="s">
        <v>215</v>
      </c>
      <c r="E1494" s="34">
        <v>3.0705249999999999</v>
      </c>
      <c r="F1494" t="s">
        <v>16179</v>
      </c>
      <c r="G1494" t="b">
        <v>0</v>
      </c>
    </row>
    <row r="1495" spans="1:7" x14ac:dyDescent="0.25">
      <c r="A1495" t="s">
        <v>13670</v>
      </c>
      <c r="B1495" s="34">
        <v>0.60933999999999999</v>
      </c>
      <c r="C1495" s="34">
        <v>5.07783333333333E-2</v>
      </c>
      <c r="D1495" t="s">
        <v>35</v>
      </c>
      <c r="E1495" s="34">
        <v>3.0467</v>
      </c>
      <c r="F1495" t="s">
        <v>16138</v>
      </c>
      <c r="G1495" t="b">
        <v>0</v>
      </c>
    </row>
    <row r="1496" spans="1:7" x14ac:dyDescent="0.25">
      <c r="A1496" t="s">
        <v>14009</v>
      </c>
      <c r="B1496" s="34">
        <v>0.60736999999999997</v>
      </c>
      <c r="C1496" s="34">
        <v>5.0614166666666599E-2</v>
      </c>
      <c r="D1496" t="s">
        <v>35</v>
      </c>
      <c r="E1496" s="34">
        <v>3.0368499999999998</v>
      </c>
      <c r="F1496" t="s">
        <v>16476</v>
      </c>
      <c r="G1496" t="b">
        <v>0</v>
      </c>
    </row>
    <row r="1497" spans="1:7" x14ac:dyDescent="0.25">
      <c r="A1497" t="s">
        <v>14266</v>
      </c>
      <c r="B1497" s="34">
        <v>0.60580000000000001</v>
      </c>
      <c r="C1497" s="34">
        <v>5.0483333333333297E-2</v>
      </c>
      <c r="D1497" t="s">
        <v>390</v>
      </c>
      <c r="E1497" s="34">
        <v>3.0289999999999999</v>
      </c>
      <c r="F1497" t="s">
        <v>16730</v>
      </c>
      <c r="G1497" t="b">
        <v>0</v>
      </c>
    </row>
    <row r="1498" spans="1:7" x14ac:dyDescent="0.25">
      <c r="A1498" t="s">
        <v>13107</v>
      </c>
      <c r="B1498" s="34">
        <v>0.60487999999999997</v>
      </c>
      <c r="C1498" s="34">
        <v>5.04066666666666E-2</v>
      </c>
      <c r="D1498" t="s">
        <v>253</v>
      </c>
      <c r="E1498" s="34">
        <v>3.0244</v>
      </c>
      <c r="F1498" t="s">
        <v>15582</v>
      </c>
      <c r="G1498" t="b">
        <v>0</v>
      </c>
    </row>
    <row r="1499" spans="1:7" x14ac:dyDescent="0.25">
      <c r="A1499" t="s">
        <v>14516</v>
      </c>
      <c r="B1499" s="34">
        <v>0.60450000000000004</v>
      </c>
      <c r="C1499" s="34">
        <v>5.0375000000000003E-2</v>
      </c>
      <c r="D1499" t="s">
        <v>226</v>
      </c>
      <c r="E1499" s="34">
        <v>3.0225</v>
      </c>
      <c r="F1499" t="s">
        <v>16976</v>
      </c>
      <c r="G1499" t="b">
        <v>0</v>
      </c>
    </row>
    <row r="1500" spans="1:7" x14ac:dyDescent="0.25">
      <c r="A1500" t="s">
        <v>14545</v>
      </c>
      <c r="B1500" s="34">
        <v>0.60369339999999905</v>
      </c>
      <c r="C1500" s="34">
        <v>5.03077833333333E-2</v>
      </c>
      <c r="D1500" t="s">
        <v>26</v>
      </c>
      <c r="E1500" s="34">
        <v>3.0184669999999998</v>
      </c>
      <c r="F1500" t="s">
        <v>17004</v>
      </c>
      <c r="G1500" t="b">
        <v>0</v>
      </c>
    </row>
    <row r="1501" spans="1:7" x14ac:dyDescent="0.25">
      <c r="A1501" t="s">
        <v>12897</v>
      </c>
      <c r="B1501" s="34">
        <v>0.60189999999999999</v>
      </c>
      <c r="C1501" s="34">
        <v>5.0158333333333298E-2</v>
      </c>
      <c r="D1501" t="s">
        <v>45</v>
      </c>
      <c r="E1501" s="34">
        <v>3.0095000000000001</v>
      </c>
      <c r="F1501" t="s">
        <v>15372</v>
      </c>
      <c r="G1501" t="b">
        <v>0</v>
      </c>
    </row>
    <row r="1502" spans="1:7" x14ac:dyDescent="0.25">
      <c r="A1502" t="s">
        <v>12674</v>
      </c>
      <c r="B1502" s="34">
        <v>0.59899999999999998</v>
      </c>
      <c r="C1502" s="34">
        <v>4.9916666666666602E-2</v>
      </c>
      <c r="D1502" t="s">
        <v>253</v>
      </c>
      <c r="E1502" s="34">
        <v>2.9950000000000001</v>
      </c>
      <c r="F1502" t="s">
        <v>15149</v>
      </c>
      <c r="G1502" t="b">
        <v>0</v>
      </c>
    </row>
    <row r="1503" spans="1:7" x14ac:dyDescent="0.25">
      <c r="A1503" t="s">
        <v>12955</v>
      </c>
      <c r="B1503" s="34">
        <v>0.59899999999999998</v>
      </c>
      <c r="C1503" s="34">
        <v>4.9916666666666602E-2</v>
      </c>
      <c r="D1503" t="s">
        <v>168</v>
      </c>
      <c r="E1503" s="34">
        <v>2.9950000000000001</v>
      </c>
      <c r="F1503" t="s">
        <v>15430</v>
      </c>
      <c r="G1503" t="b">
        <v>0</v>
      </c>
    </row>
    <row r="1504" spans="1:7" x14ac:dyDescent="0.25">
      <c r="A1504" t="s">
        <v>13197</v>
      </c>
      <c r="B1504" s="34">
        <v>0.59760000000000002</v>
      </c>
      <c r="C1504" s="34">
        <v>4.9799999999999997E-2</v>
      </c>
      <c r="D1504" t="s">
        <v>982</v>
      </c>
      <c r="E1504" s="34">
        <v>2.988</v>
      </c>
      <c r="F1504" t="s">
        <v>15671</v>
      </c>
      <c r="G1504" t="b">
        <v>0</v>
      </c>
    </row>
    <row r="1505" spans="1:7" x14ac:dyDescent="0.25">
      <c r="A1505" t="s">
        <v>13510</v>
      </c>
      <c r="B1505" s="34">
        <v>0.59621999999999997</v>
      </c>
      <c r="C1505" s="34">
        <v>4.9684999999999903E-2</v>
      </c>
      <c r="D1505" t="s">
        <v>90</v>
      </c>
      <c r="E1505" s="34">
        <v>2.9811000000000001</v>
      </c>
      <c r="F1505" t="s">
        <v>15979</v>
      </c>
      <c r="G1505" t="b">
        <v>0</v>
      </c>
    </row>
    <row r="1506" spans="1:7" x14ac:dyDescent="0.25">
      <c r="A1506" t="s">
        <v>14731</v>
      </c>
      <c r="B1506" s="34">
        <v>0.58885339999999997</v>
      </c>
      <c r="C1506" s="34">
        <v>4.9071116666666602E-2</v>
      </c>
      <c r="D1506" t="s">
        <v>45</v>
      </c>
      <c r="E1506" s="34">
        <v>2.944267</v>
      </c>
      <c r="F1506" t="s">
        <v>17181</v>
      </c>
      <c r="G1506" t="b">
        <v>0</v>
      </c>
    </row>
    <row r="1507" spans="1:7" x14ac:dyDescent="0.25">
      <c r="A1507" t="s">
        <v>13298</v>
      </c>
      <c r="B1507" s="34">
        <v>0.58839819999999998</v>
      </c>
      <c r="C1507" s="34">
        <v>4.9033183333333299E-2</v>
      </c>
      <c r="D1507" t="s">
        <v>883</v>
      </c>
      <c r="E1507" s="34">
        <v>2.9419909999999998</v>
      </c>
      <c r="F1507" t="s">
        <v>15769</v>
      </c>
      <c r="G1507" t="b">
        <v>0</v>
      </c>
    </row>
    <row r="1508" spans="1:7" x14ac:dyDescent="0.25">
      <c r="A1508" t="s">
        <v>13202</v>
      </c>
      <c r="B1508" s="34">
        <v>0.58751999999999904</v>
      </c>
      <c r="C1508" s="34">
        <v>4.8959999999999997E-2</v>
      </c>
      <c r="D1508" t="s">
        <v>626</v>
      </c>
      <c r="E1508" s="34">
        <v>2.9376000000000002</v>
      </c>
      <c r="F1508" t="s">
        <v>15676</v>
      </c>
      <c r="G1508" t="b">
        <v>0</v>
      </c>
    </row>
    <row r="1509" spans="1:7" x14ac:dyDescent="0.25">
      <c r="A1509" t="s">
        <v>13722</v>
      </c>
      <c r="B1509" s="34">
        <v>0.58689999999999998</v>
      </c>
      <c r="C1509" s="34">
        <v>4.8908333333333297E-2</v>
      </c>
      <c r="D1509" t="s">
        <v>566</v>
      </c>
      <c r="E1509" s="34">
        <v>2.9344999999999999</v>
      </c>
      <c r="F1509" t="s">
        <v>16190</v>
      </c>
      <c r="G1509" t="b">
        <v>0</v>
      </c>
    </row>
    <row r="1510" spans="1:7" x14ac:dyDescent="0.25">
      <c r="A1510" t="s">
        <v>13216</v>
      </c>
      <c r="B1510" s="34">
        <v>0.586557199999999</v>
      </c>
      <c r="C1510" s="34">
        <v>4.8879766666666602E-2</v>
      </c>
      <c r="D1510" t="s">
        <v>645</v>
      </c>
      <c r="E1510" s="34">
        <v>2.9327860000000001</v>
      </c>
      <c r="F1510" t="s">
        <v>15690</v>
      </c>
      <c r="G1510" t="b">
        <v>0</v>
      </c>
    </row>
    <row r="1511" spans="1:7" x14ac:dyDescent="0.25">
      <c r="A1511" t="s">
        <v>14571</v>
      </c>
      <c r="B1511" s="34">
        <v>0.57799999999999996</v>
      </c>
      <c r="C1511" s="34">
        <v>4.8166666666666601E-2</v>
      </c>
      <c r="D1511" t="s">
        <v>853</v>
      </c>
      <c r="E1511" s="34">
        <v>2.89</v>
      </c>
      <c r="F1511" t="s">
        <v>17028</v>
      </c>
      <c r="G1511" t="b">
        <v>0</v>
      </c>
    </row>
    <row r="1512" spans="1:7" x14ac:dyDescent="0.25">
      <c r="A1512" t="s">
        <v>14174</v>
      </c>
      <c r="B1512" s="34">
        <v>0.57629999999999904</v>
      </c>
      <c r="C1512" s="34">
        <v>4.8024999999999901E-2</v>
      </c>
      <c r="D1512" t="s">
        <v>35</v>
      </c>
      <c r="E1512" s="34">
        <v>2.8814999999999902</v>
      </c>
      <c r="F1512" t="s">
        <v>16640</v>
      </c>
      <c r="G1512" t="b">
        <v>0</v>
      </c>
    </row>
    <row r="1513" spans="1:7" x14ac:dyDescent="0.25">
      <c r="A1513" t="s">
        <v>14439</v>
      </c>
      <c r="B1513" s="34">
        <v>0.57499999999999996</v>
      </c>
      <c r="C1513" s="34">
        <v>4.7916666666666601E-2</v>
      </c>
      <c r="D1513" t="s">
        <v>35</v>
      </c>
      <c r="E1513" s="34">
        <v>2.875</v>
      </c>
      <c r="F1513" t="s">
        <v>16899</v>
      </c>
      <c r="G1513" t="b">
        <v>0</v>
      </c>
    </row>
    <row r="1514" spans="1:7" x14ac:dyDescent="0.25">
      <c r="A1514" t="s">
        <v>13268</v>
      </c>
      <c r="B1514" s="34">
        <v>0.57329999999999903</v>
      </c>
      <c r="C1514" s="34">
        <v>4.7774999999999998E-2</v>
      </c>
      <c r="D1514" t="s">
        <v>2340</v>
      </c>
      <c r="E1514" s="34">
        <v>2.8664999999999998</v>
      </c>
      <c r="F1514" t="s">
        <v>15740</v>
      </c>
      <c r="G1514" t="b">
        <v>0</v>
      </c>
    </row>
    <row r="1515" spans="1:7" x14ac:dyDescent="0.25">
      <c r="A1515" t="s">
        <v>14486</v>
      </c>
      <c r="B1515" s="34">
        <v>0.56699659999999996</v>
      </c>
      <c r="C1515" s="34">
        <v>4.7249716666666601E-2</v>
      </c>
      <c r="D1515" t="s">
        <v>26</v>
      </c>
      <c r="E1515" s="34">
        <v>2.8349829999999998</v>
      </c>
      <c r="F1515" t="s">
        <v>16946</v>
      </c>
      <c r="G1515" t="b">
        <v>0</v>
      </c>
    </row>
    <row r="1516" spans="1:7" x14ac:dyDescent="0.25">
      <c r="A1516" t="s">
        <v>14347</v>
      </c>
      <c r="B1516" s="34">
        <v>0.561109999999999</v>
      </c>
      <c r="C1516" s="34">
        <v>4.6759166666666602E-2</v>
      </c>
      <c r="D1516" t="s">
        <v>1240</v>
      </c>
      <c r="E1516" s="34">
        <v>2.80554999999999</v>
      </c>
      <c r="F1516" t="s">
        <v>16810</v>
      </c>
      <c r="G1516" t="b">
        <v>0</v>
      </c>
    </row>
    <row r="1517" spans="1:7" x14ac:dyDescent="0.25">
      <c r="A1517" t="s">
        <v>13740</v>
      </c>
      <c r="B1517" s="34">
        <v>0.56074000000000002</v>
      </c>
      <c r="C1517" s="34">
        <v>4.6728333333333302E-2</v>
      </c>
      <c r="D1517" t="s">
        <v>26</v>
      </c>
      <c r="E1517" s="34">
        <v>2.8037000000000001</v>
      </c>
      <c r="F1517" t="s">
        <v>16208</v>
      </c>
      <c r="G1517" t="b">
        <v>0</v>
      </c>
    </row>
    <row r="1518" spans="1:7" x14ac:dyDescent="0.25">
      <c r="A1518" t="s">
        <v>13841</v>
      </c>
      <c r="B1518" s="34">
        <v>0.55830999999999897</v>
      </c>
      <c r="C1518" s="34">
        <v>4.6525833333333301E-2</v>
      </c>
      <c r="D1518" t="s">
        <v>1240</v>
      </c>
      <c r="E1518" s="34">
        <v>2.7915499999999902</v>
      </c>
      <c r="F1518" t="s">
        <v>16308</v>
      </c>
      <c r="G1518" t="b">
        <v>0</v>
      </c>
    </row>
    <row r="1519" spans="1:7" x14ac:dyDescent="0.25">
      <c r="A1519" t="s">
        <v>12559</v>
      </c>
      <c r="B1519" s="34">
        <v>0.55779080000000003</v>
      </c>
      <c r="C1519" s="34">
        <v>4.64825666666666E-2</v>
      </c>
      <c r="D1519" t="s">
        <v>35</v>
      </c>
      <c r="E1519" s="34">
        <v>2.7889539999999999</v>
      </c>
      <c r="F1519" t="s">
        <v>15034</v>
      </c>
      <c r="G1519" t="b">
        <v>0</v>
      </c>
    </row>
    <row r="1520" spans="1:7" x14ac:dyDescent="0.25">
      <c r="A1520" t="s">
        <v>13238</v>
      </c>
      <c r="B1520" s="34">
        <v>0.55710000000000004</v>
      </c>
      <c r="C1520" s="34">
        <v>4.6425000000000001E-2</v>
      </c>
      <c r="D1520" t="s">
        <v>385</v>
      </c>
      <c r="E1520" s="34">
        <v>2.7854999999999999</v>
      </c>
      <c r="F1520" t="s">
        <v>15712</v>
      </c>
      <c r="G1520" t="b">
        <v>0</v>
      </c>
    </row>
    <row r="1521" spans="1:7" x14ac:dyDescent="0.25">
      <c r="A1521" t="s">
        <v>14849</v>
      </c>
      <c r="B1521" s="34">
        <v>0.55679999999999996</v>
      </c>
      <c r="C1521" s="34">
        <v>4.6399999999999997E-2</v>
      </c>
      <c r="D1521" t="s">
        <v>132</v>
      </c>
      <c r="E1521" s="34">
        <v>2.7839999999999998</v>
      </c>
      <c r="F1521" t="s">
        <v>17286</v>
      </c>
      <c r="G1521" t="b">
        <v>0</v>
      </c>
    </row>
    <row r="1522" spans="1:7" x14ac:dyDescent="0.25">
      <c r="A1522" t="s">
        <v>13794</v>
      </c>
      <c r="B1522" s="34">
        <v>0.55659999999999998</v>
      </c>
      <c r="C1522" s="34">
        <v>4.6383333333333297E-2</v>
      </c>
      <c r="D1522" t="s">
        <v>290</v>
      </c>
      <c r="E1522" s="34">
        <v>2.7829999999999999</v>
      </c>
      <c r="F1522" t="s">
        <v>16261</v>
      </c>
      <c r="G1522" t="b">
        <v>0</v>
      </c>
    </row>
    <row r="1523" spans="1:7" x14ac:dyDescent="0.25">
      <c r="A1523" t="s">
        <v>14118</v>
      </c>
      <c r="B1523" s="34">
        <v>0.55479999999999996</v>
      </c>
      <c r="C1523" s="34">
        <v>4.62333333333333E-2</v>
      </c>
      <c r="D1523" t="s">
        <v>35</v>
      </c>
      <c r="E1523" s="34">
        <v>2.774</v>
      </c>
      <c r="F1523" t="s">
        <v>16585</v>
      </c>
      <c r="G1523" t="b">
        <v>0</v>
      </c>
    </row>
    <row r="1524" spans="1:7" x14ac:dyDescent="0.25">
      <c r="A1524" t="s">
        <v>13243</v>
      </c>
      <c r="B1524" s="34">
        <v>0.55406999999999995</v>
      </c>
      <c r="C1524" s="34">
        <v>4.6172499999999901E-2</v>
      </c>
      <c r="D1524" t="s">
        <v>122</v>
      </c>
      <c r="E1524" s="34">
        <v>2.7703500000000001</v>
      </c>
      <c r="F1524" t="s">
        <v>15717</v>
      </c>
      <c r="G1524" t="b">
        <v>0</v>
      </c>
    </row>
    <row r="1525" spans="1:7" x14ac:dyDescent="0.25">
      <c r="A1525" t="s">
        <v>14350</v>
      </c>
      <c r="B1525" s="34">
        <v>0.55049999999999999</v>
      </c>
      <c r="C1525" s="34">
        <v>4.5874999999999999E-2</v>
      </c>
      <c r="D1525" t="s">
        <v>798</v>
      </c>
      <c r="E1525" s="34">
        <v>2.7524999999999999</v>
      </c>
      <c r="F1525" t="s">
        <v>16813</v>
      </c>
      <c r="G1525" t="b">
        <v>0</v>
      </c>
    </row>
    <row r="1526" spans="1:7" x14ac:dyDescent="0.25">
      <c r="A1526" t="s">
        <v>13681</v>
      </c>
      <c r="B1526" s="34">
        <v>0.54860600000000004</v>
      </c>
      <c r="C1526" s="34">
        <v>4.57171666666666E-2</v>
      </c>
      <c r="D1526" t="s">
        <v>35</v>
      </c>
      <c r="E1526" s="34">
        <v>2.7430300000000001</v>
      </c>
      <c r="F1526" t="s">
        <v>16149</v>
      </c>
      <c r="G1526" t="b">
        <v>0</v>
      </c>
    </row>
    <row r="1527" spans="1:7" x14ac:dyDescent="0.25">
      <c r="A1527" t="s">
        <v>12880</v>
      </c>
      <c r="B1527" s="34">
        <v>0.5454</v>
      </c>
      <c r="C1527" s="34">
        <v>4.5449999999999997E-2</v>
      </c>
      <c r="D1527" t="s">
        <v>4338</v>
      </c>
      <c r="E1527" s="34">
        <v>2.7269999999999999</v>
      </c>
      <c r="F1527" t="s">
        <v>15355</v>
      </c>
      <c r="G1527" t="b">
        <v>0</v>
      </c>
    </row>
    <row r="1528" spans="1:7" x14ac:dyDescent="0.25">
      <c r="A1528" t="s">
        <v>12975</v>
      </c>
      <c r="B1528" s="34">
        <v>0.54510400000000003</v>
      </c>
      <c r="C1528" s="34">
        <v>4.5425333333333297E-2</v>
      </c>
      <c r="D1528" t="s">
        <v>253</v>
      </c>
      <c r="E1528" s="34">
        <v>2.7255199999999999</v>
      </c>
      <c r="F1528" t="s">
        <v>15450</v>
      </c>
      <c r="G1528" t="b">
        <v>0</v>
      </c>
    </row>
    <row r="1529" spans="1:7" x14ac:dyDescent="0.25">
      <c r="A1529" t="s">
        <v>14825</v>
      </c>
      <c r="B1529" s="34">
        <v>0.54500000000000004</v>
      </c>
      <c r="C1529" s="34">
        <v>4.5416666666666598E-2</v>
      </c>
      <c r="D1529" t="s">
        <v>35</v>
      </c>
      <c r="E1529" s="34">
        <v>2.7250000000000001</v>
      </c>
      <c r="F1529" t="s">
        <v>17266</v>
      </c>
      <c r="G1529" t="b">
        <v>0</v>
      </c>
    </row>
    <row r="1530" spans="1:7" x14ac:dyDescent="0.25">
      <c r="A1530" t="s">
        <v>13779</v>
      </c>
      <c r="B1530" s="34">
        <v>0.5444</v>
      </c>
      <c r="C1530" s="34">
        <v>4.5366666666666597E-2</v>
      </c>
      <c r="D1530" t="s">
        <v>35</v>
      </c>
      <c r="E1530" s="34">
        <v>2.722</v>
      </c>
      <c r="F1530" t="s">
        <v>16247</v>
      </c>
      <c r="G1530" t="b">
        <v>0</v>
      </c>
    </row>
    <row r="1531" spans="1:7" x14ac:dyDescent="0.25">
      <c r="A1531" t="s">
        <v>13287</v>
      </c>
      <c r="B1531" s="34">
        <v>0.53990000000000005</v>
      </c>
      <c r="C1531" s="34">
        <v>4.4991666666666597E-2</v>
      </c>
      <c r="D1531" t="s">
        <v>1281</v>
      </c>
      <c r="E1531" s="34">
        <v>2.6995</v>
      </c>
      <c r="F1531" t="s">
        <v>15759</v>
      </c>
      <c r="G1531" t="b">
        <v>0</v>
      </c>
    </row>
    <row r="1532" spans="1:7" x14ac:dyDescent="0.25">
      <c r="A1532" t="s">
        <v>13189</v>
      </c>
      <c r="B1532" s="34">
        <v>0.53942219999999996</v>
      </c>
      <c r="C1532" s="34">
        <v>4.4951850000000002E-2</v>
      </c>
      <c r="D1532" t="s">
        <v>6988</v>
      </c>
      <c r="E1532" s="34">
        <v>2.697111</v>
      </c>
      <c r="F1532" t="s">
        <v>15663</v>
      </c>
      <c r="G1532" t="b">
        <v>0</v>
      </c>
    </row>
    <row r="1533" spans="1:7" x14ac:dyDescent="0.25">
      <c r="A1533" t="s">
        <v>14524</v>
      </c>
      <c r="B1533" s="34">
        <v>0.53859999999999997</v>
      </c>
      <c r="C1533" s="34">
        <v>4.4883333333333303E-2</v>
      </c>
      <c r="D1533" t="s">
        <v>35</v>
      </c>
      <c r="E1533" s="34">
        <v>1.3465</v>
      </c>
      <c r="F1533" t="s">
        <v>16984</v>
      </c>
      <c r="G1533" t="b">
        <v>0</v>
      </c>
    </row>
    <row r="1534" spans="1:7" x14ac:dyDescent="0.25">
      <c r="A1534" t="s">
        <v>13394</v>
      </c>
      <c r="B1534" s="34">
        <v>0.53813</v>
      </c>
      <c r="C1534" s="34">
        <v>4.4844166666666602E-2</v>
      </c>
      <c r="D1534" t="s">
        <v>1240</v>
      </c>
      <c r="E1534" s="34">
        <v>2.6906500000000002</v>
      </c>
      <c r="F1534" t="s">
        <v>15864</v>
      </c>
      <c r="G1534" t="b">
        <v>0</v>
      </c>
    </row>
    <row r="1535" spans="1:7" x14ac:dyDescent="0.25">
      <c r="A1535" t="s">
        <v>14854</v>
      </c>
      <c r="B1535" s="34">
        <v>0.53809799999999997</v>
      </c>
      <c r="C1535" s="34">
        <v>4.4841499999999999E-2</v>
      </c>
      <c r="D1535" t="s">
        <v>35</v>
      </c>
      <c r="E1535" s="34">
        <v>1.345245</v>
      </c>
      <c r="F1535" t="s">
        <v>17291</v>
      </c>
      <c r="G1535" t="b">
        <v>0</v>
      </c>
    </row>
    <row r="1536" spans="1:7" x14ac:dyDescent="0.25">
      <c r="A1536" t="s">
        <v>13887</v>
      </c>
      <c r="B1536" s="34">
        <v>0.53704599999999902</v>
      </c>
      <c r="C1536" s="34">
        <v>4.4753833333333298E-2</v>
      </c>
      <c r="D1536" t="s">
        <v>1240</v>
      </c>
      <c r="E1536" s="34">
        <v>2.6852299999999998</v>
      </c>
      <c r="F1536" t="s">
        <v>16354</v>
      </c>
      <c r="G1536" t="b">
        <v>0</v>
      </c>
    </row>
    <row r="1537" spans="1:7" x14ac:dyDescent="0.25">
      <c r="A1537" t="s">
        <v>14269</v>
      </c>
      <c r="B1537" s="34">
        <v>0.53659699999999999</v>
      </c>
      <c r="C1537" s="34">
        <v>4.4716416666666599E-2</v>
      </c>
      <c r="D1537" t="s">
        <v>35</v>
      </c>
      <c r="E1537" s="34">
        <v>2.682985</v>
      </c>
      <c r="F1537" t="s">
        <v>16733</v>
      </c>
      <c r="G1537" t="b">
        <v>0</v>
      </c>
    </row>
    <row r="1538" spans="1:7" x14ac:dyDescent="0.25">
      <c r="A1538" t="s">
        <v>14334</v>
      </c>
      <c r="B1538" s="34">
        <v>0.53637409999999996</v>
      </c>
      <c r="C1538" s="34">
        <v>4.4697841666666599E-2</v>
      </c>
      <c r="D1538" t="s">
        <v>810</v>
      </c>
      <c r="E1538" s="34">
        <v>2.6818705</v>
      </c>
      <c r="F1538" t="s">
        <v>16797</v>
      </c>
      <c r="G1538" t="b">
        <v>0</v>
      </c>
    </row>
    <row r="1539" spans="1:7" x14ac:dyDescent="0.25">
      <c r="A1539" t="s">
        <v>14185</v>
      </c>
      <c r="B1539" s="34">
        <v>0.53595999999999999</v>
      </c>
      <c r="C1539" s="34">
        <v>4.4663333333333298E-2</v>
      </c>
      <c r="D1539" t="s">
        <v>35</v>
      </c>
      <c r="E1539" s="34">
        <v>2.6798000000000002</v>
      </c>
      <c r="F1539" t="s">
        <v>16649</v>
      </c>
      <c r="G1539" t="b">
        <v>0</v>
      </c>
    </row>
    <row r="1540" spans="1:7" x14ac:dyDescent="0.25">
      <c r="A1540" t="s">
        <v>14248</v>
      </c>
      <c r="B1540" s="34">
        <v>0.53397285714285703</v>
      </c>
      <c r="C1540" s="34">
        <v>4.4497738095238097E-2</v>
      </c>
      <c r="D1540" t="s">
        <v>35</v>
      </c>
      <c r="E1540" s="34">
        <v>2.6698642857142798</v>
      </c>
      <c r="F1540" t="s">
        <v>16712</v>
      </c>
      <c r="G1540" t="b">
        <v>0</v>
      </c>
    </row>
    <row r="1541" spans="1:7" x14ac:dyDescent="0.25">
      <c r="A1541" t="s">
        <v>14538</v>
      </c>
      <c r="B1541" s="34">
        <v>0.53361899999999896</v>
      </c>
      <c r="C1541" s="34">
        <v>4.4468249999999897E-2</v>
      </c>
      <c r="D1541" t="s">
        <v>35</v>
      </c>
      <c r="E1541" s="34">
        <v>2.6680949999999899</v>
      </c>
      <c r="F1541" t="s">
        <v>16997</v>
      </c>
      <c r="G1541" t="b">
        <v>0</v>
      </c>
    </row>
    <row r="1542" spans="1:7" x14ac:dyDescent="0.25">
      <c r="A1542" t="s">
        <v>14045</v>
      </c>
      <c r="B1542" s="34">
        <v>0.53276000000000001</v>
      </c>
      <c r="C1542" s="34">
        <v>4.4396666666666598E-2</v>
      </c>
      <c r="D1542" t="s">
        <v>268</v>
      </c>
      <c r="E1542" s="34">
        <v>2.6638000000000002</v>
      </c>
      <c r="F1542" t="s">
        <v>16512</v>
      </c>
      <c r="G1542" t="b">
        <v>0</v>
      </c>
    </row>
    <row r="1543" spans="1:7" x14ac:dyDescent="0.25">
      <c r="A1543" t="s">
        <v>13953</v>
      </c>
      <c r="B1543" s="34">
        <v>0.53247</v>
      </c>
      <c r="C1543" s="34">
        <v>4.4372500000000002E-2</v>
      </c>
      <c r="D1543" t="s">
        <v>110</v>
      </c>
      <c r="E1543" s="34">
        <v>2.66235</v>
      </c>
      <c r="F1543" t="s">
        <v>16420</v>
      </c>
      <c r="G1543" t="b">
        <v>0</v>
      </c>
    </row>
    <row r="1544" spans="1:7" x14ac:dyDescent="0.25">
      <c r="A1544" t="s">
        <v>13528</v>
      </c>
      <c r="B1544" s="34">
        <v>0.53200000000000003</v>
      </c>
      <c r="C1544" s="34">
        <v>4.4333333333333301E-2</v>
      </c>
      <c r="D1544" t="s">
        <v>7038</v>
      </c>
      <c r="E1544" s="34">
        <v>2.66</v>
      </c>
      <c r="F1544" t="s">
        <v>15997</v>
      </c>
      <c r="G1544" t="b">
        <v>0</v>
      </c>
    </row>
    <row r="1545" spans="1:7" x14ac:dyDescent="0.25">
      <c r="A1545" t="s">
        <v>13855</v>
      </c>
      <c r="B1545" s="34">
        <v>0.53029999999999999</v>
      </c>
      <c r="C1545" s="34">
        <v>4.4191666666666601E-2</v>
      </c>
      <c r="D1545" t="s">
        <v>13</v>
      </c>
      <c r="E1545" s="34">
        <v>2.6515</v>
      </c>
      <c r="F1545" t="s">
        <v>16322</v>
      </c>
      <c r="G1545" t="b">
        <v>0</v>
      </c>
    </row>
    <row r="1546" spans="1:7" x14ac:dyDescent="0.25">
      <c r="A1546" t="s">
        <v>14175</v>
      </c>
      <c r="B1546" s="34">
        <v>0.52747999999999995</v>
      </c>
      <c r="C1546" s="34">
        <v>4.3956666666666602E-2</v>
      </c>
      <c r="D1546" t="s">
        <v>385</v>
      </c>
      <c r="E1546" s="34">
        <v>2.6373999999999902</v>
      </c>
      <c r="F1546" t="s">
        <v>16641</v>
      </c>
      <c r="G1546" t="b">
        <v>0</v>
      </c>
    </row>
    <row r="1547" spans="1:7" x14ac:dyDescent="0.25">
      <c r="A1547" t="s">
        <v>13848</v>
      </c>
      <c r="B1547" s="34">
        <v>0.52524839999999995</v>
      </c>
      <c r="C1547" s="34">
        <v>4.3770700000000003E-2</v>
      </c>
      <c r="D1547" t="s">
        <v>35</v>
      </c>
      <c r="E1547" s="34">
        <v>2.626242</v>
      </c>
      <c r="F1547" t="s">
        <v>16315</v>
      </c>
      <c r="G1547" t="b">
        <v>0</v>
      </c>
    </row>
    <row r="1548" spans="1:7" x14ac:dyDescent="0.25">
      <c r="A1548" t="s">
        <v>13078</v>
      </c>
      <c r="B1548" s="34">
        <v>0.52482799999999996</v>
      </c>
      <c r="C1548" s="34">
        <v>4.3735666666666603E-2</v>
      </c>
      <c r="D1548" t="s">
        <v>1064</v>
      </c>
      <c r="E1548" s="34">
        <v>2.6241400000000001</v>
      </c>
      <c r="F1548" t="s">
        <v>15553</v>
      </c>
      <c r="G1548" t="b">
        <v>0</v>
      </c>
    </row>
    <row r="1549" spans="1:7" x14ac:dyDescent="0.25">
      <c r="A1549" t="s">
        <v>14588</v>
      </c>
      <c r="B1549" s="34">
        <v>0.52429999999999999</v>
      </c>
      <c r="C1549" s="34">
        <v>4.3691666666666601E-2</v>
      </c>
      <c r="D1549" t="s">
        <v>35</v>
      </c>
      <c r="E1549" s="34">
        <v>2.6215000000000002</v>
      </c>
      <c r="F1549" t="s">
        <v>17045</v>
      </c>
      <c r="G1549" t="b">
        <v>0</v>
      </c>
    </row>
    <row r="1550" spans="1:7" x14ac:dyDescent="0.25">
      <c r="A1550" t="s">
        <v>13203</v>
      </c>
      <c r="B1550" s="34">
        <v>0.52361999999999997</v>
      </c>
      <c r="C1550" s="34">
        <v>4.3634999999999903E-2</v>
      </c>
      <c r="D1550" t="s">
        <v>2646</v>
      </c>
      <c r="E1550" s="34">
        <v>2.6181000000000001</v>
      </c>
      <c r="F1550" t="s">
        <v>15677</v>
      </c>
      <c r="G1550" t="b">
        <v>0</v>
      </c>
    </row>
    <row r="1551" spans="1:7" x14ac:dyDescent="0.25">
      <c r="A1551" t="s">
        <v>14599</v>
      </c>
      <c r="B1551" s="34">
        <v>0.52268000000000003</v>
      </c>
      <c r="C1551" s="34">
        <v>4.3556666666666598E-2</v>
      </c>
      <c r="D1551" t="s">
        <v>35</v>
      </c>
      <c r="E1551" s="34">
        <v>2.6133999999999999</v>
      </c>
      <c r="F1551" t="s">
        <v>17055</v>
      </c>
      <c r="G1551" t="b">
        <v>0</v>
      </c>
    </row>
    <row r="1552" spans="1:7" x14ac:dyDescent="0.25">
      <c r="A1552" t="s">
        <v>14181</v>
      </c>
      <c r="B1552" s="34">
        <v>0.51826399999999995</v>
      </c>
      <c r="C1552" s="34">
        <v>4.3188666666666597E-2</v>
      </c>
      <c r="D1552" t="s">
        <v>1240</v>
      </c>
      <c r="E1552" s="34">
        <v>2.5913200000000001</v>
      </c>
      <c r="F1552" t="s">
        <v>16647</v>
      </c>
      <c r="G1552" t="b">
        <v>0</v>
      </c>
    </row>
    <row r="1553" spans="1:7" x14ac:dyDescent="0.25">
      <c r="A1553" t="s">
        <v>14153</v>
      </c>
      <c r="B1553" s="34">
        <v>0.51580000000000004</v>
      </c>
      <c r="C1553" s="34">
        <v>4.2983333333333297E-2</v>
      </c>
      <c r="D1553" t="s">
        <v>3523</v>
      </c>
      <c r="E1553" s="34">
        <v>2.57899999999999</v>
      </c>
      <c r="F1553" t="s">
        <v>16620</v>
      </c>
      <c r="G1553" t="b">
        <v>0</v>
      </c>
    </row>
    <row r="1554" spans="1:7" x14ac:dyDescent="0.25">
      <c r="A1554" t="s">
        <v>14433</v>
      </c>
      <c r="B1554" s="34">
        <v>0.51577600000000001</v>
      </c>
      <c r="C1554" s="34">
        <v>4.2981333333333302E-2</v>
      </c>
      <c r="D1554" t="s">
        <v>215</v>
      </c>
      <c r="E1554" s="34">
        <v>2.5788799999999998</v>
      </c>
      <c r="F1554" t="s">
        <v>16894</v>
      </c>
      <c r="G1554" t="b">
        <v>0</v>
      </c>
    </row>
    <row r="1555" spans="1:7" x14ac:dyDescent="0.25">
      <c r="A1555" t="s">
        <v>14514</v>
      </c>
      <c r="B1555" s="34">
        <v>0.51139999999999997</v>
      </c>
      <c r="C1555" s="34">
        <v>4.2616666666666601E-2</v>
      </c>
      <c r="D1555" t="s">
        <v>35</v>
      </c>
      <c r="E1555" s="34">
        <v>1.2785</v>
      </c>
      <c r="F1555" t="s">
        <v>16974</v>
      </c>
      <c r="G1555" t="b">
        <v>0</v>
      </c>
    </row>
    <row r="1556" spans="1:7" x14ac:dyDescent="0.25">
      <c r="A1556" t="s">
        <v>13933</v>
      </c>
      <c r="B1556" s="34">
        <v>0.51134000000000002</v>
      </c>
      <c r="C1556" s="34">
        <v>4.2611666666666603E-2</v>
      </c>
      <c r="D1556" t="s">
        <v>461</v>
      </c>
      <c r="E1556" s="34">
        <v>2.5567000000000002</v>
      </c>
      <c r="F1556" t="s">
        <v>16400</v>
      </c>
      <c r="G1556" t="b">
        <v>0</v>
      </c>
    </row>
    <row r="1557" spans="1:7" x14ac:dyDescent="0.25">
      <c r="A1557" t="s">
        <v>13563</v>
      </c>
      <c r="B1557" s="34">
        <v>0.51079999999999903</v>
      </c>
      <c r="C1557" s="34">
        <v>4.25666666666666E-2</v>
      </c>
      <c r="D1557" t="s">
        <v>1861</v>
      </c>
      <c r="E1557" s="34">
        <v>2.5539999999999901</v>
      </c>
      <c r="F1557" t="s">
        <v>16032</v>
      </c>
      <c r="G1557" t="b">
        <v>0</v>
      </c>
    </row>
    <row r="1558" spans="1:7" x14ac:dyDescent="0.25">
      <c r="A1558" t="s">
        <v>13470</v>
      </c>
      <c r="B1558" s="34">
        <v>0.51023390000000002</v>
      </c>
      <c r="C1558" s="34">
        <v>4.2519491666666603E-2</v>
      </c>
      <c r="D1558" t="s">
        <v>883</v>
      </c>
      <c r="E1558" s="34">
        <v>2.5511694999999999</v>
      </c>
      <c r="F1558" t="s">
        <v>15939</v>
      </c>
      <c r="G1558" t="b">
        <v>0</v>
      </c>
    </row>
    <row r="1559" spans="1:7" x14ac:dyDescent="0.25">
      <c r="A1559" t="s">
        <v>13419</v>
      </c>
      <c r="B1559" s="34">
        <v>0.51011999999999902</v>
      </c>
      <c r="C1559" s="34">
        <v>4.2509999999999999E-2</v>
      </c>
      <c r="D1559" t="s">
        <v>132</v>
      </c>
      <c r="E1559" s="34">
        <v>2.5506000000000002</v>
      </c>
      <c r="F1559" t="s">
        <v>15889</v>
      </c>
      <c r="G1559" t="b">
        <v>0</v>
      </c>
    </row>
    <row r="1560" spans="1:7" x14ac:dyDescent="0.25">
      <c r="A1560" t="s">
        <v>14259</v>
      </c>
      <c r="B1560" s="34">
        <v>0.50958999999999999</v>
      </c>
      <c r="C1560" s="34">
        <v>4.24658333333333E-2</v>
      </c>
      <c r="D1560" t="s">
        <v>1288</v>
      </c>
      <c r="E1560" s="34">
        <v>1.2739750000000001</v>
      </c>
      <c r="F1560" t="s">
        <v>16723</v>
      </c>
      <c r="G1560" t="b">
        <v>0</v>
      </c>
    </row>
    <row r="1561" spans="1:7" x14ac:dyDescent="0.25">
      <c r="A1561" t="s">
        <v>14286</v>
      </c>
      <c r="B1561" s="34">
        <v>0.50919999999999999</v>
      </c>
      <c r="C1561" s="34">
        <v>4.2433333333333302E-2</v>
      </c>
      <c r="D1561" t="s">
        <v>35</v>
      </c>
      <c r="E1561" s="34">
        <v>1.2729999999999999</v>
      </c>
      <c r="F1561" t="s">
        <v>16750</v>
      </c>
      <c r="G1561" t="b">
        <v>0</v>
      </c>
    </row>
    <row r="1562" spans="1:7" x14ac:dyDescent="0.25">
      <c r="A1562" t="s">
        <v>14341</v>
      </c>
      <c r="B1562" s="34">
        <v>0.50751999999999997</v>
      </c>
      <c r="C1562" s="34">
        <v>4.2293333333333301E-2</v>
      </c>
      <c r="D1562" t="s">
        <v>1240</v>
      </c>
      <c r="E1562" s="34">
        <v>2.5375999999999999</v>
      </c>
      <c r="F1562" t="s">
        <v>16804</v>
      </c>
      <c r="G1562" t="b">
        <v>0</v>
      </c>
    </row>
    <row r="1563" spans="1:7" x14ac:dyDescent="0.25">
      <c r="A1563" t="s">
        <v>14507</v>
      </c>
      <c r="B1563" s="34">
        <v>0.504</v>
      </c>
      <c r="C1563" s="34">
        <v>4.2000000000000003E-2</v>
      </c>
      <c r="D1563" t="s">
        <v>26</v>
      </c>
      <c r="E1563" s="34">
        <v>2.52</v>
      </c>
      <c r="F1563" t="s">
        <v>16967</v>
      </c>
      <c r="G1563" t="b">
        <v>0</v>
      </c>
    </row>
    <row r="1564" spans="1:7" x14ac:dyDescent="0.25">
      <c r="A1564" t="s">
        <v>14755</v>
      </c>
      <c r="B1564" s="34">
        <v>0.50213999999999903</v>
      </c>
      <c r="C1564" s="34">
        <v>4.1844999999999903E-2</v>
      </c>
      <c r="D1564" t="s">
        <v>35</v>
      </c>
      <c r="E1564" s="34">
        <v>1.25535</v>
      </c>
      <c r="F1564" t="s">
        <v>17204</v>
      </c>
      <c r="G1564" t="b">
        <v>0</v>
      </c>
    </row>
    <row r="1565" spans="1:7" x14ac:dyDescent="0.25">
      <c r="A1565" t="s">
        <v>14569</v>
      </c>
      <c r="B1565" s="34">
        <v>0.50065999999999999</v>
      </c>
      <c r="C1565" s="34">
        <v>4.1721666666666601E-2</v>
      </c>
      <c r="D1565" t="s">
        <v>2267</v>
      </c>
      <c r="E1565" s="34">
        <v>2.5032999999999999</v>
      </c>
      <c r="F1565" t="s">
        <v>17026</v>
      </c>
      <c r="G1565" t="b">
        <v>0</v>
      </c>
    </row>
    <row r="1566" spans="1:7" x14ac:dyDescent="0.25">
      <c r="A1566" t="s">
        <v>13194</v>
      </c>
      <c r="B1566" s="34">
        <v>0.4995</v>
      </c>
      <c r="C1566" s="34">
        <v>4.1625000000000002E-2</v>
      </c>
      <c r="D1566" t="s">
        <v>2646</v>
      </c>
      <c r="E1566" s="34">
        <v>2.4975000000000001</v>
      </c>
      <c r="F1566" t="s">
        <v>15668</v>
      </c>
      <c r="G1566" t="b">
        <v>0</v>
      </c>
    </row>
    <row r="1567" spans="1:7" x14ac:dyDescent="0.25">
      <c r="A1567" t="s">
        <v>12595</v>
      </c>
      <c r="B1567" s="34">
        <v>0.4989113</v>
      </c>
      <c r="C1567" s="34">
        <v>4.1575941666666602E-2</v>
      </c>
      <c r="D1567" t="s">
        <v>35</v>
      </c>
      <c r="E1567" s="34">
        <v>2.4945564999999998</v>
      </c>
      <c r="F1567" t="s">
        <v>15070</v>
      </c>
      <c r="G1567" t="b">
        <v>0</v>
      </c>
    </row>
    <row r="1568" spans="1:7" x14ac:dyDescent="0.25">
      <c r="A1568" t="s">
        <v>14211</v>
      </c>
      <c r="B1568" s="34">
        <v>0.49861679999999903</v>
      </c>
      <c r="C1568" s="34">
        <v>4.1551400000000002E-2</v>
      </c>
      <c r="D1568" t="s">
        <v>90</v>
      </c>
      <c r="E1568" s="34">
        <v>2.4930840000000001</v>
      </c>
      <c r="F1568" t="s">
        <v>16675</v>
      </c>
      <c r="G1568" t="b">
        <v>0</v>
      </c>
    </row>
    <row r="1569" spans="1:7" x14ac:dyDescent="0.25">
      <c r="A1569" t="s">
        <v>14737</v>
      </c>
      <c r="B1569" s="34">
        <v>0.49792740000000002</v>
      </c>
      <c r="C1569" s="34">
        <v>4.1493950000000002E-2</v>
      </c>
      <c r="D1569" t="s">
        <v>35</v>
      </c>
      <c r="E1569" s="34">
        <v>2.4896370000000001</v>
      </c>
      <c r="F1569" t="s">
        <v>17186</v>
      </c>
      <c r="G1569" t="b">
        <v>0</v>
      </c>
    </row>
    <row r="1570" spans="1:7" x14ac:dyDescent="0.25">
      <c r="A1570" t="s">
        <v>14033</v>
      </c>
      <c r="B1570" s="34">
        <v>0.49603999999999998</v>
      </c>
      <c r="C1570" s="34">
        <v>4.1336666666666598E-2</v>
      </c>
      <c r="D1570" t="s">
        <v>1240</v>
      </c>
      <c r="E1570" s="34">
        <v>2.4802</v>
      </c>
      <c r="F1570" t="s">
        <v>16500</v>
      </c>
      <c r="G1570" t="b">
        <v>0</v>
      </c>
    </row>
    <row r="1571" spans="1:7" x14ac:dyDescent="0.25">
      <c r="A1571" t="s">
        <v>14748</v>
      </c>
      <c r="B1571" s="34">
        <v>0.487772599999999</v>
      </c>
      <c r="C1571" s="34">
        <v>4.0647716666666597E-2</v>
      </c>
      <c r="D1571" t="s">
        <v>35</v>
      </c>
      <c r="E1571" s="34">
        <v>2.438863</v>
      </c>
      <c r="F1571" t="s">
        <v>17197</v>
      </c>
      <c r="G1571" t="b">
        <v>0</v>
      </c>
    </row>
    <row r="1572" spans="1:7" x14ac:dyDescent="0.25">
      <c r="A1572" t="s">
        <v>14129</v>
      </c>
      <c r="B1572" s="34">
        <v>0.48696</v>
      </c>
      <c r="C1572" s="34">
        <v>4.0579999999999998E-2</v>
      </c>
      <c r="D1572" t="s">
        <v>682</v>
      </c>
      <c r="E1572" s="34">
        <v>2.4348000000000001</v>
      </c>
      <c r="F1572" t="s">
        <v>16596</v>
      </c>
      <c r="G1572" t="b">
        <v>0</v>
      </c>
    </row>
    <row r="1573" spans="1:7" x14ac:dyDescent="0.25">
      <c r="A1573" t="s">
        <v>13451</v>
      </c>
      <c r="B1573" s="34">
        <v>0.48669999999999902</v>
      </c>
      <c r="C1573" s="34">
        <v>4.05583333333333E-2</v>
      </c>
      <c r="D1573" t="s">
        <v>5842</v>
      </c>
      <c r="E1573" s="34">
        <v>2.4335</v>
      </c>
      <c r="F1573" t="s">
        <v>15920</v>
      </c>
      <c r="G1573" t="b">
        <v>0</v>
      </c>
    </row>
    <row r="1574" spans="1:7" x14ac:dyDescent="0.25">
      <c r="A1574" t="s">
        <v>13987</v>
      </c>
      <c r="B1574" s="34">
        <v>0.4836413</v>
      </c>
      <c r="C1574" s="34">
        <v>4.0303441666666599E-2</v>
      </c>
      <c r="D1574" t="s">
        <v>26</v>
      </c>
      <c r="E1574" s="34">
        <v>2.4182064999999899</v>
      </c>
      <c r="F1574" t="s">
        <v>16454</v>
      </c>
      <c r="G1574" t="b">
        <v>0</v>
      </c>
    </row>
    <row r="1575" spans="1:7" x14ac:dyDescent="0.25">
      <c r="A1575" t="s">
        <v>14770</v>
      </c>
      <c r="B1575" s="34">
        <v>0.47920000000000001</v>
      </c>
      <c r="C1575" s="34">
        <v>3.99333333333333E-2</v>
      </c>
      <c r="D1575" t="s">
        <v>3418</v>
      </c>
      <c r="E1575" s="34">
        <v>2.3959999999999999</v>
      </c>
      <c r="F1575" t="s">
        <v>17218</v>
      </c>
      <c r="G1575" t="b">
        <v>0</v>
      </c>
    </row>
    <row r="1576" spans="1:7" x14ac:dyDescent="0.25">
      <c r="A1576" t="s">
        <v>14828</v>
      </c>
      <c r="B1576" s="34">
        <v>0.47911399999999998</v>
      </c>
      <c r="C1576" s="34">
        <v>3.9926166666666603E-2</v>
      </c>
      <c r="D1576" t="s">
        <v>692</v>
      </c>
      <c r="E1576" s="34">
        <v>1.1977849999999901</v>
      </c>
      <c r="F1576" t="s">
        <v>17268</v>
      </c>
      <c r="G1576" t="b">
        <v>0</v>
      </c>
    </row>
    <row r="1577" spans="1:7" x14ac:dyDescent="0.25">
      <c r="A1577" t="s">
        <v>14533</v>
      </c>
      <c r="B1577" s="34">
        <v>0.47798000000000002</v>
      </c>
      <c r="C1577" s="34">
        <v>3.9831666666666599E-2</v>
      </c>
      <c r="D1577" t="s">
        <v>35</v>
      </c>
      <c r="E1577" s="34">
        <v>2.3898999999999999</v>
      </c>
      <c r="F1577" t="s">
        <v>16993</v>
      </c>
      <c r="G1577" t="b">
        <v>0</v>
      </c>
    </row>
    <row r="1578" spans="1:7" x14ac:dyDescent="0.25">
      <c r="A1578" t="s">
        <v>12673</v>
      </c>
      <c r="B1578" s="34">
        <v>0.47739999999999999</v>
      </c>
      <c r="C1578" s="34">
        <v>3.9783333333333303E-2</v>
      </c>
      <c r="D1578" t="s">
        <v>253</v>
      </c>
      <c r="E1578" s="34">
        <v>1.1935</v>
      </c>
      <c r="F1578" t="s">
        <v>15148</v>
      </c>
      <c r="G1578" t="b">
        <v>0</v>
      </c>
    </row>
    <row r="1579" spans="1:7" x14ac:dyDescent="0.25">
      <c r="A1579" t="s">
        <v>14130</v>
      </c>
      <c r="B1579" s="34">
        <v>0.47583999999999999</v>
      </c>
      <c r="C1579" s="34">
        <v>3.9653333333333297E-2</v>
      </c>
      <c r="D1579" t="s">
        <v>776</v>
      </c>
      <c r="E1579" s="34">
        <v>2.3792</v>
      </c>
      <c r="F1579" t="s">
        <v>16597</v>
      </c>
      <c r="G1579" t="b">
        <v>0</v>
      </c>
    </row>
    <row r="1580" spans="1:7" x14ac:dyDescent="0.25">
      <c r="A1580" t="s">
        <v>14491</v>
      </c>
      <c r="B1580" s="34">
        <v>0.47334199999999899</v>
      </c>
      <c r="C1580" s="34">
        <v>3.9445166666666601E-2</v>
      </c>
      <c r="D1580" t="s">
        <v>90</v>
      </c>
      <c r="E1580" s="34">
        <v>2.3667099999999901</v>
      </c>
      <c r="F1580" t="s">
        <v>16951</v>
      </c>
      <c r="G1580" t="b">
        <v>0</v>
      </c>
    </row>
    <row r="1581" spans="1:7" x14ac:dyDescent="0.25">
      <c r="A1581" t="s">
        <v>14732</v>
      </c>
      <c r="B1581" s="34">
        <v>0.47132000000000002</v>
      </c>
      <c r="C1581" s="34">
        <v>3.9276666666666599E-2</v>
      </c>
      <c r="D1581" t="s">
        <v>132</v>
      </c>
      <c r="E1581" s="34">
        <v>2.3565999999999998</v>
      </c>
      <c r="F1581" t="s">
        <v>17182</v>
      </c>
      <c r="G1581" t="b">
        <v>0</v>
      </c>
    </row>
    <row r="1582" spans="1:7" x14ac:dyDescent="0.25">
      <c r="A1582" t="s">
        <v>14464</v>
      </c>
      <c r="B1582" s="34">
        <v>0.46949999999999897</v>
      </c>
      <c r="C1582" s="34">
        <v>3.9124999999999903E-2</v>
      </c>
      <c r="D1582" t="s">
        <v>35</v>
      </c>
      <c r="E1582" s="34">
        <v>2.3475000000000001</v>
      </c>
      <c r="F1582" t="s">
        <v>16924</v>
      </c>
      <c r="G1582" t="b">
        <v>0</v>
      </c>
    </row>
    <row r="1583" spans="1:7" x14ac:dyDescent="0.25">
      <c r="A1583" t="s">
        <v>13423</v>
      </c>
      <c r="B1583" s="34">
        <v>0.46729999999999999</v>
      </c>
      <c r="C1583" s="34">
        <v>3.8941666666666597E-2</v>
      </c>
      <c r="D1583" t="s">
        <v>26</v>
      </c>
      <c r="E1583" s="34">
        <v>2.3365</v>
      </c>
      <c r="F1583" t="s">
        <v>15893</v>
      </c>
      <c r="G1583" t="b">
        <v>0</v>
      </c>
    </row>
    <row r="1584" spans="1:7" x14ac:dyDescent="0.25">
      <c r="A1584" t="s">
        <v>13618</v>
      </c>
      <c r="B1584" s="34">
        <v>0.46689999999999998</v>
      </c>
      <c r="C1584" s="34">
        <v>3.8908333333333302E-2</v>
      </c>
      <c r="D1584" t="s">
        <v>35</v>
      </c>
      <c r="E1584" s="34">
        <v>2.3344999999999998</v>
      </c>
      <c r="F1584" t="s">
        <v>16087</v>
      </c>
      <c r="G1584" t="b">
        <v>0</v>
      </c>
    </row>
    <row r="1585" spans="1:7" x14ac:dyDescent="0.25">
      <c r="A1585" t="s">
        <v>14630</v>
      </c>
      <c r="B1585" s="34">
        <v>0.46679999999999999</v>
      </c>
      <c r="C1585" s="34">
        <v>3.8899999999999997E-2</v>
      </c>
      <c r="D1585" t="s">
        <v>4169</v>
      </c>
      <c r="E1585" s="34">
        <v>1.167</v>
      </c>
      <c r="F1585" t="s">
        <v>17083</v>
      </c>
      <c r="G1585" t="b">
        <v>0</v>
      </c>
    </row>
    <row r="1586" spans="1:7" x14ac:dyDescent="0.25">
      <c r="A1586" t="s">
        <v>13459</v>
      </c>
      <c r="B1586" s="34">
        <v>0.46255960000000002</v>
      </c>
      <c r="C1586" s="34">
        <v>3.8546633333333302E-2</v>
      </c>
      <c r="D1586" t="s">
        <v>26</v>
      </c>
      <c r="E1586" s="34">
        <v>2.3127979999999999</v>
      </c>
      <c r="F1586" t="s">
        <v>15928</v>
      </c>
      <c r="G1586" t="b">
        <v>0</v>
      </c>
    </row>
    <row r="1587" spans="1:7" x14ac:dyDescent="0.25">
      <c r="A1587" t="s">
        <v>14469</v>
      </c>
      <c r="B1587" s="34">
        <v>0.46250000000000002</v>
      </c>
      <c r="C1587" s="34">
        <v>3.8541666666666599E-2</v>
      </c>
      <c r="D1587" t="s">
        <v>385</v>
      </c>
      <c r="E1587" s="34">
        <v>2.3125</v>
      </c>
      <c r="F1587" t="s">
        <v>16929</v>
      </c>
      <c r="G1587" t="b">
        <v>0</v>
      </c>
    </row>
    <row r="1588" spans="1:7" x14ac:dyDescent="0.25">
      <c r="A1588" t="s">
        <v>13553</v>
      </c>
      <c r="B1588" s="34">
        <v>0.46235999999999899</v>
      </c>
      <c r="C1588" s="34">
        <v>3.8529999999999898E-2</v>
      </c>
      <c r="D1588" t="s">
        <v>234</v>
      </c>
      <c r="E1588" s="34">
        <v>2.3117999999999901</v>
      </c>
      <c r="F1588" t="s">
        <v>16022</v>
      </c>
      <c r="G1588" t="b">
        <v>0</v>
      </c>
    </row>
    <row r="1589" spans="1:7" x14ac:dyDescent="0.25">
      <c r="A1589" t="s">
        <v>13031</v>
      </c>
      <c r="B1589" s="34">
        <v>0.45676440000000001</v>
      </c>
      <c r="C1589" s="34">
        <v>3.8063699999999902E-2</v>
      </c>
      <c r="D1589" t="s">
        <v>2287</v>
      </c>
      <c r="E1589" s="34">
        <v>2.2838219999999998</v>
      </c>
      <c r="F1589" t="s">
        <v>15506</v>
      </c>
      <c r="G1589" t="b">
        <v>0</v>
      </c>
    </row>
    <row r="1590" spans="1:7" x14ac:dyDescent="0.25">
      <c r="A1590" t="s">
        <v>12882</v>
      </c>
      <c r="B1590" s="34">
        <v>0.45610000000000001</v>
      </c>
      <c r="C1590" s="34">
        <v>3.8008333333333297E-2</v>
      </c>
      <c r="D1590" t="s">
        <v>9957</v>
      </c>
      <c r="E1590" s="34">
        <v>2.2805</v>
      </c>
      <c r="F1590" t="s">
        <v>15357</v>
      </c>
      <c r="G1590" t="b">
        <v>0</v>
      </c>
    </row>
    <row r="1591" spans="1:7" x14ac:dyDescent="0.25">
      <c r="A1591" t="s">
        <v>14117</v>
      </c>
      <c r="B1591" s="34">
        <v>0.45490000000000003</v>
      </c>
      <c r="C1591" s="34">
        <v>3.7908333333333301E-2</v>
      </c>
      <c r="D1591" t="s">
        <v>35</v>
      </c>
      <c r="E1591" s="34">
        <v>2.2745000000000002</v>
      </c>
      <c r="F1591" t="s">
        <v>16584</v>
      </c>
      <c r="G1591" t="b">
        <v>0</v>
      </c>
    </row>
    <row r="1592" spans="1:7" x14ac:dyDescent="0.25">
      <c r="A1592" t="s">
        <v>14550</v>
      </c>
      <c r="B1592" s="34">
        <v>0.45368380000000003</v>
      </c>
      <c r="C1592" s="34">
        <v>3.7806983333333301E-2</v>
      </c>
      <c r="D1592" t="s">
        <v>26</v>
      </c>
      <c r="E1592" s="34">
        <v>1.1342095000000001</v>
      </c>
      <c r="F1592" t="s">
        <v>17009</v>
      </c>
      <c r="G1592" t="b">
        <v>0</v>
      </c>
    </row>
    <row r="1593" spans="1:7" x14ac:dyDescent="0.25">
      <c r="A1593" t="s">
        <v>14344</v>
      </c>
      <c r="B1593" s="34">
        <v>0.453324</v>
      </c>
      <c r="C1593" s="34">
        <v>3.7776999999999998E-2</v>
      </c>
      <c r="D1593" t="s">
        <v>162</v>
      </c>
      <c r="E1593" s="34">
        <v>1.13331</v>
      </c>
      <c r="F1593" t="s">
        <v>16807</v>
      </c>
      <c r="G1593" t="b">
        <v>0</v>
      </c>
    </row>
    <row r="1594" spans="1:7" x14ac:dyDescent="0.25">
      <c r="A1594" t="s">
        <v>14063</v>
      </c>
      <c r="B1594" s="34">
        <v>0.45305999999999902</v>
      </c>
      <c r="C1594" s="34">
        <v>3.77549999999999E-2</v>
      </c>
      <c r="D1594" t="s">
        <v>1519</v>
      </c>
      <c r="E1594" s="34">
        <v>2.2652999999999901</v>
      </c>
      <c r="F1594" t="s">
        <v>16530</v>
      </c>
      <c r="G1594" t="b">
        <v>0</v>
      </c>
    </row>
    <row r="1595" spans="1:7" x14ac:dyDescent="0.25">
      <c r="A1595" t="s">
        <v>13628</v>
      </c>
      <c r="B1595" s="34">
        <v>0.45218079999999999</v>
      </c>
      <c r="C1595" s="34">
        <v>3.76817333333333E-2</v>
      </c>
      <c r="D1595" t="s">
        <v>35</v>
      </c>
      <c r="E1595" s="34">
        <v>2.260904</v>
      </c>
      <c r="F1595" t="s">
        <v>16097</v>
      </c>
      <c r="G1595" t="b">
        <v>0</v>
      </c>
    </row>
    <row r="1596" spans="1:7" x14ac:dyDescent="0.25">
      <c r="A1596" t="s">
        <v>12758</v>
      </c>
      <c r="B1596" s="34">
        <v>0.45119999999999899</v>
      </c>
      <c r="C1596" s="34">
        <v>3.7599999999999897E-2</v>
      </c>
      <c r="D1596" t="s">
        <v>7519</v>
      </c>
      <c r="E1596" s="34">
        <v>2.2559999999999998</v>
      </c>
      <c r="F1596" t="s">
        <v>15233</v>
      </c>
      <c r="G1596" t="b">
        <v>0</v>
      </c>
    </row>
    <row r="1597" spans="1:7" x14ac:dyDescent="0.25">
      <c r="A1597" t="s">
        <v>14672</v>
      </c>
      <c r="B1597" s="34">
        <v>0.44569999999999999</v>
      </c>
      <c r="C1597" s="34">
        <v>3.7141666666666601E-2</v>
      </c>
      <c r="D1597" t="s">
        <v>323</v>
      </c>
      <c r="E1597" s="34">
        <v>2.2284999999999999</v>
      </c>
      <c r="F1597" t="s">
        <v>17125</v>
      </c>
      <c r="G1597" t="b">
        <v>0</v>
      </c>
    </row>
    <row r="1598" spans="1:7" x14ac:dyDescent="0.25">
      <c r="A1598" t="s">
        <v>13600</v>
      </c>
      <c r="B1598" s="34">
        <v>0.43880000000000002</v>
      </c>
      <c r="C1598" s="34">
        <v>3.6566666666666602E-2</v>
      </c>
      <c r="D1598" t="s">
        <v>26</v>
      </c>
      <c r="E1598" s="34">
        <v>2.194</v>
      </c>
      <c r="F1598" t="s">
        <v>16069</v>
      </c>
      <c r="G1598" t="b">
        <v>0</v>
      </c>
    </row>
    <row r="1599" spans="1:7" x14ac:dyDescent="0.25">
      <c r="A1599" t="s">
        <v>13204</v>
      </c>
      <c r="B1599" s="34">
        <v>0.43819999999999898</v>
      </c>
      <c r="C1599" s="34">
        <v>3.65166666666666E-2</v>
      </c>
      <c r="D1599" t="s">
        <v>97</v>
      </c>
      <c r="E1599" s="34">
        <v>2.1909999999999901</v>
      </c>
      <c r="F1599" t="s">
        <v>15678</v>
      </c>
      <c r="G1599" t="b">
        <v>0</v>
      </c>
    </row>
    <row r="1600" spans="1:7" x14ac:dyDescent="0.25">
      <c r="A1600" t="s">
        <v>14202</v>
      </c>
      <c r="B1600" s="34">
        <v>0.43719999999999998</v>
      </c>
      <c r="C1600" s="34">
        <v>3.6433333333333297E-2</v>
      </c>
      <c r="D1600" t="s">
        <v>1281</v>
      </c>
      <c r="E1600" s="34">
        <v>1.093</v>
      </c>
      <c r="F1600" t="s">
        <v>16666</v>
      </c>
      <c r="G1600" t="b">
        <v>0</v>
      </c>
    </row>
    <row r="1601" spans="1:7" x14ac:dyDescent="0.25">
      <c r="A1601" t="s">
        <v>13484</v>
      </c>
      <c r="B1601" s="34">
        <v>0.437</v>
      </c>
      <c r="C1601" s="34">
        <v>3.6416666666666597E-2</v>
      </c>
      <c r="D1601" t="s">
        <v>461</v>
      </c>
      <c r="E1601" s="34">
        <v>2.1850000000000001</v>
      </c>
      <c r="F1601" t="s">
        <v>15953</v>
      </c>
      <c r="G1601" t="b">
        <v>0</v>
      </c>
    </row>
    <row r="1602" spans="1:7" x14ac:dyDescent="0.25">
      <c r="A1602" t="s">
        <v>13748</v>
      </c>
      <c r="B1602" s="34">
        <v>0.43696000000000002</v>
      </c>
      <c r="C1602" s="34">
        <v>3.6413333333333298E-2</v>
      </c>
      <c r="D1602" t="s">
        <v>1240</v>
      </c>
      <c r="E1602" s="34">
        <v>2.1848000000000001</v>
      </c>
      <c r="F1602" t="s">
        <v>16216</v>
      </c>
      <c r="G1602" t="b">
        <v>0</v>
      </c>
    </row>
    <row r="1603" spans="1:7" x14ac:dyDescent="0.25">
      <c r="A1603" t="s">
        <v>12802</v>
      </c>
      <c r="B1603" s="34">
        <v>0.43209999999999998</v>
      </c>
      <c r="C1603" s="34">
        <v>3.6008333333333302E-2</v>
      </c>
      <c r="D1603" t="s">
        <v>3523</v>
      </c>
      <c r="E1603" s="34">
        <v>2.1604999999999999</v>
      </c>
      <c r="F1603" t="s">
        <v>15277</v>
      </c>
      <c r="G1603" t="b">
        <v>0</v>
      </c>
    </row>
    <row r="1604" spans="1:7" x14ac:dyDescent="0.25">
      <c r="A1604" t="s">
        <v>14803</v>
      </c>
      <c r="B1604" s="34">
        <v>0.43070000000000003</v>
      </c>
      <c r="C1604" s="34">
        <v>3.58916666666666E-2</v>
      </c>
      <c r="D1604" t="s">
        <v>26</v>
      </c>
      <c r="E1604" s="34">
        <v>2.1535000000000002</v>
      </c>
      <c r="F1604" t="s">
        <v>17247</v>
      </c>
      <c r="G1604" t="b">
        <v>0</v>
      </c>
    </row>
    <row r="1605" spans="1:7" x14ac:dyDescent="0.25">
      <c r="A1605" t="s">
        <v>14055</v>
      </c>
      <c r="B1605" s="34">
        <v>0.42799999999999999</v>
      </c>
      <c r="C1605" s="34">
        <v>3.5666666666666597E-2</v>
      </c>
      <c r="D1605" t="s">
        <v>35</v>
      </c>
      <c r="E1605" s="34">
        <v>2.14</v>
      </c>
      <c r="F1605" t="s">
        <v>16522</v>
      </c>
      <c r="G1605" t="b">
        <v>0</v>
      </c>
    </row>
    <row r="1606" spans="1:7" x14ac:dyDescent="0.25">
      <c r="A1606" t="s">
        <v>13556</v>
      </c>
      <c r="B1606" s="34">
        <v>0.42699999999999999</v>
      </c>
      <c r="C1606" s="34">
        <v>3.55833333333333E-2</v>
      </c>
      <c r="D1606" t="s">
        <v>35</v>
      </c>
      <c r="E1606" s="34">
        <v>2.1349999999999998</v>
      </c>
      <c r="F1606" t="s">
        <v>16025</v>
      </c>
      <c r="G1606" t="b">
        <v>0</v>
      </c>
    </row>
    <row r="1607" spans="1:7" x14ac:dyDescent="0.25">
      <c r="A1607" t="s">
        <v>13544</v>
      </c>
      <c r="B1607" s="34">
        <v>0.42216999999999999</v>
      </c>
      <c r="C1607" s="34">
        <v>3.51808333333333E-2</v>
      </c>
      <c r="D1607" t="s">
        <v>682</v>
      </c>
      <c r="E1607" s="34">
        <v>2.1108500000000001</v>
      </c>
      <c r="F1607" t="s">
        <v>16013</v>
      </c>
      <c r="G1607" t="b">
        <v>0</v>
      </c>
    </row>
    <row r="1608" spans="1:7" x14ac:dyDescent="0.25">
      <c r="A1608" t="s">
        <v>13186</v>
      </c>
      <c r="B1608" s="34">
        <v>0.41409999999999902</v>
      </c>
      <c r="C1608" s="34">
        <v>3.4508333333333301E-2</v>
      </c>
      <c r="D1608" t="s">
        <v>3204</v>
      </c>
      <c r="E1608" s="34">
        <v>2.0705</v>
      </c>
      <c r="F1608" t="s">
        <v>15660</v>
      </c>
      <c r="G1608" t="b">
        <v>0</v>
      </c>
    </row>
    <row r="1609" spans="1:7" x14ac:dyDescent="0.25">
      <c r="A1609" t="s">
        <v>12873</v>
      </c>
      <c r="B1609" s="34">
        <v>0.41184999999999999</v>
      </c>
      <c r="C1609" s="34">
        <v>3.43208333333333E-2</v>
      </c>
      <c r="D1609" t="s">
        <v>1240</v>
      </c>
      <c r="E1609" s="34">
        <v>1.029625</v>
      </c>
      <c r="F1609" t="s">
        <v>15348</v>
      </c>
      <c r="G1609" t="b">
        <v>0</v>
      </c>
    </row>
    <row r="1610" spans="1:7" x14ac:dyDescent="0.25">
      <c r="A1610" t="s">
        <v>13804</v>
      </c>
      <c r="B1610" s="34">
        <v>0.41099999999999998</v>
      </c>
      <c r="C1610" s="34">
        <v>3.4250000000000003E-2</v>
      </c>
      <c r="D1610" t="s">
        <v>1281</v>
      </c>
      <c r="E1610" s="34">
        <v>2.0550000000000002</v>
      </c>
      <c r="F1610" t="s">
        <v>16271</v>
      </c>
      <c r="G1610" t="b">
        <v>0</v>
      </c>
    </row>
    <row r="1611" spans="1:7" x14ac:dyDescent="0.25">
      <c r="A1611" t="s">
        <v>13490</v>
      </c>
      <c r="B1611" s="34">
        <v>0.41005999999999898</v>
      </c>
      <c r="C1611" s="34">
        <v>3.41716666666666E-2</v>
      </c>
      <c r="D1611" t="s">
        <v>45</v>
      </c>
      <c r="E1611" s="34">
        <v>2.0503</v>
      </c>
      <c r="F1611" t="s">
        <v>15959</v>
      </c>
      <c r="G1611" t="b">
        <v>0</v>
      </c>
    </row>
    <row r="1612" spans="1:7" x14ac:dyDescent="0.25">
      <c r="A1612" t="s">
        <v>14325</v>
      </c>
      <c r="B1612" s="34">
        <v>0.40814499999999898</v>
      </c>
      <c r="C1612" s="34">
        <v>3.4012083333333297E-2</v>
      </c>
      <c r="D1612" t="s">
        <v>566</v>
      </c>
      <c r="E1612" s="34">
        <v>2.0407250000000001</v>
      </c>
      <c r="F1612" t="s">
        <v>16788</v>
      </c>
      <c r="G1612" t="b">
        <v>0</v>
      </c>
    </row>
    <row r="1613" spans="1:7" x14ac:dyDescent="0.25">
      <c r="A1613" t="s">
        <v>14163</v>
      </c>
      <c r="B1613" s="34">
        <v>0.40772000000000003</v>
      </c>
      <c r="C1613" s="34">
        <v>3.39766666666666E-2</v>
      </c>
      <c r="D1613" t="s">
        <v>385</v>
      </c>
      <c r="E1613" s="34">
        <v>2.0386000000000002</v>
      </c>
      <c r="F1613" t="s">
        <v>16630</v>
      </c>
      <c r="G1613" t="b">
        <v>0</v>
      </c>
    </row>
    <row r="1614" spans="1:7" x14ac:dyDescent="0.25">
      <c r="A1614" t="s">
        <v>14763</v>
      </c>
      <c r="B1614" s="34">
        <v>0.40767999999999899</v>
      </c>
      <c r="C1614" s="34">
        <v>3.39733333333333E-2</v>
      </c>
      <c r="D1614" t="s">
        <v>480</v>
      </c>
      <c r="E1614" s="34">
        <v>2.0384000000000002</v>
      </c>
      <c r="F1614" t="s">
        <v>17211</v>
      </c>
      <c r="G1614" t="b">
        <v>0</v>
      </c>
    </row>
    <row r="1615" spans="1:7" x14ac:dyDescent="0.25">
      <c r="A1615" t="s">
        <v>14656</v>
      </c>
      <c r="B1615" s="34">
        <v>0.40533999999999998</v>
      </c>
      <c r="C1615" s="34">
        <v>3.3778333333333299E-2</v>
      </c>
      <c r="D1615" t="s">
        <v>1405</v>
      </c>
      <c r="E1615" s="34">
        <v>2.0266999999999999</v>
      </c>
      <c r="F1615" t="s">
        <v>17109</v>
      </c>
      <c r="G1615" t="b">
        <v>0</v>
      </c>
    </row>
    <row r="1616" spans="1:7" x14ac:dyDescent="0.25">
      <c r="A1616" t="s">
        <v>13588</v>
      </c>
      <c r="B1616" s="34">
        <v>0.40379999999999999</v>
      </c>
      <c r="C1616" s="34">
        <v>3.3649999999999902E-2</v>
      </c>
      <c r="D1616" t="s">
        <v>132</v>
      </c>
      <c r="E1616" s="34">
        <v>2.0190000000000001</v>
      </c>
      <c r="F1616" t="s">
        <v>16057</v>
      </c>
      <c r="G1616" t="b">
        <v>0</v>
      </c>
    </row>
    <row r="1617" spans="1:7" x14ac:dyDescent="0.25">
      <c r="A1617" t="s">
        <v>14306</v>
      </c>
      <c r="B1617" s="34">
        <v>0.40204499999999999</v>
      </c>
      <c r="C1617" s="34">
        <v>3.3503749999999999E-2</v>
      </c>
      <c r="D1617" t="s">
        <v>682</v>
      </c>
      <c r="E1617" s="34">
        <v>2.0102250000000002</v>
      </c>
      <c r="F1617" t="s">
        <v>16769</v>
      </c>
      <c r="G1617" t="b">
        <v>0</v>
      </c>
    </row>
    <row r="1618" spans="1:7" x14ac:dyDescent="0.25">
      <c r="A1618" t="s">
        <v>14830</v>
      </c>
      <c r="B1618" s="34">
        <v>0.400199999999999</v>
      </c>
      <c r="C1618" s="34">
        <v>3.3349999999999998E-2</v>
      </c>
      <c r="D1618" t="s">
        <v>873</v>
      </c>
      <c r="E1618" s="34">
        <v>1.00049999999999</v>
      </c>
      <c r="F1618" t="s">
        <v>17269</v>
      </c>
      <c r="G1618" t="b">
        <v>0</v>
      </c>
    </row>
    <row r="1619" spans="1:7" x14ac:dyDescent="0.25">
      <c r="A1619" t="s">
        <v>13373</v>
      </c>
      <c r="B1619" s="34">
        <v>0.3992</v>
      </c>
      <c r="C1619" s="34">
        <v>3.3266666666666597E-2</v>
      </c>
      <c r="D1619" t="s">
        <v>4135</v>
      </c>
      <c r="E1619" s="34">
        <v>1.996</v>
      </c>
      <c r="F1619" t="s">
        <v>15843</v>
      </c>
      <c r="G1619" t="b">
        <v>0</v>
      </c>
    </row>
    <row r="1620" spans="1:7" x14ac:dyDescent="0.25">
      <c r="A1620" t="s">
        <v>14678</v>
      </c>
      <c r="B1620" s="34">
        <v>0.39799909999999999</v>
      </c>
      <c r="C1620" s="34">
        <v>3.3166591666666599E-2</v>
      </c>
      <c r="D1620" t="s">
        <v>35</v>
      </c>
      <c r="E1620" s="34">
        <v>1.9899955</v>
      </c>
      <c r="F1620" t="s">
        <v>17131</v>
      </c>
      <c r="G1620" t="b">
        <v>0</v>
      </c>
    </row>
    <row r="1621" spans="1:7" x14ac:dyDescent="0.25">
      <c r="A1621" t="s">
        <v>13771</v>
      </c>
      <c r="B1621" s="34">
        <v>0.39776</v>
      </c>
      <c r="C1621" s="34">
        <v>3.3146666666666602E-2</v>
      </c>
      <c r="D1621" t="s">
        <v>1240</v>
      </c>
      <c r="E1621" s="34">
        <v>1.9887999999999999</v>
      </c>
      <c r="F1621" t="s">
        <v>16239</v>
      </c>
      <c r="G1621" t="b">
        <v>0</v>
      </c>
    </row>
    <row r="1622" spans="1:7" x14ac:dyDescent="0.25">
      <c r="A1622" t="s">
        <v>12814</v>
      </c>
      <c r="B1622" s="34">
        <v>0.39771999999999902</v>
      </c>
      <c r="C1622" s="34">
        <v>3.3143333333333302E-2</v>
      </c>
      <c r="D1622" t="s">
        <v>2526</v>
      </c>
      <c r="E1622" s="34">
        <v>1.9885999999999999</v>
      </c>
      <c r="F1622" t="s">
        <v>15289</v>
      </c>
      <c r="G1622" t="b">
        <v>0</v>
      </c>
    </row>
    <row r="1623" spans="1:7" x14ac:dyDescent="0.25">
      <c r="A1623" t="s">
        <v>12541</v>
      </c>
      <c r="B1623" s="34">
        <v>0.39600000000000002</v>
      </c>
      <c r="C1623" s="34">
        <v>3.3000000000000002E-2</v>
      </c>
      <c r="D1623" t="s">
        <v>663</v>
      </c>
      <c r="E1623" s="34">
        <v>1.98</v>
      </c>
      <c r="F1623" t="s">
        <v>15016</v>
      </c>
      <c r="G1623" t="b">
        <v>0</v>
      </c>
    </row>
    <row r="1624" spans="1:7" x14ac:dyDescent="0.25">
      <c r="A1624" t="s">
        <v>14318</v>
      </c>
      <c r="B1624" s="34">
        <v>0.39598</v>
      </c>
      <c r="C1624" s="34">
        <v>3.2998333333333303E-2</v>
      </c>
      <c r="D1624" t="s">
        <v>35</v>
      </c>
      <c r="E1624" s="34">
        <v>1.9799</v>
      </c>
      <c r="F1624" t="s">
        <v>16781</v>
      </c>
      <c r="G1624" t="b">
        <v>0</v>
      </c>
    </row>
    <row r="1625" spans="1:7" x14ac:dyDescent="0.25">
      <c r="A1625" t="s">
        <v>14532</v>
      </c>
      <c r="B1625" s="34">
        <v>0.39500000000000002</v>
      </c>
      <c r="C1625" s="34">
        <v>3.2916666666666601E-2</v>
      </c>
      <c r="D1625" t="s">
        <v>162</v>
      </c>
      <c r="E1625" s="34">
        <v>0.98750000000000004</v>
      </c>
      <c r="F1625" t="s">
        <v>16992</v>
      </c>
      <c r="G1625" t="b">
        <v>0</v>
      </c>
    </row>
    <row r="1626" spans="1:7" x14ac:dyDescent="0.25">
      <c r="A1626" t="s">
        <v>13239</v>
      </c>
      <c r="B1626" s="34">
        <v>0.39319999999999999</v>
      </c>
      <c r="C1626" s="34">
        <v>3.2766666666666597E-2</v>
      </c>
      <c r="D1626" t="s">
        <v>2267</v>
      </c>
      <c r="E1626" s="34">
        <v>1.966</v>
      </c>
      <c r="F1626" t="s">
        <v>15713</v>
      </c>
      <c r="G1626" t="b">
        <v>0</v>
      </c>
    </row>
    <row r="1627" spans="1:7" x14ac:dyDescent="0.25">
      <c r="A1627" t="s">
        <v>14113</v>
      </c>
      <c r="B1627" s="34">
        <v>0.39306669999999999</v>
      </c>
      <c r="C1627" s="34">
        <v>3.2755558333333303E-2</v>
      </c>
      <c r="D1627" t="s">
        <v>185</v>
      </c>
      <c r="E1627" s="34">
        <v>1.9653335000000001</v>
      </c>
      <c r="F1627" t="s">
        <v>16580</v>
      </c>
      <c r="G1627" t="b">
        <v>0</v>
      </c>
    </row>
    <row r="1628" spans="1:7" x14ac:dyDescent="0.25">
      <c r="A1628" t="s">
        <v>13857</v>
      </c>
      <c r="B1628" s="34">
        <v>0.39111000000000001</v>
      </c>
      <c r="C1628" s="34">
        <v>3.2592500000000003E-2</v>
      </c>
      <c r="D1628" t="s">
        <v>35</v>
      </c>
      <c r="E1628" s="34">
        <v>1.9555499999999999</v>
      </c>
      <c r="F1628" t="s">
        <v>16324</v>
      </c>
      <c r="G1628" t="b">
        <v>0</v>
      </c>
    </row>
    <row r="1629" spans="1:7" x14ac:dyDescent="0.25">
      <c r="A1629" t="s">
        <v>14659</v>
      </c>
      <c r="B1629" s="34">
        <v>0.38900699999999999</v>
      </c>
      <c r="C1629" s="34">
        <v>3.2417249999999898E-2</v>
      </c>
      <c r="D1629" t="s">
        <v>1645</v>
      </c>
      <c r="E1629" s="34">
        <v>1.9450350000000001</v>
      </c>
      <c r="F1629" t="s">
        <v>17112</v>
      </c>
      <c r="G1629" t="b">
        <v>0</v>
      </c>
    </row>
    <row r="1630" spans="1:7" x14ac:dyDescent="0.25">
      <c r="A1630" t="s">
        <v>13460</v>
      </c>
      <c r="B1630" s="34">
        <v>0.38753093999999999</v>
      </c>
      <c r="C1630" s="34">
        <v>3.2294244999999999E-2</v>
      </c>
      <c r="D1630" t="s">
        <v>1519</v>
      </c>
      <c r="E1630" s="34">
        <v>1.9376547</v>
      </c>
      <c r="F1630" t="s">
        <v>15929</v>
      </c>
      <c r="G1630" t="b">
        <v>0</v>
      </c>
    </row>
    <row r="1631" spans="1:7" x14ac:dyDescent="0.25">
      <c r="A1631" t="s">
        <v>14083</v>
      </c>
      <c r="B1631" s="34">
        <v>0.38519999999999999</v>
      </c>
      <c r="C1631" s="34">
        <v>3.2099999999999997E-2</v>
      </c>
      <c r="D1631" t="s">
        <v>26</v>
      </c>
      <c r="E1631" s="34">
        <v>1.9259999999999999</v>
      </c>
      <c r="F1631" t="s">
        <v>16550</v>
      </c>
      <c r="G1631" t="b">
        <v>0</v>
      </c>
    </row>
    <row r="1632" spans="1:7" x14ac:dyDescent="0.25">
      <c r="A1632" t="s">
        <v>13697</v>
      </c>
      <c r="B1632" s="34">
        <v>0.38414999999999999</v>
      </c>
      <c r="C1632" s="34">
        <v>3.2012499999999999E-2</v>
      </c>
      <c r="D1632" t="s">
        <v>853</v>
      </c>
      <c r="E1632" s="34">
        <v>1.92075</v>
      </c>
      <c r="F1632" t="s">
        <v>16165</v>
      </c>
      <c r="G1632" t="b">
        <v>0</v>
      </c>
    </row>
    <row r="1633" spans="1:7" x14ac:dyDescent="0.25">
      <c r="A1633" t="s">
        <v>14794</v>
      </c>
      <c r="B1633" s="34">
        <v>0.38</v>
      </c>
      <c r="C1633" s="34">
        <v>3.16666666666666E-2</v>
      </c>
      <c r="D1633" t="s">
        <v>853</v>
      </c>
      <c r="E1633" s="34">
        <v>1.9</v>
      </c>
      <c r="F1633" t="s">
        <v>17240</v>
      </c>
      <c r="G1633" t="b">
        <v>0</v>
      </c>
    </row>
    <row r="1634" spans="1:7" x14ac:dyDescent="0.25">
      <c r="A1634" t="s">
        <v>14499</v>
      </c>
      <c r="B1634" s="34">
        <v>0.37984659999999898</v>
      </c>
      <c r="C1634" s="34">
        <v>3.1653883333333299E-2</v>
      </c>
      <c r="D1634" t="s">
        <v>356</v>
      </c>
      <c r="E1634" s="34">
        <v>1.8992329999999999</v>
      </c>
      <c r="F1634" t="s">
        <v>16959</v>
      </c>
      <c r="G1634" t="b">
        <v>0</v>
      </c>
    </row>
    <row r="1635" spans="1:7" x14ac:dyDescent="0.25">
      <c r="A1635" t="s">
        <v>13013</v>
      </c>
      <c r="B1635" s="34">
        <v>0.37980000000000003</v>
      </c>
      <c r="C1635" s="34">
        <v>3.1649999999999998E-2</v>
      </c>
      <c r="D1635" t="s">
        <v>663</v>
      </c>
      <c r="E1635" s="34">
        <v>1.899</v>
      </c>
      <c r="F1635" t="s">
        <v>15488</v>
      </c>
      <c r="G1635" t="b">
        <v>0</v>
      </c>
    </row>
    <row r="1636" spans="1:7" x14ac:dyDescent="0.25">
      <c r="A1636" t="s">
        <v>12704</v>
      </c>
      <c r="B1636" s="34">
        <v>0.37909999999999999</v>
      </c>
      <c r="C1636" s="34">
        <v>3.1591666666666601E-2</v>
      </c>
      <c r="D1636" t="s">
        <v>1831</v>
      </c>
      <c r="E1636" s="34">
        <v>1.8955</v>
      </c>
      <c r="F1636" t="s">
        <v>15179</v>
      </c>
      <c r="G1636" t="b">
        <v>0</v>
      </c>
    </row>
    <row r="1637" spans="1:7" x14ac:dyDescent="0.25">
      <c r="A1637" t="s">
        <v>12848</v>
      </c>
      <c r="B1637" s="34">
        <v>0.37567800000000001</v>
      </c>
      <c r="C1637" s="34">
        <v>3.1306500000000001E-2</v>
      </c>
      <c r="D1637" t="s">
        <v>461</v>
      </c>
      <c r="E1637" s="34">
        <v>1.87839</v>
      </c>
      <c r="F1637" t="s">
        <v>15323</v>
      </c>
      <c r="G1637" t="b">
        <v>0</v>
      </c>
    </row>
    <row r="1638" spans="1:7" x14ac:dyDescent="0.25">
      <c r="A1638" t="s">
        <v>14775</v>
      </c>
      <c r="B1638" s="34">
        <v>0.37406</v>
      </c>
      <c r="C1638" s="34">
        <v>3.1171666666666601E-2</v>
      </c>
      <c r="D1638" t="s">
        <v>35</v>
      </c>
      <c r="E1638" s="34">
        <v>0.93515000000000004</v>
      </c>
      <c r="F1638" t="s">
        <v>17223</v>
      </c>
      <c r="G1638" t="b">
        <v>0</v>
      </c>
    </row>
    <row r="1639" spans="1:7" x14ac:dyDescent="0.25">
      <c r="A1639" t="s">
        <v>14658</v>
      </c>
      <c r="B1639" s="34">
        <v>0.3715</v>
      </c>
      <c r="C1639" s="34">
        <v>3.09583333333333E-2</v>
      </c>
      <c r="D1639" t="s">
        <v>590</v>
      </c>
      <c r="E1639" s="34">
        <v>1.8574999999999999</v>
      </c>
      <c r="F1639" t="s">
        <v>17111</v>
      </c>
      <c r="G1639" t="b">
        <v>0</v>
      </c>
    </row>
    <row r="1640" spans="1:7" x14ac:dyDescent="0.25">
      <c r="A1640" t="s">
        <v>14086</v>
      </c>
      <c r="B1640" s="34">
        <v>0.36896000000000001</v>
      </c>
      <c r="C1640" s="34">
        <v>3.0746666666666599E-2</v>
      </c>
      <c r="D1640" t="s">
        <v>139</v>
      </c>
      <c r="E1640" s="34">
        <v>1.8448</v>
      </c>
      <c r="F1640" t="s">
        <v>16553</v>
      </c>
      <c r="G1640" t="b">
        <v>0</v>
      </c>
    </row>
    <row r="1641" spans="1:7" x14ac:dyDescent="0.25">
      <c r="A1641" t="s">
        <v>14224</v>
      </c>
      <c r="B1641" s="34">
        <v>0.36749999999999999</v>
      </c>
      <c r="C1641" s="34">
        <v>3.0624999999999999E-2</v>
      </c>
      <c r="D1641" t="s">
        <v>2624</v>
      </c>
      <c r="E1641" s="34">
        <v>1.8374999999999999</v>
      </c>
      <c r="F1641" t="s">
        <v>16688</v>
      </c>
      <c r="G1641" t="b">
        <v>0</v>
      </c>
    </row>
    <row r="1642" spans="1:7" x14ac:dyDescent="0.25">
      <c r="A1642" t="s">
        <v>13364</v>
      </c>
      <c r="B1642" s="34">
        <v>0.36649999999999999</v>
      </c>
      <c r="C1642" s="34">
        <v>3.0541666666666599E-2</v>
      </c>
      <c r="D1642" t="s">
        <v>873</v>
      </c>
      <c r="E1642" s="34">
        <v>1.8325</v>
      </c>
      <c r="F1642" t="s">
        <v>15834</v>
      </c>
      <c r="G1642" t="b">
        <v>0</v>
      </c>
    </row>
    <row r="1643" spans="1:7" x14ac:dyDescent="0.25">
      <c r="A1643" t="s">
        <v>13500</v>
      </c>
      <c r="B1643" s="34">
        <v>0.36632999999999899</v>
      </c>
      <c r="C1643" s="34">
        <v>3.0527499999999999E-2</v>
      </c>
      <c r="D1643" t="s">
        <v>4455</v>
      </c>
      <c r="E1643" s="34">
        <v>1.83165</v>
      </c>
      <c r="F1643" t="s">
        <v>15969</v>
      </c>
      <c r="G1643" t="b">
        <v>0</v>
      </c>
    </row>
    <row r="1644" spans="1:7" x14ac:dyDescent="0.25">
      <c r="A1644" t="s">
        <v>13630</v>
      </c>
      <c r="B1644" s="34">
        <v>0.36630000000000001</v>
      </c>
      <c r="C1644" s="34">
        <v>3.0524999999999899E-2</v>
      </c>
      <c r="D1644" t="s">
        <v>1831</v>
      </c>
      <c r="E1644" s="34">
        <v>1.8314999999999999</v>
      </c>
      <c r="F1644" t="s">
        <v>16099</v>
      </c>
      <c r="G1644" t="b">
        <v>0</v>
      </c>
    </row>
    <row r="1645" spans="1:7" x14ac:dyDescent="0.25">
      <c r="A1645" t="s">
        <v>13820</v>
      </c>
      <c r="B1645" s="34">
        <v>0.36625000000000002</v>
      </c>
      <c r="C1645" s="34">
        <v>3.0520833333333299E-2</v>
      </c>
      <c r="D1645" t="s">
        <v>162</v>
      </c>
      <c r="E1645" s="34">
        <v>1.83125</v>
      </c>
      <c r="F1645" t="s">
        <v>16287</v>
      </c>
      <c r="G1645" t="b">
        <v>0</v>
      </c>
    </row>
    <row r="1646" spans="1:7" x14ac:dyDescent="0.25">
      <c r="A1646" t="s">
        <v>14215</v>
      </c>
      <c r="B1646" s="34">
        <v>0.36176000000000003</v>
      </c>
      <c r="C1646" s="34">
        <v>3.0146666666666599E-2</v>
      </c>
      <c r="D1646" t="s">
        <v>1240</v>
      </c>
      <c r="E1646" s="34">
        <v>1.8088</v>
      </c>
      <c r="F1646" t="s">
        <v>16679</v>
      </c>
      <c r="G1646" t="b">
        <v>0</v>
      </c>
    </row>
    <row r="1647" spans="1:7" x14ac:dyDescent="0.25">
      <c r="A1647" t="s">
        <v>12566</v>
      </c>
      <c r="B1647" s="34">
        <v>0.36124999999999902</v>
      </c>
      <c r="C1647" s="34">
        <v>3.0104166666666599E-2</v>
      </c>
      <c r="D1647" t="s">
        <v>385</v>
      </c>
      <c r="E1647" s="34">
        <v>0.45156249999999998</v>
      </c>
      <c r="F1647" t="s">
        <v>15041</v>
      </c>
      <c r="G1647" t="b">
        <v>0</v>
      </c>
    </row>
    <row r="1648" spans="1:7" x14ac:dyDescent="0.25">
      <c r="A1648" t="s">
        <v>14156</v>
      </c>
      <c r="B1648" s="34">
        <v>0.36074000000000001</v>
      </c>
      <c r="C1648" s="34">
        <v>3.0061666666666601E-2</v>
      </c>
      <c r="D1648" t="s">
        <v>928</v>
      </c>
      <c r="E1648" s="34">
        <v>1.8037000000000001</v>
      </c>
      <c r="F1648" t="s">
        <v>16623</v>
      </c>
      <c r="G1648" t="b">
        <v>0</v>
      </c>
    </row>
    <row r="1649" spans="1:7" x14ac:dyDescent="0.25">
      <c r="A1649" t="s">
        <v>13870</v>
      </c>
      <c r="B1649" s="34">
        <v>0.36037999999999898</v>
      </c>
      <c r="C1649" s="34">
        <v>3.0031666666666599E-2</v>
      </c>
      <c r="D1649" t="s">
        <v>1240</v>
      </c>
      <c r="E1649" s="34">
        <v>1.8019000000000001</v>
      </c>
      <c r="F1649" t="s">
        <v>16337</v>
      </c>
      <c r="G1649" t="b">
        <v>0</v>
      </c>
    </row>
    <row r="1650" spans="1:7" x14ac:dyDescent="0.25">
      <c r="A1650" t="s">
        <v>12808</v>
      </c>
      <c r="B1650" s="34">
        <v>0.35926000000000002</v>
      </c>
      <c r="C1650" s="34">
        <v>2.9938333333333299E-2</v>
      </c>
      <c r="D1650" t="s">
        <v>3459</v>
      </c>
      <c r="E1650" s="34">
        <v>1.79629999999999</v>
      </c>
      <c r="F1650" t="s">
        <v>15283</v>
      </c>
      <c r="G1650" t="b">
        <v>0</v>
      </c>
    </row>
    <row r="1651" spans="1:7" x14ac:dyDescent="0.25">
      <c r="A1651" t="s">
        <v>13474</v>
      </c>
      <c r="B1651" s="34">
        <v>0.35650520000000002</v>
      </c>
      <c r="C1651" s="34">
        <v>2.9708766666666601E-2</v>
      </c>
      <c r="D1651" t="s">
        <v>2267</v>
      </c>
      <c r="E1651" s="34">
        <v>1.7825259999999901</v>
      </c>
      <c r="F1651" t="s">
        <v>15943</v>
      </c>
      <c r="G1651" t="b">
        <v>0</v>
      </c>
    </row>
    <row r="1652" spans="1:7" x14ac:dyDescent="0.25">
      <c r="A1652" t="s">
        <v>14044</v>
      </c>
      <c r="B1652" s="34">
        <v>0.35629099999999903</v>
      </c>
      <c r="C1652" s="34">
        <v>2.9690916666666602E-2</v>
      </c>
      <c r="D1652" t="s">
        <v>90</v>
      </c>
      <c r="E1652" s="34">
        <v>0.89072749999999901</v>
      </c>
      <c r="F1652" t="s">
        <v>16511</v>
      </c>
      <c r="G1652" t="b">
        <v>0</v>
      </c>
    </row>
    <row r="1653" spans="1:7" x14ac:dyDescent="0.25">
      <c r="A1653" t="s">
        <v>13832</v>
      </c>
      <c r="B1653" s="34">
        <v>0.35628954000000002</v>
      </c>
      <c r="C1653" s="34">
        <v>2.9690794999999999E-2</v>
      </c>
      <c r="D1653" t="s">
        <v>35</v>
      </c>
      <c r="E1653" s="34">
        <v>1.78144769999999</v>
      </c>
      <c r="F1653" t="s">
        <v>16299</v>
      </c>
      <c r="G1653" t="b">
        <v>0</v>
      </c>
    </row>
    <row r="1654" spans="1:7" x14ac:dyDescent="0.25">
      <c r="A1654" t="s">
        <v>14023</v>
      </c>
      <c r="B1654" s="34">
        <v>0.3554001</v>
      </c>
      <c r="C1654" s="34">
        <v>2.9616674999999999E-2</v>
      </c>
      <c r="D1654" t="s">
        <v>776</v>
      </c>
      <c r="E1654" s="34">
        <v>1.7770005</v>
      </c>
      <c r="F1654" t="s">
        <v>16490</v>
      </c>
      <c r="G1654" t="b">
        <v>0</v>
      </c>
    </row>
    <row r="1655" spans="1:7" x14ac:dyDescent="0.25">
      <c r="A1655" t="s">
        <v>13549</v>
      </c>
      <c r="B1655" s="34">
        <v>0.35499000000000003</v>
      </c>
      <c r="C1655" s="34">
        <v>2.9582500000000001E-2</v>
      </c>
      <c r="D1655" t="s">
        <v>26</v>
      </c>
      <c r="E1655" s="34">
        <v>1.77494999999999</v>
      </c>
      <c r="F1655" t="s">
        <v>16018</v>
      </c>
      <c r="G1655" t="b">
        <v>0</v>
      </c>
    </row>
    <row r="1656" spans="1:7" x14ac:dyDescent="0.25">
      <c r="A1656" t="s">
        <v>13860</v>
      </c>
      <c r="B1656" s="34">
        <v>0.35439999999999899</v>
      </c>
      <c r="C1656" s="34">
        <v>2.95333333333333E-2</v>
      </c>
      <c r="D1656" t="s">
        <v>35</v>
      </c>
      <c r="E1656" s="34">
        <v>1.77199999999999</v>
      </c>
      <c r="F1656" t="s">
        <v>16327</v>
      </c>
      <c r="G1656" t="b">
        <v>0</v>
      </c>
    </row>
    <row r="1657" spans="1:7" x14ac:dyDescent="0.25">
      <c r="A1657" t="s">
        <v>13280</v>
      </c>
      <c r="B1657" s="34">
        <v>0.35415999999999898</v>
      </c>
      <c r="C1657" s="34">
        <v>2.9513333333333301E-2</v>
      </c>
      <c r="D1657" t="s">
        <v>1716</v>
      </c>
      <c r="E1657" s="34">
        <v>1.7707999999999899</v>
      </c>
      <c r="F1657" t="s">
        <v>15752</v>
      </c>
      <c r="G1657" t="b">
        <v>0</v>
      </c>
    </row>
    <row r="1658" spans="1:7" x14ac:dyDescent="0.25">
      <c r="A1658" t="s">
        <v>14685</v>
      </c>
      <c r="B1658" s="34">
        <v>0.35394999999999999</v>
      </c>
      <c r="C1658" s="34">
        <v>2.9495833333333301E-2</v>
      </c>
      <c r="D1658" t="s">
        <v>35</v>
      </c>
      <c r="E1658" s="34">
        <v>1.7697499999999999</v>
      </c>
      <c r="F1658" t="s">
        <v>17137</v>
      </c>
      <c r="G1658" t="b">
        <v>0</v>
      </c>
    </row>
    <row r="1659" spans="1:7" x14ac:dyDescent="0.25">
      <c r="A1659" t="s">
        <v>13262</v>
      </c>
      <c r="B1659" s="34">
        <v>0.35069999999999901</v>
      </c>
      <c r="C1659" s="34">
        <v>2.92249999999999E-2</v>
      </c>
      <c r="D1659" t="s">
        <v>395</v>
      </c>
      <c r="E1659" s="34">
        <v>1.7534999999999901</v>
      </c>
      <c r="F1659" t="s">
        <v>15735</v>
      </c>
      <c r="G1659" t="b">
        <v>0</v>
      </c>
    </row>
    <row r="1660" spans="1:7" x14ac:dyDescent="0.25">
      <c r="A1660" t="s">
        <v>14869</v>
      </c>
      <c r="B1660" s="34">
        <v>0.34799999999999998</v>
      </c>
      <c r="C1660" s="34">
        <v>2.8999999999999901E-2</v>
      </c>
      <c r="D1660" t="s">
        <v>84</v>
      </c>
      <c r="E1660" s="34">
        <v>1.74</v>
      </c>
      <c r="F1660" t="s">
        <v>17305</v>
      </c>
      <c r="G1660" t="b">
        <v>0</v>
      </c>
    </row>
    <row r="1661" spans="1:7" x14ac:dyDescent="0.25">
      <c r="A1661" t="s">
        <v>14723</v>
      </c>
      <c r="B1661" s="34">
        <v>0.34739999999999999</v>
      </c>
      <c r="C1661" s="34">
        <v>2.895E-2</v>
      </c>
      <c r="D1661" t="s">
        <v>274</v>
      </c>
      <c r="E1661" s="34">
        <v>0.57899999999999996</v>
      </c>
      <c r="F1661" t="s">
        <v>17174</v>
      </c>
      <c r="G1661" t="b">
        <v>0</v>
      </c>
    </row>
    <row r="1662" spans="1:7" x14ac:dyDescent="0.25">
      <c r="A1662" t="s">
        <v>12779</v>
      </c>
      <c r="B1662" s="34">
        <v>0.34689999999999999</v>
      </c>
      <c r="C1662" s="34">
        <v>2.89083333333333E-2</v>
      </c>
      <c r="D1662" t="s">
        <v>9488</v>
      </c>
      <c r="E1662" s="34">
        <v>1.7344999999999999</v>
      </c>
      <c r="F1662" t="s">
        <v>15254</v>
      </c>
      <c r="G1662" t="b">
        <v>0</v>
      </c>
    </row>
    <row r="1663" spans="1:7" x14ac:dyDescent="0.25">
      <c r="A1663" t="s">
        <v>14867</v>
      </c>
      <c r="B1663" s="34">
        <v>0.34539999999999998</v>
      </c>
      <c r="C1663" s="34">
        <v>2.87833333333333E-2</v>
      </c>
      <c r="D1663" t="s">
        <v>132</v>
      </c>
      <c r="E1663" s="34">
        <v>1.7269999999999901</v>
      </c>
      <c r="F1663" t="s">
        <v>17303</v>
      </c>
      <c r="G1663" t="b">
        <v>0</v>
      </c>
    </row>
    <row r="1664" spans="1:7" x14ac:dyDescent="0.25">
      <c r="A1664" t="s">
        <v>14768</v>
      </c>
      <c r="B1664" s="34">
        <v>0.33831899999999998</v>
      </c>
      <c r="C1664" s="34">
        <v>2.819325E-2</v>
      </c>
      <c r="D1664" t="s">
        <v>26</v>
      </c>
      <c r="E1664" s="34">
        <v>0.84579749999999998</v>
      </c>
      <c r="F1664" t="s">
        <v>17216</v>
      </c>
      <c r="G1664" t="b">
        <v>0</v>
      </c>
    </row>
    <row r="1665" spans="1:7" x14ac:dyDescent="0.25">
      <c r="A1665" t="s">
        <v>14070</v>
      </c>
      <c r="B1665" s="34">
        <v>0.33682179999999901</v>
      </c>
      <c r="C1665" s="34">
        <v>2.80684833333333E-2</v>
      </c>
      <c r="D1665" t="s">
        <v>72</v>
      </c>
      <c r="E1665" s="34">
        <v>1.6841089999999901</v>
      </c>
      <c r="F1665" t="s">
        <v>16537</v>
      </c>
      <c r="G1665" t="b">
        <v>0</v>
      </c>
    </row>
    <row r="1666" spans="1:7" x14ac:dyDescent="0.25">
      <c r="A1666" t="s">
        <v>12564</v>
      </c>
      <c r="B1666" s="34">
        <v>0.33548739999999999</v>
      </c>
      <c r="C1666" s="34">
        <v>2.7957283333333301E-2</v>
      </c>
      <c r="D1666" t="s">
        <v>1240</v>
      </c>
      <c r="E1666" s="34">
        <v>1.6774369999999901</v>
      </c>
      <c r="F1666" t="s">
        <v>15039</v>
      </c>
      <c r="G1666" t="b">
        <v>0</v>
      </c>
    </row>
    <row r="1667" spans="1:7" x14ac:dyDescent="0.25">
      <c r="A1667" t="s">
        <v>14679</v>
      </c>
      <c r="B1667" s="34">
        <v>0.3347</v>
      </c>
      <c r="C1667" s="34">
        <v>2.7891666666666599E-2</v>
      </c>
      <c r="D1667" t="s">
        <v>1787</v>
      </c>
      <c r="E1667" s="34">
        <v>1.6735</v>
      </c>
      <c r="F1667" t="s">
        <v>17132</v>
      </c>
      <c r="G1667" t="b">
        <v>0</v>
      </c>
    </row>
    <row r="1668" spans="1:7" x14ac:dyDescent="0.25">
      <c r="A1668" t="s">
        <v>13381</v>
      </c>
      <c r="B1668" s="34">
        <v>0.33299999999999902</v>
      </c>
      <c r="C1668" s="34">
        <v>2.775E-2</v>
      </c>
      <c r="D1668" t="s">
        <v>35</v>
      </c>
      <c r="E1668" s="34">
        <v>1.665</v>
      </c>
      <c r="F1668" t="s">
        <v>15851</v>
      </c>
      <c r="G1668" t="b">
        <v>0</v>
      </c>
    </row>
    <row r="1669" spans="1:7" x14ac:dyDescent="0.25">
      <c r="A1669" t="s">
        <v>13610</v>
      </c>
      <c r="B1669" s="34">
        <v>0.33079999999999898</v>
      </c>
      <c r="C1669" s="34">
        <v>2.75666666666666E-2</v>
      </c>
      <c r="D1669" t="s">
        <v>35</v>
      </c>
      <c r="E1669" s="34">
        <v>1.6539999999999899</v>
      </c>
      <c r="F1669" t="s">
        <v>16079</v>
      </c>
      <c r="G1669" t="b">
        <v>0</v>
      </c>
    </row>
    <row r="1670" spans="1:7" x14ac:dyDescent="0.25">
      <c r="A1670" t="s">
        <v>13941</v>
      </c>
      <c r="B1670" s="34">
        <v>0.33005400000000001</v>
      </c>
      <c r="C1670" s="34">
        <v>2.7504500000000001E-2</v>
      </c>
      <c r="D1670" t="s">
        <v>1240</v>
      </c>
      <c r="E1670" s="34">
        <v>1.6502699999999999</v>
      </c>
      <c r="F1670" t="s">
        <v>16408</v>
      </c>
      <c r="G1670" t="b">
        <v>0</v>
      </c>
    </row>
    <row r="1671" spans="1:7" x14ac:dyDescent="0.25">
      <c r="A1671" t="s">
        <v>14278</v>
      </c>
      <c r="B1671" s="34">
        <v>0.329319999999999</v>
      </c>
      <c r="C1671" s="34">
        <v>2.7443333333333299E-2</v>
      </c>
      <c r="D1671" t="s">
        <v>1240</v>
      </c>
      <c r="E1671" s="34">
        <v>1.6465999999999901</v>
      </c>
      <c r="F1671" t="s">
        <v>16742</v>
      </c>
      <c r="G1671" t="b">
        <v>0</v>
      </c>
    </row>
    <row r="1672" spans="1:7" x14ac:dyDescent="0.25">
      <c r="A1672" t="s">
        <v>13599</v>
      </c>
      <c r="B1672" s="34">
        <v>0.32930799999999899</v>
      </c>
      <c r="C1672" s="34">
        <v>2.7442333333333301E-2</v>
      </c>
      <c r="D1672" t="s">
        <v>2267</v>
      </c>
      <c r="E1672" s="34">
        <v>1.6465399999999899</v>
      </c>
      <c r="F1672" t="s">
        <v>16068</v>
      </c>
      <c r="G1672" t="b">
        <v>0</v>
      </c>
    </row>
    <row r="1673" spans="1:7" x14ac:dyDescent="0.25">
      <c r="A1673" t="s">
        <v>13073</v>
      </c>
      <c r="B1673" s="34">
        <v>0.32855000000000001</v>
      </c>
      <c r="C1673" s="34">
        <v>2.73791666666666E-2</v>
      </c>
      <c r="D1673" t="s">
        <v>13</v>
      </c>
      <c r="E1673" s="34">
        <v>1.6427499999999999</v>
      </c>
      <c r="F1673" t="s">
        <v>15548</v>
      </c>
      <c r="G1673" t="b">
        <v>0</v>
      </c>
    </row>
    <row r="1674" spans="1:7" x14ac:dyDescent="0.25">
      <c r="A1674" t="s">
        <v>12724</v>
      </c>
      <c r="B1674" s="34">
        <v>0.32840000000000003</v>
      </c>
      <c r="C1674" s="34">
        <v>2.7366666666666602E-2</v>
      </c>
      <c r="D1674" t="s">
        <v>682</v>
      </c>
      <c r="E1674" s="34">
        <v>1.6419999999999999</v>
      </c>
      <c r="F1674" t="s">
        <v>15199</v>
      </c>
      <c r="G1674" t="b">
        <v>0</v>
      </c>
    </row>
    <row r="1675" spans="1:7" x14ac:dyDescent="0.25">
      <c r="A1675" t="s">
        <v>14225</v>
      </c>
      <c r="B1675" s="34">
        <v>0.32758999999999999</v>
      </c>
      <c r="C1675" s="34">
        <v>2.72991666666666E-2</v>
      </c>
      <c r="D1675" t="s">
        <v>162</v>
      </c>
      <c r="E1675" s="34">
        <v>0.81897499999999901</v>
      </c>
      <c r="F1675" t="s">
        <v>16689</v>
      </c>
      <c r="G1675" t="b">
        <v>0</v>
      </c>
    </row>
    <row r="1676" spans="1:7" x14ac:dyDescent="0.25">
      <c r="A1676" t="s">
        <v>13541</v>
      </c>
      <c r="B1676" s="34">
        <v>0.32736999999999999</v>
      </c>
      <c r="C1676" s="34">
        <v>2.7280833333333299E-2</v>
      </c>
      <c r="D1676" t="s">
        <v>226</v>
      </c>
      <c r="E1676" s="34">
        <v>1.6368499999999999</v>
      </c>
      <c r="F1676" t="s">
        <v>16010</v>
      </c>
      <c r="G1676" t="b">
        <v>0</v>
      </c>
    </row>
    <row r="1677" spans="1:7" x14ac:dyDescent="0.25">
      <c r="A1677" t="s">
        <v>14744</v>
      </c>
      <c r="B1677" s="34">
        <v>0.32671999999999901</v>
      </c>
      <c r="C1677" s="34">
        <v>2.72266666666666E-2</v>
      </c>
      <c r="D1677" t="s">
        <v>26</v>
      </c>
      <c r="E1677" s="34">
        <v>1.6335999999999999</v>
      </c>
      <c r="F1677" t="s">
        <v>17193</v>
      </c>
      <c r="G1677" t="b">
        <v>0</v>
      </c>
    </row>
    <row r="1678" spans="1:7" x14ac:dyDescent="0.25">
      <c r="A1678" t="s">
        <v>14272</v>
      </c>
      <c r="B1678" s="34">
        <v>0.32669999999999899</v>
      </c>
      <c r="C1678" s="34">
        <v>2.7224999999999999E-2</v>
      </c>
      <c r="D1678" t="s">
        <v>35</v>
      </c>
      <c r="E1678" s="34">
        <v>1.63349999999999</v>
      </c>
      <c r="F1678" t="s">
        <v>16736</v>
      </c>
      <c r="G1678" t="b">
        <v>0</v>
      </c>
    </row>
    <row r="1679" spans="1:7" x14ac:dyDescent="0.25">
      <c r="A1679" t="s">
        <v>14490</v>
      </c>
      <c r="B1679" s="34">
        <v>0.32579999999999998</v>
      </c>
      <c r="C1679" s="34">
        <v>2.7150000000000001E-2</v>
      </c>
      <c r="D1679" t="s">
        <v>306</v>
      </c>
      <c r="E1679" s="34">
        <v>1.629</v>
      </c>
      <c r="F1679" t="s">
        <v>16950</v>
      </c>
      <c r="G1679" t="b">
        <v>0</v>
      </c>
    </row>
    <row r="1680" spans="1:7" x14ac:dyDescent="0.25">
      <c r="A1680" t="s">
        <v>14132</v>
      </c>
      <c r="B1680" s="34">
        <v>0.32574940000000002</v>
      </c>
      <c r="C1680" s="34">
        <v>2.7145783333333302E-2</v>
      </c>
      <c r="D1680" t="s">
        <v>185</v>
      </c>
      <c r="E1680" s="34">
        <v>1.6287469999999999</v>
      </c>
      <c r="F1680" t="s">
        <v>16599</v>
      </c>
      <c r="G1680" t="b">
        <v>0</v>
      </c>
    </row>
    <row r="1681" spans="1:7" x14ac:dyDescent="0.25">
      <c r="A1681" t="s">
        <v>14189</v>
      </c>
      <c r="B1681" s="34">
        <v>0.32462000000000002</v>
      </c>
      <c r="C1681" s="34">
        <v>2.7051666666666599E-2</v>
      </c>
      <c r="D1681" t="s">
        <v>1752</v>
      </c>
      <c r="E1681" s="34">
        <v>0.81154999999999999</v>
      </c>
      <c r="F1681" t="s">
        <v>16653</v>
      </c>
      <c r="G1681" t="b">
        <v>0</v>
      </c>
    </row>
    <row r="1682" spans="1:7" x14ac:dyDescent="0.25">
      <c r="A1682" t="s">
        <v>12645</v>
      </c>
      <c r="B1682" s="34">
        <v>0.324099999999999</v>
      </c>
      <c r="C1682" s="34">
        <v>2.7008333333333301E-2</v>
      </c>
      <c r="D1682" t="s">
        <v>632</v>
      </c>
      <c r="E1682" s="34">
        <v>1.6204999999999901</v>
      </c>
      <c r="F1682" t="s">
        <v>15120</v>
      </c>
      <c r="G1682" t="b">
        <v>0</v>
      </c>
    </row>
    <row r="1683" spans="1:7" x14ac:dyDescent="0.25">
      <c r="A1683" t="s">
        <v>14301</v>
      </c>
      <c r="B1683" s="34">
        <v>0.32399999999999901</v>
      </c>
      <c r="C1683" s="34">
        <v>2.7E-2</v>
      </c>
      <c r="D1683" t="s">
        <v>1240</v>
      </c>
      <c r="E1683" s="34">
        <v>1.62</v>
      </c>
      <c r="F1683" t="s">
        <v>16764</v>
      </c>
      <c r="G1683" t="b">
        <v>0</v>
      </c>
    </row>
    <row r="1684" spans="1:7" x14ac:dyDescent="0.25">
      <c r="A1684" t="s">
        <v>14857</v>
      </c>
      <c r="B1684" s="34">
        <v>0.32329999999999998</v>
      </c>
      <c r="C1684" s="34">
        <v>2.69416666666666E-2</v>
      </c>
      <c r="D1684" t="s">
        <v>13</v>
      </c>
      <c r="E1684" s="34">
        <v>1.6164999999999901</v>
      </c>
      <c r="F1684" t="s">
        <v>17294</v>
      </c>
      <c r="G1684" t="b">
        <v>0</v>
      </c>
    </row>
    <row r="1685" spans="1:7" x14ac:dyDescent="0.25">
      <c r="A1685" t="s">
        <v>14781</v>
      </c>
      <c r="B1685" s="34">
        <v>0.32312600000000002</v>
      </c>
      <c r="C1685" s="34">
        <v>2.6927166666666599E-2</v>
      </c>
      <c r="D1685" t="s">
        <v>162</v>
      </c>
      <c r="E1685" s="34">
        <v>1.6156299999999999</v>
      </c>
      <c r="F1685" t="s">
        <v>17228</v>
      </c>
      <c r="G1685" t="b">
        <v>0</v>
      </c>
    </row>
    <row r="1686" spans="1:7" x14ac:dyDescent="0.25">
      <c r="A1686" t="s">
        <v>14268</v>
      </c>
      <c r="B1686" s="34">
        <v>0.32283000000000001</v>
      </c>
      <c r="C1686" s="34">
        <v>2.6902499999999999E-2</v>
      </c>
      <c r="D1686" t="s">
        <v>1240</v>
      </c>
      <c r="E1686" s="34">
        <v>1.61415</v>
      </c>
      <c r="F1686" t="s">
        <v>16732</v>
      </c>
      <c r="G1686" t="b">
        <v>0</v>
      </c>
    </row>
    <row r="1687" spans="1:7" x14ac:dyDescent="0.25">
      <c r="A1687" t="s">
        <v>14122</v>
      </c>
      <c r="B1687" s="34">
        <v>0.322599999999999</v>
      </c>
      <c r="C1687" s="34">
        <v>2.6883333333333301E-2</v>
      </c>
      <c r="D1687" t="s">
        <v>268</v>
      </c>
      <c r="E1687" s="34">
        <v>1.61299999999999</v>
      </c>
      <c r="F1687" t="s">
        <v>16589</v>
      </c>
      <c r="G1687" t="b">
        <v>0</v>
      </c>
    </row>
    <row r="1688" spans="1:7" x14ac:dyDescent="0.25">
      <c r="A1688" t="s">
        <v>14874</v>
      </c>
      <c r="B1688" s="34">
        <v>0.32100000000000001</v>
      </c>
      <c r="C1688" s="34">
        <v>2.6749999999999999E-2</v>
      </c>
      <c r="D1688" t="s">
        <v>1275</v>
      </c>
      <c r="E1688" s="34">
        <v>1.605</v>
      </c>
      <c r="F1688" t="s">
        <v>17310</v>
      </c>
      <c r="G1688" t="b">
        <v>0</v>
      </c>
    </row>
    <row r="1689" spans="1:7" x14ac:dyDescent="0.25">
      <c r="A1689" t="s">
        <v>14253</v>
      </c>
      <c r="B1689" s="34">
        <v>0.32024740000000002</v>
      </c>
      <c r="C1689" s="34">
        <v>2.6687283333333301E-2</v>
      </c>
      <c r="D1689" t="s">
        <v>35</v>
      </c>
      <c r="E1689" s="34">
        <v>1.601237</v>
      </c>
      <c r="F1689" t="s">
        <v>16717</v>
      </c>
      <c r="G1689" t="b">
        <v>0</v>
      </c>
    </row>
    <row r="1690" spans="1:7" x14ac:dyDescent="0.25">
      <c r="A1690" t="s">
        <v>13483</v>
      </c>
      <c r="B1690" s="34">
        <v>0.31811</v>
      </c>
      <c r="C1690" s="34">
        <v>2.6509166666666601E-2</v>
      </c>
      <c r="D1690" t="s">
        <v>726</v>
      </c>
      <c r="E1690" s="34">
        <v>1.5905499999999999</v>
      </c>
      <c r="F1690" t="s">
        <v>15952</v>
      </c>
      <c r="G1690" t="b">
        <v>0</v>
      </c>
    </row>
    <row r="1691" spans="1:7" x14ac:dyDescent="0.25">
      <c r="A1691" t="s">
        <v>12902</v>
      </c>
      <c r="B1691" s="34">
        <v>0.31790000000000002</v>
      </c>
      <c r="C1691" s="34">
        <v>2.6491666666666601E-2</v>
      </c>
      <c r="D1691" t="s">
        <v>162</v>
      </c>
      <c r="E1691" s="34">
        <v>1.5894999999999899</v>
      </c>
      <c r="F1691" t="s">
        <v>15377</v>
      </c>
      <c r="G1691" t="b">
        <v>0</v>
      </c>
    </row>
    <row r="1692" spans="1:7" x14ac:dyDescent="0.25">
      <c r="A1692" t="s">
        <v>14284</v>
      </c>
      <c r="B1692" s="34">
        <v>0.31759999999999999</v>
      </c>
      <c r="C1692" s="34">
        <v>2.64666666666666E-2</v>
      </c>
      <c r="D1692" t="s">
        <v>54</v>
      </c>
      <c r="E1692" s="34">
        <v>1.5880000000000001</v>
      </c>
      <c r="F1692" t="s">
        <v>16748</v>
      </c>
      <c r="G1692" t="b">
        <v>0</v>
      </c>
    </row>
    <row r="1693" spans="1:7" x14ac:dyDescent="0.25">
      <c r="A1693" t="s">
        <v>14525</v>
      </c>
      <c r="B1693" s="34">
        <v>0.31638999999999901</v>
      </c>
      <c r="C1693" s="34">
        <v>2.63658333333333E-2</v>
      </c>
      <c r="D1693" t="s">
        <v>35</v>
      </c>
      <c r="E1693" s="34">
        <v>1.58194999999999</v>
      </c>
      <c r="F1693" t="s">
        <v>16985</v>
      </c>
      <c r="G1693" t="b">
        <v>0</v>
      </c>
    </row>
    <row r="1694" spans="1:7" x14ac:dyDescent="0.25">
      <c r="A1694" t="s">
        <v>13387</v>
      </c>
      <c r="B1694" s="34">
        <v>0.31559999999999899</v>
      </c>
      <c r="C1694" s="34">
        <v>2.62999999999999E-2</v>
      </c>
      <c r="D1694" t="s">
        <v>296</v>
      </c>
      <c r="E1694" s="34">
        <v>1.5779999999999901</v>
      </c>
      <c r="F1694" t="s">
        <v>15857</v>
      </c>
      <c r="G1694" t="b">
        <v>0</v>
      </c>
    </row>
    <row r="1695" spans="1:7" x14ac:dyDescent="0.25">
      <c r="A1695" t="s">
        <v>14032</v>
      </c>
      <c r="B1695" s="34">
        <v>0.31319000000000002</v>
      </c>
      <c r="C1695" s="34">
        <v>2.60991666666666E-2</v>
      </c>
      <c r="D1695" t="s">
        <v>1281</v>
      </c>
      <c r="E1695" s="34">
        <v>1.56595</v>
      </c>
      <c r="F1695" t="s">
        <v>16499</v>
      </c>
      <c r="G1695" t="b">
        <v>0</v>
      </c>
    </row>
    <row r="1696" spans="1:7" x14ac:dyDescent="0.25">
      <c r="A1696" t="s">
        <v>14440</v>
      </c>
      <c r="B1696" s="34">
        <v>0.311999999999999</v>
      </c>
      <c r="C1696" s="34">
        <v>2.5999999999999902E-2</v>
      </c>
      <c r="D1696" t="s">
        <v>35</v>
      </c>
      <c r="E1696" s="34">
        <v>1.5599999999999901</v>
      </c>
      <c r="F1696" t="s">
        <v>16900</v>
      </c>
      <c r="G1696" t="b">
        <v>0</v>
      </c>
    </row>
    <row r="1697" spans="1:7" x14ac:dyDescent="0.25">
      <c r="A1697" t="s">
        <v>13246</v>
      </c>
      <c r="B1697" s="34">
        <v>0.30981999999999998</v>
      </c>
      <c r="C1697" s="34">
        <v>2.5818333333333301E-2</v>
      </c>
      <c r="D1697" t="s">
        <v>632</v>
      </c>
      <c r="E1697" s="34">
        <v>1.5490999999999999</v>
      </c>
      <c r="F1697" t="s">
        <v>15719</v>
      </c>
      <c r="G1697" t="b">
        <v>0</v>
      </c>
    </row>
    <row r="1698" spans="1:7" x14ac:dyDescent="0.25">
      <c r="A1698" t="s">
        <v>13223</v>
      </c>
      <c r="B1698" s="34">
        <v>0.308499999999999</v>
      </c>
      <c r="C1698" s="34">
        <v>2.5708333333333298E-2</v>
      </c>
      <c r="D1698" t="s">
        <v>1978</v>
      </c>
      <c r="E1698" s="34">
        <v>1.54249999999999</v>
      </c>
      <c r="F1698" t="s">
        <v>15697</v>
      </c>
      <c r="G1698" t="b">
        <v>0</v>
      </c>
    </row>
    <row r="1699" spans="1:7" x14ac:dyDescent="0.25">
      <c r="A1699" t="s">
        <v>14789</v>
      </c>
      <c r="B1699" s="34">
        <v>0.30780000000000002</v>
      </c>
      <c r="C1699" s="34">
        <v>2.5649999999999999E-2</v>
      </c>
      <c r="D1699" t="s">
        <v>35</v>
      </c>
      <c r="E1699" s="34">
        <v>1.5389999999999999</v>
      </c>
      <c r="F1699" t="s">
        <v>17235</v>
      </c>
      <c r="G1699" t="b">
        <v>0</v>
      </c>
    </row>
    <row r="1700" spans="1:7" x14ac:dyDescent="0.25">
      <c r="A1700" t="s">
        <v>13644</v>
      </c>
      <c r="B1700" s="34">
        <v>0.30760019999999999</v>
      </c>
      <c r="C1700" s="34">
        <v>2.5633349999999999E-2</v>
      </c>
      <c r="D1700" t="s">
        <v>424</v>
      </c>
      <c r="E1700" s="34">
        <v>1.538001</v>
      </c>
      <c r="F1700" t="s">
        <v>16113</v>
      </c>
      <c r="G1700" t="b">
        <v>0</v>
      </c>
    </row>
    <row r="1701" spans="1:7" x14ac:dyDescent="0.25">
      <c r="A1701" t="s">
        <v>14594</v>
      </c>
      <c r="B1701" s="34">
        <v>0.30620000000000003</v>
      </c>
      <c r="C1701" s="34">
        <v>2.5516666666666601E-2</v>
      </c>
      <c r="D1701" t="s">
        <v>162</v>
      </c>
      <c r="E1701" s="34">
        <v>1.5309999999999999</v>
      </c>
      <c r="F1701" t="s">
        <v>17050</v>
      </c>
      <c r="G1701" t="b">
        <v>0</v>
      </c>
    </row>
    <row r="1702" spans="1:7" x14ac:dyDescent="0.25">
      <c r="A1702" t="s">
        <v>13538</v>
      </c>
      <c r="B1702" s="34">
        <v>0.30492000000000002</v>
      </c>
      <c r="C1702" s="34">
        <v>2.5409999999999999E-2</v>
      </c>
      <c r="D1702" t="s">
        <v>1451</v>
      </c>
      <c r="E1702" s="34">
        <v>1.5246</v>
      </c>
      <c r="F1702" t="s">
        <v>16007</v>
      </c>
      <c r="G1702" t="b">
        <v>0</v>
      </c>
    </row>
    <row r="1703" spans="1:7" x14ac:dyDescent="0.25">
      <c r="A1703" t="s">
        <v>13663</v>
      </c>
      <c r="B1703" s="34">
        <v>0.30471999999999999</v>
      </c>
      <c r="C1703" s="34">
        <v>2.5393333333333299E-2</v>
      </c>
      <c r="D1703" t="s">
        <v>1240</v>
      </c>
      <c r="E1703" s="34">
        <v>1.5235999999999901</v>
      </c>
      <c r="F1703" t="s">
        <v>16131</v>
      </c>
      <c r="G1703" t="b">
        <v>0</v>
      </c>
    </row>
    <row r="1704" spans="1:7" x14ac:dyDescent="0.25">
      <c r="A1704" t="s">
        <v>14681</v>
      </c>
      <c r="B1704" s="34">
        <v>0.30459999999999898</v>
      </c>
      <c r="C1704" s="34">
        <v>2.5383333333333299E-2</v>
      </c>
      <c r="D1704" t="s">
        <v>951</v>
      </c>
      <c r="E1704" s="34">
        <v>1.5229999999999899</v>
      </c>
      <c r="F1704" t="s">
        <v>17134</v>
      </c>
      <c r="G1704" t="b">
        <v>0</v>
      </c>
    </row>
    <row r="1705" spans="1:7" x14ac:dyDescent="0.25">
      <c r="A1705" t="s">
        <v>13836</v>
      </c>
      <c r="B1705" s="34">
        <v>0.303669999999999</v>
      </c>
      <c r="C1705" s="34">
        <v>2.5305833333333302E-2</v>
      </c>
      <c r="D1705" t="s">
        <v>268</v>
      </c>
      <c r="E1705" s="34">
        <v>1.5183499999999901</v>
      </c>
      <c r="F1705" t="s">
        <v>16303</v>
      </c>
      <c r="G1705" t="b">
        <v>0</v>
      </c>
    </row>
    <row r="1706" spans="1:7" x14ac:dyDescent="0.25">
      <c r="A1706" t="s">
        <v>14294</v>
      </c>
      <c r="B1706" s="34">
        <v>0.30237999999999998</v>
      </c>
      <c r="C1706" s="34">
        <v>2.5198333333333298E-2</v>
      </c>
      <c r="D1706" t="s">
        <v>139</v>
      </c>
      <c r="E1706" s="34">
        <v>1.5119</v>
      </c>
      <c r="F1706" t="s">
        <v>16757</v>
      </c>
      <c r="G1706" t="b">
        <v>0</v>
      </c>
    </row>
    <row r="1707" spans="1:7" x14ac:dyDescent="0.25">
      <c r="A1707" t="s">
        <v>14047</v>
      </c>
      <c r="B1707" s="34">
        <v>0.30168757000000002</v>
      </c>
      <c r="C1707" s="34">
        <v>2.5140630833333299E-2</v>
      </c>
      <c r="D1707" t="s">
        <v>84</v>
      </c>
      <c r="E1707" s="34">
        <v>0.75421892499999998</v>
      </c>
      <c r="F1707" t="s">
        <v>16514</v>
      </c>
      <c r="G1707" t="b">
        <v>0</v>
      </c>
    </row>
    <row r="1708" spans="1:7" x14ac:dyDescent="0.25">
      <c r="A1708" t="s">
        <v>13982</v>
      </c>
      <c r="B1708" s="34">
        <v>0.29952000000000001</v>
      </c>
      <c r="C1708" s="34">
        <v>2.496E-2</v>
      </c>
      <c r="D1708" t="s">
        <v>548</v>
      </c>
      <c r="E1708" s="34">
        <v>0.74880000000000002</v>
      </c>
      <c r="F1708" t="s">
        <v>16449</v>
      </c>
      <c r="G1708" t="b">
        <v>0</v>
      </c>
    </row>
    <row r="1709" spans="1:7" x14ac:dyDescent="0.25">
      <c r="A1709" t="s">
        <v>13826</v>
      </c>
      <c r="B1709" s="34">
        <v>0.2957822</v>
      </c>
      <c r="C1709" s="34">
        <v>2.4648516666666599E-2</v>
      </c>
      <c r="D1709" t="s">
        <v>35</v>
      </c>
      <c r="E1709" s="34">
        <v>1.4789110000000001</v>
      </c>
      <c r="F1709" t="s">
        <v>16293</v>
      </c>
      <c r="G1709" t="b">
        <v>0</v>
      </c>
    </row>
    <row r="1710" spans="1:7" x14ac:dyDescent="0.25">
      <c r="A1710" t="s">
        <v>14164</v>
      </c>
      <c r="B1710" s="34">
        <v>0.29559999999999997</v>
      </c>
      <c r="C1710" s="34">
        <v>2.4633333333333299E-2</v>
      </c>
      <c r="D1710" t="s">
        <v>26</v>
      </c>
      <c r="E1710" s="34">
        <v>1.47799999999999</v>
      </c>
      <c r="F1710" t="s">
        <v>16631</v>
      </c>
      <c r="G1710" t="b">
        <v>0</v>
      </c>
    </row>
    <row r="1711" spans="1:7" x14ac:dyDescent="0.25">
      <c r="A1711" t="s">
        <v>12678</v>
      </c>
      <c r="B1711" s="34">
        <v>0.29270000000000002</v>
      </c>
      <c r="C1711" s="34">
        <v>2.43916666666666E-2</v>
      </c>
      <c r="D1711" t="s">
        <v>35</v>
      </c>
      <c r="E1711" s="34">
        <v>1.46349999999999</v>
      </c>
      <c r="F1711" t="s">
        <v>15153</v>
      </c>
      <c r="G1711" t="b">
        <v>0</v>
      </c>
    </row>
    <row r="1712" spans="1:7" x14ac:dyDescent="0.25">
      <c r="A1712" t="s">
        <v>13278</v>
      </c>
      <c r="B1712" s="34">
        <v>0.29115000000000002</v>
      </c>
      <c r="C1712" s="34">
        <v>2.4262499999999999E-2</v>
      </c>
      <c r="D1712" t="s">
        <v>1209</v>
      </c>
      <c r="E1712" s="34">
        <v>1.4557500000000001</v>
      </c>
      <c r="F1712" t="s">
        <v>15750</v>
      </c>
      <c r="G1712" t="b">
        <v>0</v>
      </c>
    </row>
    <row r="1713" spans="1:7" x14ac:dyDescent="0.25">
      <c r="A1713" t="s">
        <v>12536</v>
      </c>
      <c r="B1713" s="34">
        <v>0.28799999999999998</v>
      </c>
      <c r="C1713" s="34">
        <v>2.4E-2</v>
      </c>
      <c r="D1713" t="s">
        <v>512</v>
      </c>
      <c r="E1713" s="34">
        <v>1.44</v>
      </c>
      <c r="F1713" t="s">
        <v>15011</v>
      </c>
      <c r="G1713" t="b">
        <v>0</v>
      </c>
    </row>
    <row r="1714" spans="1:7" x14ac:dyDescent="0.25">
      <c r="A1714" t="s">
        <v>13250</v>
      </c>
      <c r="B1714" s="34">
        <v>0.28166140000000001</v>
      </c>
      <c r="C1714" s="34">
        <v>2.3471783333333301E-2</v>
      </c>
      <c r="D1714" t="s">
        <v>296</v>
      </c>
      <c r="E1714" s="34">
        <v>1.408307</v>
      </c>
      <c r="F1714" t="s">
        <v>15723</v>
      </c>
      <c r="G1714" t="b">
        <v>0</v>
      </c>
    </row>
    <row r="1715" spans="1:7" x14ac:dyDescent="0.25">
      <c r="A1715" t="s">
        <v>13463</v>
      </c>
      <c r="B1715" s="34">
        <v>0.28138047999999999</v>
      </c>
      <c r="C1715" s="34">
        <v>2.34483733333333E-2</v>
      </c>
      <c r="D1715" t="s">
        <v>110</v>
      </c>
      <c r="E1715" s="34">
        <v>1.4069024000000001</v>
      </c>
      <c r="F1715" t="s">
        <v>15932</v>
      </c>
      <c r="G1715" t="b">
        <v>0</v>
      </c>
    </row>
    <row r="1716" spans="1:7" x14ac:dyDescent="0.25">
      <c r="A1716" t="s">
        <v>14728</v>
      </c>
      <c r="B1716" s="34">
        <v>0.28060000000000002</v>
      </c>
      <c r="C1716" s="34">
        <v>2.3383333333333301E-2</v>
      </c>
      <c r="D1716" t="s">
        <v>274</v>
      </c>
      <c r="E1716" s="34">
        <v>1.40299999999999</v>
      </c>
      <c r="F1716" t="s">
        <v>17178</v>
      </c>
      <c r="G1716" t="b">
        <v>0</v>
      </c>
    </row>
    <row r="1717" spans="1:7" x14ac:dyDescent="0.25">
      <c r="A1717" t="s">
        <v>14176</v>
      </c>
      <c r="B1717" s="34">
        <v>0.27727000000000002</v>
      </c>
      <c r="C1717" s="34">
        <v>2.3105833333333301E-2</v>
      </c>
      <c r="D1717" t="s">
        <v>982</v>
      </c>
      <c r="E1717" s="34">
        <v>1.38634999999999</v>
      </c>
      <c r="F1717" t="s">
        <v>16642</v>
      </c>
      <c r="G1717" t="b">
        <v>0</v>
      </c>
    </row>
    <row r="1718" spans="1:7" x14ac:dyDescent="0.25">
      <c r="A1718" t="s">
        <v>14378</v>
      </c>
      <c r="B1718" s="34">
        <v>0.27550000000000002</v>
      </c>
      <c r="C1718" s="34">
        <v>2.2958333333333299E-2</v>
      </c>
      <c r="D1718" t="s">
        <v>35</v>
      </c>
      <c r="E1718" s="34">
        <v>1.3774999999999999</v>
      </c>
      <c r="F1718" t="s">
        <v>16840</v>
      </c>
      <c r="G1718" t="b">
        <v>0</v>
      </c>
    </row>
    <row r="1719" spans="1:7" x14ac:dyDescent="0.25">
      <c r="A1719" t="s">
        <v>14722</v>
      </c>
      <c r="B1719" s="34">
        <v>0.27513520000000002</v>
      </c>
      <c r="C1719" s="34">
        <v>2.2927933333333299E-2</v>
      </c>
      <c r="D1719" t="s">
        <v>26</v>
      </c>
      <c r="E1719" s="34">
        <v>1.3756759999999999</v>
      </c>
      <c r="F1719" t="s">
        <v>17173</v>
      </c>
      <c r="G1719" t="b">
        <v>0</v>
      </c>
    </row>
    <row r="1720" spans="1:7" x14ac:dyDescent="0.25">
      <c r="A1720" t="s">
        <v>13856</v>
      </c>
      <c r="B1720" s="34">
        <v>0.27177199999999901</v>
      </c>
      <c r="C1720" s="34">
        <v>2.2647666666666601E-2</v>
      </c>
      <c r="D1720" t="s">
        <v>35</v>
      </c>
      <c r="E1720" s="34">
        <v>1.35886</v>
      </c>
      <c r="F1720" t="s">
        <v>16323</v>
      </c>
      <c r="G1720" t="b">
        <v>0</v>
      </c>
    </row>
    <row r="1721" spans="1:7" x14ac:dyDescent="0.25">
      <c r="A1721" t="s">
        <v>14081</v>
      </c>
      <c r="B1721" s="34">
        <v>0.27079999999999999</v>
      </c>
      <c r="C1721" s="34">
        <v>2.25666666666666E-2</v>
      </c>
      <c r="D1721" t="s">
        <v>26</v>
      </c>
      <c r="E1721" s="34">
        <v>1.3540000000000001</v>
      </c>
      <c r="F1721" t="s">
        <v>16548</v>
      </c>
      <c r="G1721" t="b">
        <v>0</v>
      </c>
    </row>
    <row r="1722" spans="1:7" x14ac:dyDescent="0.25">
      <c r="A1722" t="s">
        <v>14578</v>
      </c>
      <c r="B1722" s="34">
        <v>0.27076929999999999</v>
      </c>
      <c r="C1722" s="34">
        <v>2.2564108333333301E-2</v>
      </c>
      <c r="D1722" t="s">
        <v>26</v>
      </c>
      <c r="E1722" s="34">
        <v>1.3538465</v>
      </c>
      <c r="F1722" t="s">
        <v>17035</v>
      </c>
      <c r="G1722" t="b">
        <v>0</v>
      </c>
    </row>
    <row r="1723" spans="1:7" x14ac:dyDescent="0.25">
      <c r="A1723" t="s">
        <v>13486</v>
      </c>
      <c r="B1723" s="34">
        <v>0.26805904000000003</v>
      </c>
      <c r="C1723" s="34">
        <v>2.2338253333333301E-2</v>
      </c>
      <c r="D1723" t="s">
        <v>1611</v>
      </c>
      <c r="E1723" s="34">
        <v>1.3402951999999999</v>
      </c>
      <c r="F1723" t="s">
        <v>15955</v>
      </c>
      <c r="G1723" t="b">
        <v>0</v>
      </c>
    </row>
    <row r="1724" spans="1:7" x14ac:dyDescent="0.25">
      <c r="A1724" t="s">
        <v>14475</v>
      </c>
      <c r="B1724" s="34">
        <v>0.26356469999999999</v>
      </c>
      <c r="C1724" s="34">
        <v>2.1963725E-2</v>
      </c>
      <c r="D1724" t="s">
        <v>461</v>
      </c>
      <c r="E1724" s="34">
        <v>1.3178235</v>
      </c>
      <c r="F1724" t="s">
        <v>16935</v>
      </c>
      <c r="G1724" t="b">
        <v>0</v>
      </c>
    </row>
    <row r="1725" spans="1:7" x14ac:dyDescent="0.25">
      <c r="A1725" t="s">
        <v>13931</v>
      </c>
      <c r="B1725" s="34">
        <v>0.26304999999999901</v>
      </c>
      <c r="C1725" s="34">
        <v>2.1920833333333299E-2</v>
      </c>
      <c r="D1725" t="s">
        <v>1064</v>
      </c>
      <c r="E1725" s="34">
        <v>1.31524999999999</v>
      </c>
      <c r="F1725" t="s">
        <v>16398</v>
      </c>
      <c r="G1725" t="b">
        <v>0</v>
      </c>
    </row>
    <row r="1726" spans="1:7" x14ac:dyDescent="0.25">
      <c r="A1726" t="s">
        <v>14145</v>
      </c>
      <c r="B1726" s="34">
        <v>0.26073800000000003</v>
      </c>
      <c r="C1726" s="34">
        <v>2.1728166666666601E-2</v>
      </c>
      <c r="D1726" t="s">
        <v>7038</v>
      </c>
      <c r="E1726" s="34">
        <v>1.30368999999999</v>
      </c>
      <c r="F1726" t="s">
        <v>16612</v>
      </c>
      <c r="G1726" t="b">
        <v>0</v>
      </c>
    </row>
    <row r="1727" spans="1:7" x14ac:dyDescent="0.25">
      <c r="A1727" t="s">
        <v>14067</v>
      </c>
      <c r="B1727" s="34">
        <v>0.25988</v>
      </c>
      <c r="C1727" s="34">
        <v>2.1656666666666598E-2</v>
      </c>
      <c r="D1727" t="s">
        <v>45</v>
      </c>
      <c r="E1727" s="34">
        <v>1.2994000000000001</v>
      </c>
      <c r="F1727" t="s">
        <v>16534</v>
      </c>
      <c r="G1727" t="b">
        <v>0</v>
      </c>
    </row>
    <row r="1728" spans="1:7" x14ac:dyDescent="0.25">
      <c r="A1728" t="s">
        <v>13224</v>
      </c>
      <c r="B1728" s="34">
        <v>0.25918313999999998</v>
      </c>
      <c r="C1728" s="34">
        <v>2.1598595000000002E-2</v>
      </c>
      <c r="D1728" t="s">
        <v>1013</v>
      </c>
      <c r="E1728" s="34">
        <v>1.2959156999999999</v>
      </c>
      <c r="F1728" t="s">
        <v>15698</v>
      </c>
      <c r="G1728" t="b">
        <v>0</v>
      </c>
    </row>
    <row r="1729" spans="1:7" x14ac:dyDescent="0.25">
      <c r="A1729" t="s">
        <v>12987</v>
      </c>
      <c r="B1729" s="34">
        <v>0.25896000000000002</v>
      </c>
      <c r="C1729" s="34">
        <v>2.1579999999999998E-2</v>
      </c>
      <c r="D1729" t="s">
        <v>26</v>
      </c>
      <c r="E1729" s="34">
        <v>1.29479999999999</v>
      </c>
      <c r="F1729" t="s">
        <v>15462</v>
      </c>
      <c r="G1729" t="b">
        <v>0</v>
      </c>
    </row>
    <row r="1730" spans="1:7" x14ac:dyDescent="0.25">
      <c r="A1730" t="s">
        <v>14366</v>
      </c>
      <c r="B1730" s="34">
        <v>0.25856000000000001</v>
      </c>
      <c r="C1730" s="34">
        <v>2.1546666666666599E-2</v>
      </c>
      <c r="D1730" t="s">
        <v>1676</v>
      </c>
      <c r="E1730" s="34">
        <v>1.2927999999999999</v>
      </c>
      <c r="F1730" t="s">
        <v>16828</v>
      </c>
      <c r="G1730" t="b">
        <v>0</v>
      </c>
    </row>
    <row r="1731" spans="1:7" x14ac:dyDescent="0.25">
      <c r="A1731" t="s">
        <v>14811</v>
      </c>
      <c r="B1731" s="34">
        <v>0.25790239999999998</v>
      </c>
      <c r="C1731" s="34">
        <v>2.1491866666666599E-2</v>
      </c>
      <c r="D1731" t="s">
        <v>26</v>
      </c>
      <c r="E1731" s="34">
        <v>1.289512</v>
      </c>
      <c r="F1731" t="s">
        <v>17255</v>
      </c>
      <c r="G1731" t="b">
        <v>0</v>
      </c>
    </row>
    <row r="1732" spans="1:7" x14ac:dyDescent="0.25">
      <c r="A1732" t="s">
        <v>14772</v>
      </c>
      <c r="B1732" s="34">
        <v>0.25784600000000002</v>
      </c>
      <c r="C1732" s="34">
        <v>2.1487166666666599E-2</v>
      </c>
      <c r="D1732" t="s">
        <v>35</v>
      </c>
      <c r="E1732" s="34">
        <v>1.2892300000000001</v>
      </c>
      <c r="F1732" t="s">
        <v>17220</v>
      </c>
      <c r="G1732" t="b">
        <v>0</v>
      </c>
    </row>
    <row r="1733" spans="1:7" x14ac:dyDescent="0.25">
      <c r="A1733" t="s">
        <v>14629</v>
      </c>
      <c r="B1733" s="34">
        <v>0.25599999999999901</v>
      </c>
      <c r="C1733" s="34">
        <v>2.1333333333333301E-2</v>
      </c>
      <c r="D1733" t="s">
        <v>512</v>
      </c>
      <c r="E1733" s="34">
        <v>1.27999999999999</v>
      </c>
      <c r="F1733" t="s">
        <v>17082</v>
      </c>
      <c r="G1733" t="b">
        <v>0</v>
      </c>
    </row>
    <row r="1734" spans="1:7" x14ac:dyDescent="0.25">
      <c r="A1734" t="s">
        <v>14059</v>
      </c>
      <c r="B1734" s="34">
        <v>0.25554860000000001</v>
      </c>
      <c r="C1734" s="34">
        <v>2.12957166666666E-2</v>
      </c>
      <c r="D1734" t="s">
        <v>35</v>
      </c>
      <c r="E1734" s="34">
        <v>1.2777430000000001</v>
      </c>
      <c r="F1734" t="s">
        <v>16526</v>
      </c>
      <c r="G1734" t="b">
        <v>0</v>
      </c>
    </row>
    <row r="1735" spans="1:7" x14ac:dyDescent="0.25">
      <c r="A1735" t="s">
        <v>14210</v>
      </c>
      <c r="B1735" s="34">
        <v>0.25509999999999999</v>
      </c>
      <c r="C1735" s="34">
        <v>2.1258333333333299E-2</v>
      </c>
      <c r="D1735" t="s">
        <v>1323</v>
      </c>
      <c r="E1735" s="34">
        <v>1.2755000000000001</v>
      </c>
      <c r="F1735" t="s">
        <v>16674</v>
      </c>
      <c r="G1735" t="b">
        <v>0</v>
      </c>
    </row>
    <row r="1736" spans="1:7" x14ac:dyDescent="0.25">
      <c r="A1736" t="s">
        <v>14324</v>
      </c>
      <c r="B1736" s="34">
        <v>0.25330000000000003</v>
      </c>
      <c r="C1736" s="34">
        <v>2.1108333333333298E-2</v>
      </c>
      <c r="D1736" t="s">
        <v>776</v>
      </c>
      <c r="E1736" s="34">
        <v>1.26649999999999</v>
      </c>
      <c r="F1736" t="s">
        <v>16787</v>
      </c>
      <c r="G1736" t="b">
        <v>0</v>
      </c>
    </row>
    <row r="1737" spans="1:7" x14ac:dyDescent="0.25">
      <c r="A1737" t="s">
        <v>13006</v>
      </c>
      <c r="B1737" s="34">
        <v>0.25069999999999998</v>
      </c>
      <c r="C1737" s="34">
        <v>2.08916666666666E-2</v>
      </c>
      <c r="D1737" t="s">
        <v>5416</v>
      </c>
      <c r="E1737" s="34">
        <v>1.2534999999999901</v>
      </c>
      <c r="F1737" t="s">
        <v>15481</v>
      </c>
      <c r="G1737" t="b">
        <v>0</v>
      </c>
    </row>
    <row r="1738" spans="1:7" x14ac:dyDescent="0.25">
      <c r="A1738" t="s">
        <v>13391</v>
      </c>
      <c r="B1738" s="34">
        <v>0.24893999999999999</v>
      </c>
      <c r="C1738" s="34">
        <v>2.0745E-2</v>
      </c>
      <c r="D1738" t="s">
        <v>268</v>
      </c>
      <c r="E1738" s="34">
        <v>1.2446999999999999</v>
      </c>
      <c r="F1738" t="s">
        <v>15861</v>
      </c>
      <c r="G1738" t="b">
        <v>0</v>
      </c>
    </row>
    <row r="1739" spans="1:7" x14ac:dyDescent="0.25">
      <c r="A1739" t="s">
        <v>14690</v>
      </c>
      <c r="B1739" s="34">
        <v>0.24679999999999999</v>
      </c>
      <c r="C1739" s="34">
        <v>2.0566666666666601E-2</v>
      </c>
      <c r="D1739" t="s">
        <v>1645</v>
      </c>
      <c r="E1739" s="34">
        <v>1.234</v>
      </c>
      <c r="F1739" t="s">
        <v>17142</v>
      </c>
      <c r="G1739" t="b">
        <v>0</v>
      </c>
    </row>
    <row r="1740" spans="1:7" x14ac:dyDescent="0.25">
      <c r="A1740" t="s">
        <v>14495</v>
      </c>
      <c r="B1740" s="34">
        <v>0.24660000000000001</v>
      </c>
      <c r="C1740" s="34">
        <v>2.0549999999999999E-2</v>
      </c>
      <c r="D1740" t="s">
        <v>209</v>
      </c>
      <c r="E1740" s="34">
        <v>1.2329999999999901</v>
      </c>
      <c r="F1740" t="s">
        <v>16955</v>
      </c>
      <c r="G1740" t="b">
        <v>0</v>
      </c>
    </row>
    <row r="1741" spans="1:7" x14ac:dyDescent="0.25">
      <c r="A1741" t="s">
        <v>13102</v>
      </c>
      <c r="B1741" s="34">
        <v>0.24609259999999999</v>
      </c>
      <c r="C1741" s="34">
        <v>2.0507716666666599E-2</v>
      </c>
      <c r="D1741" t="s">
        <v>853</v>
      </c>
      <c r="E1741" s="34">
        <v>1.2304630000000001</v>
      </c>
      <c r="F1741" t="s">
        <v>15577</v>
      </c>
      <c r="G1741" t="b">
        <v>0</v>
      </c>
    </row>
    <row r="1742" spans="1:7" x14ac:dyDescent="0.25">
      <c r="A1742" t="s">
        <v>14513</v>
      </c>
      <c r="B1742" s="34">
        <v>0.24585899999999999</v>
      </c>
      <c r="C1742" s="34">
        <v>2.048825E-2</v>
      </c>
      <c r="D1742" t="s">
        <v>471</v>
      </c>
      <c r="E1742" s="34">
        <v>1.22929499999999</v>
      </c>
      <c r="F1742" t="s">
        <v>16973</v>
      </c>
      <c r="G1742" t="b">
        <v>0</v>
      </c>
    </row>
    <row r="1743" spans="1:7" x14ac:dyDescent="0.25">
      <c r="A1743" t="s">
        <v>13321</v>
      </c>
      <c r="B1743" s="34">
        <v>0.24525999999999901</v>
      </c>
      <c r="C1743" s="34">
        <v>2.0438333333333301E-2</v>
      </c>
      <c r="D1743" t="s">
        <v>385</v>
      </c>
      <c r="E1743" s="34">
        <v>1.22629999999999</v>
      </c>
      <c r="F1743" t="s">
        <v>15791</v>
      </c>
      <c r="G1743" t="b">
        <v>0</v>
      </c>
    </row>
    <row r="1744" spans="1:7" x14ac:dyDescent="0.25">
      <c r="A1744" t="s">
        <v>14404</v>
      </c>
      <c r="B1744" s="34">
        <v>0.24431800000000001</v>
      </c>
      <c r="C1744" s="34">
        <v>2.0359833333333299E-2</v>
      </c>
      <c r="D1744" t="s">
        <v>456</v>
      </c>
      <c r="E1744" s="34">
        <v>1.22159</v>
      </c>
      <c r="F1744" t="s">
        <v>16866</v>
      </c>
      <c r="G1744" t="b">
        <v>0</v>
      </c>
    </row>
    <row r="1745" spans="1:7" x14ac:dyDescent="0.25">
      <c r="A1745" t="s">
        <v>13462</v>
      </c>
      <c r="B1745" s="34">
        <v>0.24389535999999901</v>
      </c>
      <c r="C1745" s="34">
        <v>2.03246133333333E-2</v>
      </c>
      <c r="D1745" t="s">
        <v>110</v>
      </c>
      <c r="E1745" s="34">
        <v>1.21947679999999</v>
      </c>
      <c r="F1745" t="s">
        <v>15931</v>
      </c>
      <c r="G1745" t="b">
        <v>0</v>
      </c>
    </row>
    <row r="1746" spans="1:7" x14ac:dyDescent="0.25">
      <c r="A1746" t="s">
        <v>13289</v>
      </c>
      <c r="B1746" s="34">
        <v>0.2424</v>
      </c>
      <c r="C1746" s="34">
        <v>2.0199999999999999E-2</v>
      </c>
      <c r="D1746" t="s">
        <v>45</v>
      </c>
      <c r="E1746" s="34">
        <v>1.212</v>
      </c>
      <c r="F1746" t="s">
        <v>15761</v>
      </c>
      <c r="G1746" t="b">
        <v>0</v>
      </c>
    </row>
    <row r="1747" spans="1:7" x14ac:dyDescent="0.25">
      <c r="A1747" t="s">
        <v>14194</v>
      </c>
      <c r="B1747" s="34">
        <v>0.24159999999999901</v>
      </c>
      <c r="C1747" s="34">
        <v>2.0133333333333302E-2</v>
      </c>
      <c r="D1747" t="s">
        <v>2267</v>
      </c>
      <c r="E1747" s="34">
        <v>0.60399999999999998</v>
      </c>
      <c r="F1747" t="s">
        <v>16658</v>
      </c>
      <c r="G1747" t="b">
        <v>0</v>
      </c>
    </row>
    <row r="1748" spans="1:7" x14ac:dyDescent="0.25">
      <c r="A1748" t="s">
        <v>14368</v>
      </c>
      <c r="B1748" s="34">
        <v>0.24143999999999899</v>
      </c>
      <c r="C1748" s="34">
        <v>2.0119999999999898E-2</v>
      </c>
      <c r="D1748" t="s">
        <v>951</v>
      </c>
      <c r="E1748" s="34">
        <v>1.2071999999999901</v>
      </c>
      <c r="F1748" t="s">
        <v>16830</v>
      </c>
      <c r="G1748" t="b">
        <v>0</v>
      </c>
    </row>
    <row r="1749" spans="1:7" x14ac:dyDescent="0.25">
      <c r="A1749" t="s">
        <v>14484</v>
      </c>
      <c r="B1749" s="34">
        <v>0.24</v>
      </c>
      <c r="C1749" s="34">
        <v>0.02</v>
      </c>
      <c r="D1749" t="s">
        <v>296</v>
      </c>
      <c r="E1749" s="34">
        <v>1.2</v>
      </c>
      <c r="F1749" t="s">
        <v>16944</v>
      </c>
      <c r="G1749" t="b">
        <v>0</v>
      </c>
    </row>
    <row r="1750" spans="1:7" x14ac:dyDescent="0.25">
      <c r="A1750" t="s">
        <v>14567</v>
      </c>
      <c r="B1750" s="34">
        <v>0.23999999999999899</v>
      </c>
      <c r="C1750" s="34">
        <v>0.02</v>
      </c>
      <c r="D1750" t="s">
        <v>1323</v>
      </c>
      <c r="E1750" s="34">
        <v>1.19999999999999</v>
      </c>
      <c r="F1750" t="s">
        <v>17024</v>
      </c>
      <c r="G1750" t="b">
        <v>0</v>
      </c>
    </row>
    <row r="1751" spans="1:7" x14ac:dyDescent="0.25">
      <c r="A1751" t="s">
        <v>14012</v>
      </c>
      <c r="B1751" s="34">
        <v>0.23995999999999901</v>
      </c>
      <c r="C1751" s="34">
        <v>1.99966666666666E-2</v>
      </c>
      <c r="D1751" t="s">
        <v>84</v>
      </c>
      <c r="E1751" s="34">
        <v>1.1998</v>
      </c>
      <c r="F1751" t="s">
        <v>16479</v>
      </c>
      <c r="G1751" t="b">
        <v>0</v>
      </c>
    </row>
    <row r="1752" spans="1:7" x14ac:dyDescent="0.25">
      <c r="A1752" t="s">
        <v>14625</v>
      </c>
      <c r="B1752" s="34">
        <v>0.2389841</v>
      </c>
      <c r="C1752" s="34">
        <v>1.99153416666666E-2</v>
      </c>
      <c r="D1752" t="s">
        <v>409</v>
      </c>
      <c r="E1752" s="34">
        <v>1.1949204999999901</v>
      </c>
      <c r="F1752" t="s">
        <v>17078</v>
      </c>
      <c r="G1752" t="b">
        <v>0</v>
      </c>
    </row>
    <row r="1753" spans="1:7" x14ac:dyDescent="0.25">
      <c r="A1753" t="s">
        <v>13396</v>
      </c>
      <c r="B1753" s="34">
        <v>0.23841999999999999</v>
      </c>
      <c r="C1753" s="34">
        <v>1.98683333333333E-2</v>
      </c>
      <c r="D1753" t="s">
        <v>35</v>
      </c>
      <c r="E1753" s="34">
        <v>1.1920999999999999</v>
      </c>
      <c r="F1753" t="s">
        <v>15866</v>
      </c>
      <c r="G1753" t="b">
        <v>0</v>
      </c>
    </row>
    <row r="1754" spans="1:7" x14ac:dyDescent="0.25">
      <c r="A1754" t="s">
        <v>14435</v>
      </c>
      <c r="B1754" s="34">
        <v>0.2382</v>
      </c>
      <c r="C1754" s="34">
        <v>1.985E-2</v>
      </c>
      <c r="D1754" t="s">
        <v>35</v>
      </c>
      <c r="E1754" s="34">
        <v>1.1909999999999901</v>
      </c>
      <c r="F1754" t="s">
        <v>16896</v>
      </c>
      <c r="G1754" t="b">
        <v>0</v>
      </c>
    </row>
    <row r="1755" spans="1:7" x14ac:dyDescent="0.25">
      <c r="A1755" t="s">
        <v>14048</v>
      </c>
      <c r="B1755" s="34">
        <v>0.23810000000000001</v>
      </c>
      <c r="C1755" s="34">
        <v>1.9841666666666601E-2</v>
      </c>
      <c r="D1755" t="s">
        <v>290</v>
      </c>
      <c r="E1755" s="34">
        <v>1.1904999999999999</v>
      </c>
      <c r="F1755" t="s">
        <v>16515</v>
      </c>
      <c r="G1755" t="b">
        <v>0</v>
      </c>
    </row>
    <row r="1756" spans="1:7" x14ac:dyDescent="0.25">
      <c r="A1756" t="s">
        <v>12614</v>
      </c>
      <c r="B1756" s="34">
        <v>0.23718139999999999</v>
      </c>
      <c r="C1756" s="34">
        <v>1.97651166666666E-2</v>
      </c>
      <c r="D1756" t="s">
        <v>35</v>
      </c>
      <c r="E1756" s="34">
        <v>1.185907</v>
      </c>
      <c r="F1756" t="s">
        <v>15089</v>
      </c>
      <c r="G1756" t="b">
        <v>0</v>
      </c>
    </row>
    <row r="1757" spans="1:7" x14ac:dyDescent="0.25">
      <c r="A1757" t="s">
        <v>14782</v>
      </c>
      <c r="B1757" s="34">
        <v>0.23663999999999999</v>
      </c>
      <c r="C1757" s="34">
        <v>1.9719999999999901E-2</v>
      </c>
      <c r="D1757" t="s">
        <v>132</v>
      </c>
      <c r="E1757" s="34">
        <v>1.1832</v>
      </c>
      <c r="F1757" t="s">
        <v>17229</v>
      </c>
      <c r="G1757" t="b">
        <v>0</v>
      </c>
    </row>
    <row r="1758" spans="1:7" x14ac:dyDescent="0.25">
      <c r="A1758" t="s">
        <v>13942</v>
      </c>
      <c r="B1758" s="34">
        <v>0.236399999999999</v>
      </c>
      <c r="C1758" s="34">
        <v>1.9699999999999902E-2</v>
      </c>
      <c r="D1758" t="s">
        <v>323</v>
      </c>
      <c r="E1758" s="34">
        <v>1.1819999999999899</v>
      </c>
      <c r="F1758" t="s">
        <v>16409</v>
      </c>
      <c r="G1758" t="b">
        <v>0</v>
      </c>
    </row>
    <row r="1759" spans="1:7" x14ac:dyDescent="0.25">
      <c r="A1759" t="s">
        <v>14271</v>
      </c>
      <c r="B1759" s="34">
        <v>0.2347832</v>
      </c>
      <c r="C1759" s="34">
        <v>1.9565266666666602E-2</v>
      </c>
      <c r="D1759" t="s">
        <v>781</v>
      </c>
      <c r="E1759" s="34">
        <v>1.173916</v>
      </c>
      <c r="F1759" t="s">
        <v>16735</v>
      </c>
      <c r="G1759" t="b">
        <v>0</v>
      </c>
    </row>
    <row r="1760" spans="1:7" x14ac:dyDescent="0.25">
      <c r="A1760" t="s">
        <v>13647</v>
      </c>
      <c r="B1760" s="34">
        <v>0.23399999999999899</v>
      </c>
      <c r="C1760" s="34">
        <v>1.95E-2</v>
      </c>
      <c r="D1760" t="s">
        <v>6760</v>
      </c>
      <c r="E1760" s="34">
        <v>1.1699999999999899</v>
      </c>
      <c r="F1760" t="s">
        <v>16116</v>
      </c>
      <c r="G1760" t="b">
        <v>0</v>
      </c>
    </row>
    <row r="1761" spans="1:7" x14ac:dyDescent="0.25">
      <c r="A1761" t="s">
        <v>13615</v>
      </c>
      <c r="B1761" s="34">
        <v>0.23330000000000001</v>
      </c>
      <c r="C1761" s="34">
        <v>1.94416666666666E-2</v>
      </c>
      <c r="D1761" t="s">
        <v>356</v>
      </c>
      <c r="E1761" s="34">
        <v>1.1665000000000001</v>
      </c>
      <c r="F1761" t="s">
        <v>16084</v>
      </c>
      <c r="G1761" t="b">
        <v>0</v>
      </c>
    </row>
    <row r="1762" spans="1:7" x14ac:dyDescent="0.25">
      <c r="A1762" t="s">
        <v>14801</v>
      </c>
      <c r="B1762" s="34">
        <v>0.2326</v>
      </c>
      <c r="C1762" s="34">
        <v>1.9383333333333301E-2</v>
      </c>
      <c r="D1762" t="s">
        <v>35</v>
      </c>
      <c r="E1762" s="34">
        <v>1.163</v>
      </c>
      <c r="F1762" t="s">
        <v>17246</v>
      </c>
      <c r="G1762" t="b">
        <v>0</v>
      </c>
    </row>
    <row r="1763" spans="1:7" x14ac:dyDescent="0.25">
      <c r="A1763" t="s">
        <v>14446</v>
      </c>
      <c r="B1763" s="34">
        <v>0.2324</v>
      </c>
      <c r="C1763" s="34">
        <v>1.9366666666666602E-2</v>
      </c>
      <c r="D1763" t="s">
        <v>35</v>
      </c>
      <c r="E1763" s="34">
        <v>1.1619999999999999</v>
      </c>
      <c r="F1763" t="s">
        <v>16906</v>
      </c>
      <c r="G1763" t="b">
        <v>0</v>
      </c>
    </row>
    <row r="1764" spans="1:7" x14ac:dyDescent="0.25">
      <c r="A1764" t="s">
        <v>13861</v>
      </c>
      <c r="B1764" s="34">
        <v>0.23112199999999999</v>
      </c>
      <c r="C1764" s="34">
        <v>1.9260166666666599E-2</v>
      </c>
      <c r="D1764" t="s">
        <v>26</v>
      </c>
      <c r="E1764" s="34">
        <v>1.15560999999999</v>
      </c>
      <c r="F1764" t="s">
        <v>16328</v>
      </c>
      <c r="G1764" t="b">
        <v>0</v>
      </c>
    </row>
    <row r="1765" spans="1:7" x14ac:dyDescent="0.25">
      <c r="A1765" t="s">
        <v>14788</v>
      </c>
      <c r="B1765" s="34">
        <v>0.2295634</v>
      </c>
      <c r="C1765" s="34">
        <v>1.91302833333333E-2</v>
      </c>
      <c r="D1765" t="s">
        <v>26</v>
      </c>
      <c r="E1765" s="34">
        <v>1.1478170000000001</v>
      </c>
      <c r="F1765" t="s">
        <v>17234</v>
      </c>
      <c r="G1765" t="b">
        <v>0</v>
      </c>
    </row>
    <row r="1766" spans="1:7" x14ac:dyDescent="0.25">
      <c r="A1766" t="s">
        <v>12748</v>
      </c>
      <c r="B1766" s="34">
        <v>0.22907440000000001</v>
      </c>
      <c r="C1766" s="34">
        <v>1.9089533333333301E-2</v>
      </c>
      <c r="D1766" t="s">
        <v>982</v>
      </c>
      <c r="E1766" s="34">
        <v>1.1453719999999901</v>
      </c>
      <c r="F1766" t="s">
        <v>15223</v>
      </c>
      <c r="G1766" t="b">
        <v>0</v>
      </c>
    </row>
    <row r="1767" spans="1:7" x14ac:dyDescent="0.25">
      <c r="A1767" t="s">
        <v>13959</v>
      </c>
      <c r="B1767" s="34">
        <v>0.22742999999999999</v>
      </c>
      <c r="C1767" s="34">
        <v>1.8952500000000001E-2</v>
      </c>
      <c r="D1767" t="s">
        <v>776</v>
      </c>
      <c r="E1767" s="34">
        <v>1.1371500000000001</v>
      </c>
      <c r="F1767" t="s">
        <v>16426</v>
      </c>
      <c r="G1767" t="b">
        <v>0</v>
      </c>
    </row>
    <row r="1768" spans="1:7" x14ac:dyDescent="0.25">
      <c r="A1768" t="s">
        <v>12671</v>
      </c>
      <c r="B1768" s="34">
        <v>0.22625999999999999</v>
      </c>
      <c r="C1768" s="34">
        <v>1.8855E-2</v>
      </c>
      <c r="D1768" t="s">
        <v>4483</v>
      </c>
      <c r="E1768" s="34">
        <v>1.1313</v>
      </c>
      <c r="F1768" t="s">
        <v>15146</v>
      </c>
      <c r="G1768" t="b">
        <v>0</v>
      </c>
    </row>
    <row r="1769" spans="1:7" x14ac:dyDescent="0.25">
      <c r="A1769" t="s">
        <v>14190</v>
      </c>
      <c r="B1769" s="34">
        <v>0.22531999999999999</v>
      </c>
      <c r="C1769" s="34">
        <v>1.8776666666666601E-2</v>
      </c>
      <c r="D1769" t="s">
        <v>132</v>
      </c>
      <c r="E1769" s="34">
        <v>1.1265999999999901</v>
      </c>
      <c r="F1769" t="s">
        <v>16654</v>
      </c>
      <c r="G1769" t="b">
        <v>0</v>
      </c>
    </row>
    <row r="1770" spans="1:7" x14ac:dyDescent="0.25">
      <c r="A1770" t="s">
        <v>13341</v>
      </c>
      <c r="B1770" s="34">
        <v>0.22525999999999999</v>
      </c>
      <c r="C1770" s="34">
        <v>1.87716666666666E-2</v>
      </c>
      <c r="D1770" t="s">
        <v>2696</v>
      </c>
      <c r="E1770" s="34">
        <v>1.1263000000000001</v>
      </c>
      <c r="F1770" t="s">
        <v>15811</v>
      </c>
      <c r="G1770" t="b">
        <v>0</v>
      </c>
    </row>
    <row r="1771" spans="1:7" x14ac:dyDescent="0.25">
      <c r="A1771" t="s">
        <v>12956</v>
      </c>
      <c r="B1771" s="34">
        <v>0.22419999999999901</v>
      </c>
      <c r="C1771" s="34">
        <v>1.8683333333333298E-2</v>
      </c>
      <c r="D1771" t="s">
        <v>1288</v>
      </c>
      <c r="E1771" s="34">
        <v>1.12099999999999</v>
      </c>
      <c r="F1771" t="s">
        <v>15431</v>
      </c>
      <c r="G1771" t="b">
        <v>0</v>
      </c>
    </row>
    <row r="1772" spans="1:7" x14ac:dyDescent="0.25">
      <c r="A1772" t="s">
        <v>14391</v>
      </c>
      <c r="B1772" s="34">
        <v>0.224055</v>
      </c>
      <c r="C1772" s="34">
        <v>1.867125E-2</v>
      </c>
      <c r="D1772" t="s">
        <v>67</v>
      </c>
      <c r="E1772" s="34">
        <v>1.1202749999999999</v>
      </c>
      <c r="F1772" t="s">
        <v>16853</v>
      </c>
      <c r="G1772" t="b">
        <v>0</v>
      </c>
    </row>
    <row r="1773" spans="1:7" x14ac:dyDescent="0.25">
      <c r="A1773" t="s">
        <v>14226</v>
      </c>
      <c r="B1773" s="34">
        <v>0.22352999999999901</v>
      </c>
      <c r="C1773" s="34">
        <v>1.8627500000000002E-2</v>
      </c>
      <c r="D1773" t="s">
        <v>1240</v>
      </c>
      <c r="E1773" s="34">
        <v>1.11764999999999</v>
      </c>
      <c r="F1773" t="s">
        <v>16690</v>
      </c>
      <c r="G1773" t="b">
        <v>0</v>
      </c>
    </row>
    <row r="1774" spans="1:7" x14ac:dyDescent="0.25">
      <c r="A1774" t="s">
        <v>14064</v>
      </c>
      <c r="B1774" s="34">
        <v>0.22320000000000001</v>
      </c>
      <c r="C1774" s="34">
        <v>1.8599999999999998E-2</v>
      </c>
      <c r="D1774" t="s">
        <v>512</v>
      </c>
      <c r="E1774" s="34">
        <v>1.1159999999999899</v>
      </c>
      <c r="F1774" t="s">
        <v>16531</v>
      </c>
      <c r="G1774" t="b">
        <v>0</v>
      </c>
    </row>
    <row r="1775" spans="1:7" x14ac:dyDescent="0.25">
      <c r="A1775" t="s">
        <v>13454</v>
      </c>
      <c r="B1775" s="34">
        <v>0.22209999999999999</v>
      </c>
      <c r="C1775" s="34">
        <v>1.85083333333333E-2</v>
      </c>
      <c r="D1775" t="s">
        <v>1861</v>
      </c>
      <c r="E1775" s="34">
        <v>1.1105</v>
      </c>
      <c r="F1775" t="s">
        <v>15923</v>
      </c>
      <c r="G1775" t="b">
        <v>0</v>
      </c>
    </row>
    <row r="1776" spans="1:7" x14ac:dyDescent="0.25">
      <c r="A1776" t="s">
        <v>12600</v>
      </c>
      <c r="B1776" s="34">
        <v>0.22040760000000001</v>
      </c>
      <c r="C1776" s="34">
        <v>1.83673E-2</v>
      </c>
      <c r="D1776" t="s">
        <v>215</v>
      </c>
      <c r="E1776" s="34">
        <v>0.55101900000000004</v>
      </c>
      <c r="F1776" t="s">
        <v>15075</v>
      </c>
      <c r="G1776" t="b">
        <v>0</v>
      </c>
    </row>
    <row r="1777" spans="1:7" x14ac:dyDescent="0.25">
      <c r="A1777" t="s">
        <v>14603</v>
      </c>
      <c r="B1777" s="34">
        <v>0.21840000000000001</v>
      </c>
      <c r="C1777" s="34">
        <v>1.8200000000000001E-2</v>
      </c>
      <c r="D1777" t="s">
        <v>873</v>
      </c>
      <c r="E1777" s="34">
        <v>1.0920000000000001</v>
      </c>
      <c r="F1777" t="s">
        <v>17058</v>
      </c>
      <c r="G1777" t="b">
        <v>0</v>
      </c>
    </row>
    <row r="1778" spans="1:7" x14ac:dyDescent="0.25">
      <c r="A1778" t="s">
        <v>14583</v>
      </c>
      <c r="B1778" s="34">
        <v>0.2183454</v>
      </c>
      <c r="C1778" s="34">
        <v>1.8195449999999998E-2</v>
      </c>
      <c r="D1778" t="s">
        <v>2101</v>
      </c>
      <c r="E1778" s="34">
        <v>1.0917269999999999</v>
      </c>
      <c r="F1778" t="s">
        <v>17040</v>
      </c>
      <c r="G1778" t="b">
        <v>0</v>
      </c>
    </row>
    <row r="1779" spans="1:7" x14ac:dyDescent="0.25">
      <c r="A1779" t="s">
        <v>13261</v>
      </c>
      <c r="B1779" s="34">
        <v>0.21718899999999899</v>
      </c>
      <c r="C1779" s="34">
        <v>1.80990833333333E-2</v>
      </c>
      <c r="D1779" t="s">
        <v>2273</v>
      </c>
      <c r="E1779" s="34">
        <v>1.0859449999999899</v>
      </c>
      <c r="F1779" t="s">
        <v>15734</v>
      </c>
      <c r="G1779" t="b">
        <v>0</v>
      </c>
    </row>
    <row r="1780" spans="1:7" x14ac:dyDescent="0.25">
      <c r="A1780" t="s">
        <v>14713</v>
      </c>
      <c r="B1780" s="34">
        <v>0.21659999999999999</v>
      </c>
      <c r="C1780" s="34">
        <v>1.805E-2</v>
      </c>
      <c r="D1780" t="s">
        <v>1645</v>
      </c>
      <c r="E1780" s="34">
        <v>1.083</v>
      </c>
      <c r="F1780" t="s">
        <v>17164</v>
      </c>
      <c r="G1780" t="b">
        <v>0</v>
      </c>
    </row>
    <row r="1781" spans="1:7" x14ac:dyDescent="0.25">
      <c r="A1781" t="s">
        <v>13030</v>
      </c>
      <c r="B1781" s="34">
        <v>0.21605360000000001</v>
      </c>
      <c r="C1781" s="34">
        <v>1.8004466666666601E-2</v>
      </c>
      <c r="D1781" t="s">
        <v>2287</v>
      </c>
      <c r="E1781" s="34">
        <v>1.080268</v>
      </c>
      <c r="F1781" t="s">
        <v>15505</v>
      </c>
      <c r="G1781" t="b">
        <v>0</v>
      </c>
    </row>
    <row r="1782" spans="1:7" x14ac:dyDescent="0.25">
      <c r="A1782" t="s">
        <v>14233</v>
      </c>
      <c r="B1782" s="34">
        <v>0.21567681</v>
      </c>
      <c r="C1782" s="34">
        <v>1.7973067499999999E-2</v>
      </c>
      <c r="D1782" t="s">
        <v>385</v>
      </c>
      <c r="E1782" s="34">
        <v>1.0783840499999999</v>
      </c>
      <c r="F1782" t="s">
        <v>16697</v>
      </c>
      <c r="G1782" t="b">
        <v>0</v>
      </c>
    </row>
    <row r="1783" spans="1:7" x14ac:dyDescent="0.25">
      <c r="A1783" t="s">
        <v>14470</v>
      </c>
      <c r="B1783" s="34">
        <v>0.21418000000000001</v>
      </c>
      <c r="C1783" s="34">
        <v>1.7848333333333299E-2</v>
      </c>
      <c r="D1783" t="s">
        <v>1288</v>
      </c>
      <c r="E1783" s="34">
        <v>1.0709</v>
      </c>
      <c r="F1783" t="s">
        <v>16930</v>
      </c>
      <c r="G1783" t="b">
        <v>0</v>
      </c>
    </row>
    <row r="1784" spans="1:7" x14ac:dyDescent="0.25">
      <c r="A1784" t="s">
        <v>14384</v>
      </c>
      <c r="B1784" s="34">
        <v>0.212699999999999</v>
      </c>
      <c r="C1784" s="34">
        <v>1.7724999999999901E-2</v>
      </c>
      <c r="D1784" t="s">
        <v>7038</v>
      </c>
      <c r="E1784" s="34">
        <v>1.0634999999999899</v>
      </c>
      <c r="F1784" t="s">
        <v>16846</v>
      </c>
      <c r="G1784" t="b">
        <v>0</v>
      </c>
    </row>
    <row r="1785" spans="1:7" x14ac:dyDescent="0.25">
      <c r="A1785" t="s">
        <v>13205</v>
      </c>
      <c r="B1785" s="34">
        <v>0.212419999999999</v>
      </c>
      <c r="C1785" s="34">
        <v>1.7701666666666602E-2</v>
      </c>
      <c r="D1785" t="s">
        <v>632</v>
      </c>
      <c r="E1785" s="34">
        <v>1.0621</v>
      </c>
      <c r="F1785" t="s">
        <v>15679</v>
      </c>
      <c r="G1785" t="b">
        <v>0</v>
      </c>
    </row>
    <row r="1786" spans="1:7" x14ac:dyDescent="0.25">
      <c r="A1786" t="s">
        <v>14373</v>
      </c>
      <c r="B1786" s="34">
        <v>0.21089559999999999</v>
      </c>
      <c r="C1786" s="34">
        <v>1.7574633333333301E-2</v>
      </c>
      <c r="D1786" t="s">
        <v>35</v>
      </c>
      <c r="E1786" s="34">
        <v>1.054478</v>
      </c>
      <c r="F1786" t="s">
        <v>16835</v>
      </c>
      <c r="G1786" t="b">
        <v>0</v>
      </c>
    </row>
    <row r="1787" spans="1:7" x14ac:dyDescent="0.25">
      <c r="A1787" t="s">
        <v>13393</v>
      </c>
      <c r="B1787" s="34">
        <v>0.21065999999999999</v>
      </c>
      <c r="C1787" s="34">
        <v>1.7554999999999901E-2</v>
      </c>
      <c r="D1787" t="s">
        <v>409</v>
      </c>
      <c r="E1787" s="34">
        <v>1.0532999999999999</v>
      </c>
      <c r="F1787" t="s">
        <v>15863</v>
      </c>
      <c r="G1787" t="b">
        <v>0</v>
      </c>
    </row>
    <row r="1788" spans="1:7" x14ac:dyDescent="0.25">
      <c r="A1788" t="s">
        <v>14863</v>
      </c>
      <c r="B1788" s="34">
        <v>0.21026</v>
      </c>
      <c r="C1788" s="34">
        <v>1.7521666666666599E-2</v>
      </c>
      <c r="D1788" t="s">
        <v>139</v>
      </c>
      <c r="E1788" s="34">
        <v>1.0512999999999999</v>
      </c>
      <c r="F1788" t="s">
        <v>17300</v>
      </c>
      <c r="G1788" t="b">
        <v>0</v>
      </c>
    </row>
    <row r="1789" spans="1:7" x14ac:dyDescent="0.25">
      <c r="A1789" t="s">
        <v>13909</v>
      </c>
      <c r="B1789" s="34">
        <v>0.209899999999999</v>
      </c>
      <c r="C1789" s="34">
        <v>1.74916666666666E-2</v>
      </c>
      <c r="D1789" t="s">
        <v>1240</v>
      </c>
      <c r="E1789" s="34">
        <v>1.0494999999999901</v>
      </c>
      <c r="F1789" t="s">
        <v>16376</v>
      </c>
      <c r="G1789" t="b">
        <v>0</v>
      </c>
    </row>
    <row r="1790" spans="1:7" x14ac:dyDescent="0.25">
      <c r="A1790" t="s">
        <v>14172</v>
      </c>
      <c r="B1790" s="34">
        <v>0.20891999999999999</v>
      </c>
      <c r="C1790" s="34">
        <v>1.7409999999999998E-2</v>
      </c>
      <c r="D1790" t="s">
        <v>221</v>
      </c>
      <c r="E1790" s="34">
        <v>1.0446</v>
      </c>
      <c r="F1790" t="s">
        <v>16638</v>
      </c>
      <c r="G1790" t="b">
        <v>0</v>
      </c>
    </row>
    <row r="1791" spans="1:7" x14ac:dyDescent="0.25">
      <c r="A1791" t="s">
        <v>14522</v>
      </c>
      <c r="B1791" s="34">
        <v>0.207802599999999</v>
      </c>
      <c r="C1791" s="34">
        <v>1.73168833333333E-2</v>
      </c>
      <c r="D1791" t="s">
        <v>35</v>
      </c>
      <c r="E1791" s="34">
        <v>1.03901299999999</v>
      </c>
      <c r="F1791" t="s">
        <v>16982</v>
      </c>
      <c r="G1791" t="b">
        <v>0</v>
      </c>
    </row>
    <row r="1792" spans="1:7" x14ac:dyDescent="0.25">
      <c r="A1792" t="s">
        <v>13066</v>
      </c>
      <c r="B1792" s="34">
        <v>0.20609999999999901</v>
      </c>
      <c r="C1792" s="34">
        <v>1.7174999999999899E-2</v>
      </c>
      <c r="D1792" t="s">
        <v>1861</v>
      </c>
      <c r="E1792" s="34">
        <v>1.03049999999999</v>
      </c>
      <c r="F1792" t="s">
        <v>15541</v>
      </c>
      <c r="G1792" t="b">
        <v>0</v>
      </c>
    </row>
    <row r="1793" spans="1:7" x14ac:dyDescent="0.25">
      <c r="A1793" t="s">
        <v>13845</v>
      </c>
      <c r="B1793" s="34">
        <v>0.20572950000000001</v>
      </c>
      <c r="C1793" s="34">
        <v>1.7144125E-2</v>
      </c>
      <c r="D1793" t="s">
        <v>26</v>
      </c>
      <c r="E1793" s="34">
        <v>1.0286474999999999</v>
      </c>
      <c r="F1793" t="s">
        <v>16312</v>
      </c>
      <c r="G1793" t="b">
        <v>0</v>
      </c>
    </row>
    <row r="1794" spans="1:7" x14ac:dyDescent="0.25">
      <c r="A1794" t="s">
        <v>13330</v>
      </c>
      <c r="B1794" s="34">
        <v>0.20529999999999901</v>
      </c>
      <c r="C1794" s="34">
        <v>1.7108333333333298E-2</v>
      </c>
      <c r="D1794" t="s">
        <v>1240</v>
      </c>
      <c r="E1794" s="34">
        <v>1.02649999999999</v>
      </c>
      <c r="F1794" t="s">
        <v>15800</v>
      </c>
      <c r="G1794" t="b">
        <v>0</v>
      </c>
    </row>
    <row r="1795" spans="1:7" x14ac:dyDescent="0.25">
      <c r="A1795" t="s">
        <v>14201</v>
      </c>
      <c r="B1795" s="34">
        <v>0.20519999999999999</v>
      </c>
      <c r="C1795" s="34">
        <v>1.7100000000000001E-2</v>
      </c>
      <c r="D1795" t="s">
        <v>928</v>
      </c>
      <c r="E1795" s="34">
        <v>1.026</v>
      </c>
      <c r="F1795" t="s">
        <v>16665</v>
      </c>
      <c r="G1795" t="b">
        <v>0</v>
      </c>
    </row>
    <row r="1796" spans="1:7" x14ac:dyDescent="0.25">
      <c r="A1796" t="s">
        <v>13886</v>
      </c>
      <c r="B1796" s="34">
        <v>0.20499999999999999</v>
      </c>
      <c r="C1796" s="34">
        <v>1.7083333333333301E-2</v>
      </c>
      <c r="D1796" t="s">
        <v>13</v>
      </c>
      <c r="E1796" s="34">
        <v>1.0249999999999999</v>
      </c>
      <c r="F1796" t="s">
        <v>16353</v>
      </c>
      <c r="G1796" t="b">
        <v>0</v>
      </c>
    </row>
    <row r="1797" spans="1:7" x14ac:dyDescent="0.25">
      <c r="A1797" t="s">
        <v>14858</v>
      </c>
      <c r="B1797" s="34">
        <v>0.20499999999999999</v>
      </c>
      <c r="C1797" s="34">
        <v>1.7083333333333301E-2</v>
      </c>
      <c r="D1797" t="s">
        <v>1336</v>
      </c>
      <c r="E1797" s="34">
        <v>1.0249999999999999</v>
      </c>
      <c r="F1797" t="s">
        <v>17295</v>
      </c>
      <c r="G1797" t="b">
        <v>0</v>
      </c>
    </row>
    <row r="1798" spans="1:7" x14ac:dyDescent="0.25">
      <c r="A1798" t="s">
        <v>14807</v>
      </c>
      <c r="B1798" s="34">
        <v>0.20341999999999999</v>
      </c>
      <c r="C1798" s="34">
        <v>1.6951666666666601E-2</v>
      </c>
      <c r="D1798" t="s">
        <v>132</v>
      </c>
      <c r="E1798" s="34">
        <v>1.0170999999999999</v>
      </c>
      <c r="F1798" t="s">
        <v>17251</v>
      </c>
      <c r="G1798" t="b">
        <v>0</v>
      </c>
    </row>
    <row r="1799" spans="1:7" x14ac:dyDescent="0.25">
      <c r="A1799" t="s">
        <v>13361</v>
      </c>
      <c r="B1799" s="34">
        <v>0.2022282</v>
      </c>
      <c r="C1799" s="34">
        <v>1.6852349999999999E-2</v>
      </c>
      <c r="D1799" t="s">
        <v>318</v>
      </c>
      <c r="E1799" s="34">
        <v>1.0111410000000001</v>
      </c>
      <c r="F1799" t="s">
        <v>15831</v>
      </c>
      <c r="G1799" t="b">
        <v>0</v>
      </c>
    </row>
    <row r="1800" spans="1:7" x14ac:dyDescent="0.25">
      <c r="A1800" t="s">
        <v>14719</v>
      </c>
      <c r="B1800" s="34">
        <v>0.20183999999999999</v>
      </c>
      <c r="C1800" s="34">
        <v>1.6819999999999901E-2</v>
      </c>
      <c r="D1800" t="s">
        <v>132</v>
      </c>
      <c r="E1800" s="34">
        <v>1.0092000000000001</v>
      </c>
      <c r="F1800" t="s">
        <v>17170</v>
      </c>
      <c r="G1800" t="b">
        <v>0</v>
      </c>
    </row>
    <row r="1801" spans="1:7" x14ac:dyDescent="0.25">
      <c r="A1801" t="s">
        <v>13756</v>
      </c>
      <c r="B1801" s="34">
        <v>0.20134099999999999</v>
      </c>
      <c r="C1801" s="34">
        <v>1.6778416666666601E-2</v>
      </c>
      <c r="D1801" t="s">
        <v>35</v>
      </c>
      <c r="E1801" s="34">
        <v>0.50335249999999998</v>
      </c>
      <c r="F1801" t="s">
        <v>16224</v>
      </c>
      <c r="G1801" t="b">
        <v>0</v>
      </c>
    </row>
    <row r="1802" spans="1:7" x14ac:dyDescent="0.25">
      <c r="A1802" t="s">
        <v>14134</v>
      </c>
      <c r="B1802" s="34">
        <v>0.20077999999999999</v>
      </c>
      <c r="C1802" s="34">
        <v>1.67316666666666E-2</v>
      </c>
      <c r="D1802" t="s">
        <v>390</v>
      </c>
      <c r="E1802" s="34">
        <v>1.00389999999999</v>
      </c>
      <c r="F1802" t="s">
        <v>16601</v>
      </c>
      <c r="G1802" t="b">
        <v>0</v>
      </c>
    </row>
    <row r="1803" spans="1:7" x14ac:dyDescent="0.25">
      <c r="A1803" t="s">
        <v>13072</v>
      </c>
      <c r="B1803" s="34">
        <v>0.20068</v>
      </c>
      <c r="C1803" s="34">
        <v>1.6723333333333298E-2</v>
      </c>
      <c r="D1803" t="s">
        <v>162</v>
      </c>
      <c r="E1803" s="34">
        <v>1.0034000000000001</v>
      </c>
      <c r="F1803" t="s">
        <v>15547</v>
      </c>
      <c r="G1803" t="b">
        <v>0</v>
      </c>
    </row>
    <row r="1804" spans="1:7" x14ac:dyDescent="0.25">
      <c r="A1804" t="s">
        <v>14359</v>
      </c>
      <c r="B1804" s="34">
        <v>0.20050000000000001</v>
      </c>
      <c r="C1804" s="34">
        <v>1.6708333333333301E-2</v>
      </c>
      <c r="D1804" t="s">
        <v>168</v>
      </c>
      <c r="E1804" s="34">
        <v>1.0024999999999999</v>
      </c>
      <c r="F1804" t="s">
        <v>16821</v>
      </c>
      <c r="G1804" t="b">
        <v>0</v>
      </c>
    </row>
    <row r="1805" spans="1:7" x14ac:dyDescent="0.25">
      <c r="A1805" t="s">
        <v>14641</v>
      </c>
      <c r="B1805" s="34">
        <v>0.19980000000000001</v>
      </c>
      <c r="C1805" s="34">
        <v>1.6650000000000002E-2</v>
      </c>
      <c r="D1805" t="s">
        <v>1240</v>
      </c>
      <c r="E1805" s="34">
        <v>0.999</v>
      </c>
      <c r="F1805" t="s">
        <v>17094</v>
      </c>
      <c r="G1805" t="b">
        <v>0</v>
      </c>
    </row>
    <row r="1806" spans="1:7" x14ac:dyDescent="0.25">
      <c r="A1806" t="s">
        <v>13728</v>
      </c>
      <c r="B1806" s="34">
        <v>0.19873399999999999</v>
      </c>
      <c r="C1806" s="34">
        <v>1.6561166666666599E-2</v>
      </c>
      <c r="D1806" t="s">
        <v>35</v>
      </c>
      <c r="E1806" s="34">
        <v>0.99367000000000005</v>
      </c>
      <c r="F1806" t="s">
        <v>16196</v>
      </c>
      <c r="G1806" t="b">
        <v>0</v>
      </c>
    </row>
    <row r="1807" spans="1:7" x14ac:dyDescent="0.25">
      <c r="A1807" t="s">
        <v>13576</v>
      </c>
      <c r="B1807" s="34">
        <v>0.19706000000000001</v>
      </c>
      <c r="C1807" s="34">
        <v>1.6421666666666598E-2</v>
      </c>
      <c r="D1807" t="s">
        <v>35</v>
      </c>
      <c r="E1807" s="34">
        <v>0.98529999999999995</v>
      </c>
      <c r="F1807" t="s">
        <v>16045</v>
      </c>
      <c r="G1807" t="b">
        <v>0</v>
      </c>
    </row>
    <row r="1808" spans="1:7" x14ac:dyDescent="0.25">
      <c r="A1808" t="s">
        <v>14841</v>
      </c>
      <c r="B1808" s="34">
        <v>0.1968</v>
      </c>
      <c r="C1808" s="34">
        <v>1.6399999999999901E-2</v>
      </c>
      <c r="D1808" t="s">
        <v>1120</v>
      </c>
      <c r="E1808" s="34">
        <v>0.98399999999999999</v>
      </c>
      <c r="F1808" t="s">
        <v>17278</v>
      </c>
      <c r="G1808" t="b">
        <v>0</v>
      </c>
    </row>
    <row r="1809" spans="1:7" x14ac:dyDescent="0.25">
      <c r="A1809" t="s">
        <v>14416</v>
      </c>
      <c r="B1809" s="34">
        <v>0.1962516</v>
      </c>
      <c r="C1809" s="34">
        <v>1.6354299999999999E-2</v>
      </c>
      <c r="D1809" t="s">
        <v>26</v>
      </c>
      <c r="E1809" s="34">
        <v>0.98125799999999996</v>
      </c>
      <c r="F1809" t="s">
        <v>16877</v>
      </c>
      <c r="G1809" t="b">
        <v>0</v>
      </c>
    </row>
    <row r="1810" spans="1:7" x14ac:dyDescent="0.25">
      <c r="A1810" t="s">
        <v>14520</v>
      </c>
      <c r="B1810" s="34">
        <v>0.19624</v>
      </c>
      <c r="C1810" s="34">
        <v>1.63533333333333E-2</v>
      </c>
      <c r="D1810" t="s">
        <v>626</v>
      </c>
      <c r="E1810" s="34">
        <v>0.98119999999999996</v>
      </c>
      <c r="F1810" t="s">
        <v>16980</v>
      </c>
      <c r="G1810" t="b">
        <v>0</v>
      </c>
    </row>
    <row r="1811" spans="1:7" x14ac:dyDescent="0.25">
      <c r="A1811" t="s">
        <v>13929</v>
      </c>
      <c r="B1811" s="34">
        <v>0.19619300000000001</v>
      </c>
      <c r="C1811" s="34">
        <v>1.6349416666666599E-2</v>
      </c>
      <c r="D1811" t="s">
        <v>35</v>
      </c>
      <c r="E1811" s="34">
        <v>0.98096499999999998</v>
      </c>
      <c r="F1811" t="s">
        <v>16396</v>
      </c>
      <c r="G1811" t="b">
        <v>0</v>
      </c>
    </row>
    <row r="1812" spans="1:7" x14ac:dyDescent="0.25">
      <c r="A1812" t="s">
        <v>13799</v>
      </c>
      <c r="B1812" s="34">
        <v>0.1961</v>
      </c>
      <c r="C1812" s="34">
        <v>1.6341666666666602E-2</v>
      </c>
      <c r="D1812" t="s">
        <v>290</v>
      </c>
      <c r="E1812" s="34">
        <v>0.98050000000000004</v>
      </c>
      <c r="F1812" t="s">
        <v>16266</v>
      </c>
      <c r="G1812" t="b">
        <v>0</v>
      </c>
    </row>
    <row r="1813" spans="1:7" x14ac:dyDescent="0.25">
      <c r="A1813" t="s">
        <v>13390</v>
      </c>
      <c r="B1813" s="34">
        <v>0.19560999999999901</v>
      </c>
      <c r="C1813" s="34">
        <v>1.6300833333333299E-2</v>
      </c>
      <c r="D1813" t="s">
        <v>571</v>
      </c>
      <c r="E1813" s="34">
        <v>0.97804999999999997</v>
      </c>
      <c r="F1813" t="s">
        <v>15860</v>
      </c>
      <c r="G1813" t="b">
        <v>0</v>
      </c>
    </row>
    <row r="1814" spans="1:7" x14ac:dyDescent="0.25">
      <c r="A1814" t="s">
        <v>13405</v>
      </c>
      <c r="B1814" s="34">
        <v>0.194432299999999</v>
      </c>
      <c r="C1814" s="34">
        <v>1.6202691666666599E-2</v>
      </c>
      <c r="D1814" t="s">
        <v>1074</v>
      </c>
      <c r="E1814" s="34">
        <v>0.97216150000000001</v>
      </c>
      <c r="F1814" t="s">
        <v>15875</v>
      </c>
      <c r="G1814" t="b">
        <v>0</v>
      </c>
    </row>
    <row r="1815" spans="1:7" x14ac:dyDescent="0.25">
      <c r="A1815" t="s">
        <v>12625</v>
      </c>
      <c r="B1815" s="34">
        <v>0.19347999999999899</v>
      </c>
      <c r="C1815" s="34">
        <v>1.6123333333333299E-2</v>
      </c>
      <c r="D1815" t="s">
        <v>90</v>
      </c>
      <c r="E1815" s="34">
        <v>0.96740000000000004</v>
      </c>
      <c r="F1815" t="s">
        <v>15100</v>
      </c>
      <c r="G1815" t="b">
        <v>0</v>
      </c>
    </row>
    <row r="1816" spans="1:7" x14ac:dyDescent="0.25">
      <c r="A1816" t="s">
        <v>14141</v>
      </c>
      <c r="B1816" s="34">
        <v>0.19320000000000001</v>
      </c>
      <c r="C1816" s="34">
        <v>1.61E-2</v>
      </c>
      <c r="D1816" t="s">
        <v>162</v>
      </c>
      <c r="E1816" s="34">
        <v>0.96599999999999997</v>
      </c>
      <c r="F1816" t="s">
        <v>16608</v>
      </c>
      <c r="G1816" t="b">
        <v>0</v>
      </c>
    </row>
    <row r="1817" spans="1:7" x14ac:dyDescent="0.25">
      <c r="A1817" t="s">
        <v>14062</v>
      </c>
      <c r="B1817" s="34">
        <v>0.19319999999999901</v>
      </c>
      <c r="C1817" s="34">
        <v>1.6099999999999899E-2</v>
      </c>
      <c r="D1817" t="s">
        <v>2267</v>
      </c>
      <c r="E1817" s="34">
        <v>0.48299999999999899</v>
      </c>
      <c r="F1817" t="s">
        <v>16529</v>
      </c>
      <c r="G1817" t="b">
        <v>0</v>
      </c>
    </row>
    <row r="1818" spans="1:7" x14ac:dyDescent="0.25">
      <c r="A1818" t="s">
        <v>13456</v>
      </c>
      <c r="B1818" s="34">
        <v>0.19189999999999999</v>
      </c>
      <c r="C1818" s="34">
        <v>1.5991666666666599E-2</v>
      </c>
      <c r="D1818" t="s">
        <v>35</v>
      </c>
      <c r="E1818" s="34">
        <v>0.95950000000000002</v>
      </c>
      <c r="F1818" t="s">
        <v>15925</v>
      </c>
      <c r="G1818" t="b">
        <v>0</v>
      </c>
    </row>
    <row r="1819" spans="1:7" x14ac:dyDescent="0.25">
      <c r="A1819" t="s">
        <v>14483</v>
      </c>
      <c r="B1819" s="34">
        <v>0.19023205000000001</v>
      </c>
      <c r="C1819" s="34">
        <v>1.5852670833333301E-2</v>
      </c>
      <c r="D1819" t="s">
        <v>26</v>
      </c>
      <c r="E1819" s="34">
        <v>0.95116025000000004</v>
      </c>
      <c r="F1819" t="s">
        <v>16943</v>
      </c>
      <c r="G1819" t="b">
        <v>0</v>
      </c>
    </row>
    <row r="1820" spans="1:7" x14ac:dyDescent="0.25">
      <c r="A1820" t="s">
        <v>14729</v>
      </c>
      <c r="B1820" s="34">
        <v>0.18995999999999999</v>
      </c>
      <c r="C1820" s="34">
        <v>1.583E-2</v>
      </c>
      <c r="D1820" t="s">
        <v>1645</v>
      </c>
      <c r="E1820" s="34">
        <v>0.94979999999999998</v>
      </c>
      <c r="F1820" t="s">
        <v>17179</v>
      </c>
      <c r="G1820" t="b">
        <v>0</v>
      </c>
    </row>
    <row r="1821" spans="1:7" x14ac:dyDescent="0.25">
      <c r="A1821" t="s">
        <v>13620</v>
      </c>
      <c r="B1821" s="34">
        <v>0.18829099999999999</v>
      </c>
      <c r="C1821" s="34">
        <v>1.56909166666666E-2</v>
      </c>
      <c r="D1821" t="s">
        <v>162</v>
      </c>
      <c r="E1821" s="34">
        <v>0.94145499999999904</v>
      </c>
      <c r="F1821" t="s">
        <v>16089</v>
      </c>
      <c r="G1821" t="b">
        <v>0</v>
      </c>
    </row>
    <row r="1822" spans="1:7" x14ac:dyDescent="0.25">
      <c r="A1822" t="s">
        <v>13480</v>
      </c>
      <c r="B1822" s="34">
        <v>0.18759999999999999</v>
      </c>
      <c r="C1822" s="34">
        <v>1.5633333333333301E-2</v>
      </c>
      <c r="D1822" t="s">
        <v>1275</v>
      </c>
      <c r="E1822" s="34">
        <v>0.93799999999999994</v>
      </c>
      <c r="F1822" t="s">
        <v>15949</v>
      </c>
      <c r="G1822" t="b">
        <v>0</v>
      </c>
    </row>
    <row r="1823" spans="1:7" x14ac:dyDescent="0.25">
      <c r="A1823" t="s">
        <v>13525</v>
      </c>
      <c r="B1823" s="34">
        <v>0.18648480000000001</v>
      </c>
      <c r="C1823" s="34">
        <v>1.5540399999999999E-2</v>
      </c>
      <c r="D1823" t="s">
        <v>873</v>
      </c>
      <c r="E1823" s="34">
        <v>0.93242400000000003</v>
      </c>
      <c r="F1823" t="s">
        <v>15994</v>
      </c>
      <c r="G1823" t="b">
        <v>0</v>
      </c>
    </row>
    <row r="1824" spans="1:7" x14ac:dyDescent="0.25">
      <c r="A1824" t="s">
        <v>14297</v>
      </c>
      <c r="B1824" s="34">
        <v>0.18410000000000001</v>
      </c>
      <c r="C1824" s="34">
        <v>1.5341666666666601E-2</v>
      </c>
      <c r="D1824" t="s">
        <v>4377</v>
      </c>
      <c r="E1824" s="34">
        <v>0.92049999999999998</v>
      </c>
      <c r="F1824" t="s">
        <v>16760</v>
      </c>
      <c r="G1824" t="b">
        <v>0</v>
      </c>
    </row>
    <row r="1825" spans="1:7" x14ac:dyDescent="0.25">
      <c r="A1825" t="s">
        <v>14521</v>
      </c>
      <c r="B1825" s="34">
        <v>0.18404000000000001</v>
      </c>
      <c r="C1825" s="34">
        <v>1.5336666666666599E-2</v>
      </c>
      <c r="D1825" t="s">
        <v>726</v>
      </c>
      <c r="E1825" s="34">
        <v>0.92020000000000002</v>
      </c>
      <c r="F1825" t="s">
        <v>16981</v>
      </c>
      <c r="G1825" t="b">
        <v>0</v>
      </c>
    </row>
    <row r="1826" spans="1:7" x14ac:dyDescent="0.25">
      <c r="A1826" t="s">
        <v>14290</v>
      </c>
      <c r="B1826" s="34">
        <v>0.18279799999999999</v>
      </c>
      <c r="C1826" s="34">
        <v>1.52331666666666E-2</v>
      </c>
      <c r="D1826" t="s">
        <v>1240</v>
      </c>
      <c r="E1826" s="34">
        <v>0.91398999999999997</v>
      </c>
      <c r="F1826" t="s">
        <v>16753</v>
      </c>
      <c r="G1826" t="b">
        <v>0</v>
      </c>
    </row>
    <row r="1827" spans="1:7" x14ac:dyDescent="0.25">
      <c r="A1827" t="s">
        <v>13587</v>
      </c>
      <c r="B1827" s="34">
        <v>0.18254100000000001</v>
      </c>
      <c r="C1827" s="34">
        <v>1.5211749999999901E-2</v>
      </c>
      <c r="D1827" t="s">
        <v>590</v>
      </c>
      <c r="E1827" s="34">
        <v>0.91270499999999999</v>
      </c>
      <c r="F1827" t="s">
        <v>16056</v>
      </c>
      <c r="G1827" t="b">
        <v>0</v>
      </c>
    </row>
    <row r="1828" spans="1:7" x14ac:dyDescent="0.25">
      <c r="A1828" t="s">
        <v>13277</v>
      </c>
      <c r="B1828" s="34">
        <v>0.18235099999999899</v>
      </c>
      <c r="C1828" s="34">
        <v>1.5195916666666601E-2</v>
      </c>
      <c r="D1828" t="s">
        <v>1382</v>
      </c>
      <c r="E1828" s="34">
        <v>0.91175499999999998</v>
      </c>
      <c r="F1828" t="s">
        <v>15749</v>
      </c>
      <c r="G1828" t="b">
        <v>0</v>
      </c>
    </row>
    <row r="1829" spans="1:7" x14ac:dyDescent="0.25">
      <c r="A1829" t="s">
        <v>14396</v>
      </c>
      <c r="B1829" s="34">
        <v>0.18222574</v>
      </c>
      <c r="C1829" s="34">
        <v>1.5185478333333301E-2</v>
      </c>
      <c r="D1829" t="s">
        <v>8352</v>
      </c>
      <c r="E1829" s="34">
        <v>0.91112870000000001</v>
      </c>
      <c r="F1829" t="s">
        <v>16858</v>
      </c>
      <c r="G1829" t="b">
        <v>0</v>
      </c>
    </row>
    <row r="1830" spans="1:7" x14ac:dyDescent="0.25">
      <c r="A1830" t="s">
        <v>14671</v>
      </c>
      <c r="B1830" s="34">
        <v>0.18176490000000001</v>
      </c>
      <c r="C1830" s="34">
        <v>1.5147074999999999E-2</v>
      </c>
      <c r="D1830" t="s">
        <v>132</v>
      </c>
      <c r="E1830" s="34">
        <v>0.45441224999999902</v>
      </c>
      <c r="F1830" t="s">
        <v>17124</v>
      </c>
      <c r="G1830" t="b">
        <v>0</v>
      </c>
    </row>
    <row r="1831" spans="1:7" x14ac:dyDescent="0.25">
      <c r="A1831" t="s">
        <v>13464</v>
      </c>
      <c r="B1831" s="34">
        <v>0.18160000000000001</v>
      </c>
      <c r="C1831" s="34">
        <v>1.5133333333333301E-2</v>
      </c>
      <c r="D1831" t="s">
        <v>35</v>
      </c>
      <c r="E1831" s="34">
        <v>0.90800000000000003</v>
      </c>
      <c r="F1831" t="s">
        <v>15933</v>
      </c>
      <c r="G1831" t="b">
        <v>0</v>
      </c>
    </row>
    <row r="1832" spans="1:7" x14ac:dyDescent="0.25">
      <c r="A1832" t="s">
        <v>14112</v>
      </c>
      <c r="B1832" s="34">
        <v>0.18057000000000001</v>
      </c>
      <c r="C1832" s="34">
        <v>1.50475E-2</v>
      </c>
      <c r="D1832" t="s">
        <v>1240</v>
      </c>
      <c r="E1832" s="34">
        <v>0.90285000000000004</v>
      </c>
      <c r="F1832" t="s">
        <v>16579</v>
      </c>
      <c r="G1832" t="b">
        <v>0</v>
      </c>
    </row>
    <row r="1833" spans="1:7" x14ac:dyDescent="0.25">
      <c r="A1833" t="s">
        <v>14195</v>
      </c>
      <c r="B1833" s="34">
        <v>0.18049999999999999</v>
      </c>
      <c r="C1833" s="34">
        <v>1.5041666666666601E-2</v>
      </c>
      <c r="D1833" t="s">
        <v>26</v>
      </c>
      <c r="E1833" s="34">
        <v>0.90249999999999997</v>
      </c>
      <c r="F1833" t="s">
        <v>16659</v>
      </c>
      <c r="G1833" t="b">
        <v>0</v>
      </c>
    </row>
    <row r="1834" spans="1:7" x14ac:dyDescent="0.25">
      <c r="A1834" t="s">
        <v>14131</v>
      </c>
      <c r="B1834" s="34">
        <v>0.179790599999999</v>
      </c>
      <c r="C1834" s="34">
        <v>1.4982550000000001E-2</v>
      </c>
      <c r="D1834" t="s">
        <v>26</v>
      </c>
      <c r="E1834" s="34">
        <v>0.898952999999999</v>
      </c>
      <c r="F1834" t="s">
        <v>16598</v>
      </c>
      <c r="G1834" t="b">
        <v>0</v>
      </c>
    </row>
    <row r="1835" spans="1:7" x14ac:dyDescent="0.25">
      <c r="A1835" t="s">
        <v>14758</v>
      </c>
      <c r="B1835" s="34">
        <v>0.179419999999999</v>
      </c>
      <c r="C1835" s="34">
        <v>1.4951666666666599E-2</v>
      </c>
      <c r="D1835" t="s">
        <v>1451</v>
      </c>
      <c r="E1835" s="34">
        <v>0.89709999999999901</v>
      </c>
      <c r="F1835" t="s">
        <v>17206</v>
      </c>
      <c r="G1835" t="b">
        <v>0</v>
      </c>
    </row>
    <row r="1836" spans="1:7" x14ac:dyDescent="0.25">
      <c r="A1836" t="s">
        <v>14330</v>
      </c>
      <c r="B1836" s="34">
        <v>0.17935999999999999</v>
      </c>
      <c r="C1836" s="34">
        <v>1.4946666666666599E-2</v>
      </c>
      <c r="D1836" t="s">
        <v>904</v>
      </c>
      <c r="E1836" s="34">
        <v>0.89680000000000004</v>
      </c>
      <c r="F1836" t="s">
        <v>16793</v>
      </c>
      <c r="G1836" t="b">
        <v>0</v>
      </c>
    </row>
    <row r="1837" spans="1:7" x14ac:dyDescent="0.25">
      <c r="A1837" t="s">
        <v>13604</v>
      </c>
      <c r="B1837" s="34">
        <v>0.17687599999999901</v>
      </c>
      <c r="C1837" s="34">
        <v>1.4739666666666601E-2</v>
      </c>
      <c r="D1837" t="s">
        <v>162</v>
      </c>
      <c r="E1837" s="34">
        <v>0.44218999999999897</v>
      </c>
      <c r="F1837" t="s">
        <v>16073</v>
      </c>
      <c r="G1837" t="b">
        <v>0</v>
      </c>
    </row>
    <row r="1838" spans="1:7" x14ac:dyDescent="0.25">
      <c r="A1838" t="s">
        <v>14780</v>
      </c>
      <c r="B1838" s="34">
        <v>0.17519000000000001</v>
      </c>
      <c r="C1838" s="34">
        <v>1.4599166666666601E-2</v>
      </c>
      <c r="D1838" t="s">
        <v>35</v>
      </c>
      <c r="E1838" s="34">
        <v>0.87595000000000001</v>
      </c>
      <c r="F1838" t="s">
        <v>17227</v>
      </c>
      <c r="G1838" t="b">
        <v>0</v>
      </c>
    </row>
    <row r="1839" spans="1:7" x14ac:dyDescent="0.25">
      <c r="A1839" t="s">
        <v>13943</v>
      </c>
      <c r="B1839" s="34">
        <v>0.17502999999999899</v>
      </c>
      <c r="C1839" s="34">
        <v>1.45858333333333E-2</v>
      </c>
      <c r="D1839" t="s">
        <v>2273</v>
      </c>
      <c r="E1839" s="34">
        <v>0.87514999999999898</v>
      </c>
      <c r="F1839" t="s">
        <v>16410</v>
      </c>
      <c r="G1839" t="b">
        <v>0</v>
      </c>
    </row>
    <row r="1840" spans="1:7" x14ac:dyDescent="0.25">
      <c r="A1840" t="s">
        <v>13732</v>
      </c>
      <c r="B1840" s="34">
        <v>0.17409839999999999</v>
      </c>
      <c r="C1840" s="34">
        <v>1.45081999999999E-2</v>
      </c>
      <c r="D1840" t="s">
        <v>35</v>
      </c>
      <c r="E1840" s="34">
        <v>0.87049200000000004</v>
      </c>
      <c r="F1840" t="s">
        <v>16200</v>
      </c>
      <c r="G1840" t="b">
        <v>0</v>
      </c>
    </row>
    <row r="1841" spans="1:7" x14ac:dyDescent="0.25">
      <c r="A1841" t="s">
        <v>14025</v>
      </c>
      <c r="B1841" s="34">
        <v>0.17299999999999999</v>
      </c>
      <c r="C1841" s="34">
        <v>1.44166666666666E-2</v>
      </c>
      <c r="D1841" t="s">
        <v>35</v>
      </c>
      <c r="E1841" s="34">
        <v>0.86499999999999999</v>
      </c>
      <c r="F1841" t="s">
        <v>16492</v>
      </c>
      <c r="G1841" t="b">
        <v>0</v>
      </c>
    </row>
    <row r="1842" spans="1:7" x14ac:dyDescent="0.25">
      <c r="A1842" t="s">
        <v>14477</v>
      </c>
      <c r="B1842" s="34">
        <v>0.17299999999999999</v>
      </c>
      <c r="C1842" s="34">
        <v>1.44166666666666E-2</v>
      </c>
      <c r="D1842" t="s">
        <v>4455</v>
      </c>
      <c r="E1842" s="34">
        <v>0.86499999999999999</v>
      </c>
      <c r="F1842" t="s">
        <v>16937</v>
      </c>
      <c r="G1842" t="b">
        <v>0</v>
      </c>
    </row>
    <row r="1843" spans="1:7" x14ac:dyDescent="0.25">
      <c r="A1843" t="s">
        <v>14046</v>
      </c>
      <c r="B1843" s="34">
        <v>0.17091779999999901</v>
      </c>
      <c r="C1843" s="34">
        <v>1.424315E-2</v>
      </c>
      <c r="D1843" t="s">
        <v>726</v>
      </c>
      <c r="E1843" s="34">
        <v>0.85458899999999904</v>
      </c>
      <c r="F1843" t="s">
        <v>16513</v>
      </c>
      <c r="G1843" t="b">
        <v>0</v>
      </c>
    </row>
    <row r="1844" spans="1:7" x14ac:dyDescent="0.25">
      <c r="A1844" t="s">
        <v>14555</v>
      </c>
      <c r="B1844" s="34">
        <v>0.16847573999999901</v>
      </c>
      <c r="C1844" s="34">
        <v>1.4039644999999899E-2</v>
      </c>
      <c r="D1844" t="s">
        <v>461</v>
      </c>
      <c r="E1844" s="34">
        <v>0.84237869999999904</v>
      </c>
      <c r="F1844" t="s">
        <v>17014</v>
      </c>
      <c r="G1844" t="b">
        <v>0</v>
      </c>
    </row>
    <row r="1845" spans="1:7" x14ac:dyDescent="0.25">
      <c r="A1845" t="s">
        <v>13981</v>
      </c>
      <c r="B1845" s="34">
        <v>0.16733239999999999</v>
      </c>
      <c r="C1845" s="34">
        <v>1.39443666666666E-2</v>
      </c>
      <c r="D1845" t="s">
        <v>2768</v>
      </c>
      <c r="E1845" s="34">
        <v>0.83666200000000002</v>
      </c>
      <c r="F1845" t="s">
        <v>16448</v>
      </c>
      <c r="G1845" t="b">
        <v>0</v>
      </c>
    </row>
    <row r="1846" spans="1:7" x14ac:dyDescent="0.25">
      <c r="A1846" t="s">
        <v>13868</v>
      </c>
      <c r="B1846" s="34">
        <v>0.16670879999999999</v>
      </c>
      <c r="C1846" s="34">
        <v>1.3892399999999999E-2</v>
      </c>
      <c r="D1846" t="s">
        <v>35</v>
      </c>
      <c r="E1846" s="34">
        <v>0.83354399999999995</v>
      </c>
      <c r="F1846" t="s">
        <v>16335</v>
      </c>
      <c r="G1846" t="b">
        <v>0</v>
      </c>
    </row>
    <row r="1847" spans="1:7" x14ac:dyDescent="0.25">
      <c r="A1847" t="s">
        <v>14150</v>
      </c>
      <c r="B1847" s="34">
        <v>0.16300000000000001</v>
      </c>
      <c r="C1847" s="34">
        <v>1.35833333333333E-2</v>
      </c>
      <c r="D1847" t="s">
        <v>268</v>
      </c>
      <c r="E1847" s="34">
        <v>0.81499999999999995</v>
      </c>
      <c r="F1847" t="s">
        <v>16617</v>
      </c>
      <c r="G1847" t="b">
        <v>0</v>
      </c>
    </row>
    <row r="1848" spans="1:7" x14ac:dyDescent="0.25">
      <c r="A1848" t="s">
        <v>14709</v>
      </c>
      <c r="B1848" s="34">
        <v>0.16239999999999999</v>
      </c>
      <c r="C1848" s="34">
        <v>1.35333333333333E-2</v>
      </c>
      <c r="D1848" t="s">
        <v>1676</v>
      </c>
      <c r="E1848" s="34">
        <v>0.81200000000000006</v>
      </c>
      <c r="F1848" t="s">
        <v>17160</v>
      </c>
      <c r="G1848" t="b">
        <v>0</v>
      </c>
    </row>
    <row r="1849" spans="1:7" x14ac:dyDescent="0.25">
      <c r="A1849" t="s">
        <v>14078</v>
      </c>
      <c r="B1849" s="34">
        <v>0.16223170000000001</v>
      </c>
      <c r="C1849" s="34">
        <v>1.3519308333333299E-2</v>
      </c>
      <c r="D1849" t="s">
        <v>1074</v>
      </c>
      <c r="E1849" s="34">
        <v>0.8111585</v>
      </c>
      <c r="F1849" t="s">
        <v>16545</v>
      </c>
      <c r="G1849" t="b">
        <v>0</v>
      </c>
    </row>
    <row r="1850" spans="1:7" x14ac:dyDescent="0.25">
      <c r="A1850" t="s">
        <v>13338</v>
      </c>
      <c r="B1850" s="34">
        <v>0.16120000000000001</v>
      </c>
      <c r="C1850" s="34">
        <v>1.3433333333333301E-2</v>
      </c>
      <c r="D1850" t="s">
        <v>35</v>
      </c>
      <c r="E1850" s="34">
        <v>0.80599999999999905</v>
      </c>
      <c r="F1850" t="s">
        <v>15808</v>
      </c>
      <c r="G1850" t="b">
        <v>0</v>
      </c>
    </row>
    <row r="1851" spans="1:7" x14ac:dyDescent="0.25">
      <c r="A1851" t="s">
        <v>14010</v>
      </c>
      <c r="B1851" s="34">
        <v>0.159999999999999</v>
      </c>
      <c r="C1851" s="34">
        <v>1.3333333333333299E-2</v>
      </c>
      <c r="D1851" t="s">
        <v>26</v>
      </c>
      <c r="E1851" s="34">
        <v>0.79999999999999905</v>
      </c>
      <c r="F1851" t="s">
        <v>16477</v>
      </c>
      <c r="G1851" t="b">
        <v>0</v>
      </c>
    </row>
    <row r="1852" spans="1:7" x14ac:dyDescent="0.25">
      <c r="A1852" t="s">
        <v>14784</v>
      </c>
      <c r="B1852" s="34">
        <v>0.15966459999999999</v>
      </c>
      <c r="C1852" s="34">
        <v>1.3305383333333301E-2</v>
      </c>
      <c r="D1852" t="s">
        <v>35</v>
      </c>
      <c r="E1852" s="34">
        <v>0.798323</v>
      </c>
      <c r="F1852" t="s">
        <v>17231</v>
      </c>
      <c r="G1852" t="b">
        <v>0</v>
      </c>
    </row>
    <row r="1853" spans="1:7" x14ac:dyDescent="0.25">
      <c r="A1853" t="s">
        <v>14105</v>
      </c>
      <c r="B1853" s="34">
        <v>0.1588</v>
      </c>
      <c r="C1853" s="34">
        <v>1.32333333333333E-2</v>
      </c>
      <c r="D1853" t="s">
        <v>35</v>
      </c>
      <c r="E1853" s="34">
        <v>0.79400000000000004</v>
      </c>
      <c r="F1853" t="s">
        <v>16572</v>
      </c>
      <c r="G1853" t="b">
        <v>0</v>
      </c>
    </row>
    <row r="1854" spans="1:7" x14ac:dyDescent="0.25">
      <c r="A1854" t="s">
        <v>14718</v>
      </c>
      <c r="B1854" s="34">
        <v>0.1588</v>
      </c>
      <c r="C1854" s="34">
        <v>1.32333333333333E-2</v>
      </c>
      <c r="D1854" t="s">
        <v>1451</v>
      </c>
      <c r="E1854" s="34">
        <v>0.79400000000000004</v>
      </c>
      <c r="F1854" t="s">
        <v>17169</v>
      </c>
      <c r="G1854" t="b">
        <v>0</v>
      </c>
    </row>
    <row r="1855" spans="1:7" x14ac:dyDescent="0.25">
      <c r="A1855" t="s">
        <v>12676</v>
      </c>
      <c r="B1855" s="34">
        <v>0.15866</v>
      </c>
      <c r="C1855" s="34">
        <v>1.32216666666666E-2</v>
      </c>
      <c r="D1855" t="s">
        <v>1451</v>
      </c>
      <c r="E1855" s="34">
        <v>0.79330000000000001</v>
      </c>
      <c r="F1855" t="s">
        <v>15151</v>
      </c>
      <c r="G1855" t="b">
        <v>0</v>
      </c>
    </row>
    <row r="1856" spans="1:7" x14ac:dyDescent="0.25">
      <c r="A1856" t="s">
        <v>13065</v>
      </c>
      <c r="B1856" s="34">
        <v>0.15809999999999999</v>
      </c>
      <c r="C1856" s="34">
        <v>1.3174999999999999E-2</v>
      </c>
      <c r="D1856" t="s">
        <v>35</v>
      </c>
      <c r="E1856" s="34">
        <v>0.79049999999999998</v>
      </c>
      <c r="F1856" t="s">
        <v>15540</v>
      </c>
      <c r="G1856" t="b">
        <v>0</v>
      </c>
    </row>
    <row r="1857" spans="1:7" x14ac:dyDescent="0.25">
      <c r="A1857" t="s">
        <v>13899</v>
      </c>
      <c r="B1857" s="34">
        <v>0.1578</v>
      </c>
      <c r="C1857" s="34">
        <v>1.315E-2</v>
      </c>
      <c r="D1857" t="s">
        <v>35</v>
      </c>
      <c r="E1857" s="34">
        <v>0.78900000000000003</v>
      </c>
      <c r="F1857" t="s">
        <v>16366</v>
      </c>
      <c r="G1857" t="b">
        <v>0</v>
      </c>
    </row>
    <row r="1858" spans="1:7" x14ac:dyDescent="0.25">
      <c r="A1858" t="s">
        <v>14664</v>
      </c>
      <c r="B1858" s="34">
        <v>0.1575097</v>
      </c>
      <c r="C1858" s="34">
        <v>1.3125808333333299E-2</v>
      </c>
      <c r="D1858" t="s">
        <v>26</v>
      </c>
      <c r="E1858" s="34">
        <v>0.78754849999999998</v>
      </c>
      <c r="F1858" t="s">
        <v>17117</v>
      </c>
      <c r="G1858" t="b">
        <v>0</v>
      </c>
    </row>
    <row r="1859" spans="1:7" x14ac:dyDescent="0.25">
      <c r="A1859" t="s">
        <v>14708</v>
      </c>
      <c r="B1859" s="34">
        <v>0.15740000000000001</v>
      </c>
      <c r="C1859" s="34">
        <v>1.3116666666666599E-2</v>
      </c>
      <c r="D1859" t="s">
        <v>35</v>
      </c>
      <c r="E1859" s="34">
        <v>0.78700000000000003</v>
      </c>
      <c r="F1859" t="s">
        <v>17159</v>
      </c>
      <c r="G1859" t="b">
        <v>0</v>
      </c>
    </row>
    <row r="1860" spans="1:7" x14ac:dyDescent="0.25">
      <c r="A1860" t="s">
        <v>13762</v>
      </c>
      <c r="B1860" s="34">
        <v>0.15698000000000001</v>
      </c>
      <c r="C1860" s="34">
        <v>1.3081666666666599E-2</v>
      </c>
      <c r="D1860" t="s">
        <v>1240</v>
      </c>
      <c r="E1860" s="34">
        <v>0.78490000000000004</v>
      </c>
      <c r="F1860" t="s">
        <v>16230</v>
      </c>
      <c r="G1860" t="b">
        <v>0</v>
      </c>
    </row>
    <row r="1861" spans="1:7" x14ac:dyDescent="0.25">
      <c r="A1861" t="s">
        <v>13634</v>
      </c>
      <c r="B1861" s="34">
        <v>0.15540000000000001</v>
      </c>
      <c r="C1861" s="34">
        <v>1.295E-2</v>
      </c>
      <c r="D1861" t="s">
        <v>35</v>
      </c>
      <c r="E1861" s="34">
        <v>0.77700000000000002</v>
      </c>
      <c r="F1861" t="s">
        <v>16103</v>
      </c>
      <c r="G1861" t="b">
        <v>0</v>
      </c>
    </row>
    <row r="1862" spans="1:7" x14ac:dyDescent="0.25">
      <c r="A1862" t="s">
        <v>14648</v>
      </c>
      <c r="B1862" s="34">
        <v>0.15470300000000001</v>
      </c>
      <c r="C1862" s="34">
        <v>1.28919166666666E-2</v>
      </c>
      <c r="D1862" t="s">
        <v>35</v>
      </c>
      <c r="E1862" s="34">
        <v>0.77351499999999995</v>
      </c>
      <c r="F1862" t="s">
        <v>17101</v>
      </c>
      <c r="G1862" t="b">
        <v>0</v>
      </c>
    </row>
    <row r="1863" spans="1:7" x14ac:dyDescent="0.25">
      <c r="A1863" t="s">
        <v>13167</v>
      </c>
      <c r="B1863" s="34">
        <v>0.15378</v>
      </c>
      <c r="C1863" s="34">
        <v>1.2815E-2</v>
      </c>
      <c r="D1863" t="s">
        <v>1978</v>
      </c>
      <c r="E1863" s="34">
        <v>0.76890000000000003</v>
      </c>
      <c r="F1863" t="s">
        <v>15642</v>
      </c>
      <c r="G1863" t="b">
        <v>0</v>
      </c>
    </row>
    <row r="1864" spans="1:7" x14ac:dyDescent="0.25">
      <c r="A1864" t="s">
        <v>13744</v>
      </c>
      <c r="B1864" s="34">
        <v>0.15359999999999999</v>
      </c>
      <c r="C1864" s="34">
        <v>1.2800000000000001E-2</v>
      </c>
      <c r="D1864" t="s">
        <v>35</v>
      </c>
      <c r="E1864" s="34">
        <v>0.76799999999999902</v>
      </c>
      <c r="F1864" t="s">
        <v>16212</v>
      </c>
      <c r="G1864" t="b">
        <v>0</v>
      </c>
    </row>
    <row r="1865" spans="1:7" x14ac:dyDescent="0.25">
      <c r="A1865" t="s">
        <v>13477</v>
      </c>
      <c r="B1865" s="34">
        <v>0.15332599999999999</v>
      </c>
      <c r="C1865" s="34">
        <v>1.27771666666666E-2</v>
      </c>
      <c r="D1865" t="s">
        <v>162</v>
      </c>
      <c r="E1865" s="34">
        <v>0.76663000000000003</v>
      </c>
      <c r="F1865" t="s">
        <v>15946</v>
      </c>
      <c r="G1865" t="b">
        <v>0</v>
      </c>
    </row>
    <row r="1866" spans="1:7" x14ac:dyDescent="0.25">
      <c r="A1866" t="s">
        <v>13862</v>
      </c>
      <c r="B1866" s="34">
        <v>0.1506364</v>
      </c>
      <c r="C1866" s="34">
        <v>1.25530333333333E-2</v>
      </c>
      <c r="D1866" t="s">
        <v>35</v>
      </c>
      <c r="E1866" s="34">
        <v>0.75318200000000002</v>
      </c>
      <c r="F1866" t="s">
        <v>16329</v>
      </c>
      <c r="G1866" t="b">
        <v>0</v>
      </c>
    </row>
    <row r="1867" spans="1:7" x14ac:dyDescent="0.25">
      <c r="A1867" t="s">
        <v>13545</v>
      </c>
      <c r="B1867" s="34">
        <v>0.15029999999999999</v>
      </c>
      <c r="C1867" s="34">
        <v>1.2525E-2</v>
      </c>
      <c r="D1867" t="s">
        <v>1281</v>
      </c>
      <c r="E1867" s="34">
        <v>0.75149999999999995</v>
      </c>
      <c r="F1867" t="s">
        <v>16014</v>
      </c>
      <c r="G1867" t="b">
        <v>0</v>
      </c>
    </row>
    <row r="1868" spans="1:7" x14ac:dyDescent="0.25">
      <c r="A1868" t="s">
        <v>14606</v>
      </c>
      <c r="B1868" s="34">
        <v>0.15015100000000001</v>
      </c>
      <c r="C1868" s="34">
        <v>1.2512583333333299E-2</v>
      </c>
      <c r="D1868" t="s">
        <v>576</v>
      </c>
      <c r="E1868" s="34">
        <v>0.75075499999999995</v>
      </c>
      <c r="F1868" t="s">
        <v>17060</v>
      </c>
      <c r="G1868" t="b">
        <v>0</v>
      </c>
    </row>
    <row r="1869" spans="1:7" x14ac:dyDescent="0.25">
      <c r="A1869" t="s">
        <v>14265</v>
      </c>
      <c r="B1869" s="34">
        <v>0.148898</v>
      </c>
      <c r="C1869" s="34">
        <v>1.24081666666666E-2</v>
      </c>
      <c r="D1869" t="s">
        <v>8552</v>
      </c>
      <c r="E1869" s="34">
        <v>0.74448999999999999</v>
      </c>
      <c r="F1869" t="s">
        <v>16729</v>
      </c>
      <c r="G1869" t="b">
        <v>0</v>
      </c>
    </row>
    <row r="1870" spans="1:7" x14ac:dyDescent="0.25">
      <c r="A1870" t="s">
        <v>14831</v>
      </c>
      <c r="B1870" s="34">
        <v>0.14815999999999999</v>
      </c>
      <c r="C1870" s="34">
        <v>1.23466666666666E-2</v>
      </c>
      <c r="D1870" t="s">
        <v>424</v>
      </c>
      <c r="E1870" s="34">
        <v>0.74080000000000001</v>
      </c>
      <c r="F1870" t="s">
        <v>17270</v>
      </c>
      <c r="G1870" t="b">
        <v>0</v>
      </c>
    </row>
    <row r="1871" spans="1:7" x14ac:dyDescent="0.25">
      <c r="A1871" t="s">
        <v>13693</v>
      </c>
      <c r="B1871" s="34">
        <v>0.14577999999999999</v>
      </c>
      <c r="C1871" s="34">
        <v>1.2148333333333299E-2</v>
      </c>
      <c r="D1871" t="s">
        <v>1240</v>
      </c>
      <c r="E1871" s="34">
        <v>0.72889999999999999</v>
      </c>
      <c r="F1871" t="s">
        <v>16161</v>
      </c>
      <c r="G1871" t="b">
        <v>0</v>
      </c>
    </row>
    <row r="1872" spans="1:7" x14ac:dyDescent="0.25">
      <c r="A1872" t="s">
        <v>13945</v>
      </c>
      <c r="B1872" s="34">
        <v>0.1457522</v>
      </c>
      <c r="C1872" s="34">
        <v>1.2146016666666599E-2</v>
      </c>
      <c r="D1872" t="s">
        <v>853</v>
      </c>
      <c r="E1872" s="34">
        <v>0.72876099999999999</v>
      </c>
      <c r="F1872" t="s">
        <v>16412</v>
      </c>
      <c r="G1872" t="b">
        <v>0</v>
      </c>
    </row>
    <row r="1873" spans="1:7" x14ac:dyDescent="0.25">
      <c r="A1873" t="s">
        <v>13325</v>
      </c>
      <c r="B1873" s="34">
        <v>0.1447</v>
      </c>
      <c r="C1873" s="34">
        <v>1.2058333333333299E-2</v>
      </c>
      <c r="D1873" t="s">
        <v>54</v>
      </c>
      <c r="E1873" s="34">
        <v>0.36175000000000002</v>
      </c>
      <c r="F1873" t="s">
        <v>15795</v>
      </c>
      <c r="G1873" t="b">
        <v>0</v>
      </c>
    </row>
    <row r="1874" spans="1:7" x14ac:dyDescent="0.25">
      <c r="A1874" t="s">
        <v>13666</v>
      </c>
      <c r="B1874" s="34">
        <v>0.14414560000000001</v>
      </c>
      <c r="C1874" s="34">
        <v>1.20121333333333E-2</v>
      </c>
      <c r="D1874" t="s">
        <v>35</v>
      </c>
      <c r="E1874" s="34">
        <v>0.72072800000000004</v>
      </c>
      <c r="F1874" t="s">
        <v>16134</v>
      </c>
      <c r="G1874" t="b">
        <v>0</v>
      </c>
    </row>
    <row r="1875" spans="1:7" x14ac:dyDescent="0.25">
      <c r="A1875" t="s">
        <v>13734</v>
      </c>
      <c r="B1875" s="34">
        <v>0.14371436000000001</v>
      </c>
      <c r="C1875" s="34">
        <v>1.19761966666666E-2</v>
      </c>
      <c r="D1875" t="s">
        <v>35</v>
      </c>
      <c r="E1875" s="34">
        <v>0.71857179999999998</v>
      </c>
      <c r="F1875" t="s">
        <v>16202</v>
      </c>
      <c r="G1875" t="b">
        <v>0</v>
      </c>
    </row>
    <row r="1876" spans="1:7" x14ac:dyDescent="0.25">
      <c r="A1876" t="s">
        <v>13307</v>
      </c>
      <c r="B1876" s="34">
        <v>0.14369999999999999</v>
      </c>
      <c r="C1876" s="34">
        <v>1.1974999999999901E-2</v>
      </c>
      <c r="D1876" t="s">
        <v>810</v>
      </c>
      <c r="E1876" s="34">
        <v>0.71849999999999903</v>
      </c>
      <c r="F1876" t="s">
        <v>15777</v>
      </c>
      <c r="G1876" t="b">
        <v>0</v>
      </c>
    </row>
    <row r="1877" spans="1:7" x14ac:dyDescent="0.25">
      <c r="A1877" t="s">
        <v>14695</v>
      </c>
      <c r="B1877" s="34">
        <v>0.1436586</v>
      </c>
      <c r="C1877" s="34">
        <v>1.1971549999999999E-2</v>
      </c>
      <c r="D1877" t="s">
        <v>296</v>
      </c>
      <c r="E1877" s="34">
        <v>0.35914649999999998</v>
      </c>
      <c r="F1877" t="s">
        <v>17147</v>
      </c>
      <c r="G1877" t="b">
        <v>0</v>
      </c>
    </row>
    <row r="1878" spans="1:7" x14ac:dyDescent="0.25">
      <c r="A1878" t="s">
        <v>14159</v>
      </c>
      <c r="B1878" s="34">
        <v>0.14291999999999999</v>
      </c>
      <c r="C1878" s="34">
        <v>1.191E-2</v>
      </c>
      <c r="D1878" t="s">
        <v>576</v>
      </c>
      <c r="E1878" s="34">
        <v>0.71460000000000001</v>
      </c>
      <c r="F1878" t="s">
        <v>16626</v>
      </c>
      <c r="G1878" t="b">
        <v>0</v>
      </c>
    </row>
    <row r="1879" spans="1:7" x14ac:dyDescent="0.25">
      <c r="A1879" t="s">
        <v>14539</v>
      </c>
      <c r="B1879" s="34">
        <v>0.14246199999999901</v>
      </c>
      <c r="C1879" s="34">
        <v>1.18718333333333E-2</v>
      </c>
      <c r="D1879" t="s">
        <v>35</v>
      </c>
      <c r="E1879" s="34">
        <v>0.712309999999999</v>
      </c>
      <c r="F1879" t="s">
        <v>16998</v>
      </c>
      <c r="G1879" t="b">
        <v>0</v>
      </c>
    </row>
    <row r="1880" spans="1:7" x14ac:dyDescent="0.25">
      <c r="A1880" t="s">
        <v>14683</v>
      </c>
      <c r="B1880" s="34">
        <v>0.14172736999999999</v>
      </c>
      <c r="C1880" s="34">
        <v>1.1810614166666599E-2</v>
      </c>
      <c r="D1880" t="s">
        <v>35</v>
      </c>
      <c r="E1880" s="34">
        <v>0.70863684999999998</v>
      </c>
      <c r="F1880" t="s">
        <v>17136</v>
      </c>
      <c r="G1880" t="b">
        <v>0</v>
      </c>
    </row>
    <row r="1881" spans="1:7" x14ac:dyDescent="0.25">
      <c r="A1881" t="s">
        <v>14252</v>
      </c>
      <c r="B1881" s="34">
        <v>0.14136000000000001</v>
      </c>
      <c r="C1881" s="34">
        <v>1.1780000000000001E-2</v>
      </c>
      <c r="D1881" t="s">
        <v>576</v>
      </c>
      <c r="E1881" s="34">
        <v>0.70679999999999998</v>
      </c>
      <c r="F1881" t="s">
        <v>16716</v>
      </c>
      <c r="G1881" t="b">
        <v>0</v>
      </c>
    </row>
    <row r="1882" spans="1:7" x14ac:dyDescent="0.25">
      <c r="A1882" t="s">
        <v>13365</v>
      </c>
      <c r="B1882" s="34">
        <v>0.13853599999999999</v>
      </c>
      <c r="C1882" s="34">
        <v>1.1544666666666601E-2</v>
      </c>
      <c r="D1882" t="s">
        <v>35</v>
      </c>
      <c r="E1882" s="34">
        <v>0.69267999999999996</v>
      </c>
      <c r="F1882" t="s">
        <v>15835</v>
      </c>
      <c r="G1882" t="b">
        <v>0</v>
      </c>
    </row>
    <row r="1883" spans="1:7" x14ac:dyDescent="0.25">
      <c r="A1883" t="s">
        <v>14293</v>
      </c>
      <c r="B1883" s="34">
        <v>0.13772000000000001</v>
      </c>
      <c r="C1883" s="34">
        <v>1.14766666666666E-2</v>
      </c>
      <c r="D1883" t="s">
        <v>1240</v>
      </c>
      <c r="E1883" s="34">
        <v>0.68859999999999999</v>
      </c>
      <c r="F1883" t="s">
        <v>16756</v>
      </c>
      <c r="G1883" t="b">
        <v>0</v>
      </c>
    </row>
    <row r="1884" spans="1:7" x14ac:dyDescent="0.25">
      <c r="A1884" t="s">
        <v>14007</v>
      </c>
      <c r="B1884" s="34">
        <v>0.13746</v>
      </c>
      <c r="C1884" s="34">
        <v>1.1455E-2</v>
      </c>
      <c r="D1884" t="s">
        <v>3523</v>
      </c>
      <c r="E1884" s="34">
        <v>0.68730000000000002</v>
      </c>
      <c r="F1884" t="s">
        <v>16474</v>
      </c>
      <c r="G1884" t="b">
        <v>0</v>
      </c>
    </row>
    <row r="1885" spans="1:7" x14ac:dyDescent="0.25">
      <c r="A1885" t="s">
        <v>13730</v>
      </c>
      <c r="B1885" s="34">
        <v>0.136598</v>
      </c>
      <c r="C1885" s="34">
        <v>1.1383166666666601E-2</v>
      </c>
      <c r="D1885" t="s">
        <v>318</v>
      </c>
      <c r="E1885" s="34">
        <v>0.68298999999999999</v>
      </c>
      <c r="F1885" t="s">
        <v>16198</v>
      </c>
      <c r="G1885" t="b">
        <v>0</v>
      </c>
    </row>
    <row r="1886" spans="1:7" x14ac:dyDescent="0.25">
      <c r="A1886" t="s">
        <v>13859</v>
      </c>
      <c r="B1886" s="34">
        <v>0.13549999999999901</v>
      </c>
      <c r="C1886" s="34">
        <v>1.1291666666666599E-2</v>
      </c>
      <c r="D1886" t="s">
        <v>2267</v>
      </c>
      <c r="E1886" s="34">
        <v>0.67749999999999899</v>
      </c>
      <c r="F1886" t="s">
        <v>16326</v>
      </c>
      <c r="G1886" t="b">
        <v>0</v>
      </c>
    </row>
    <row r="1887" spans="1:7" x14ac:dyDescent="0.25">
      <c r="A1887" t="s">
        <v>14003</v>
      </c>
      <c r="B1887" s="34">
        <v>0.13549</v>
      </c>
      <c r="C1887" s="34">
        <v>1.12908333333333E-2</v>
      </c>
      <c r="D1887" t="s">
        <v>145</v>
      </c>
      <c r="E1887" s="34">
        <v>0.67745</v>
      </c>
      <c r="F1887" t="s">
        <v>16470</v>
      </c>
      <c r="G1887" t="b">
        <v>0</v>
      </c>
    </row>
    <row r="1888" spans="1:7" x14ac:dyDescent="0.25">
      <c r="A1888" t="s">
        <v>14769</v>
      </c>
      <c r="B1888" s="34">
        <v>0.13527999999999901</v>
      </c>
      <c r="C1888" s="34">
        <v>1.12733333333333E-2</v>
      </c>
      <c r="D1888" t="s">
        <v>239</v>
      </c>
      <c r="E1888" s="34">
        <v>0.676399999999999</v>
      </c>
      <c r="F1888" t="s">
        <v>17217</v>
      </c>
      <c r="G1888" t="b">
        <v>0</v>
      </c>
    </row>
    <row r="1889" spans="1:7" x14ac:dyDescent="0.25">
      <c r="A1889" t="s">
        <v>14463</v>
      </c>
      <c r="B1889" s="34">
        <v>0.13509939999999901</v>
      </c>
      <c r="C1889" s="34">
        <v>1.1258283333333299E-2</v>
      </c>
      <c r="D1889" t="s">
        <v>35</v>
      </c>
      <c r="E1889" s="34">
        <v>0.67549700000000001</v>
      </c>
      <c r="F1889" t="s">
        <v>16923</v>
      </c>
      <c r="G1889" t="b">
        <v>0</v>
      </c>
    </row>
    <row r="1890" spans="1:7" x14ac:dyDescent="0.25">
      <c r="A1890" t="s">
        <v>14836</v>
      </c>
      <c r="B1890" s="34">
        <v>0.13485</v>
      </c>
      <c r="C1890" s="34">
        <v>1.1237499999999999E-2</v>
      </c>
      <c r="D1890" t="s">
        <v>3105</v>
      </c>
      <c r="E1890" s="34">
        <v>0.67425000000000002</v>
      </c>
      <c r="F1890" t="s">
        <v>17274</v>
      </c>
      <c r="G1890" t="b">
        <v>0</v>
      </c>
    </row>
    <row r="1891" spans="1:7" x14ac:dyDescent="0.25">
      <c r="A1891" t="s">
        <v>14276</v>
      </c>
      <c r="B1891" s="34">
        <v>0.13400000000000001</v>
      </c>
      <c r="C1891" s="34">
        <v>1.1166666666666601E-2</v>
      </c>
      <c r="D1891" t="s">
        <v>35</v>
      </c>
      <c r="E1891" s="34">
        <v>0.67</v>
      </c>
      <c r="F1891" t="s">
        <v>16740</v>
      </c>
      <c r="G1891" t="b">
        <v>0</v>
      </c>
    </row>
    <row r="1892" spans="1:7" x14ac:dyDescent="0.25">
      <c r="A1892" t="s">
        <v>14106</v>
      </c>
      <c r="B1892" s="34">
        <v>0.13161999999999999</v>
      </c>
      <c r="C1892" s="34">
        <v>1.09683333333333E-2</v>
      </c>
      <c r="D1892" t="s">
        <v>1451</v>
      </c>
      <c r="E1892" s="34">
        <v>0.65810000000000002</v>
      </c>
      <c r="F1892" t="s">
        <v>16573</v>
      </c>
      <c r="G1892" t="b">
        <v>0</v>
      </c>
    </row>
    <row r="1893" spans="1:7" x14ac:dyDescent="0.25">
      <c r="A1893" t="s">
        <v>14314</v>
      </c>
      <c r="B1893" s="34">
        <v>0.13152</v>
      </c>
      <c r="C1893" s="34">
        <v>1.0959999999999999E-2</v>
      </c>
      <c r="D1893" t="s">
        <v>1275</v>
      </c>
      <c r="E1893" s="34">
        <v>0.65759999999999996</v>
      </c>
      <c r="F1893" t="s">
        <v>16777</v>
      </c>
      <c r="G1893" t="b">
        <v>0</v>
      </c>
    </row>
    <row r="1894" spans="1:7" x14ac:dyDescent="0.25">
      <c r="A1894" t="s">
        <v>13908</v>
      </c>
      <c r="B1894" s="34">
        <v>0.13139999999999999</v>
      </c>
      <c r="C1894" s="34">
        <v>1.095E-2</v>
      </c>
      <c r="D1894" t="s">
        <v>290</v>
      </c>
      <c r="E1894" s="34">
        <v>0.65700000000000003</v>
      </c>
      <c r="F1894" t="s">
        <v>16375</v>
      </c>
      <c r="G1894" t="b">
        <v>0</v>
      </c>
    </row>
    <row r="1895" spans="1:7" x14ac:dyDescent="0.25">
      <c r="A1895" t="s">
        <v>13822</v>
      </c>
      <c r="B1895" s="34">
        <v>0.13134299999999999</v>
      </c>
      <c r="C1895" s="34">
        <v>1.094525E-2</v>
      </c>
      <c r="D1895" t="s">
        <v>306</v>
      </c>
      <c r="E1895" s="34">
        <v>0.65671499999999905</v>
      </c>
      <c r="F1895" t="s">
        <v>16289</v>
      </c>
      <c r="G1895" t="b">
        <v>0</v>
      </c>
    </row>
    <row r="1896" spans="1:7" x14ac:dyDescent="0.25">
      <c r="A1896" t="s">
        <v>13865</v>
      </c>
      <c r="B1896" s="34">
        <v>0.13113999999999901</v>
      </c>
      <c r="C1896" s="34">
        <v>1.09283333333333E-2</v>
      </c>
      <c r="D1896" t="s">
        <v>35</v>
      </c>
      <c r="E1896" s="34">
        <v>0.65569999999999995</v>
      </c>
      <c r="F1896" t="s">
        <v>16332</v>
      </c>
      <c r="G1896" t="b">
        <v>0</v>
      </c>
    </row>
    <row r="1897" spans="1:7" x14ac:dyDescent="0.25">
      <c r="A1897" t="s">
        <v>14624</v>
      </c>
      <c r="B1897" s="34">
        <v>0.13108</v>
      </c>
      <c r="C1897" s="34">
        <v>1.0923333333333301E-2</v>
      </c>
      <c r="D1897" t="s">
        <v>456</v>
      </c>
      <c r="E1897" s="34">
        <v>0.65539999999999998</v>
      </c>
      <c r="F1897" t="s">
        <v>17077</v>
      </c>
      <c r="G1897" t="b">
        <v>0</v>
      </c>
    </row>
    <row r="1898" spans="1:7" x14ac:dyDescent="0.25">
      <c r="A1898" t="s">
        <v>13551</v>
      </c>
      <c r="B1898" s="34">
        <v>0.131049999999999</v>
      </c>
      <c r="C1898" s="34">
        <v>1.09208333333333E-2</v>
      </c>
      <c r="D1898" t="s">
        <v>318</v>
      </c>
      <c r="E1898" s="34">
        <v>0.655249999999999</v>
      </c>
      <c r="F1898" t="s">
        <v>16020</v>
      </c>
      <c r="G1898" t="b">
        <v>0</v>
      </c>
    </row>
    <row r="1899" spans="1:7" x14ac:dyDescent="0.25">
      <c r="A1899" t="s">
        <v>14319</v>
      </c>
      <c r="B1899" s="34">
        <v>0.13039999999999999</v>
      </c>
      <c r="C1899" s="34">
        <v>1.0866666666666599E-2</v>
      </c>
      <c r="D1899" t="s">
        <v>1240</v>
      </c>
      <c r="E1899" s="34">
        <v>0.65200000000000002</v>
      </c>
      <c r="F1899" t="s">
        <v>16782</v>
      </c>
      <c r="G1899" t="b">
        <v>0</v>
      </c>
    </row>
    <row r="1900" spans="1:7" x14ac:dyDescent="0.25">
      <c r="A1900" t="s">
        <v>14208</v>
      </c>
      <c r="B1900" s="34">
        <v>0.12814</v>
      </c>
      <c r="C1900" s="34">
        <v>1.06783333333333E-2</v>
      </c>
      <c r="D1900" t="s">
        <v>35</v>
      </c>
      <c r="E1900" s="34">
        <v>0.64070000000000005</v>
      </c>
      <c r="F1900" t="s">
        <v>16672</v>
      </c>
      <c r="G1900" t="b">
        <v>0</v>
      </c>
    </row>
    <row r="1901" spans="1:7" x14ac:dyDescent="0.25">
      <c r="A1901" t="s">
        <v>12981</v>
      </c>
      <c r="B1901" s="34">
        <v>0.1275</v>
      </c>
      <c r="C1901" s="34">
        <v>1.0625000000000001E-2</v>
      </c>
      <c r="D1901" t="s">
        <v>226</v>
      </c>
      <c r="E1901" s="34">
        <v>0.63749999999999996</v>
      </c>
      <c r="F1901" t="s">
        <v>15456</v>
      </c>
      <c r="G1901" t="b">
        <v>0</v>
      </c>
    </row>
    <row r="1902" spans="1:7" x14ac:dyDescent="0.25">
      <c r="A1902" t="s">
        <v>12692</v>
      </c>
      <c r="B1902" s="34">
        <v>0.127439999999999</v>
      </c>
      <c r="C1902" s="34">
        <v>1.06199999999999E-2</v>
      </c>
      <c r="D1902" t="s">
        <v>1288</v>
      </c>
      <c r="E1902" s="34">
        <v>0.63719999999999899</v>
      </c>
      <c r="F1902" t="s">
        <v>15167</v>
      </c>
      <c r="G1902" t="b">
        <v>0</v>
      </c>
    </row>
    <row r="1903" spans="1:7" x14ac:dyDescent="0.25">
      <c r="A1903" t="s">
        <v>13897</v>
      </c>
      <c r="B1903" s="34">
        <v>0.12680089999999999</v>
      </c>
      <c r="C1903" s="34">
        <v>1.05667416666666E-2</v>
      </c>
      <c r="D1903" t="s">
        <v>663</v>
      </c>
      <c r="E1903" s="34">
        <v>0.63400449999999997</v>
      </c>
      <c r="F1903" t="s">
        <v>16364</v>
      </c>
      <c r="G1903" t="b">
        <v>0</v>
      </c>
    </row>
    <row r="1904" spans="1:7" x14ac:dyDescent="0.25">
      <c r="A1904" t="s">
        <v>14291</v>
      </c>
      <c r="B1904" s="34">
        <v>0.12668341999999999</v>
      </c>
      <c r="C1904" s="34">
        <v>1.0556951666666601E-2</v>
      </c>
      <c r="D1904" t="s">
        <v>67</v>
      </c>
      <c r="E1904" s="34">
        <v>0.63341709999999996</v>
      </c>
      <c r="F1904" t="s">
        <v>16754</v>
      </c>
      <c r="G1904" t="b">
        <v>0</v>
      </c>
    </row>
    <row r="1905" spans="1:7" x14ac:dyDescent="0.25">
      <c r="A1905" t="s">
        <v>12554</v>
      </c>
      <c r="B1905" s="34">
        <v>0.12662000000000001</v>
      </c>
      <c r="C1905" s="34">
        <v>1.05516666666666E-2</v>
      </c>
      <c r="D1905" t="s">
        <v>145</v>
      </c>
      <c r="E1905" s="34">
        <v>0.6331</v>
      </c>
      <c r="F1905" t="s">
        <v>15029</v>
      </c>
      <c r="G1905" t="b">
        <v>0</v>
      </c>
    </row>
    <row r="1906" spans="1:7" x14ac:dyDescent="0.25">
      <c r="A1906" t="s">
        <v>14651</v>
      </c>
      <c r="B1906" s="34">
        <v>0.12640000000000001</v>
      </c>
      <c r="C1906" s="34">
        <v>1.0533333333333301E-2</v>
      </c>
      <c r="D1906" t="s">
        <v>356</v>
      </c>
      <c r="E1906" s="34">
        <v>0.63200000000000001</v>
      </c>
      <c r="F1906" t="s">
        <v>17104</v>
      </c>
      <c r="G1906" t="b">
        <v>0</v>
      </c>
    </row>
    <row r="1907" spans="1:7" x14ac:dyDescent="0.25">
      <c r="A1907" t="s">
        <v>14797</v>
      </c>
      <c r="B1907" s="34">
        <v>0.12524629999999901</v>
      </c>
      <c r="C1907" s="34">
        <v>1.0437191666666601E-2</v>
      </c>
      <c r="D1907" t="s">
        <v>1519</v>
      </c>
      <c r="E1907" s="34">
        <v>0.62623149999999905</v>
      </c>
      <c r="F1907" t="s">
        <v>17243</v>
      </c>
      <c r="G1907" t="b">
        <v>0</v>
      </c>
    </row>
    <row r="1908" spans="1:7" x14ac:dyDescent="0.25">
      <c r="A1908" t="s">
        <v>13314</v>
      </c>
      <c r="B1908" s="34">
        <v>0.12518499999999999</v>
      </c>
      <c r="C1908" s="34">
        <v>1.04320833333333E-2</v>
      </c>
      <c r="D1908" t="s">
        <v>2768</v>
      </c>
      <c r="E1908" s="34">
        <v>0.62592499999999995</v>
      </c>
      <c r="F1908" t="s">
        <v>15784</v>
      </c>
      <c r="G1908" t="b">
        <v>0</v>
      </c>
    </row>
    <row r="1909" spans="1:7" x14ac:dyDescent="0.25">
      <c r="A1909" t="s">
        <v>14026</v>
      </c>
      <c r="B1909" s="34">
        <v>0.12504000000000001</v>
      </c>
      <c r="C1909" s="34">
        <v>1.042E-2</v>
      </c>
      <c r="D1909" t="s">
        <v>312</v>
      </c>
      <c r="E1909" s="34">
        <v>0.62519999999999998</v>
      </c>
      <c r="F1909" t="s">
        <v>16493</v>
      </c>
      <c r="G1909" t="b">
        <v>0</v>
      </c>
    </row>
    <row r="1910" spans="1:7" x14ac:dyDescent="0.25">
      <c r="A1910" t="s">
        <v>14591</v>
      </c>
      <c r="B1910" s="34">
        <v>0.12490999999999999</v>
      </c>
      <c r="C1910" s="34">
        <v>1.04091666666666E-2</v>
      </c>
      <c r="D1910" t="s">
        <v>35</v>
      </c>
      <c r="E1910" s="34">
        <v>0.62455000000000005</v>
      </c>
      <c r="F1910" t="s">
        <v>17047</v>
      </c>
      <c r="G1910" t="b">
        <v>0</v>
      </c>
    </row>
    <row r="1911" spans="1:7" x14ac:dyDescent="0.25">
      <c r="A1911" t="s">
        <v>13468</v>
      </c>
      <c r="B1911" s="34">
        <v>0.12479659999999999</v>
      </c>
      <c r="C1911" s="34">
        <v>1.03997166666666E-2</v>
      </c>
      <c r="D1911" t="s">
        <v>1716</v>
      </c>
      <c r="E1911" s="34">
        <v>0.31199149999999998</v>
      </c>
      <c r="F1911" t="s">
        <v>15937</v>
      </c>
      <c r="G1911" t="b">
        <v>0</v>
      </c>
    </row>
    <row r="1912" spans="1:7" x14ac:dyDescent="0.25">
      <c r="A1912" t="s">
        <v>13772</v>
      </c>
      <c r="B1912" s="34">
        <v>0.12348306000000001</v>
      </c>
      <c r="C1912" s="34">
        <v>1.0290255E-2</v>
      </c>
      <c r="D1912" t="s">
        <v>35</v>
      </c>
      <c r="E1912" s="34">
        <v>0.20580509999999999</v>
      </c>
      <c r="F1912" t="s">
        <v>16240</v>
      </c>
      <c r="G1912" t="b">
        <v>0</v>
      </c>
    </row>
    <row r="1913" spans="1:7" x14ac:dyDescent="0.25">
      <c r="A1913" t="s">
        <v>14650</v>
      </c>
      <c r="B1913" s="34">
        <v>0.123169999999999</v>
      </c>
      <c r="C1913" s="34">
        <v>1.02641666666666E-2</v>
      </c>
      <c r="D1913" t="s">
        <v>253</v>
      </c>
      <c r="E1913" s="34">
        <v>0.61584999999999901</v>
      </c>
      <c r="F1913" t="s">
        <v>17103</v>
      </c>
      <c r="G1913" t="b">
        <v>0</v>
      </c>
    </row>
    <row r="1914" spans="1:7" x14ac:dyDescent="0.25">
      <c r="A1914" t="s">
        <v>13044</v>
      </c>
      <c r="B1914" s="34">
        <v>0.1230068</v>
      </c>
      <c r="C1914" s="34">
        <v>1.02505666666666E-2</v>
      </c>
      <c r="D1914" t="s">
        <v>35</v>
      </c>
      <c r="E1914" s="34">
        <v>0.61503399999999997</v>
      </c>
      <c r="F1914" t="s">
        <v>15519</v>
      </c>
      <c r="G1914" t="b">
        <v>0</v>
      </c>
    </row>
    <row r="1915" spans="1:7" x14ac:dyDescent="0.25">
      <c r="A1915" t="s">
        <v>14144</v>
      </c>
      <c r="B1915" s="34">
        <v>0.1210209</v>
      </c>
      <c r="C1915" s="34">
        <v>1.0085075000000001E-2</v>
      </c>
      <c r="D1915" t="s">
        <v>35</v>
      </c>
      <c r="E1915" s="34">
        <v>0.60510450000000005</v>
      </c>
      <c r="F1915" t="s">
        <v>16611</v>
      </c>
      <c r="G1915" t="b">
        <v>0</v>
      </c>
    </row>
    <row r="1916" spans="1:7" x14ac:dyDescent="0.25">
      <c r="A1916" t="s">
        <v>14725</v>
      </c>
      <c r="B1916" s="34">
        <v>0.1208</v>
      </c>
      <c r="C1916" s="34">
        <v>1.0066666666666601E-2</v>
      </c>
      <c r="D1916" t="s">
        <v>4894</v>
      </c>
      <c r="E1916" s="34">
        <v>0.30199999999999999</v>
      </c>
      <c r="F1916" t="s">
        <v>17176</v>
      </c>
      <c r="G1916" t="b">
        <v>0</v>
      </c>
    </row>
    <row r="1917" spans="1:7" x14ac:dyDescent="0.25">
      <c r="A1917" t="s">
        <v>14553</v>
      </c>
      <c r="B1917" s="34">
        <v>0.1204707</v>
      </c>
      <c r="C1917" s="34">
        <v>1.0039225000000001E-2</v>
      </c>
      <c r="D1917" t="s">
        <v>2768</v>
      </c>
      <c r="E1917" s="34">
        <v>0.60235349999999999</v>
      </c>
      <c r="F1917" t="s">
        <v>17012</v>
      </c>
      <c r="G1917" t="b">
        <v>0</v>
      </c>
    </row>
    <row r="1918" spans="1:7" x14ac:dyDescent="0.25">
      <c r="A1918" t="s">
        <v>14654</v>
      </c>
      <c r="B1918" s="34">
        <v>0.12038</v>
      </c>
      <c r="C1918" s="34">
        <v>1.00316666666666E-2</v>
      </c>
      <c r="D1918" t="s">
        <v>1519</v>
      </c>
      <c r="E1918" s="34">
        <v>0.60189999999999999</v>
      </c>
      <c r="F1918" t="s">
        <v>17107</v>
      </c>
      <c r="G1918" t="b">
        <v>0</v>
      </c>
    </row>
    <row r="1919" spans="1:7" x14ac:dyDescent="0.25">
      <c r="A1919" t="s">
        <v>13958</v>
      </c>
      <c r="B1919" s="34">
        <v>0.12</v>
      </c>
      <c r="C1919" s="34">
        <v>0.01</v>
      </c>
      <c r="D1919" t="s">
        <v>35</v>
      </c>
      <c r="E1919" s="34">
        <v>0.6</v>
      </c>
      <c r="F1919" t="s">
        <v>16425</v>
      </c>
      <c r="G1919" t="b">
        <v>0</v>
      </c>
    </row>
    <row r="1920" spans="1:7" x14ac:dyDescent="0.25">
      <c r="A1920" t="s">
        <v>14098</v>
      </c>
      <c r="B1920" s="34">
        <v>0.12</v>
      </c>
      <c r="C1920" s="34">
        <v>0.01</v>
      </c>
      <c r="D1920" t="s">
        <v>1249</v>
      </c>
      <c r="E1920" s="34">
        <v>0.6</v>
      </c>
      <c r="F1920" t="s">
        <v>16565</v>
      </c>
      <c r="G1920" t="b">
        <v>0</v>
      </c>
    </row>
    <row r="1921" spans="1:7" x14ac:dyDescent="0.25">
      <c r="A1921" t="s">
        <v>14760</v>
      </c>
      <c r="B1921" s="34">
        <v>0.1188</v>
      </c>
      <c r="C1921" s="34">
        <v>9.9000000000000008E-3</v>
      </c>
      <c r="D1921" t="s">
        <v>26</v>
      </c>
      <c r="E1921" s="34">
        <v>0.59399999999999997</v>
      </c>
      <c r="F1921" t="s">
        <v>17208</v>
      </c>
      <c r="G1921" t="b">
        <v>0</v>
      </c>
    </row>
    <row r="1922" spans="1:7" x14ac:dyDescent="0.25">
      <c r="A1922" t="s">
        <v>14589</v>
      </c>
      <c r="B1922" s="34">
        <v>0.11684</v>
      </c>
      <c r="C1922" s="34">
        <v>9.7366666666666608E-3</v>
      </c>
      <c r="D1922" t="s">
        <v>1451</v>
      </c>
      <c r="E1922" s="34">
        <v>0.58419999999999905</v>
      </c>
      <c r="F1922" t="s">
        <v>17046</v>
      </c>
      <c r="G1922" t="b">
        <v>0</v>
      </c>
    </row>
    <row r="1923" spans="1:7" x14ac:dyDescent="0.25">
      <c r="A1923" t="s">
        <v>13011</v>
      </c>
      <c r="B1923" s="34">
        <v>0.11498799999999899</v>
      </c>
      <c r="C1923" s="34">
        <v>9.5823333333333299E-3</v>
      </c>
      <c r="D1923" t="s">
        <v>45</v>
      </c>
      <c r="E1923" s="34">
        <v>0.57493999999999901</v>
      </c>
      <c r="F1923" t="s">
        <v>15486</v>
      </c>
      <c r="G1923" t="b">
        <v>0</v>
      </c>
    </row>
    <row r="1924" spans="1:7" x14ac:dyDescent="0.25">
      <c r="A1924" t="s">
        <v>14700</v>
      </c>
      <c r="B1924" s="34">
        <v>0.11465</v>
      </c>
      <c r="C1924" s="34">
        <v>9.5541666666666605E-3</v>
      </c>
      <c r="D1924" t="s">
        <v>234</v>
      </c>
      <c r="E1924" s="34">
        <v>0.57324999999999904</v>
      </c>
      <c r="F1924" t="s">
        <v>17152</v>
      </c>
      <c r="G1924" t="b">
        <v>0</v>
      </c>
    </row>
    <row r="1925" spans="1:7" x14ac:dyDescent="0.25">
      <c r="A1925" t="s">
        <v>14267</v>
      </c>
      <c r="B1925" s="34">
        <v>0.1143</v>
      </c>
      <c r="C1925" s="34">
        <v>9.5250000000000005E-3</v>
      </c>
      <c r="D1925" t="s">
        <v>35</v>
      </c>
      <c r="E1925" s="34">
        <v>0.57150000000000001</v>
      </c>
      <c r="F1925" t="s">
        <v>16731</v>
      </c>
      <c r="G1925" t="b">
        <v>0</v>
      </c>
    </row>
    <row r="1926" spans="1:7" x14ac:dyDescent="0.25">
      <c r="A1926" t="s">
        <v>14598</v>
      </c>
      <c r="B1926" s="34">
        <v>0.11348569999999999</v>
      </c>
      <c r="C1926" s="34">
        <v>9.4571416666666599E-3</v>
      </c>
      <c r="D1926" t="s">
        <v>312</v>
      </c>
      <c r="E1926" s="34">
        <v>0.5674285</v>
      </c>
      <c r="F1926" t="s">
        <v>17054</v>
      </c>
      <c r="G1926" t="b">
        <v>0</v>
      </c>
    </row>
    <row r="1927" spans="1:7" x14ac:dyDescent="0.25">
      <c r="A1927" t="s">
        <v>13344</v>
      </c>
      <c r="B1927" s="34">
        <v>0.113128099999999</v>
      </c>
      <c r="C1927" s="34">
        <v>9.4273416666666599E-3</v>
      </c>
      <c r="D1927" t="s">
        <v>1074</v>
      </c>
      <c r="E1927" s="34">
        <v>0.56564049999999899</v>
      </c>
      <c r="F1927" t="s">
        <v>15814</v>
      </c>
      <c r="G1927" t="b">
        <v>0</v>
      </c>
    </row>
    <row r="1928" spans="1:7" x14ac:dyDescent="0.25">
      <c r="A1928" t="s">
        <v>13739</v>
      </c>
      <c r="B1928" s="34">
        <v>0.112704</v>
      </c>
      <c r="C1928" s="34">
        <v>9.3919999999999993E-3</v>
      </c>
      <c r="D1928" t="s">
        <v>162</v>
      </c>
      <c r="E1928" s="34">
        <v>0.56352000000000002</v>
      </c>
      <c r="F1928" t="s">
        <v>16207</v>
      </c>
      <c r="G1928" t="b">
        <v>0</v>
      </c>
    </row>
    <row r="1929" spans="1:7" x14ac:dyDescent="0.25">
      <c r="A1929" t="s">
        <v>14315</v>
      </c>
      <c r="B1929" s="34">
        <v>0.11137</v>
      </c>
      <c r="C1929" s="34">
        <v>9.2808333333333302E-3</v>
      </c>
      <c r="D1929" t="s">
        <v>168</v>
      </c>
      <c r="E1929" s="34">
        <v>0.55684999999999996</v>
      </c>
      <c r="F1929" t="s">
        <v>16778</v>
      </c>
      <c r="G1929" t="b">
        <v>0</v>
      </c>
    </row>
    <row r="1930" spans="1:7" x14ac:dyDescent="0.25">
      <c r="A1930" t="s">
        <v>13257</v>
      </c>
      <c r="B1930" s="34">
        <v>0.1113</v>
      </c>
      <c r="C1930" s="34">
        <v>9.2750000000000003E-3</v>
      </c>
      <c r="D1930" t="s">
        <v>2101</v>
      </c>
      <c r="E1930" s="34">
        <v>0.55649999999999999</v>
      </c>
      <c r="F1930" t="s">
        <v>15730</v>
      </c>
      <c r="G1930" t="b">
        <v>0</v>
      </c>
    </row>
    <row r="1931" spans="1:7" x14ac:dyDescent="0.25">
      <c r="A1931" t="s">
        <v>13881</v>
      </c>
      <c r="B1931" s="34">
        <v>0.1108996</v>
      </c>
      <c r="C1931" s="34">
        <v>9.2416333333333305E-3</v>
      </c>
      <c r="D1931" t="s">
        <v>35</v>
      </c>
      <c r="E1931" s="34">
        <v>0.55449799999999905</v>
      </c>
      <c r="F1931" t="s">
        <v>16348</v>
      </c>
      <c r="G1931" t="b">
        <v>0</v>
      </c>
    </row>
    <row r="1932" spans="1:7" x14ac:dyDescent="0.25">
      <c r="A1932" t="s">
        <v>13578</v>
      </c>
      <c r="B1932" s="34">
        <v>0.10680000000000001</v>
      </c>
      <c r="C1932" s="34">
        <v>8.8999999999999999E-3</v>
      </c>
      <c r="D1932" t="s">
        <v>35</v>
      </c>
      <c r="E1932" s="34">
        <v>0.53400000000000003</v>
      </c>
      <c r="F1932" t="s">
        <v>16047</v>
      </c>
      <c r="G1932" t="b">
        <v>0</v>
      </c>
    </row>
    <row r="1933" spans="1:7" x14ac:dyDescent="0.25">
      <c r="A1933" t="s">
        <v>13616</v>
      </c>
      <c r="B1933" s="34">
        <v>0.10655000000000001</v>
      </c>
      <c r="C1933" s="34">
        <v>8.8791666666666602E-3</v>
      </c>
      <c r="D1933" t="s">
        <v>385</v>
      </c>
      <c r="E1933" s="34">
        <v>0.53274999999999995</v>
      </c>
      <c r="F1933" t="s">
        <v>16085</v>
      </c>
      <c r="G1933" t="b">
        <v>0</v>
      </c>
    </row>
    <row r="1934" spans="1:7" x14ac:dyDescent="0.25">
      <c r="A1934" t="s">
        <v>13680</v>
      </c>
      <c r="B1934" s="34">
        <v>0.10621999999999999</v>
      </c>
      <c r="C1934" s="34">
        <v>8.8516666666666605E-3</v>
      </c>
      <c r="D1934" t="s">
        <v>35</v>
      </c>
      <c r="E1934" s="34">
        <v>0.53110000000000002</v>
      </c>
      <c r="F1934" t="s">
        <v>16148</v>
      </c>
      <c r="G1934" t="b">
        <v>0</v>
      </c>
    </row>
    <row r="1935" spans="1:7" x14ac:dyDescent="0.25">
      <c r="A1935" t="s">
        <v>13626</v>
      </c>
      <c r="B1935" s="34">
        <v>0.10610789999999901</v>
      </c>
      <c r="C1935" s="34">
        <v>8.8423249999999894E-3</v>
      </c>
      <c r="D1935" t="s">
        <v>35</v>
      </c>
      <c r="E1935" s="34">
        <v>0.13263487500000001</v>
      </c>
      <c r="F1935" t="s">
        <v>16095</v>
      </c>
      <c r="G1935" t="b">
        <v>0</v>
      </c>
    </row>
    <row r="1936" spans="1:7" x14ac:dyDescent="0.25">
      <c r="A1936" t="s">
        <v>14256</v>
      </c>
      <c r="B1936" s="34">
        <v>0.10596</v>
      </c>
      <c r="C1936" s="34">
        <v>8.8299999999999993E-3</v>
      </c>
      <c r="D1936" t="s">
        <v>1288</v>
      </c>
      <c r="E1936" s="34">
        <v>0.52980000000000005</v>
      </c>
      <c r="F1936" t="s">
        <v>16720</v>
      </c>
      <c r="G1936" t="b">
        <v>0</v>
      </c>
    </row>
    <row r="1937" spans="1:7" x14ac:dyDescent="0.25">
      <c r="A1937" t="s">
        <v>13607</v>
      </c>
      <c r="B1937" s="34">
        <v>0.10575859999999999</v>
      </c>
      <c r="C1937" s="34">
        <v>8.8132166666666598E-3</v>
      </c>
      <c r="D1937" t="s">
        <v>35</v>
      </c>
      <c r="E1937" s="34">
        <v>0.52879299999999996</v>
      </c>
      <c r="F1937" t="s">
        <v>16076</v>
      </c>
      <c r="G1937" t="b">
        <v>0</v>
      </c>
    </row>
    <row r="1938" spans="1:7" x14ac:dyDescent="0.25">
      <c r="A1938" t="s">
        <v>14393</v>
      </c>
      <c r="B1938" s="34">
        <v>0.10489999999999999</v>
      </c>
      <c r="C1938" s="34">
        <v>8.7416666666666597E-3</v>
      </c>
      <c r="D1938" t="s">
        <v>35</v>
      </c>
      <c r="E1938" s="34">
        <v>0.52449999999999997</v>
      </c>
      <c r="F1938" t="s">
        <v>16855</v>
      </c>
      <c r="G1938" t="b">
        <v>0</v>
      </c>
    </row>
    <row r="1939" spans="1:7" x14ac:dyDescent="0.25">
      <c r="A1939" t="s">
        <v>14832</v>
      </c>
      <c r="B1939" s="34">
        <v>0.10426299999999999</v>
      </c>
      <c r="C1939" s="34">
        <v>8.6885833333333294E-3</v>
      </c>
      <c r="D1939" t="s">
        <v>424</v>
      </c>
      <c r="E1939" s="34">
        <v>0.52131499999999997</v>
      </c>
      <c r="F1939" t="s">
        <v>17271</v>
      </c>
      <c r="G1939" t="b">
        <v>0</v>
      </c>
    </row>
    <row r="1940" spans="1:7" x14ac:dyDescent="0.25">
      <c r="A1940" t="s">
        <v>13863</v>
      </c>
      <c r="B1940" s="34">
        <v>0.10408000000000001</v>
      </c>
      <c r="C1940" s="34">
        <v>8.6733333333333298E-3</v>
      </c>
      <c r="D1940" t="s">
        <v>2831</v>
      </c>
      <c r="E1940" s="34">
        <v>0.52039999999999997</v>
      </c>
      <c r="F1940" t="s">
        <v>16330</v>
      </c>
      <c r="G1940" t="b">
        <v>0</v>
      </c>
    </row>
    <row r="1941" spans="1:7" x14ac:dyDescent="0.25">
      <c r="A1941" t="s">
        <v>14281</v>
      </c>
      <c r="B1941" s="34">
        <v>0.1033</v>
      </c>
      <c r="C1941" s="34">
        <v>8.6083333333333307E-3</v>
      </c>
      <c r="D1941" t="s">
        <v>4455</v>
      </c>
      <c r="E1941" s="34">
        <v>0.51649999999999996</v>
      </c>
      <c r="F1941" t="s">
        <v>16745</v>
      </c>
      <c r="G1941" t="b">
        <v>0</v>
      </c>
    </row>
    <row r="1942" spans="1:7" x14ac:dyDescent="0.25">
      <c r="A1942" t="s">
        <v>13994</v>
      </c>
      <c r="B1942" s="34">
        <v>0.1024</v>
      </c>
      <c r="C1942" s="34">
        <v>8.5333333333333303E-3</v>
      </c>
      <c r="D1942" t="s">
        <v>151</v>
      </c>
      <c r="E1942" s="34">
        <v>0.51200000000000001</v>
      </c>
      <c r="F1942" t="s">
        <v>16461</v>
      </c>
      <c r="G1942" t="b">
        <v>0</v>
      </c>
    </row>
    <row r="1943" spans="1:7" x14ac:dyDescent="0.25">
      <c r="A1943" t="s">
        <v>14631</v>
      </c>
      <c r="B1943" s="34">
        <v>0.102309999999999</v>
      </c>
      <c r="C1943" s="34">
        <v>8.5258333333333297E-3</v>
      </c>
      <c r="D1943" t="s">
        <v>35</v>
      </c>
      <c r="E1943" s="34">
        <v>0.51154999999999995</v>
      </c>
      <c r="F1943" t="s">
        <v>17084</v>
      </c>
      <c r="G1943" t="b">
        <v>0</v>
      </c>
    </row>
    <row r="1944" spans="1:7" x14ac:dyDescent="0.25">
      <c r="A1944" t="s">
        <v>13698</v>
      </c>
      <c r="B1944" s="34">
        <v>0.1022682</v>
      </c>
      <c r="C1944" s="34">
        <v>8.5223499999999997E-3</v>
      </c>
      <c r="D1944" t="s">
        <v>35</v>
      </c>
      <c r="E1944" s="34">
        <v>0.51134099999999905</v>
      </c>
      <c r="F1944" t="s">
        <v>16166</v>
      </c>
      <c r="G1944" t="b">
        <v>0</v>
      </c>
    </row>
    <row r="1945" spans="1:7" x14ac:dyDescent="0.25">
      <c r="A1945" t="s">
        <v>14432</v>
      </c>
      <c r="B1945" s="34">
        <v>0.10216</v>
      </c>
      <c r="C1945" s="34">
        <v>8.5133333333333294E-3</v>
      </c>
      <c r="D1945" t="s">
        <v>456</v>
      </c>
      <c r="E1945" s="34">
        <v>0.51080000000000003</v>
      </c>
      <c r="F1945" t="s">
        <v>16893</v>
      </c>
      <c r="G1945" t="b">
        <v>0</v>
      </c>
    </row>
    <row r="1946" spans="1:7" x14ac:dyDescent="0.25">
      <c r="A1946" t="s">
        <v>14448</v>
      </c>
      <c r="B1946" s="34">
        <v>0.10183797999999999</v>
      </c>
      <c r="C1946" s="34">
        <v>8.48649833333333E-3</v>
      </c>
      <c r="D1946" t="s">
        <v>104</v>
      </c>
      <c r="E1946" s="34">
        <v>0.50918989999999997</v>
      </c>
      <c r="F1946" t="s">
        <v>16908</v>
      </c>
      <c r="G1946" t="b">
        <v>0</v>
      </c>
    </row>
    <row r="1947" spans="1:7" x14ac:dyDescent="0.25">
      <c r="A1947" t="s">
        <v>14263</v>
      </c>
      <c r="B1947" s="34">
        <v>0.10147</v>
      </c>
      <c r="C1947" s="34">
        <v>8.4558333333333308E-3</v>
      </c>
      <c r="D1947" t="s">
        <v>132</v>
      </c>
      <c r="E1947" s="34">
        <v>0.50734999999999997</v>
      </c>
      <c r="F1947" t="s">
        <v>16727</v>
      </c>
      <c r="G1947" t="b">
        <v>0</v>
      </c>
    </row>
    <row r="1948" spans="1:7" x14ac:dyDescent="0.25">
      <c r="A1948" t="s">
        <v>14204</v>
      </c>
      <c r="B1948" s="34">
        <v>9.9571199999999999E-2</v>
      </c>
      <c r="C1948" s="34">
        <v>8.2976000000000005E-3</v>
      </c>
      <c r="D1948" t="s">
        <v>7038</v>
      </c>
      <c r="E1948" s="34">
        <v>0.49785600000000002</v>
      </c>
      <c r="F1948" t="s">
        <v>16668</v>
      </c>
      <c r="G1948" t="b">
        <v>0</v>
      </c>
    </row>
    <row r="1949" spans="1:7" x14ac:dyDescent="0.25">
      <c r="A1949" t="s">
        <v>14371</v>
      </c>
      <c r="B1949" s="34">
        <v>9.8626000000000005E-2</v>
      </c>
      <c r="C1949" s="34">
        <v>8.2188333333333297E-3</v>
      </c>
      <c r="D1949" t="s">
        <v>162</v>
      </c>
      <c r="E1949" s="34">
        <v>0.49313000000000001</v>
      </c>
      <c r="F1949" t="s">
        <v>16833</v>
      </c>
      <c r="G1949" t="b">
        <v>0</v>
      </c>
    </row>
    <row r="1950" spans="1:7" x14ac:dyDescent="0.25">
      <c r="A1950" t="s">
        <v>14549</v>
      </c>
      <c r="B1950" s="34">
        <v>9.8000000000000004E-2</v>
      </c>
      <c r="C1950" s="34">
        <v>8.1666666666666606E-3</v>
      </c>
      <c r="D1950" t="s">
        <v>26</v>
      </c>
      <c r="E1950" s="34">
        <v>0.49</v>
      </c>
      <c r="F1950" t="s">
        <v>17008</v>
      </c>
      <c r="G1950" t="b">
        <v>0</v>
      </c>
    </row>
    <row r="1951" spans="1:7" x14ac:dyDescent="0.25">
      <c r="A1951" t="s">
        <v>13882</v>
      </c>
      <c r="B1951" s="34">
        <v>9.7858000000000001E-2</v>
      </c>
      <c r="C1951" s="34">
        <v>8.1548333333333299E-3</v>
      </c>
      <c r="D1951" t="s">
        <v>162</v>
      </c>
      <c r="E1951" s="34">
        <v>0.48929</v>
      </c>
      <c r="F1951" t="s">
        <v>16349</v>
      </c>
      <c r="G1951" t="b">
        <v>0</v>
      </c>
    </row>
    <row r="1952" spans="1:7" x14ac:dyDescent="0.25">
      <c r="A1952" t="s">
        <v>13672</v>
      </c>
      <c r="B1952" s="34">
        <v>9.7608E-2</v>
      </c>
      <c r="C1952" s="34">
        <v>8.1340000000000006E-3</v>
      </c>
      <c r="D1952" t="s">
        <v>1451</v>
      </c>
      <c r="E1952" s="34">
        <v>0.48803999999999997</v>
      </c>
      <c r="F1952" t="s">
        <v>16140</v>
      </c>
      <c r="G1952" t="b">
        <v>0</v>
      </c>
    </row>
    <row r="1953" spans="1:7" x14ac:dyDescent="0.25">
      <c r="A1953" t="s">
        <v>13425</v>
      </c>
      <c r="B1953" s="34">
        <v>9.7384499999999999E-2</v>
      </c>
      <c r="C1953" s="34">
        <v>8.1153749999999993E-3</v>
      </c>
      <c r="D1953" t="s">
        <v>35</v>
      </c>
      <c r="E1953" s="34">
        <v>0.48692249999999998</v>
      </c>
      <c r="F1953" t="s">
        <v>15895</v>
      </c>
      <c r="G1953" t="b">
        <v>0</v>
      </c>
    </row>
    <row r="1954" spans="1:7" x14ac:dyDescent="0.25">
      <c r="A1954" t="s">
        <v>13918</v>
      </c>
      <c r="B1954" s="34">
        <v>9.6888599999999894E-2</v>
      </c>
      <c r="C1954" s="34">
        <v>8.0740499999999993E-3</v>
      </c>
      <c r="D1954" t="s">
        <v>318</v>
      </c>
      <c r="E1954" s="34">
        <v>0.24222149999999901</v>
      </c>
      <c r="F1954" t="s">
        <v>16385</v>
      </c>
      <c r="G1954" t="b">
        <v>0</v>
      </c>
    </row>
    <row r="1955" spans="1:7" x14ac:dyDescent="0.25">
      <c r="A1955" t="s">
        <v>13869</v>
      </c>
      <c r="B1955" s="34">
        <v>9.6863999999999895E-2</v>
      </c>
      <c r="C1955" s="34">
        <v>8.0719999999999993E-3</v>
      </c>
      <c r="D1955" t="s">
        <v>35</v>
      </c>
      <c r="E1955" s="34">
        <v>0.48431999999999897</v>
      </c>
      <c r="F1955" t="s">
        <v>16336</v>
      </c>
      <c r="G1955" t="b">
        <v>0</v>
      </c>
    </row>
    <row r="1956" spans="1:7" x14ac:dyDescent="0.25">
      <c r="A1956" t="s">
        <v>14360</v>
      </c>
      <c r="B1956" s="34">
        <v>9.6479799999999893E-2</v>
      </c>
      <c r="C1956" s="34">
        <v>8.0399833333333302E-3</v>
      </c>
      <c r="D1956" t="s">
        <v>35</v>
      </c>
      <c r="E1956" s="34">
        <v>0.48239899999999902</v>
      </c>
      <c r="F1956" t="s">
        <v>16822</v>
      </c>
      <c r="G1956" t="b">
        <v>0</v>
      </c>
    </row>
    <row r="1957" spans="1:7" x14ac:dyDescent="0.25">
      <c r="A1957" t="s">
        <v>14018</v>
      </c>
      <c r="B1957" s="34">
        <v>9.6012799999999995E-2</v>
      </c>
      <c r="C1957" s="34">
        <v>8.0010666666666605E-3</v>
      </c>
      <c r="D1957" t="s">
        <v>35</v>
      </c>
      <c r="E1957" s="34">
        <v>0.240032</v>
      </c>
      <c r="F1957" t="s">
        <v>16485</v>
      </c>
      <c r="G1957" t="b">
        <v>0</v>
      </c>
    </row>
    <row r="1958" spans="1:7" x14ac:dyDescent="0.25">
      <c r="A1958" t="s">
        <v>14035</v>
      </c>
      <c r="B1958" s="34">
        <v>9.5299999999999996E-2</v>
      </c>
      <c r="C1958" s="34">
        <v>7.9416666666666594E-3</v>
      </c>
      <c r="D1958" t="s">
        <v>4135</v>
      </c>
      <c r="E1958" s="34">
        <v>0.23824999999999999</v>
      </c>
      <c r="F1958" t="s">
        <v>16502</v>
      </c>
      <c r="G1958" t="b">
        <v>0</v>
      </c>
    </row>
    <row r="1959" spans="1:7" x14ac:dyDescent="0.25">
      <c r="A1959" t="s">
        <v>13971</v>
      </c>
      <c r="B1959" s="34">
        <v>9.4939999999999997E-2</v>
      </c>
      <c r="C1959" s="34">
        <v>7.9116666666666693E-3</v>
      </c>
      <c r="D1959" t="s">
        <v>2267</v>
      </c>
      <c r="E1959" s="34">
        <v>0.47470000000000001</v>
      </c>
      <c r="F1959" t="s">
        <v>16438</v>
      </c>
      <c r="G1959" t="b">
        <v>0</v>
      </c>
    </row>
    <row r="1960" spans="1:7" x14ac:dyDescent="0.25">
      <c r="A1960" t="s">
        <v>14313</v>
      </c>
      <c r="B1960" s="34">
        <v>9.4601999999999895E-2</v>
      </c>
      <c r="C1960" s="34">
        <v>7.8834999999999999E-3</v>
      </c>
      <c r="D1960" t="s">
        <v>456</v>
      </c>
      <c r="E1960" s="34">
        <v>0.47300999999999999</v>
      </c>
      <c r="F1960" t="s">
        <v>16776</v>
      </c>
      <c r="G1960" t="b">
        <v>0</v>
      </c>
    </row>
    <row r="1961" spans="1:7" x14ac:dyDescent="0.25">
      <c r="A1961" t="s">
        <v>14340</v>
      </c>
      <c r="B1961" s="34">
        <v>9.3457999999999999E-2</v>
      </c>
      <c r="C1961" s="34">
        <v>7.7881666666666603E-3</v>
      </c>
      <c r="D1961" t="s">
        <v>35</v>
      </c>
      <c r="E1961" s="34">
        <v>0.46728999999999998</v>
      </c>
      <c r="F1961" t="s">
        <v>16803</v>
      </c>
      <c r="G1961" t="b">
        <v>0</v>
      </c>
    </row>
    <row r="1962" spans="1:7" x14ac:dyDescent="0.25">
      <c r="A1962" t="s">
        <v>13029</v>
      </c>
      <c r="B1962" s="34">
        <v>9.3298350000000002E-2</v>
      </c>
      <c r="C1962" s="34">
        <v>7.7748624999999898E-3</v>
      </c>
      <c r="D1962" t="s">
        <v>3151</v>
      </c>
      <c r="E1962" s="34">
        <v>0.46649174999999898</v>
      </c>
      <c r="F1962" t="s">
        <v>15504</v>
      </c>
      <c r="G1962" t="b">
        <v>0</v>
      </c>
    </row>
    <row r="1963" spans="1:7" x14ac:dyDescent="0.25">
      <c r="A1963" t="s">
        <v>13447</v>
      </c>
      <c r="B1963" s="34">
        <v>9.2892199999999994E-2</v>
      </c>
      <c r="C1963" s="34">
        <v>7.7410166666666601E-3</v>
      </c>
      <c r="D1963" t="s">
        <v>6145</v>
      </c>
      <c r="E1963" s="34">
        <v>0.46446099999999901</v>
      </c>
      <c r="F1963" t="s">
        <v>15916</v>
      </c>
      <c r="G1963" t="b">
        <v>0</v>
      </c>
    </row>
    <row r="1964" spans="1:7" x14ac:dyDescent="0.25">
      <c r="A1964" t="s">
        <v>14462</v>
      </c>
      <c r="B1964" s="34">
        <v>9.2850000000000002E-2</v>
      </c>
      <c r="C1964" s="34">
        <v>7.7374999999999996E-3</v>
      </c>
      <c r="D1964" t="s">
        <v>1064</v>
      </c>
      <c r="E1964" s="34">
        <v>0.46425</v>
      </c>
      <c r="F1964" t="s">
        <v>16922</v>
      </c>
      <c r="G1964" t="b">
        <v>0</v>
      </c>
    </row>
    <row r="1965" spans="1:7" x14ac:dyDescent="0.25">
      <c r="A1965" t="s">
        <v>13825</v>
      </c>
      <c r="B1965" s="34">
        <v>9.2532000000000003E-2</v>
      </c>
      <c r="C1965" s="34">
        <v>7.7109999999999904E-3</v>
      </c>
      <c r="D1965" t="s">
        <v>162</v>
      </c>
      <c r="E1965" s="34">
        <v>0.46266000000000002</v>
      </c>
      <c r="F1965" t="s">
        <v>16292</v>
      </c>
      <c r="G1965" t="b">
        <v>0</v>
      </c>
    </row>
    <row r="1966" spans="1:7" x14ac:dyDescent="0.25">
      <c r="A1966" t="s">
        <v>14405</v>
      </c>
      <c r="B1966" s="34">
        <v>9.2063000000000006E-2</v>
      </c>
      <c r="C1966" s="34">
        <v>7.6719166666666602E-3</v>
      </c>
      <c r="D1966" t="s">
        <v>110</v>
      </c>
      <c r="E1966" s="34">
        <v>0.46031499999999997</v>
      </c>
      <c r="F1966" t="s">
        <v>16867</v>
      </c>
      <c r="G1966" t="b">
        <v>0</v>
      </c>
    </row>
    <row r="1967" spans="1:7" x14ac:dyDescent="0.25">
      <c r="A1967" t="s">
        <v>14300</v>
      </c>
      <c r="B1967" s="34">
        <v>9.1769900000000001E-2</v>
      </c>
      <c r="C1967" s="34">
        <v>7.6474916666666604E-3</v>
      </c>
      <c r="D1967" t="s">
        <v>1013</v>
      </c>
      <c r="E1967" s="34">
        <v>0.45884949999999902</v>
      </c>
      <c r="F1967" t="s">
        <v>16763</v>
      </c>
      <c r="G1967" t="b">
        <v>0</v>
      </c>
    </row>
    <row r="1968" spans="1:7" x14ac:dyDescent="0.25">
      <c r="A1968" t="s">
        <v>14028</v>
      </c>
      <c r="B1968" s="34">
        <v>9.1587600000000005E-2</v>
      </c>
      <c r="C1968" s="34">
        <v>7.6322999999999998E-3</v>
      </c>
      <c r="D1968" t="s">
        <v>5842</v>
      </c>
      <c r="E1968" s="34">
        <v>0.45793800000000001</v>
      </c>
      <c r="F1968" t="s">
        <v>16495</v>
      </c>
      <c r="G1968" t="b">
        <v>0</v>
      </c>
    </row>
    <row r="1969" spans="1:7" x14ac:dyDescent="0.25">
      <c r="A1969" t="s">
        <v>13783</v>
      </c>
      <c r="B1969" s="34">
        <v>9.0609999999999996E-2</v>
      </c>
      <c r="C1969" s="34">
        <v>7.5508333333333304E-3</v>
      </c>
      <c r="D1969" t="s">
        <v>1240</v>
      </c>
      <c r="E1969" s="34">
        <v>0.45305000000000001</v>
      </c>
      <c r="F1969" t="s">
        <v>16250</v>
      </c>
      <c r="G1969" t="b">
        <v>0</v>
      </c>
    </row>
    <row r="1970" spans="1:7" x14ac:dyDescent="0.25">
      <c r="A1970" t="s">
        <v>13658</v>
      </c>
      <c r="B1970" s="34">
        <v>9.06E-2</v>
      </c>
      <c r="C1970" s="34">
        <v>7.5499999999999899E-3</v>
      </c>
      <c r="D1970" t="s">
        <v>35</v>
      </c>
      <c r="E1970" s="34">
        <v>0.45300000000000001</v>
      </c>
      <c r="F1970" t="s">
        <v>16126</v>
      </c>
      <c r="G1970" t="b">
        <v>0</v>
      </c>
    </row>
    <row r="1971" spans="1:7" x14ac:dyDescent="0.25">
      <c r="A1971" t="s">
        <v>13993</v>
      </c>
      <c r="B1971" s="34">
        <v>8.9340000000000003E-2</v>
      </c>
      <c r="C1971" s="34">
        <v>7.4449999999999898E-3</v>
      </c>
      <c r="D1971" t="s">
        <v>424</v>
      </c>
      <c r="E1971" s="34">
        <v>0.44669999999999999</v>
      </c>
      <c r="F1971" t="s">
        <v>16460</v>
      </c>
      <c r="G1971" t="b">
        <v>0</v>
      </c>
    </row>
    <row r="1972" spans="1:7" x14ac:dyDescent="0.25">
      <c r="A1972" t="s">
        <v>13968</v>
      </c>
      <c r="B1972" s="34">
        <v>8.8798959999999996E-2</v>
      </c>
      <c r="C1972" s="34">
        <v>7.3999133333333298E-3</v>
      </c>
      <c r="D1972" t="s">
        <v>1519</v>
      </c>
      <c r="E1972" s="34">
        <v>0.44399480000000002</v>
      </c>
      <c r="F1972" t="s">
        <v>16435</v>
      </c>
      <c r="G1972" t="b">
        <v>0</v>
      </c>
    </row>
    <row r="1973" spans="1:7" x14ac:dyDescent="0.25">
      <c r="A1973" t="s">
        <v>14610</v>
      </c>
      <c r="B1973" s="34">
        <v>8.8709999999999997E-2</v>
      </c>
      <c r="C1973" s="34">
        <v>7.3924999999999998E-3</v>
      </c>
      <c r="D1973" t="s">
        <v>3523</v>
      </c>
      <c r="E1973" s="34">
        <v>0.44355</v>
      </c>
      <c r="F1973" t="s">
        <v>17064</v>
      </c>
      <c r="G1973" t="b">
        <v>0</v>
      </c>
    </row>
    <row r="1974" spans="1:7" x14ac:dyDescent="0.25">
      <c r="A1974" t="s">
        <v>13501</v>
      </c>
      <c r="B1974" s="34">
        <v>8.8655999999999999E-2</v>
      </c>
      <c r="C1974" s="34">
        <v>7.3879999999999996E-3</v>
      </c>
      <c r="D1974" t="s">
        <v>982</v>
      </c>
      <c r="E1974" s="34">
        <v>0.44328000000000001</v>
      </c>
      <c r="F1974" t="s">
        <v>15970</v>
      </c>
      <c r="G1974" t="b">
        <v>0</v>
      </c>
    </row>
    <row r="1975" spans="1:7" x14ac:dyDescent="0.25">
      <c r="A1975" t="s">
        <v>14257</v>
      </c>
      <c r="B1975" s="34">
        <v>8.8527999999999996E-2</v>
      </c>
      <c r="C1975" s="34">
        <v>7.3773333333333304E-3</v>
      </c>
      <c r="D1975" t="s">
        <v>2768</v>
      </c>
      <c r="E1975" s="34">
        <v>0.44263999999999998</v>
      </c>
      <c r="F1975" t="s">
        <v>16721</v>
      </c>
      <c r="G1975" t="b">
        <v>0</v>
      </c>
    </row>
    <row r="1976" spans="1:7" x14ac:dyDescent="0.25">
      <c r="A1976" t="s">
        <v>14424</v>
      </c>
      <c r="B1976" s="34">
        <v>8.8431799999999894E-2</v>
      </c>
      <c r="C1976" s="34">
        <v>7.3693166666666601E-3</v>
      </c>
      <c r="D1976" t="s">
        <v>7038</v>
      </c>
      <c r="E1976" s="34">
        <v>0.44215900000000002</v>
      </c>
      <c r="F1976" t="s">
        <v>16885</v>
      </c>
      <c r="G1976" t="b">
        <v>0</v>
      </c>
    </row>
    <row r="1977" spans="1:7" x14ac:dyDescent="0.25">
      <c r="A1977" t="s">
        <v>14135</v>
      </c>
      <c r="B1977" s="34">
        <v>8.8400000000000006E-2</v>
      </c>
      <c r="C1977" s="34">
        <v>7.3666666666666603E-3</v>
      </c>
      <c r="D1977" t="s">
        <v>6760</v>
      </c>
      <c r="E1977" s="34">
        <v>0.442</v>
      </c>
      <c r="F1977" t="s">
        <v>16602</v>
      </c>
      <c r="G1977" t="b">
        <v>0</v>
      </c>
    </row>
    <row r="1978" spans="1:7" x14ac:dyDescent="0.25">
      <c r="A1978" t="s">
        <v>13395</v>
      </c>
      <c r="B1978" s="34">
        <v>8.7998800000000002E-2</v>
      </c>
      <c r="C1978" s="34">
        <v>7.3332333333333303E-3</v>
      </c>
      <c r="D1978" t="s">
        <v>268</v>
      </c>
      <c r="E1978" s="34">
        <v>0.439993999999999</v>
      </c>
      <c r="F1978" t="s">
        <v>15865</v>
      </c>
      <c r="G1978" t="b">
        <v>0</v>
      </c>
    </row>
    <row r="1979" spans="1:7" x14ac:dyDescent="0.25">
      <c r="A1979" t="s">
        <v>13764</v>
      </c>
      <c r="B1979" s="34">
        <v>8.5866799999999993E-2</v>
      </c>
      <c r="C1979" s="34">
        <v>7.1555666666666597E-3</v>
      </c>
      <c r="D1979" t="s">
        <v>424</v>
      </c>
      <c r="E1979" s="34">
        <v>0.42933399999999999</v>
      </c>
      <c r="F1979" t="s">
        <v>16232</v>
      </c>
      <c r="G1979" t="b">
        <v>0</v>
      </c>
    </row>
    <row r="1980" spans="1:7" x14ac:dyDescent="0.25">
      <c r="A1980" t="s">
        <v>13562</v>
      </c>
      <c r="B1980" s="34">
        <v>8.5599999999999996E-2</v>
      </c>
      <c r="C1980" s="34">
        <v>7.1333333333333301E-3</v>
      </c>
      <c r="D1980" t="s">
        <v>323</v>
      </c>
      <c r="E1980" s="34">
        <v>0.42799999999999999</v>
      </c>
      <c r="F1980" t="s">
        <v>16031</v>
      </c>
      <c r="G1980" t="b">
        <v>0</v>
      </c>
    </row>
    <row r="1981" spans="1:7" x14ac:dyDescent="0.25">
      <c r="A1981" t="s">
        <v>13962</v>
      </c>
      <c r="B1981" s="34">
        <v>8.5599999999999996E-2</v>
      </c>
      <c r="C1981" s="34">
        <v>7.1333333333333301E-3</v>
      </c>
      <c r="D1981" t="s">
        <v>5416</v>
      </c>
      <c r="E1981" s="34">
        <v>0.42799999999999999</v>
      </c>
      <c r="F1981" t="s">
        <v>16429</v>
      </c>
      <c r="G1981" t="b">
        <v>0</v>
      </c>
    </row>
    <row r="1982" spans="1:7" x14ac:dyDescent="0.25">
      <c r="A1982" t="s">
        <v>13776</v>
      </c>
      <c r="B1982" s="34">
        <v>8.4533999999999998E-2</v>
      </c>
      <c r="C1982" s="34">
        <v>7.04449999999999E-3</v>
      </c>
      <c r="D1982" t="s">
        <v>1288</v>
      </c>
      <c r="E1982" s="34">
        <v>0.42266999999999999</v>
      </c>
      <c r="F1982" t="s">
        <v>16244</v>
      </c>
      <c r="G1982" t="b">
        <v>0</v>
      </c>
    </row>
    <row r="1983" spans="1:7" x14ac:dyDescent="0.25">
      <c r="A1983" t="s">
        <v>14473</v>
      </c>
      <c r="B1983" s="34">
        <v>8.4400000000000003E-2</v>
      </c>
      <c r="C1983" s="34">
        <v>7.0333333333333298E-3</v>
      </c>
      <c r="D1983" t="s">
        <v>8552</v>
      </c>
      <c r="E1983" s="34">
        <v>0.42199999999999999</v>
      </c>
      <c r="F1983" t="s">
        <v>16933</v>
      </c>
      <c r="G1983" t="b">
        <v>0</v>
      </c>
    </row>
    <row r="1984" spans="1:7" x14ac:dyDescent="0.25">
      <c r="A1984" t="s">
        <v>14799</v>
      </c>
      <c r="B1984" s="34">
        <v>8.4400000000000003E-2</v>
      </c>
      <c r="C1984" s="34">
        <v>7.0333333333333298E-3</v>
      </c>
      <c r="D1984" t="s">
        <v>26</v>
      </c>
      <c r="E1984" s="34">
        <v>0.42199999999999999</v>
      </c>
      <c r="F1984" t="s">
        <v>17245</v>
      </c>
      <c r="G1984" t="b">
        <v>0</v>
      </c>
    </row>
    <row r="1985" spans="1:7" x14ac:dyDescent="0.25">
      <c r="A1985" t="s">
        <v>14519</v>
      </c>
      <c r="B1985" s="34">
        <v>8.4335699999999902E-2</v>
      </c>
      <c r="C1985" s="34">
        <v>7.0279749999999997E-3</v>
      </c>
      <c r="D1985" t="s">
        <v>356</v>
      </c>
      <c r="E1985" s="34">
        <v>0.42167850000000001</v>
      </c>
      <c r="F1985" t="s">
        <v>16979</v>
      </c>
      <c r="G1985" t="b">
        <v>0</v>
      </c>
    </row>
    <row r="1986" spans="1:7" x14ac:dyDescent="0.25">
      <c r="A1986" t="s">
        <v>13517</v>
      </c>
      <c r="B1986" s="34">
        <v>8.3349999999999994E-2</v>
      </c>
      <c r="C1986" s="34">
        <v>6.9458333333333299E-3</v>
      </c>
      <c r="D1986" t="s">
        <v>35</v>
      </c>
      <c r="E1986" s="34">
        <v>0.41675000000000001</v>
      </c>
      <c r="F1986" t="s">
        <v>15986</v>
      </c>
      <c r="G1986" t="b">
        <v>0</v>
      </c>
    </row>
    <row r="1987" spans="1:7" x14ac:dyDescent="0.25">
      <c r="A1987" t="s">
        <v>14493</v>
      </c>
      <c r="B1987" s="34">
        <v>8.3291999999999894E-2</v>
      </c>
      <c r="C1987" s="34">
        <v>6.9409999999999897E-3</v>
      </c>
      <c r="D1987" t="s">
        <v>456</v>
      </c>
      <c r="E1987" s="34">
        <v>0.41646</v>
      </c>
      <c r="F1987" t="s">
        <v>16953</v>
      </c>
      <c r="G1987" t="b">
        <v>0</v>
      </c>
    </row>
    <row r="1988" spans="1:7" x14ac:dyDescent="0.25">
      <c r="A1988" t="s">
        <v>13704</v>
      </c>
      <c r="B1988" s="34">
        <v>8.3269999999999997E-2</v>
      </c>
      <c r="C1988" s="34">
        <v>6.9391666666666603E-3</v>
      </c>
      <c r="D1988" t="s">
        <v>356</v>
      </c>
      <c r="E1988" s="34">
        <v>0.41635</v>
      </c>
      <c r="F1988" t="s">
        <v>16172</v>
      </c>
      <c r="G1988" t="b">
        <v>0</v>
      </c>
    </row>
    <row r="1989" spans="1:7" x14ac:dyDescent="0.25">
      <c r="A1989" t="s">
        <v>14088</v>
      </c>
      <c r="B1989" s="34">
        <v>8.2599999999999896E-2</v>
      </c>
      <c r="C1989" s="34">
        <v>6.8833333333333298E-3</v>
      </c>
      <c r="D1989" t="s">
        <v>110</v>
      </c>
      <c r="E1989" s="34">
        <v>0.41299999999999998</v>
      </c>
      <c r="F1989" t="s">
        <v>16555</v>
      </c>
      <c r="G1989" t="b">
        <v>0</v>
      </c>
    </row>
    <row r="1990" spans="1:7" x14ac:dyDescent="0.25">
      <c r="A1990" t="s">
        <v>13028</v>
      </c>
      <c r="B1990" s="34">
        <v>8.2177200000000006E-2</v>
      </c>
      <c r="C1990" s="34">
        <v>6.8481000000000002E-3</v>
      </c>
      <c r="D1990" t="s">
        <v>1345</v>
      </c>
      <c r="E1990" s="34">
        <v>0.41088599999999997</v>
      </c>
      <c r="F1990" t="s">
        <v>15503</v>
      </c>
      <c r="G1990" t="b">
        <v>0</v>
      </c>
    </row>
    <row r="1991" spans="1:7" x14ac:dyDescent="0.25">
      <c r="A1991" t="s">
        <v>13427</v>
      </c>
      <c r="B1991" s="34">
        <v>8.14E-2</v>
      </c>
      <c r="C1991" s="34">
        <v>6.7833333333333296E-3</v>
      </c>
      <c r="D1991" t="s">
        <v>1831</v>
      </c>
      <c r="E1991" s="34">
        <v>0.40699999999999997</v>
      </c>
      <c r="F1991" t="s">
        <v>15897</v>
      </c>
      <c r="G1991" t="b">
        <v>0</v>
      </c>
    </row>
    <row r="1992" spans="1:7" x14ac:dyDescent="0.25">
      <c r="A1992" t="s">
        <v>14326</v>
      </c>
      <c r="B1992" s="34">
        <v>8.1041799999999997E-2</v>
      </c>
      <c r="C1992" s="34">
        <v>6.7534833333333299E-3</v>
      </c>
      <c r="D1992" t="s">
        <v>853</v>
      </c>
      <c r="E1992" s="34">
        <v>0.40520899999999999</v>
      </c>
      <c r="F1992" t="s">
        <v>16789</v>
      </c>
      <c r="G1992" t="b">
        <v>0</v>
      </c>
    </row>
    <row r="1993" spans="1:7" x14ac:dyDescent="0.25">
      <c r="A1993" t="s">
        <v>14092</v>
      </c>
      <c r="B1993" s="34">
        <v>8.0769820000000006E-2</v>
      </c>
      <c r="C1993" s="34">
        <v>6.7308183333333301E-3</v>
      </c>
      <c r="D1993" t="s">
        <v>312</v>
      </c>
      <c r="E1993" s="34">
        <v>0.40384910000000002</v>
      </c>
      <c r="F1993" t="s">
        <v>16559</v>
      </c>
      <c r="G1993" t="b">
        <v>0</v>
      </c>
    </row>
    <row r="1994" spans="1:7" x14ac:dyDescent="0.25">
      <c r="A1994" t="s">
        <v>14191</v>
      </c>
      <c r="B1994" s="34">
        <v>8.0469999999999903E-2</v>
      </c>
      <c r="C1994" s="34">
        <v>6.7058333333333301E-3</v>
      </c>
      <c r="D1994" t="s">
        <v>356</v>
      </c>
      <c r="E1994" s="34">
        <v>0.40234999999999899</v>
      </c>
      <c r="F1994" t="s">
        <v>16655</v>
      </c>
      <c r="G1994" t="b">
        <v>0</v>
      </c>
    </row>
    <row r="1995" spans="1:7" x14ac:dyDescent="0.25">
      <c r="A1995" t="s">
        <v>13986</v>
      </c>
      <c r="B1995" s="34">
        <v>7.9659999999999995E-2</v>
      </c>
      <c r="C1995" s="34">
        <v>6.6383333333333303E-3</v>
      </c>
      <c r="D1995" t="s">
        <v>663</v>
      </c>
      <c r="E1995" s="34">
        <v>0.39829999999999999</v>
      </c>
      <c r="F1995" t="s">
        <v>16453</v>
      </c>
      <c r="G1995" t="b">
        <v>0</v>
      </c>
    </row>
    <row r="1996" spans="1:7" x14ac:dyDescent="0.25">
      <c r="A1996" t="s">
        <v>14260</v>
      </c>
      <c r="B1996" s="34">
        <v>7.9627699999999996E-2</v>
      </c>
      <c r="C1996" s="34">
        <v>6.6356416666666597E-3</v>
      </c>
      <c r="D1996" t="s">
        <v>1032</v>
      </c>
      <c r="E1996" s="34">
        <v>0.39813850000000001</v>
      </c>
      <c r="F1996" t="s">
        <v>16724</v>
      </c>
      <c r="G1996" t="b">
        <v>0</v>
      </c>
    </row>
    <row r="1997" spans="1:7" x14ac:dyDescent="0.25">
      <c r="A1997" t="s">
        <v>14617</v>
      </c>
      <c r="B1997" s="34">
        <v>7.9205999999999901E-2</v>
      </c>
      <c r="C1997" s="34">
        <v>6.6004999999999996E-3</v>
      </c>
      <c r="D1997" t="s">
        <v>726</v>
      </c>
      <c r="E1997" s="34">
        <v>0.39602999999999999</v>
      </c>
      <c r="F1997" t="s">
        <v>17071</v>
      </c>
      <c r="G1997" t="b">
        <v>0</v>
      </c>
    </row>
    <row r="1998" spans="1:7" x14ac:dyDescent="0.25">
      <c r="A1998" t="s">
        <v>14158</v>
      </c>
      <c r="B1998" s="34">
        <v>7.8100000000000003E-2</v>
      </c>
      <c r="C1998" s="34">
        <v>6.5083333333333304E-3</v>
      </c>
      <c r="D1998" t="s">
        <v>385</v>
      </c>
      <c r="E1998" s="34">
        <v>0.39050000000000001</v>
      </c>
      <c r="F1998" t="s">
        <v>16625</v>
      </c>
      <c r="G1998" t="b">
        <v>0</v>
      </c>
    </row>
    <row r="1999" spans="1:7" x14ac:dyDescent="0.25">
      <c r="A1999" t="s">
        <v>14414</v>
      </c>
      <c r="B1999" s="34">
        <v>7.7949999999999894E-2</v>
      </c>
      <c r="C1999" s="34">
        <v>6.49583333333333E-3</v>
      </c>
      <c r="D1999" t="s">
        <v>776</v>
      </c>
      <c r="E1999" s="34">
        <v>0.38974999999999899</v>
      </c>
      <c r="F1999" t="s">
        <v>16875</v>
      </c>
      <c r="G1999" t="b">
        <v>0</v>
      </c>
    </row>
    <row r="2000" spans="1:7" x14ac:dyDescent="0.25">
      <c r="A2000" t="s">
        <v>14053</v>
      </c>
      <c r="B2000" s="34">
        <v>7.7908000000000005E-2</v>
      </c>
      <c r="C2000" s="34">
        <v>6.49233333333333E-3</v>
      </c>
      <c r="D2000" t="s">
        <v>982</v>
      </c>
      <c r="E2000" s="34">
        <v>0.38954</v>
      </c>
      <c r="F2000" t="s">
        <v>16520</v>
      </c>
      <c r="G2000" t="b">
        <v>0</v>
      </c>
    </row>
    <row r="2001" spans="1:7" x14ac:dyDescent="0.25">
      <c r="A2001" t="s">
        <v>14363</v>
      </c>
      <c r="B2001" s="34">
        <v>7.7436000000000005E-2</v>
      </c>
      <c r="C2001" s="34">
        <v>6.4530000000000004E-3</v>
      </c>
      <c r="D2001" t="s">
        <v>110</v>
      </c>
      <c r="E2001" s="34">
        <v>0.38718000000000002</v>
      </c>
      <c r="F2001" t="s">
        <v>16825</v>
      </c>
      <c r="G2001" t="b">
        <v>0</v>
      </c>
    </row>
    <row r="2002" spans="1:7" x14ac:dyDescent="0.25">
      <c r="A2002" t="s">
        <v>14124</v>
      </c>
      <c r="B2002" s="34">
        <v>7.7157400000000001E-2</v>
      </c>
      <c r="C2002" s="34">
        <v>6.4297833333333302E-3</v>
      </c>
      <c r="D2002" t="s">
        <v>35</v>
      </c>
      <c r="E2002" s="34">
        <v>0.38578699999999999</v>
      </c>
      <c r="F2002" t="s">
        <v>16591</v>
      </c>
      <c r="G2002" t="b">
        <v>0</v>
      </c>
    </row>
    <row r="2003" spans="1:7" x14ac:dyDescent="0.25">
      <c r="A2003" t="s">
        <v>14796</v>
      </c>
      <c r="B2003" s="34">
        <v>7.646E-2</v>
      </c>
      <c r="C2003" s="34">
        <v>6.37166666666666E-3</v>
      </c>
      <c r="D2003" t="s">
        <v>3459</v>
      </c>
      <c r="E2003" s="34">
        <v>0.38229999999999997</v>
      </c>
      <c r="F2003" t="s">
        <v>17242</v>
      </c>
      <c r="G2003" t="b">
        <v>0</v>
      </c>
    </row>
    <row r="2004" spans="1:7" x14ac:dyDescent="0.25">
      <c r="A2004" t="s">
        <v>13712</v>
      </c>
      <c r="B2004" s="34">
        <v>7.5899999999999995E-2</v>
      </c>
      <c r="C2004" s="34">
        <v>6.3249999999999999E-3</v>
      </c>
      <c r="D2004" t="s">
        <v>26</v>
      </c>
      <c r="E2004" s="34">
        <v>0.3795</v>
      </c>
      <c r="F2004" t="s">
        <v>16180</v>
      </c>
      <c r="G2004" t="b">
        <v>0</v>
      </c>
    </row>
    <row r="2005" spans="1:7" x14ac:dyDescent="0.25">
      <c r="A2005" t="s">
        <v>14441</v>
      </c>
      <c r="B2005" s="34">
        <v>7.5897599999999996E-2</v>
      </c>
      <c r="C2005" s="34">
        <v>6.3248000000000002E-3</v>
      </c>
      <c r="D2005" t="s">
        <v>1074</v>
      </c>
      <c r="E2005" s="34">
        <v>0.37948799999999999</v>
      </c>
      <c r="F2005" t="s">
        <v>16901</v>
      </c>
      <c r="G2005" t="b">
        <v>0</v>
      </c>
    </row>
    <row r="2006" spans="1:7" x14ac:dyDescent="0.25">
      <c r="A2006" t="s">
        <v>13026</v>
      </c>
      <c r="B2006" s="34">
        <v>7.5619999999999896E-2</v>
      </c>
      <c r="C2006" s="34">
        <v>6.3016666666666603E-3</v>
      </c>
      <c r="D2006" t="s">
        <v>2137</v>
      </c>
      <c r="E2006" s="34">
        <v>0.37809999999999999</v>
      </c>
      <c r="F2006" t="s">
        <v>15501</v>
      </c>
      <c r="G2006" t="b">
        <v>0</v>
      </c>
    </row>
    <row r="2007" spans="1:7" x14ac:dyDescent="0.25">
      <c r="A2007" t="s">
        <v>13614</v>
      </c>
      <c r="B2007" s="34">
        <v>7.5319800000000006E-2</v>
      </c>
      <c r="C2007" s="34">
        <v>6.2766499999999999E-3</v>
      </c>
      <c r="D2007" t="s">
        <v>4135</v>
      </c>
      <c r="E2007" s="34">
        <v>0.37659900000000002</v>
      </c>
      <c r="F2007" t="s">
        <v>16083</v>
      </c>
      <c r="G2007" t="b">
        <v>0</v>
      </c>
    </row>
    <row r="2008" spans="1:7" x14ac:dyDescent="0.25">
      <c r="A2008" t="s">
        <v>14456</v>
      </c>
      <c r="B2008" s="34">
        <v>7.48756E-2</v>
      </c>
      <c r="C2008" s="34">
        <v>6.2396333333333302E-3</v>
      </c>
      <c r="D2008" t="s">
        <v>239</v>
      </c>
      <c r="E2008" s="34">
        <v>0.37437799999999999</v>
      </c>
      <c r="F2008" t="s">
        <v>16916</v>
      </c>
      <c r="G2008" t="b">
        <v>0</v>
      </c>
    </row>
    <row r="2009" spans="1:7" x14ac:dyDescent="0.25">
      <c r="A2009" t="s">
        <v>13911</v>
      </c>
      <c r="B2009" s="34">
        <v>7.4762800000000004E-2</v>
      </c>
      <c r="C2009" s="34">
        <v>6.2302333333333296E-3</v>
      </c>
      <c r="D2009" t="s">
        <v>35</v>
      </c>
      <c r="E2009" s="34">
        <v>0.37381399999999998</v>
      </c>
      <c r="F2009" t="s">
        <v>16378</v>
      </c>
      <c r="G2009" t="b">
        <v>0</v>
      </c>
    </row>
    <row r="2010" spans="1:7" x14ac:dyDescent="0.25">
      <c r="A2010" t="s">
        <v>14298</v>
      </c>
      <c r="B2010" s="34">
        <v>7.4759999999999993E-2</v>
      </c>
      <c r="C2010" s="34">
        <v>6.2299999999999899E-3</v>
      </c>
      <c r="D2010" t="s">
        <v>35</v>
      </c>
      <c r="E2010" s="34">
        <v>0.37380000000000002</v>
      </c>
      <c r="F2010" t="s">
        <v>16761</v>
      </c>
      <c r="G2010" t="b">
        <v>0</v>
      </c>
    </row>
    <row r="2011" spans="1:7" x14ac:dyDescent="0.25">
      <c r="A2011" t="s">
        <v>12881</v>
      </c>
      <c r="B2011" s="34">
        <v>7.4700000000000003E-2</v>
      </c>
      <c r="C2011" s="34">
        <v>6.2249999999999996E-3</v>
      </c>
      <c r="D2011" t="s">
        <v>1209</v>
      </c>
      <c r="E2011" s="34">
        <v>0.3735</v>
      </c>
      <c r="F2011" t="s">
        <v>15356</v>
      </c>
      <c r="G2011" t="b">
        <v>0</v>
      </c>
    </row>
    <row r="2012" spans="1:7" x14ac:dyDescent="0.25">
      <c r="A2012" t="s">
        <v>13699</v>
      </c>
      <c r="B2012" s="34">
        <v>7.4371999999999994E-2</v>
      </c>
      <c r="C2012" s="34">
        <v>6.1976666666666604E-3</v>
      </c>
      <c r="D2012" t="s">
        <v>853</v>
      </c>
      <c r="E2012" s="34">
        <v>0.37185999999999902</v>
      </c>
      <c r="F2012" t="s">
        <v>16167</v>
      </c>
      <c r="G2012" t="b">
        <v>0</v>
      </c>
    </row>
    <row r="2013" spans="1:7" x14ac:dyDescent="0.25">
      <c r="A2013" t="s">
        <v>14071</v>
      </c>
      <c r="B2013" s="34">
        <v>7.3079999999999895E-2</v>
      </c>
      <c r="C2013" s="34">
        <v>6.0899999999999999E-3</v>
      </c>
      <c r="D2013" t="s">
        <v>904</v>
      </c>
      <c r="E2013" s="34">
        <v>0.3654</v>
      </c>
      <c r="F2013" t="s">
        <v>16538</v>
      </c>
      <c r="G2013" t="b">
        <v>0</v>
      </c>
    </row>
    <row r="2014" spans="1:7" x14ac:dyDescent="0.25">
      <c r="A2014" t="s">
        <v>13915</v>
      </c>
      <c r="B2014" s="34">
        <v>7.2069999999999995E-2</v>
      </c>
      <c r="C2014" s="34">
        <v>6.00583333333333E-3</v>
      </c>
      <c r="D2014" t="s">
        <v>1861</v>
      </c>
      <c r="E2014" s="34">
        <v>0.36035</v>
      </c>
      <c r="F2014" t="s">
        <v>16382</v>
      </c>
      <c r="G2014" t="b">
        <v>0</v>
      </c>
    </row>
    <row r="2015" spans="1:7" x14ac:dyDescent="0.25">
      <c r="A2015" t="s">
        <v>14400</v>
      </c>
      <c r="B2015" s="34">
        <v>7.1883999999999906E-2</v>
      </c>
      <c r="C2015" s="34">
        <v>5.9903333333333302E-3</v>
      </c>
      <c r="D2015" t="s">
        <v>1249</v>
      </c>
      <c r="E2015" s="34">
        <v>0.35942000000000002</v>
      </c>
      <c r="F2015" t="s">
        <v>16862</v>
      </c>
      <c r="G2015" t="b">
        <v>0</v>
      </c>
    </row>
    <row r="2016" spans="1:7" x14ac:dyDescent="0.25">
      <c r="A2016" t="s">
        <v>14698</v>
      </c>
      <c r="B2016" s="34">
        <v>7.0684999999999998E-2</v>
      </c>
      <c r="C2016" s="34">
        <v>5.8904166666666601E-3</v>
      </c>
      <c r="D2016" t="s">
        <v>268</v>
      </c>
      <c r="E2016" s="34">
        <v>0.35342499999999999</v>
      </c>
      <c r="F2016" t="s">
        <v>17150</v>
      </c>
      <c r="G2016" t="b">
        <v>0</v>
      </c>
    </row>
    <row r="2017" spans="1:7" x14ac:dyDescent="0.25">
      <c r="A2017" t="s">
        <v>14488</v>
      </c>
      <c r="B2017" s="34">
        <v>7.0090399999999997E-2</v>
      </c>
      <c r="C2017" s="34">
        <v>5.8408666666666604E-3</v>
      </c>
      <c r="D2017" t="s">
        <v>873</v>
      </c>
      <c r="E2017" s="34">
        <v>0.35045199999999999</v>
      </c>
      <c r="F2017" t="s">
        <v>16948</v>
      </c>
      <c r="G2017" t="b">
        <v>0</v>
      </c>
    </row>
    <row r="2018" spans="1:7" x14ac:dyDescent="0.25">
      <c r="A2018" t="s">
        <v>13585</v>
      </c>
      <c r="B2018" s="34">
        <v>6.9999999999999896E-2</v>
      </c>
      <c r="C2018" s="34">
        <v>5.8333333333333301E-3</v>
      </c>
      <c r="D2018" t="s">
        <v>1240</v>
      </c>
      <c r="E2018" s="34">
        <v>0.35</v>
      </c>
      <c r="F2018" t="s">
        <v>16054</v>
      </c>
      <c r="G2018" t="b">
        <v>0</v>
      </c>
    </row>
    <row r="2019" spans="1:7" x14ac:dyDescent="0.25">
      <c r="A2019" t="s">
        <v>13879</v>
      </c>
      <c r="B2019" s="34">
        <v>6.9980000000000001E-2</v>
      </c>
      <c r="C2019" s="34">
        <v>5.8316666666666604E-3</v>
      </c>
      <c r="D2019" t="s">
        <v>35</v>
      </c>
      <c r="E2019" s="34">
        <v>0.34989999999999999</v>
      </c>
      <c r="F2019" t="s">
        <v>16346</v>
      </c>
      <c r="G2019" t="b">
        <v>0</v>
      </c>
    </row>
    <row r="2020" spans="1:7" x14ac:dyDescent="0.25">
      <c r="A2020" t="s">
        <v>14613</v>
      </c>
      <c r="B2020" s="34">
        <v>6.948E-2</v>
      </c>
      <c r="C2020" s="34">
        <v>5.79E-3</v>
      </c>
      <c r="D2020" t="s">
        <v>1240</v>
      </c>
      <c r="E2020" s="34">
        <v>0.34739999999999999</v>
      </c>
      <c r="F2020" t="s">
        <v>17067</v>
      </c>
      <c r="G2020" t="b">
        <v>0</v>
      </c>
    </row>
    <row r="2021" spans="1:7" x14ac:dyDescent="0.25">
      <c r="A2021" t="s">
        <v>14187</v>
      </c>
      <c r="B2021" s="34">
        <v>6.9309399999999993E-2</v>
      </c>
      <c r="C2021" s="34">
        <v>5.7757833333333302E-3</v>
      </c>
      <c r="D2021" t="s">
        <v>632</v>
      </c>
      <c r="E2021" s="34">
        <v>0.34654699999999999</v>
      </c>
      <c r="F2021" t="s">
        <v>16651</v>
      </c>
      <c r="G2021" t="b">
        <v>0</v>
      </c>
    </row>
    <row r="2022" spans="1:7" x14ac:dyDescent="0.25">
      <c r="A2022" t="s">
        <v>13022</v>
      </c>
      <c r="B2022" s="34">
        <v>6.8899999999999906E-2</v>
      </c>
      <c r="C2022" s="34">
        <v>5.7416666666666597E-3</v>
      </c>
      <c r="D2022" t="s">
        <v>145</v>
      </c>
      <c r="E2022" s="34">
        <v>0.34449999999999997</v>
      </c>
      <c r="F2022" t="s">
        <v>15497</v>
      </c>
      <c r="G2022" t="b">
        <v>0</v>
      </c>
    </row>
    <row r="2023" spans="1:7" x14ac:dyDescent="0.25">
      <c r="A2023" t="s">
        <v>14375</v>
      </c>
      <c r="B2023" s="34">
        <v>6.8500000000000005E-2</v>
      </c>
      <c r="C2023" s="34">
        <v>5.70833333333333E-3</v>
      </c>
      <c r="D2023" t="s">
        <v>2267</v>
      </c>
      <c r="E2023" s="34">
        <v>0.34250000000000003</v>
      </c>
      <c r="F2023" t="s">
        <v>16837</v>
      </c>
      <c r="G2023" t="b">
        <v>0</v>
      </c>
    </row>
    <row r="2024" spans="1:7" x14ac:dyDescent="0.25">
      <c r="A2024" t="s">
        <v>13749</v>
      </c>
      <c r="B2024" s="34">
        <v>6.8399999999999905E-2</v>
      </c>
      <c r="C2024" s="34">
        <v>5.6999999999999898E-3</v>
      </c>
      <c r="D2024" t="s">
        <v>35</v>
      </c>
      <c r="E2024" s="34">
        <v>0.34200000000000003</v>
      </c>
      <c r="F2024" t="s">
        <v>16217</v>
      </c>
      <c r="G2024" t="b">
        <v>0</v>
      </c>
    </row>
    <row r="2025" spans="1:7" x14ac:dyDescent="0.25">
      <c r="A2025" t="s">
        <v>13937</v>
      </c>
      <c r="B2025" s="34">
        <v>6.8132600000000001E-2</v>
      </c>
      <c r="C2025" s="34">
        <v>5.6777166666666604E-3</v>
      </c>
      <c r="D2025" t="s">
        <v>781</v>
      </c>
      <c r="E2025" s="34">
        <v>0.34066299999999999</v>
      </c>
      <c r="F2025" t="s">
        <v>16404</v>
      </c>
      <c r="G2025" t="b">
        <v>0</v>
      </c>
    </row>
    <row r="2026" spans="1:7" x14ac:dyDescent="0.25">
      <c r="A2026" t="s">
        <v>13972</v>
      </c>
      <c r="B2026" s="34">
        <v>6.7540000000000003E-2</v>
      </c>
      <c r="C2026" s="34">
        <v>5.6283333333333298E-3</v>
      </c>
      <c r="D2026" t="s">
        <v>2101</v>
      </c>
      <c r="E2026" s="34">
        <v>0.3377</v>
      </c>
      <c r="F2026" t="s">
        <v>16439</v>
      </c>
      <c r="G2026" t="b">
        <v>0</v>
      </c>
    </row>
    <row r="2027" spans="1:7" x14ac:dyDescent="0.25">
      <c r="A2027" t="s">
        <v>14345</v>
      </c>
      <c r="B2027" s="34">
        <v>6.7479999999999998E-2</v>
      </c>
      <c r="C2027" s="34">
        <v>5.62333333333333E-3</v>
      </c>
      <c r="D2027" t="s">
        <v>35</v>
      </c>
      <c r="E2027" s="34">
        <v>0.33739999999999998</v>
      </c>
      <c r="F2027" t="s">
        <v>16808</v>
      </c>
      <c r="G2027" t="b">
        <v>0</v>
      </c>
    </row>
    <row r="2028" spans="1:7" x14ac:dyDescent="0.25">
      <c r="A2028" t="s">
        <v>14746</v>
      </c>
      <c r="B2028" s="34">
        <v>6.7139499999999894E-2</v>
      </c>
      <c r="C2028" s="34">
        <v>5.5949583333333303E-3</v>
      </c>
      <c r="D2028" t="s">
        <v>72</v>
      </c>
      <c r="E2028" s="34">
        <v>0.33569749999999998</v>
      </c>
      <c r="F2028" t="s">
        <v>17195</v>
      </c>
      <c r="G2028" t="b">
        <v>0</v>
      </c>
    </row>
    <row r="2029" spans="1:7" x14ac:dyDescent="0.25">
      <c r="A2029" t="s">
        <v>14193</v>
      </c>
      <c r="B2029" s="34">
        <v>6.694E-2</v>
      </c>
      <c r="C2029" s="34">
        <v>5.5783333333333301E-3</v>
      </c>
      <c r="D2029" t="s">
        <v>35</v>
      </c>
      <c r="E2029" s="34">
        <v>0.3347</v>
      </c>
      <c r="F2029" t="s">
        <v>16657</v>
      </c>
      <c r="G2029" t="b">
        <v>0</v>
      </c>
    </row>
    <row r="2030" spans="1:7" x14ac:dyDescent="0.25">
      <c r="A2030" t="s">
        <v>14551</v>
      </c>
      <c r="B2030" s="34">
        <v>6.6903999999999894E-2</v>
      </c>
      <c r="C2030" s="34">
        <v>5.5753333333333297E-3</v>
      </c>
      <c r="D2030" t="s">
        <v>6844</v>
      </c>
      <c r="E2030" s="34">
        <v>0.33451999999999998</v>
      </c>
      <c r="F2030" t="s">
        <v>17010</v>
      </c>
      <c r="G2030" t="b">
        <v>0</v>
      </c>
    </row>
    <row r="2031" spans="1:7" x14ac:dyDescent="0.25">
      <c r="A2031" t="s">
        <v>14878</v>
      </c>
      <c r="B2031" s="34">
        <v>6.6299999999999998E-2</v>
      </c>
      <c r="C2031" s="34">
        <v>5.5250000000000004E-3</v>
      </c>
      <c r="D2031" t="s">
        <v>1240</v>
      </c>
      <c r="E2031" s="34">
        <v>0.33150000000000002</v>
      </c>
      <c r="F2031" t="s">
        <v>17314</v>
      </c>
      <c r="G2031" t="b">
        <v>0</v>
      </c>
    </row>
    <row r="2032" spans="1:7" x14ac:dyDescent="0.25">
      <c r="A2032" t="s">
        <v>14645</v>
      </c>
      <c r="B2032" s="34">
        <v>6.4593600000000001E-2</v>
      </c>
      <c r="C2032" s="34">
        <v>5.3828000000000001E-3</v>
      </c>
      <c r="D2032" t="s">
        <v>132</v>
      </c>
      <c r="E2032" s="34">
        <v>0.32296799999999998</v>
      </c>
      <c r="F2032" t="s">
        <v>17098</v>
      </c>
      <c r="G2032" t="b">
        <v>0</v>
      </c>
    </row>
    <row r="2033" spans="1:7" x14ac:dyDescent="0.25">
      <c r="A2033" t="s">
        <v>14665</v>
      </c>
      <c r="B2033" s="34">
        <v>6.3713999999999896E-2</v>
      </c>
      <c r="C2033" s="34">
        <v>5.3095E-3</v>
      </c>
      <c r="D2033" t="s">
        <v>13</v>
      </c>
      <c r="E2033" s="34">
        <v>0.31856999999999902</v>
      </c>
      <c r="F2033" t="s">
        <v>17118</v>
      </c>
      <c r="G2033" t="b">
        <v>0</v>
      </c>
    </row>
    <row r="2034" spans="1:7" x14ac:dyDescent="0.25">
      <c r="A2034" t="s">
        <v>14601</v>
      </c>
      <c r="B2034" s="34">
        <v>6.3600000000000004E-2</v>
      </c>
      <c r="C2034" s="34">
        <v>5.3E-3</v>
      </c>
      <c r="D2034" t="s">
        <v>110</v>
      </c>
      <c r="E2034" s="34">
        <v>0.318</v>
      </c>
      <c r="F2034" t="s">
        <v>17057</v>
      </c>
      <c r="G2034" t="b">
        <v>0</v>
      </c>
    </row>
    <row r="2035" spans="1:7" x14ac:dyDescent="0.25">
      <c r="A2035" t="s">
        <v>13884</v>
      </c>
      <c r="B2035" s="34">
        <v>6.3369999999999996E-2</v>
      </c>
      <c r="C2035" s="34">
        <v>5.2808333333333301E-3</v>
      </c>
      <c r="D2035" t="s">
        <v>424</v>
      </c>
      <c r="E2035" s="34">
        <v>0.31685000000000002</v>
      </c>
      <c r="F2035" t="s">
        <v>16351</v>
      </c>
      <c r="G2035" t="b">
        <v>0</v>
      </c>
    </row>
    <row r="2036" spans="1:7" x14ac:dyDescent="0.25">
      <c r="A2036" t="s">
        <v>14417</v>
      </c>
      <c r="B2036" s="34">
        <v>6.3033599999999995E-2</v>
      </c>
      <c r="C2036" s="34">
        <v>5.2528000000000002E-3</v>
      </c>
      <c r="D2036" t="s">
        <v>35</v>
      </c>
      <c r="E2036" s="34">
        <v>0.315168</v>
      </c>
      <c r="F2036" t="s">
        <v>16878</v>
      </c>
      <c r="G2036" t="b">
        <v>0</v>
      </c>
    </row>
    <row r="2037" spans="1:7" x14ac:dyDescent="0.25">
      <c r="A2037" t="s">
        <v>14704</v>
      </c>
      <c r="B2037" s="34">
        <v>6.2887334000000003E-2</v>
      </c>
      <c r="C2037" s="34">
        <v>5.2406111666666597E-3</v>
      </c>
      <c r="D2037" t="s">
        <v>104</v>
      </c>
      <c r="E2037" s="34">
        <v>0.104812223333333</v>
      </c>
      <c r="F2037" t="s">
        <v>17155</v>
      </c>
      <c r="G2037" t="b">
        <v>0</v>
      </c>
    </row>
    <row r="2038" spans="1:7" x14ac:dyDescent="0.25">
      <c r="A2038" t="s">
        <v>14312</v>
      </c>
      <c r="B2038" s="34">
        <v>6.2873999999999902E-2</v>
      </c>
      <c r="C2038" s="34">
        <v>5.2394999999999898E-3</v>
      </c>
      <c r="D2038" t="s">
        <v>456</v>
      </c>
      <c r="E2038" s="34">
        <v>0.31436999999999898</v>
      </c>
      <c r="F2038" t="s">
        <v>16775</v>
      </c>
      <c r="G2038" t="b">
        <v>0</v>
      </c>
    </row>
    <row r="2039" spans="1:7" x14ac:dyDescent="0.25">
      <c r="A2039" t="s">
        <v>14192</v>
      </c>
      <c r="B2039" s="34">
        <v>6.27606E-2</v>
      </c>
      <c r="C2039" s="34">
        <v>5.23005E-3</v>
      </c>
      <c r="D2039" t="s">
        <v>35</v>
      </c>
      <c r="E2039" s="34">
        <v>0.313803</v>
      </c>
      <c r="F2039" t="s">
        <v>16656</v>
      </c>
      <c r="G2039" t="b">
        <v>0</v>
      </c>
    </row>
    <row r="2040" spans="1:7" x14ac:dyDescent="0.25">
      <c r="A2040" t="s">
        <v>14244</v>
      </c>
      <c r="B2040" s="34">
        <v>6.2453700000000001E-2</v>
      </c>
      <c r="C2040" s="34">
        <v>5.2044750000000001E-3</v>
      </c>
      <c r="D2040" t="s">
        <v>663</v>
      </c>
      <c r="E2040" s="34">
        <v>0.3122685</v>
      </c>
      <c r="F2040" t="s">
        <v>16708</v>
      </c>
      <c r="G2040" t="b">
        <v>0</v>
      </c>
    </row>
    <row r="2041" spans="1:7" x14ac:dyDescent="0.25">
      <c r="A2041" t="s">
        <v>14666</v>
      </c>
      <c r="B2041" s="34">
        <v>6.2142999999999997E-2</v>
      </c>
      <c r="C2041" s="34">
        <v>5.1785833333333302E-3</v>
      </c>
      <c r="D2041" t="s">
        <v>456</v>
      </c>
      <c r="E2041" s="34">
        <v>0.31071500000000002</v>
      </c>
      <c r="F2041" t="s">
        <v>17119</v>
      </c>
      <c r="G2041" t="b">
        <v>0</v>
      </c>
    </row>
    <row r="2042" spans="1:7" x14ac:dyDescent="0.25">
      <c r="A2042" t="s">
        <v>13719</v>
      </c>
      <c r="B2042" s="34">
        <v>6.1890000000000001E-2</v>
      </c>
      <c r="C2042" s="34">
        <v>5.1574999999999998E-3</v>
      </c>
      <c r="D2042" t="s">
        <v>162</v>
      </c>
      <c r="E2042" s="34">
        <v>0.30945</v>
      </c>
      <c r="F2042" t="s">
        <v>16187</v>
      </c>
      <c r="G2042" t="b">
        <v>0</v>
      </c>
    </row>
    <row r="2043" spans="1:7" x14ac:dyDescent="0.25">
      <c r="A2043" t="s">
        <v>13502</v>
      </c>
      <c r="B2043" s="34">
        <v>6.1499999999999999E-2</v>
      </c>
      <c r="C2043" s="34">
        <v>5.1250000000000002E-3</v>
      </c>
      <c r="D2043" t="s">
        <v>35</v>
      </c>
      <c r="E2043" s="34">
        <v>0.3075</v>
      </c>
      <c r="F2043" t="s">
        <v>15971</v>
      </c>
      <c r="G2043" t="b">
        <v>0</v>
      </c>
    </row>
    <row r="2044" spans="1:7" x14ac:dyDescent="0.25">
      <c r="A2044" t="s">
        <v>13676</v>
      </c>
      <c r="B2044" s="34">
        <v>6.1399999999999899E-2</v>
      </c>
      <c r="C2044" s="34">
        <v>5.11666666666666E-3</v>
      </c>
      <c r="D2044" t="s">
        <v>35</v>
      </c>
      <c r="E2044" s="34">
        <v>0.306999999999999</v>
      </c>
      <c r="F2044" t="s">
        <v>16144</v>
      </c>
      <c r="G2044" t="b">
        <v>0</v>
      </c>
    </row>
    <row r="2045" spans="1:7" x14ac:dyDescent="0.25">
      <c r="A2045" t="s">
        <v>14186</v>
      </c>
      <c r="B2045" s="34">
        <v>6.1348399999999997E-2</v>
      </c>
      <c r="C2045" s="34">
        <v>5.1123666666666604E-3</v>
      </c>
      <c r="D2045" t="s">
        <v>1611</v>
      </c>
      <c r="E2045" s="34">
        <v>0.30674200000000001</v>
      </c>
      <c r="F2045" t="s">
        <v>16650</v>
      </c>
      <c r="G2045" t="b">
        <v>0</v>
      </c>
    </row>
    <row r="2046" spans="1:7" x14ac:dyDescent="0.25">
      <c r="A2046" t="s">
        <v>13696</v>
      </c>
      <c r="B2046" s="34">
        <v>6.1339999999999999E-2</v>
      </c>
      <c r="C2046" s="34">
        <v>5.1116666666666602E-3</v>
      </c>
      <c r="D2046" t="s">
        <v>132</v>
      </c>
      <c r="E2046" s="34">
        <v>0.30669999999999997</v>
      </c>
      <c r="F2046" t="s">
        <v>16164</v>
      </c>
      <c r="G2046" t="b">
        <v>0</v>
      </c>
    </row>
    <row r="2047" spans="1:7" x14ac:dyDescent="0.25">
      <c r="A2047" t="s">
        <v>14494</v>
      </c>
      <c r="B2047" s="34">
        <v>6.1179400000000002E-2</v>
      </c>
      <c r="C2047" s="34">
        <v>5.09828333333333E-3</v>
      </c>
      <c r="D2047" t="s">
        <v>1464</v>
      </c>
      <c r="E2047" s="34">
        <v>0.30589699999999997</v>
      </c>
      <c r="F2047" t="s">
        <v>16954</v>
      </c>
      <c r="G2047" t="b">
        <v>0</v>
      </c>
    </row>
    <row r="2048" spans="1:7" x14ac:dyDescent="0.25">
      <c r="A2048" t="s">
        <v>14815</v>
      </c>
      <c r="B2048" s="34">
        <v>6.0697599999999997E-2</v>
      </c>
      <c r="C2048" s="34">
        <v>5.0581333333333299E-3</v>
      </c>
      <c r="D2048" t="s">
        <v>26</v>
      </c>
      <c r="E2048" s="34">
        <v>0.30348799999999998</v>
      </c>
      <c r="F2048" t="s">
        <v>17258</v>
      </c>
      <c r="G2048" t="b">
        <v>0</v>
      </c>
    </row>
    <row r="2049" spans="1:7" x14ac:dyDescent="0.25">
      <c r="A2049" t="s">
        <v>14379</v>
      </c>
      <c r="B2049" s="34">
        <v>6.0351999999999899E-2</v>
      </c>
      <c r="C2049" s="34">
        <v>5.0293333333333301E-3</v>
      </c>
      <c r="D2049" t="s">
        <v>35</v>
      </c>
      <c r="E2049" s="34">
        <v>0.30175999999999997</v>
      </c>
      <c r="F2049" t="s">
        <v>16841</v>
      </c>
      <c r="G2049" t="b">
        <v>0</v>
      </c>
    </row>
    <row r="2050" spans="1:7" x14ac:dyDescent="0.25">
      <c r="A2050" t="s">
        <v>14218</v>
      </c>
      <c r="B2050" s="34">
        <v>6.0080000000000001E-2</v>
      </c>
      <c r="C2050" s="34">
        <v>5.0066666666666601E-3</v>
      </c>
      <c r="D2050" t="s">
        <v>904</v>
      </c>
      <c r="E2050" s="34">
        <v>0.3004</v>
      </c>
      <c r="F2050" t="s">
        <v>16682</v>
      </c>
      <c r="G2050" t="b">
        <v>0</v>
      </c>
    </row>
    <row r="2051" spans="1:7" x14ac:dyDescent="0.25">
      <c r="A2051" t="s">
        <v>13950</v>
      </c>
      <c r="B2051" s="34">
        <v>5.9699999999999899E-2</v>
      </c>
      <c r="C2051" s="34">
        <v>4.9749999999999898E-3</v>
      </c>
      <c r="D2051" t="s">
        <v>97</v>
      </c>
      <c r="E2051" s="34">
        <v>0.29849999999999899</v>
      </c>
      <c r="F2051" t="s">
        <v>16417</v>
      </c>
      <c r="G2051" t="b">
        <v>0</v>
      </c>
    </row>
    <row r="2052" spans="1:7" x14ac:dyDescent="0.25">
      <c r="A2052" t="s">
        <v>13514</v>
      </c>
      <c r="B2052" s="34">
        <v>5.9542999999999999E-2</v>
      </c>
      <c r="C2052" s="34">
        <v>4.9619166666666596E-3</v>
      </c>
      <c r="D2052" t="s">
        <v>632</v>
      </c>
      <c r="E2052" s="34">
        <v>0.29771500000000001</v>
      </c>
      <c r="F2052" t="s">
        <v>15983</v>
      </c>
      <c r="G2052" t="b">
        <v>0</v>
      </c>
    </row>
    <row r="2053" spans="1:7" x14ac:dyDescent="0.25">
      <c r="A2053" t="s">
        <v>14296</v>
      </c>
      <c r="B2053" s="34">
        <v>5.944E-2</v>
      </c>
      <c r="C2053" s="34">
        <v>4.9533333333333304E-3</v>
      </c>
      <c r="D2053" t="s">
        <v>26</v>
      </c>
      <c r="E2053" s="34">
        <v>0.29720000000000002</v>
      </c>
      <c r="F2053" t="s">
        <v>16759</v>
      </c>
      <c r="G2053" t="b">
        <v>0</v>
      </c>
    </row>
    <row r="2054" spans="1:7" x14ac:dyDescent="0.25">
      <c r="A2054" t="s">
        <v>14823</v>
      </c>
      <c r="B2054" s="34">
        <v>5.8599999999999999E-2</v>
      </c>
      <c r="C2054" s="34">
        <v>4.8833333333333298E-3</v>
      </c>
      <c r="D2054" t="s">
        <v>26</v>
      </c>
      <c r="E2054" s="34">
        <v>0.14649999999999999</v>
      </c>
      <c r="F2054" t="s">
        <v>17264</v>
      </c>
      <c r="G2054" t="b">
        <v>0</v>
      </c>
    </row>
    <row r="2055" spans="1:7" x14ac:dyDescent="0.25">
      <c r="A2055" t="s">
        <v>14361</v>
      </c>
      <c r="B2055" s="34">
        <v>5.8228772999999998E-2</v>
      </c>
      <c r="C2055" s="34">
        <v>4.8523977500000001E-3</v>
      </c>
      <c r="D2055" t="s">
        <v>26</v>
      </c>
      <c r="E2055" s="34">
        <v>0.291143865</v>
      </c>
      <c r="F2055" t="s">
        <v>16823</v>
      </c>
      <c r="G2055" t="b">
        <v>0</v>
      </c>
    </row>
    <row r="2056" spans="1:7" x14ac:dyDescent="0.25">
      <c r="A2056" t="s">
        <v>14107</v>
      </c>
      <c r="B2056" s="34">
        <v>5.78863999999999E-2</v>
      </c>
      <c r="C2056" s="34">
        <v>4.8238666666666598E-3</v>
      </c>
      <c r="D2056" t="s">
        <v>132</v>
      </c>
      <c r="E2056" s="34">
        <v>0.28943200000000002</v>
      </c>
      <c r="F2056" t="s">
        <v>16574</v>
      </c>
      <c r="G2056" t="b">
        <v>0</v>
      </c>
    </row>
    <row r="2057" spans="1:7" x14ac:dyDescent="0.25">
      <c r="A2057" t="s">
        <v>14056</v>
      </c>
      <c r="B2057" s="34">
        <v>5.7433999999999999E-2</v>
      </c>
      <c r="C2057" s="34">
        <v>4.7861666666666599E-3</v>
      </c>
      <c r="D2057" t="s">
        <v>1209</v>
      </c>
      <c r="E2057" s="34">
        <v>0.14358499999999999</v>
      </c>
      <c r="F2057" t="s">
        <v>16523</v>
      </c>
      <c r="G2057" t="b">
        <v>0</v>
      </c>
    </row>
    <row r="2058" spans="1:7" x14ac:dyDescent="0.25">
      <c r="A2058" t="s">
        <v>14716</v>
      </c>
      <c r="B2058" s="34">
        <v>5.7417999999999997E-2</v>
      </c>
      <c r="C2058" s="34">
        <v>4.7848333333333302E-3</v>
      </c>
      <c r="D2058" t="s">
        <v>853</v>
      </c>
      <c r="E2058" s="34">
        <v>0.28709000000000001</v>
      </c>
      <c r="F2058" t="s">
        <v>17167</v>
      </c>
      <c r="G2058" t="b">
        <v>0</v>
      </c>
    </row>
    <row r="2059" spans="1:7" x14ac:dyDescent="0.25">
      <c r="A2059" t="s">
        <v>14819</v>
      </c>
      <c r="B2059" s="34">
        <v>5.7229999999999899E-2</v>
      </c>
      <c r="C2059" s="34">
        <v>4.7691666666666603E-3</v>
      </c>
      <c r="D2059" t="s">
        <v>883</v>
      </c>
      <c r="E2059" s="34">
        <v>0.28615000000000002</v>
      </c>
      <c r="F2059" t="s">
        <v>17261</v>
      </c>
      <c r="G2059" t="b">
        <v>0</v>
      </c>
    </row>
    <row r="2060" spans="1:7" x14ac:dyDescent="0.25">
      <c r="A2060" t="s">
        <v>14694</v>
      </c>
      <c r="B2060" s="34">
        <v>5.7197900000000003E-2</v>
      </c>
      <c r="C2060" s="34">
        <v>4.7664916666666597E-3</v>
      </c>
      <c r="D2060" t="s">
        <v>1013</v>
      </c>
      <c r="E2060" s="34">
        <v>0.28598950000000001</v>
      </c>
      <c r="F2060" t="s">
        <v>17146</v>
      </c>
      <c r="G2060" t="b">
        <v>0</v>
      </c>
    </row>
    <row r="2061" spans="1:7" x14ac:dyDescent="0.25">
      <c r="A2061" t="s">
        <v>13784</v>
      </c>
      <c r="B2061" s="34">
        <v>5.7099999999999998E-2</v>
      </c>
      <c r="C2061" s="34">
        <v>4.7583333333333297E-3</v>
      </c>
      <c r="D2061" t="s">
        <v>35</v>
      </c>
      <c r="E2061" s="34">
        <v>0.28549999999999998</v>
      </c>
      <c r="F2061" t="s">
        <v>16251</v>
      </c>
      <c r="G2061" t="b">
        <v>0</v>
      </c>
    </row>
    <row r="2062" spans="1:7" x14ac:dyDescent="0.25">
      <c r="A2062" t="s">
        <v>14084</v>
      </c>
      <c r="B2062" s="34">
        <v>5.7072600000000001E-2</v>
      </c>
      <c r="C2062" s="34">
        <v>4.7560500000000004E-3</v>
      </c>
      <c r="D2062" t="s">
        <v>162</v>
      </c>
      <c r="E2062" s="34">
        <v>0.28536299999999998</v>
      </c>
      <c r="F2062" t="s">
        <v>16551</v>
      </c>
      <c r="G2062" t="b">
        <v>0</v>
      </c>
    </row>
    <row r="2063" spans="1:7" x14ac:dyDescent="0.25">
      <c r="A2063" t="s">
        <v>14636</v>
      </c>
      <c r="B2063" s="34">
        <v>5.6599999999999998E-2</v>
      </c>
      <c r="C2063" s="34">
        <v>4.7166666666666598E-3</v>
      </c>
      <c r="D2063" t="s">
        <v>35</v>
      </c>
      <c r="E2063" s="34">
        <v>0.28299999999999997</v>
      </c>
      <c r="F2063" t="s">
        <v>17089</v>
      </c>
      <c r="G2063" t="b">
        <v>0</v>
      </c>
    </row>
    <row r="2064" spans="1:7" x14ac:dyDescent="0.25">
      <c r="A2064" t="s">
        <v>14408</v>
      </c>
      <c r="B2064" s="34">
        <v>5.6494199999999897E-2</v>
      </c>
      <c r="C2064" s="34">
        <v>4.70784999999999E-3</v>
      </c>
      <c r="D2064" t="s">
        <v>318</v>
      </c>
      <c r="E2064" s="34">
        <v>0.14123550000000001</v>
      </c>
      <c r="F2064" t="s">
        <v>16869</v>
      </c>
      <c r="G2064" t="b">
        <v>0</v>
      </c>
    </row>
    <row r="2065" spans="1:7" x14ac:dyDescent="0.25">
      <c r="A2065" t="s">
        <v>13755</v>
      </c>
      <c r="B2065" s="34">
        <v>5.6460000000000003E-2</v>
      </c>
      <c r="C2065" s="34">
        <v>4.705E-3</v>
      </c>
      <c r="D2065" t="s">
        <v>35</v>
      </c>
      <c r="E2065" s="34">
        <v>0.2823</v>
      </c>
      <c r="F2065" t="s">
        <v>16223</v>
      </c>
      <c r="G2065" t="b">
        <v>0</v>
      </c>
    </row>
    <row r="2066" spans="1:7" x14ac:dyDescent="0.25">
      <c r="A2066" t="s">
        <v>14089</v>
      </c>
      <c r="B2066" s="34">
        <v>5.6300000000000003E-2</v>
      </c>
      <c r="C2066" s="34">
        <v>4.69166666666666E-3</v>
      </c>
      <c r="D2066" t="s">
        <v>26</v>
      </c>
      <c r="E2066" s="34">
        <v>0.28149999999999997</v>
      </c>
      <c r="F2066" t="s">
        <v>16556</v>
      </c>
      <c r="G2066" t="b">
        <v>0</v>
      </c>
    </row>
    <row r="2067" spans="1:7" x14ac:dyDescent="0.25">
      <c r="A2067" t="s">
        <v>14886</v>
      </c>
      <c r="B2067" s="34">
        <v>5.6079999999999998E-2</v>
      </c>
      <c r="C2067" s="34">
        <v>4.6733333333333297E-3</v>
      </c>
      <c r="D2067" t="s">
        <v>26</v>
      </c>
      <c r="E2067" s="34">
        <v>0.28039999999999998</v>
      </c>
      <c r="F2067" t="s">
        <v>17319</v>
      </c>
      <c r="G2067" t="b">
        <v>0</v>
      </c>
    </row>
    <row r="2068" spans="1:7" x14ac:dyDescent="0.25">
      <c r="A2068" t="s">
        <v>14730</v>
      </c>
      <c r="B2068" s="34">
        <v>5.604E-2</v>
      </c>
      <c r="C2068" s="34">
        <v>4.6699999999999997E-3</v>
      </c>
      <c r="D2068" t="s">
        <v>1240</v>
      </c>
      <c r="E2068" s="34">
        <v>0.2802</v>
      </c>
      <c r="F2068" t="s">
        <v>17180</v>
      </c>
      <c r="G2068" t="b">
        <v>0</v>
      </c>
    </row>
    <row r="2069" spans="1:7" x14ac:dyDescent="0.25">
      <c r="A2069" t="s">
        <v>13651</v>
      </c>
      <c r="B2069" s="34">
        <v>5.5829999999999998E-2</v>
      </c>
      <c r="C2069" s="34">
        <v>4.65249999999999E-3</v>
      </c>
      <c r="D2069" t="s">
        <v>26</v>
      </c>
      <c r="E2069" s="34">
        <v>0.27915000000000001</v>
      </c>
      <c r="F2069" t="s">
        <v>16119</v>
      </c>
      <c r="G2069" t="b">
        <v>0</v>
      </c>
    </row>
    <row r="2070" spans="1:7" x14ac:dyDescent="0.25">
      <c r="A2070" t="s">
        <v>13566</v>
      </c>
      <c r="B2070" s="34">
        <v>5.5712799999999903E-2</v>
      </c>
      <c r="C2070" s="34">
        <v>4.6427333333333301E-3</v>
      </c>
      <c r="D2070" t="s">
        <v>2531</v>
      </c>
      <c r="E2070" s="34">
        <v>0.27856399999999998</v>
      </c>
      <c r="F2070" t="s">
        <v>16035</v>
      </c>
      <c r="G2070" t="b">
        <v>0</v>
      </c>
    </row>
    <row r="2071" spans="1:7" x14ac:dyDescent="0.25">
      <c r="A2071" t="s">
        <v>14458</v>
      </c>
      <c r="B2071" s="34">
        <v>5.5399999999999998E-2</v>
      </c>
      <c r="C2071" s="34">
        <v>4.6166666666666604E-3</v>
      </c>
      <c r="D2071" t="s">
        <v>132</v>
      </c>
      <c r="E2071" s="34">
        <v>0.27699999999999902</v>
      </c>
      <c r="F2071" t="s">
        <v>16918</v>
      </c>
      <c r="G2071" t="b">
        <v>0</v>
      </c>
    </row>
    <row r="2072" spans="1:7" x14ac:dyDescent="0.25">
      <c r="A2072" t="s">
        <v>13849</v>
      </c>
      <c r="B2072" s="34">
        <v>5.5119999999999898E-2</v>
      </c>
      <c r="C2072" s="34">
        <v>4.5933333333333303E-3</v>
      </c>
      <c r="D2072" t="s">
        <v>168</v>
      </c>
      <c r="E2072" s="34">
        <v>0.27560000000000001</v>
      </c>
      <c r="F2072" t="s">
        <v>16316</v>
      </c>
      <c r="G2072" t="b">
        <v>0</v>
      </c>
    </row>
    <row r="2073" spans="1:7" x14ac:dyDescent="0.25">
      <c r="A2073" t="s">
        <v>13098</v>
      </c>
      <c r="B2073" s="34">
        <v>5.5100000000000003E-2</v>
      </c>
      <c r="C2073" s="34">
        <v>4.5916666666666597E-3</v>
      </c>
      <c r="D2073" t="s">
        <v>1716</v>
      </c>
      <c r="E2073" s="34">
        <v>0.27550000000000002</v>
      </c>
      <c r="F2073" t="s">
        <v>15573</v>
      </c>
      <c r="G2073" t="b">
        <v>0</v>
      </c>
    </row>
    <row r="2074" spans="1:7" x14ac:dyDescent="0.25">
      <c r="A2074" t="s">
        <v>13819</v>
      </c>
      <c r="B2074" s="34">
        <v>5.2920000000000002E-2</v>
      </c>
      <c r="C2074" s="34">
        <v>4.4099999999999999E-3</v>
      </c>
      <c r="D2074" t="s">
        <v>576</v>
      </c>
      <c r="E2074" s="34">
        <v>0.2646</v>
      </c>
      <c r="F2074" t="s">
        <v>16286</v>
      </c>
      <c r="G2074" t="b">
        <v>0</v>
      </c>
    </row>
    <row r="2075" spans="1:7" x14ac:dyDescent="0.25">
      <c r="A2075" t="s">
        <v>14862</v>
      </c>
      <c r="B2075" s="34">
        <v>5.2807799999999898E-2</v>
      </c>
      <c r="C2075" s="34">
        <v>4.4006499999999999E-3</v>
      </c>
      <c r="D2075" t="s">
        <v>168</v>
      </c>
      <c r="E2075" s="34">
        <v>0.26403899999999902</v>
      </c>
      <c r="F2075" t="s">
        <v>17299</v>
      </c>
      <c r="G2075" t="b">
        <v>0</v>
      </c>
    </row>
    <row r="2076" spans="1:7" x14ac:dyDescent="0.25">
      <c r="A2076" t="s">
        <v>14235</v>
      </c>
      <c r="B2076" s="34">
        <v>5.2704199999999903E-2</v>
      </c>
      <c r="C2076" s="34">
        <v>4.3920166666666597E-3</v>
      </c>
      <c r="D2076" t="s">
        <v>26</v>
      </c>
      <c r="E2076" s="34">
        <v>0.26352100000000001</v>
      </c>
      <c r="F2076" t="s">
        <v>16699</v>
      </c>
      <c r="G2076" t="b">
        <v>0</v>
      </c>
    </row>
    <row r="2077" spans="1:7" x14ac:dyDescent="0.25">
      <c r="A2077" t="s">
        <v>14465</v>
      </c>
      <c r="B2077" s="34">
        <v>5.2699999999999997E-2</v>
      </c>
      <c r="C2077" s="34">
        <v>4.39166666666666E-3</v>
      </c>
      <c r="D2077" t="s">
        <v>4455</v>
      </c>
      <c r="E2077" s="34">
        <v>0.26350000000000001</v>
      </c>
      <c r="F2077" t="s">
        <v>16925</v>
      </c>
      <c r="G2077" t="b">
        <v>0</v>
      </c>
    </row>
    <row r="2078" spans="1:7" x14ac:dyDescent="0.25">
      <c r="A2078" t="s">
        <v>13812</v>
      </c>
      <c r="B2078" s="34">
        <v>5.2470000000000003E-2</v>
      </c>
      <c r="C2078" s="34">
        <v>4.3724999999999997E-3</v>
      </c>
      <c r="D2078" t="s">
        <v>35</v>
      </c>
      <c r="E2078" s="34">
        <v>0.26235000000000003</v>
      </c>
      <c r="F2078" t="s">
        <v>16279</v>
      </c>
      <c r="G2078" t="b">
        <v>0</v>
      </c>
    </row>
    <row r="2079" spans="1:7" x14ac:dyDescent="0.25">
      <c r="A2079" t="s">
        <v>14228</v>
      </c>
      <c r="B2079" s="34">
        <v>5.1979999999999901E-2</v>
      </c>
      <c r="C2079" s="34">
        <v>4.3316666666666599E-3</v>
      </c>
      <c r="D2079" t="s">
        <v>35</v>
      </c>
      <c r="E2079" s="34">
        <v>0.25990000000000002</v>
      </c>
      <c r="F2079" t="s">
        <v>16692</v>
      </c>
      <c r="G2079" t="b">
        <v>0</v>
      </c>
    </row>
    <row r="2080" spans="1:7" x14ac:dyDescent="0.25">
      <c r="A2080" t="s">
        <v>13853</v>
      </c>
      <c r="B2080" s="34">
        <v>5.1920000000000001E-2</v>
      </c>
      <c r="C2080" s="34">
        <v>4.3266666666666601E-3</v>
      </c>
      <c r="D2080" t="s">
        <v>35</v>
      </c>
      <c r="E2080" s="34">
        <v>0.2596</v>
      </c>
      <c r="F2080" t="s">
        <v>16320</v>
      </c>
      <c r="G2080" t="b">
        <v>0</v>
      </c>
    </row>
    <row r="2081" spans="1:7" x14ac:dyDescent="0.25">
      <c r="A2081" t="s">
        <v>14321</v>
      </c>
      <c r="B2081" s="34">
        <v>5.1829999999999897E-2</v>
      </c>
      <c r="C2081" s="34">
        <v>4.3191666666666604E-3</v>
      </c>
      <c r="D2081" t="s">
        <v>424</v>
      </c>
      <c r="E2081" s="34">
        <v>0.25914999999999999</v>
      </c>
      <c r="F2081" t="s">
        <v>16784</v>
      </c>
      <c r="G2081" t="b">
        <v>0</v>
      </c>
    </row>
    <row r="2082" spans="1:7" x14ac:dyDescent="0.25">
      <c r="A2082" t="s">
        <v>14468</v>
      </c>
      <c r="B2082" s="34">
        <v>5.1636799999999997E-2</v>
      </c>
      <c r="C2082" s="34">
        <v>4.3030666666666597E-3</v>
      </c>
      <c r="D2082" t="s">
        <v>253</v>
      </c>
      <c r="E2082" s="34">
        <v>0.25818400000000002</v>
      </c>
      <c r="F2082" t="s">
        <v>16928</v>
      </c>
      <c r="G2082" t="b">
        <v>0</v>
      </c>
    </row>
    <row r="2083" spans="1:7" x14ac:dyDescent="0.25">
      <c r="A2083" t="s">
        <v>13813</v>
      </c>
      <c r="B2083" s="34">
        <v>5.16E-2</v>
      </c>
      <c r="C2083" s="34">
        <v>4.3E-3</v>
      </c>
      <c r="D2083" t="s">
        <v>35</v>
      </c>
      <c r="E2083" s="34">
        <v>0.25800000000000001</v>
      </c>
      <c r="F2083" t="s">
        <v>16280</v>
      </c>
      <c r="G2083" t="b">
        <v>0</v>
      </c>
    </row>
    <row r="2084" spans="1:7" x14ac:dyDescent="0.25">
      <c r="A2084" t="s">
        <v>13701</v>
      </c>
      <c r="B2084" s="34">
        <v>5.1116999999999899E-2</v>
      </c>
      <c r="C2084" s="34">
        <v>4.2597499999999996E-3</v>
      </c>
      <c r="D2084" t="s">
        <v>35</v>
      </c>
      <c r="E2084" s="34">
        <v>0.1277925</v>
      </c>
      <c r="F2084" t="s">
        <v>16169</v>
      </c>
      <c r="G2084" t="b">
        <v>0</v>
      </c>
    </row>
    <row r="2085" spans="1:7" x14ac:dyDescent="0.25">
      <c r="A2085" t="s">
        <v>14125</v>
      </c>
      <c r="B2085" s="34">
        <v>5.0930000000000003E-2</v>
      </c>
      <c r="C2085" s="34">
        <v>4.24416666666666E-3</v>
      </c>
      <c r="D2085" t="s">
        <v>35</v>
      </c>
      <c r="E2085" s="34">
        <v>0.25464999999999999</v>
      </c>
      <c r="F2085" t="s">
        <v>16592</v>
      </c>
      <c r="G2085" t="b">
        <v>0</v>
      </c>
    </row>
    <row r="2086" spans="1:7" x14ac:dyDescent="0.25">
      <c r="A2086" t="s">
        <v>14639</v>
      </c>
      <c r="B2086" s="34">
        <v>5.083E-2</v>
      </c>
      <c r="C2086" s="34">
        <v>4.2358333333333302E-3</v>
      </c>
      <c r="D2086" t="s">
        <v>3656</v>
      </c>
      <c r="E2086" s="34">
        <v>0.25414999999999999</v>
      </c>
      <c r="F2086" t="s">
        <v>17092</v>
      </c>
      <c r="G2086" t="b">
        <v>0</v>
      </c>
    </row>
    <row r="2087" spans="1:7" x14ac:dyDescent="0.25">
      <c r="A2087" t="s">
        <v>14058</v>
      </c>
      <c r="B2087" s="34">
        <v>5.0666499999999899E-2</v>
      </c>
      <c r="C2087" s="34">
        <v>4.2222083333333304E-3</v>
      </c>
      <c r="D2087" t="s">
        <v>632</v>
      </c>
      <c r="E2087" s="34">
        <v>0.25333250000000002</v>
      </c>
      <c r="F2087" t="s">
        <v>16525</v>
      </c>
      <c r="G2087" t="b">
        <v>0</v>
      </c>
    </row>
    <row r="2088" spans="1:7" x14ac:dyDescent="0.25">
      <c r="A2088" t="s">
        <v>14395</v>
      </c>
      <c r="B2088" s="34">
        <v>5.0636899999999999E-2</v>
      </c>
      <c r="C2088" s="34">
        <v>4.2197416666666602E-3</v>
      </c>
      <c r="D2088" t="s">
        <v>215</v>
      </c>
      <c r="E2088" s="34">
        <v>0.25318449999999998</v>
      </c>
      <c r="F2088" t="s">
        <v>16857</v>
      </c>
      <c r="G2088" t="b">
        <v>0</v>
      </c>
    </row>
    <row r="2089" spans="1:7" x14ac:dyDescent="0.25">
      <c r="A2089" t="s">
        <v>14095</v>
      </c>
      <c r="B2089" s="34">
        <v>5.0459799999999999E-2</v>
      </c>
      <c r="C2089" s="34">
        <v>4.2049833333333304E-3</v>
      </c>
      <c r="D2089" t="s">
        <v>781</v>
      </c>
      <c r="E2089" s="34">
        <v>0.252299</v>
      </c>
      <c r="F2089" t="s">
        <v>16562</v>
      </c>
      <c r="G2089" t="b">
        <v>0</v>
      </c>
    </row>
    <row r="2090" spans="1:7" x14ac:dyDescent="0.25">
      <c r="A2090" t="s">
        <v>14745</v>
      </c>
      <c r="B2090" s="34">
        <v>5.02002E-2</v>
      </c>
      <c r="C2090" s="34">
        <v>4.1833499999999997E-3</v>
      </c>
      <c r="D2090" t="s">
        <v>35</v>
      </c>
      <c r="E2090" s="34">
        <v>0.25100099999999997</v>
      </c>
      <c r="F2090" t="s">
        <v>17194</v>
      </c>
      <c r="G2090" t="b">
        <v>0</v>
      </c>
    </row>
    <row r="2091" spans="1:7" x14ac:dyDescent="0.25">
      <c r="A2091" t="s">
        <v>13410</v>
      </c>
      <c r="B2091" s="34">
        <v>5.0074399999999998E-2</v>
      </c>
      <c r="C2091" s="34">
        <v>4.1728666666666601E-3</v>
      </c>
      <c r="D2091" t="s">
        <v>1074</v>
      </c>
      <c r="E2091" s="34">
        <v>0.25037199999999998</v>
      </c>
      <c r="F2091" t="s">
        <v>15880</v>
      </c>
      <c r="G2091" t="b">
        <v>0</v>
      </c>
    </row>
    <row r="2092" spans="1:7" x14ac:dyDescent="0.25">
      <c r="A2092" t="s">
        <v>14879</v>
      </c>
      <c r="B2092" s="34">
        <v>4.9799999999999997E-2</v>
      </c>
      <c r="C2092" s="34">
        <v>4.1499999999999896E-3</v>
      </c>
      <c r="D2092" t="s">
        <v>3079</v>
      </c>
      <c r="E2092" s="34">
        <v>0.249</v>
      </c>
      <c r="F2092" t="s">
        <v>17315</v>
      </c>
      <c r="G2092" t="b">
        <v>0</v>
      </c>
    </row>
    <row r="2093" spans="1:7" x14ac:dyDescent="0.25">
      <c r="A2093" t="s">
        <v>14670</v>
      </c>
      <c r="B2093" s="34">
        <v>4.9399999999999999E-2</v>
      </c>
      <c r="C2093" s="34">
        <v>4.11666666666666E-3</v>
      </c>
      <c r="D2093" t="s">
        <v>26</v>
      </c>
      <c r="E2093" s="34">
        <v>0.247</v>
      </c>
      <c r="F2093" t="s">
        <v>17123</v>
      </c>
      <c r="G2093" t="b">
        <v>0</v>
      </c>
    </row>
    <row r="2094" spans="1:7" x14ac:dyDescent="0.25">
      <c r="A2094" t="s">
        <v>12620</v>
      </c>
      <c r="B2094" s="34">
        <v>4.8589100000000003E-2</v>
      </c>
      <c r="C2094" s="34">
        <v>4.0490916666666597E-3</v>
      </c>
      <c r="D2094" t="s">
        <v>2287</v>
      </c>
      <c r="E2094" s="34">
        <v>0.12147274999999901</v>
      </c>
      <c r="F2094" t="s">
        <v>15095</v>
      </c>
      <c r="G2094" t="b">
        <v>0</v>
      </c>
    </row>
    <row r="2095" spans="1:7" x14ac:dyDescent="0.25">
      <c r="A2095" t="s">
        <v>13803</v>
      </c>
      <c r="B2095" s="34">
        <v>4.82E-2</v>
      </c>
      <c r="C2095" s="34">
        <v>4.0166666666666597E-3</v>
      </c>
      <c r="D2095" t="s">
        <v>35</v>
      </c>
      <c r="E2095" s="34">
        <v>0.24099999999999999</v>
      </c>
      <c r="F2095" t="s">
        <v>16270</v>
      </c>
      <c r="G2095" t="b">
        <v>0</v>
      </c>
    </row>
    <row r="2096" spans="1:7" x14ac:dyDescent="0.25">
      <c r="A2096" t="s">
        <v>13805</v>
      </c>
      <c r="B2096" s="34">
        <v>4.8180000000000001E-2</v>
      </c>
      <c r="C2096" s="34">
        <v>4.0149999999999899E-3</v>
      </c>
      <c r="D2096" t="s">
        <v>35</v>
      </c>
      <c r="E2096" s="34">
        <v>0.2409</v>
      </c>
      <c r="F2096" t="s">
        <v>16272</v>
      </c>
      <c r="G2096" t="b">
        <v>0</v>
      </c>
    </row>
    <row r="2097" spans="1:7" x14ac:dyDescent="0.25">
      <c r="A2097" t="s">
        <v>14392</v>
      </c>
      <c r="B2097" s="34">
        <v>4.811E-2</v>
      </c>
      <c r="C2097" s="34">
        <v>4.00916666666666E-3</v>
      </c>
      <c r="D2097" t="s">
        <v>132</v>
      </c>
      <c r="E2097" s="34">
        <v>0.24055000000000001</v>
      </c>
      <c r="F2097" t="s">
        <v>16854</v>
      </c>
      <c r="G2097" t="b">
        <v>0</v>
      </c>
    </row>
    <row r="2098" spans="1:7" x14ac:dyDescent="0.25">
      <c r="A2098" t="s">
        <v>14422</v>
      </c>
      <c r="B2098" s="34">
        <v>4.8000000000000001E-2</v>
      </c>
      <c r="C2098" s="34">
        <v>4.0000000000000001E-3</v>
      </c>
      <c r="D2098" t="s">
        <v>296</v>
      </c>
      <c r="E2098" s="34">
        <v>0.24</v>
      </c>
      <c r="F2098" t="s">
        <v>16883</v>
      </c>
      <c r="G2098" t="b">
        <v>0</v>
      </c>
    </row>
    <row r="2099" spans="1:7" x14ac:dyDescent="0.25">
      <c r="A2099" t="s">
        <v>14717</v>
      </c>
      <c r="B2099" s="34">
        <v>4.7979999999999898E-2</v>
      </c>
      <c r="C2099" s="34">
        <v>3.9983333333333303E-3</v>
      </c>
      <c r="D2099" t="s">
        <v>1787</v>
      </c>
      <c r="E2099" s="34">
        <v>0.239899999999999</v>
      </c>
      <c r="F2099" t="s">
        <v>17168</v>
      </c>
      <c r="G2099" t="b">
        <v>0</v>
      </c>
    </row>
    <row r="2100" spans="1:7" x14ac:dyDescent="0.25">
      <c r="A2100" t="s">
        <v>14096</v>
      </c>
      <c r="B2100" s="34">
        <v>4.7019999999999999E-2</v>
      </c>
      <c r="C2100" s="34">
        <v>3.9183333333333301E-3</v>
      </c>
      <c r="D2100" t="s">
        <v>1249</v>
      </c>
      <c r="E2100" s="34">
        <v>0.2351</v>
      </c>
      <c r="F2100" t="s">
        <v>16563</v>
      </c>
      <c r="G2100" t="b">
        <v>0</v>
      </c>
    </row>
    <row r="2101" spans="1:7" x14ac:dyDescent="0.25">
      <c r="A2101" t="s">
        <v>14842</v>
      </c>
      <c r="B2101" s="34">
        <v>4.6800000000000001E-2</v>
      </c>
      <c r="C2101" s="34">
        <v>3.8999999999999998E-3</v>
      </c>
      <c r="D2101" t="s">
        <v>35</v>
      </c>
      <c r="E2101" s="34">
        <v>0.11700000000000001</v>
      </c>
      <c r="F2101" t="s">
        <v>17279</v>
      </c>
      <c r="G2101" t="b">
        <v>0</v>
      </c>
    </row>
    <row r="2102" spans="1:7" x14ac:dyDescent="0.25">
      <c r="A2102" t="s">
        <v>13552</v>
      </c>
      <c r="B2102" s="34">
        <v>4.6559999999999997E-2</v>
      </c>
      <c r="C2102" s="34">
        <v>3.8799999999999898E-3</v>
      </c>
      <c r="D2102" t="s">
        <v>35</v>
      </c>
      <c r="E2102" s="34">
        <v>0.23280000000000001</v>
      </c>
      <c r="F2102" t="s">
        <v>16021</v>
      </c>
      <c r="G2102" t="b">
        <v>0</v>
      </c>
    </row>
    <row r="2103" spans="1:7" x14ac:dyDescent="0.25">
      <c r="A2103" t="s">
        <v>14584</v>
      </c>
      <c r="B2103" s="34">
        <v>4.6550000000000001E-2</v>
      </c>
      <c r="C2103" s="34">
        <v>3.8791666666666601E-3</v>
      </c>
      <c r="D2103" t="s">
        <v>776</v>
      </c>
      <c r="E2103" s="34">
        <v>0.11637500000000001</v>
      </c>
      <c r="F2103" t="s">
        <v>17041</v>
      </c>
      <c r="G2103" t="b">
        <v>0</v>
      </c>
    </row>
    <row r="2104" spans="1:7" x14ac:dyDescent="0.25">
      <c r="A2104" t="s">
        <v>13401</v>
      </c>
      <c r="B2104" s="34">
        <v>4.6224000000000001E-2</v>
      </c>
      <c r="C2104" s="34">
        <v>3.852E-3</v>
      </c>
      <c r="D2104" t="s">
        <v>781</v>
      </c>
      <c r="E2104" s="34">
        <v>0.23111999999999999</v>
      </c>
      <c r="F2104" t="s">
        <v>15871</v>
      </c>
      <c r="G2104" t="b">
        <v>0</v>
      </c>
    </row>
    <row r="2105" spans="1:7" x14ac:dyDescent="0.25">
      <c r="A2105" t="s">
        <v>14710</v>
      </c>
      <c r="B2105" s="34">
        <v>4.6092000000000001E-2</v>
      </c>
      <c r="C2105" s="34">
        <v>3.8409999999999998E-3</v>
      </c>
      <c r="D2105" t="s">
        <v>2137</v>
      </c>
      <c r="E2105" s="34">
        <v>0.23046</v>
      </c>
      <c r="F2105" t="s">
        <v>17161</v>
      </c>
      <c r="G2105" t="b">
        <v>0</v>
      </c>
    </row>
    <row r="2106" spans="1:7" x14ac:dyDescent="0.25">
      <c r="A2106" t="s">
        <v>14505</v>
      </c>
      <c r="B2106" s="34">
        <v>4.5845699999999899E-2</v>
      </c>
      <c r="C2106" s="34">
        <v>3.8204749999999998E-3</v>
      </c>
      <c r="D2106" t="s">
        <v>1716</v>
      </c>
      <c r="E2106" s="34">
        <v>0.229228499999999</v>
      </c>
      <c r="F2106" t="s">
        <v>16965</v>
      </c>
      <c r="G2106" t="b">
        <v>0</v>
      </c>
    </row>
    <row r="2107" spans="1:7" x14ac:dyDescent="0.25">
      <c r="A2107" t="s">
        <v>12547</v>
      </c>
      <c r="B2107" s="34">
        <v>4.5730899999999998E-2</v>
      </c>
      <c r="C2107" s="34">
        <v>3.8109083333333301E-3</v>
      </c>
      <c r="D2107" t="s">
        <v>2267</v>
      </c>
      <c r="E2107" s="34">
        <v>0.22865450000000001</v>
      </c>
      <c r="F2107" t="s">
        <v>15022</v>
      </c>
      <c r="G2107" t="b">
        <v>0</v>
      </c>
    </row>
    <row r="2108" spans="1:7" x14ac:dyDescent="0.25">
      <c r="A2108" t="s">
        <v>13895</v>
      </c>
      <c r="B2108" s="34">
        <v>4.5384000000000001E-2</v>
      </c>
      <c r="C2108" s="34">
        <v>3.7820000000000002E-3</v>
      </c>
      <c r="D2108" t="s">
        <v>35</v>
      </c>
      <c r="E2108" s="34">
        <v>0.22691999999999901</v>
      </c>
      <c r="F2108" t="s">
        <v>16362</v>
      </c>
      <c r="G2108" t="b">
        <v>0</v>
      </c>
    </row>
    <row r="2109" spans="1:7" x14ac:dyDescent="0.25">
      <c r="A2109" t="s">
        <v>13893</v>
      </c>
      <c r="B2109" s="34">
        <v>4.4784600000000001E-2</v>
      </c>
      <c r="C2109" s="34">
        <v>3.7320499999999898E-3</v>
      </c>
      <c r="D2109" t="s">
        <v>1752</v>
      </c>
      <c r="E2109" s="34">
        <v>0.22392300000000001</v>
      </c>
      <c r="F2109" t="s">
        <v>16360</v>
      </c>
      <c r="G2109" t="b">
        <v>0</v>
      </c>
    </row>
    <row r="2110" spans="1:7" x14ac:dyDescent="0.25">
      <c r="A2110" t="s">
        <v>13906</v>
      </c>
      <c r="B2110" s="34">
        <v>4.4699999999999997E-2</v>
      </c>
      <c r="C2110" s="34">
        <v>3.725E-3</v>
      </c>
      <c r="D2110" t="s">
        <v>35</v>
      </c>
      <c r="E2110" s="34">
        <v>0.2235</v>
      </c>
      <c r="F2110" t="s">
        <v>16373</v>
      </c>
      <c r="G2110" t="b">
        <v>0</v>
      </c>
    </row>
    <row r="2111" spans="1:7" x14ac:dyDescent="0.25">
      <c r="A2111" t="s">
        <v>14227</v>
      </c>
      <c r="B2111" s="34">
        <v>4.462E-2</v>
      </c>
      <c r="C2111" s="34">
        <v>3.71833333333333E-3</v>
      </c>
      <c r="D2111" t="s">
        <v>548</v>
      </c>
      <c r="E2111" s="34">
        <v>0.22309999999999999</v>
      </c>
      <c r="F2111" t="s">
        <v>16691</v>
      </c>
      <c r="G2111" t="b">
        <v>0</v>
      </c>
    </row>
    <row r="2112" spans="1:7" x14ac:dyDescent="0.25">
      <c r="A2112" t="s">
        <v>14572</v>
      </c>
      <c r="B2112" s="34">
        <v>4.4450000000000003E-2</v>
      </c>
      <c r="C2112" s="34">
        <v>3.7041666666666599E-3</v>
      </c>
      <c r="D2112" t="s">
        <v>3656</v>
      </c>
      <c r="E2112" s="34">
        <v>0.22225</v>
      </c>
      <c r="F2112" t="s">
        <v>17029</v>
      </c>
      <c r="G2112" t="b">
        <v>0</v>
      </c>
    </row>
    <row r="2113" spans="1:7" x14ac:dyDescent="0.25">
      <c r="A2113" t="s">
        <v>13057</v>
      </c>
      <c r="B2113" s="34">
        <v>4.4420000000000001E-2</v>
      </c>
      <c r="C2113" s="34">
        <v>3.70166666666666E-3</v>
      </c>
      <c r="D2113" t="s">
        <v>1074</v>
      </c>
      <c r="E2113" s="34">
        <v>0.22209999999999999</v>
      </c>
      <c r="F2113" t="s">
        <v>15532</v>
      </c>
      <c r="G2113" t="b">
        <v>0</v>
      </c>
    </row>
    <row r="2114" spans="1:7" x14ac:dyDescent="0.25">
      <c r="A2114" t="s">
        <v>14577</v>
      </c>
      <c r="B2114" s="34">
        <v>4.3999999999999997E-2</v>
      </c>
      <c r="C2114" s="34">
        <v>3.6666666666666601E-3</v>
      </c>
      <c r="D2114" t="s">
        <v>781</v>
      </c>
      <c r="E2114" s="34">
        <v>0.22</v>
      </c>
      <c r="F2114" t="s">
        <v>17034</v>
      </c>
      <c r="G2114" t="b">
        <v>0</v>
      </c>
    </row>
    <row r="2115" spans="1:7" x14ac:dyDescent="0.25">
      <c r="A2115" t="s">
        <v>14087</v>
      </c>
      <c r="B2115" s="34">
        <v>4.2500000000000003E-2</v>
      </c>
      <c r="C2115" s="34">
        <v>3.54166666666666E-3</v>
      </c>
      <c r="D2115" t="s">
        <v>139</v>
      </c>
      <c r="E2115" s="34">
        <v>0.21249999999999999</v>
      </c>
      <c r="F2115" t="s">
        <v>16554</v>
      </c>
      <c r="G2115" t="b">
        <v>0</v>
      </c>
    </row>
    <row r="2116" spans="1:7" x14ac:dyDescent="0.25">
      <c r="A2116" t="s">
        <v>13650</v>
      </c>
      <c r="B2116" s="34">
        <v>4.2287999999999902E-2</v>
      </c>
      <c r="C2116" s="34">
        <v>3.5239999999999898E-3</v>
      </c>
      <c r="D2116" t="s">
        <v>26</v>
      </c>
      <c r="E2116" s="34">
        <v>0.21143999999999999</v>
      </c>
      <c r="F2116" t="s">
        <v>16118</v>
      </c>
      <c r="G2116" t="b">
        <v>0</v>
      </c>
    </row>
    <row r="2117" spans="1:7" x14ac:dyDescent="0.25">
      <c r="A2117" t="s">
        <v>13000</v>
      </c>
      <c r="B2117" s="34">
        <v>4.1991100000000003E-2</v>
      </c>
      <c r="C2117" s="34">
        <v>3.49925833333333E-3</v>
      </c>
      <c r="D2117" t="s">
        <v>4135</v>
      </c>
      <c r="E2117" s="34">
        <v>0.20995549999999999</v>
      </c>
      <c r="F2117" t="s">
        <v>15475</v>
      </c>
      <c r="G2117" t="b">
        <v>0</v>
      </c>
    </row>
    <row r="2118" spans="1:7" x14ac:dyDescent="0.25">
      <c r="A2118" t="s">
        <v>13543</v>
      </c>
      <c r="B2118" s="34">
        <v>4.1799999999999997E-2</v>
      </c>
      <c r="C2118" s="34">
        <v>3.48333333333333E-3</v>
      </c>
      <c r="D2118" t="s">
        <v>4566</v>
      </c>
      <c r="E2118" s="34">
        <v>0.20899999999999999</v>
      </c>
      <c r="F2118" t="s">
        <v>16012</v>
      </c>
      <c r="G2118" t="b">
        <v>0</v>
      </c>
    </row>
    <row r="2119" spans="1:7" x14ac:dyDescent="0.25">
      <c r="A2119" t="s">
        <v>13983</v>
      </c>
      <c r="B2119" s="34">
        <v>4.1614199999999997E-2</v>
      </c>
      <c r="C2119" s="34">
        <v>3.4678500000000002E-3</v>
      </c>
      <c r="D2119" t="s">
        <v>185</v>
      </c>
      <c r="E2119" s="34">
        <v>0.20807100000000001</v>
      </c>
      <c r="F2119" t="s">
        <v>16450</v>
      </c>
      <c r="G2119" t="b">
        <v>0</v>
      </c>
    </row>
    <row r="2120" spans="1:7" x14ac:dyDescent="0.25">
      <c r="A2120" t="s">
        <v>14216</v>
      </c>
      <c r="B2120" s="34">
        <v>4.1319999999999898E-2</v>
      </c>
      <c r="C2120" s="34">
        <v>3.4433333333333299E-3</v>
      </c>
      <c r="D2120" t="s">
        <v>424</v>
      </c>
      <c r="E2120" s="34">
        <v>0.20660000000000001</v>
      </c>
      <c r="F2120" t="s">
        <v>16680</v>
      </c>
      <c r="G2120" t="b">
        <v>0</v>
      </c>
    </row>
    <row r="2121" spans="1:7" x14ac:dyDescent="0.25">
      <c r="A2121" t="s">
        <v>14677</v>
      </c>
      <c r="B2121" s="34">
        <v>4.1259999999999998E-2</v>
      </c>
      <c r="C2121" s="34">
        <v>3.4383333333333301E-3</v>
      </c>
      <c r="D2121" t="s">
        <v>151</v>
      </c>
      <c r="E2121" s="34">
        <v>0.20630000000000001</v>
      </c>
      <c r="F2121" t="s">
        <v>17130</v>
      </c>
      <c r="G2121" t="b">
        <v>0</v>
      </c>
    </row>
    <row r="2122" spans="1:7" x14ac:dyDescent="0.25">
      <c r="A2122" t="s">
        <v>14682</v>
      </c>
      <c r="B2122" s="34">
        <v>4.0163599999999897E-2</v>
      </c>
      <c r="C2122" s="34">
        <v>3.3469666666666601E-3</v>
      </c>
      <c r="D2122" t="s">
        <v>873</v>
      </c>
      <c r="E2122" s="34">
        <v>0.200818</v>
      </c>
      <c r="F2122" t="s">
        <v>17135</v>
      </c>
      <c r="G2122" t="b">
        <v>0</v>
      </c>
    </row>
    <row r="2123" spans="1:7" x14ac:dyDescent="0.25">
      <c r="A2123" t="s">
        <v>13661</v>
      </c>
      <c r="B2123" s="34">
        <v>3.9960000000000002E-2</v>
      </c>
      <c r="C2123" s="34">
        <v>3.3299999999999901E-3</v>
      </c>
      <c r="D2123" t="s">
        <v>35</v>
      </c>
      <c r="E2123" s="34">
        <v>0.19980000000000001</v>
      </c>
      <c r="F2123" t="s">
        <v>16129</v>
      </c>
      <c r="G2123" t="b">
        <v>0</v>
      </c>
    </row>
    <row r="2124" spans="1:7" x14ac:dyDescent="0.25">
      <c r="A2124" t="s">
        <v>14646</v>
      </c>
      <c r="B2124" s="34">
        <v>3.9809999999999998E-2</v>
      </c>
      <c r="C2124" s="34">
        <v>3.3175000000000001E-3</v>
      </c>
      <c r="D2124" t="s">
        <v>2267</v>
      </c>
      <c r="E2124" s="34">
        <v>0.19905</v>
      </c>
      <c r="F2124" t="s">
        <v>17099</v>
      </c>
      <c r="G2124" t="b">
        <v>0</v>
      </c>
    </row>
    <row r="2125" spans="1:7" x14ac:dyDescent="0.25">
      <c r="A2125" t="s">
        <v>14699</v>
      </c>
      <c r="B2125" s="34">
        <v>3.9809999999999998E-2</v>
      </c>
      <c r="C2125" s="34">
        <v>3.3175000000000001E-3</v>
      </c>
      <c r="D2125" t="s">
        <v>5908</v>
      </c>
      <c r="E2125" s="34">
        <v>0.19905</v>
      </c>
      <c r="F2125" t="s">
        <v>17151</v>
      </c>
      <c r="G2125" t="b">
        <v>0</v>
      </c>
    </row>
    <row r="2126" spans="1:7" x14ac:dyDescent="0.25">
      <c r="A2126" t="s">
        <v>14875</v>
      </c>
      <c r="B2126" s="34">
        <v>3.9600000000000003E-2</v>
      </c>
      <c r="C2126" s="34">
        <v>3.3E-3</v>
      </c>
      <c r="D2126" t="s">
        <v>1676</v>
      </c>
      <c r="E2126" s="34">
        <v>0.19800000000000001</v>
      </c>
      <c r="F2126" t="s">
        <v>17311</v>
      </c>
      <c r="G2126" t="b">
        <v>0</v>
      </c>
    </row>
    <row r="2127" spans="1:7" x14ac:dyDescent="0.25">
      <c r="A2127" t="s">
        <v>14120</v>
      </c>
      <c r="B2127" s="34">
        <v>3.9139800000000002E-2</v>
      </c>
      <c r="C2127" s="34">
        <v>3.2616500000000001E-3</v>
      </c>
      <c r="D2127" t="s">
        <v>904</v>
      </c>
      <c r="E2127" s="34">
        <v>0.19569900000000001</v>
      </c>
      <c r="F2127" t="s">
        <v>16587</v>
      </c>
      <c r="G2127" t="b">
        <v>0</v>
      </c>
    </row>
    <row r="2128" spans="1:7" x14ac:dyDescent="0.25">
      <c r="A2128" t="s">
        <v>14587</v>
      </c>
      <c r="B2128" s="34">
        <v>3.8262940000000002E-2</v>
      </c>
      <c r="C2128" s="34">
        <v>3.1885783333333302E-3</v>
      </c>
      <c r="D2128" t="s">
        <v>1336</v>
      </c>
      <c r="E2128" s="34">
        <v>0.1913147</v>
      </c>
      <c r="F2128" t="s">
        <v>17044</v>
      </c>
      <c r="G2128" t="b">
        <v>0</v>
      </c>
    </row>
    <row r="2129" spans="1:7" x14ac:dyDescent="0.25">
      <c r="A2129" t="s">
        <v>13902</v>
      </c>
      <c r="B2129" s="34">
        <v>3.8034720000000001E-2</v>
      </c>
      <c r="C2129" s="34">
        <v>3.1695600000000001E-3</v>
      </c>
      <c r="D2129" t="s">
        <v>268</v>
      </c>
      <c r="E2129" s="34">
        <v>0.1901736</v>
      </c>
      <c r="F2129" t="s">
        <v>16369</v>
      </c>
      <c r="G2129" t="b">
        <v>0</v>
      </c>
    </row>
    <row r="2130" spans="1:7" x14ac:dyDescent="0.25">
      <c r="A2130" t="s">
        <v>14810</v>
      </c>
      <c r="B2130" s="34">
        <v>3.7999999999999999E-2</v>
      </c>
      <c r="C2130" s="34">
        <v>3.1666666666666601E-3</v>
      </c>
      <c r="D2130" t="s">
        <v>35</v>
      </c>
      <c r="E2130" s="34">
        <v>0.19</v>
      </c>
      <c r="F2130" t="s">
        <v>17254</v>
      </c>
      <c r="G2130" t="b">
        <v>0</v>
      </c>
    </row>
    <row r="2131" spans="1:7" x14ac:dyDescent="0.25">
      <c r="A2131" t="s">
        <v>12878</v>
      </c>
      <c r="B2131" s="34">
        <v>3.7842000000000001E-2</v>
      </c>
      <c r="C2131" s="34">
        <v>3.1535000000000001E-3</v>
      </c>
      <c r="D2131" t="s">
        <v>471</v>
      </c>
      <c r="E2131" s="34">
        <v>0.18920999999999999</v>
      </c>
      <c r="F2131" t="s">
        <v>15353</v>
      </c>
      <c r="G2131" t="b">
        <v>0</v>
      </c>
    </row>
    <row r="2132" spans="1:7" x14ac:dyDescent="0.25">
      <c r="A2132" t="s">
        <v>14733</v>
      </c>
      <c r="B2132" s="34">
        <v>3.7351200000000001E-2</v>
      </c>
      <c r="C2132" s="34">
        <v>3.1126000000000001E-3</v>
      </c>
      <c r="D2132" t="s">
        <v>67</v>
      </c>
      <c r="E2132" s="34">
        <v>0.18675600000000001</v>
      </c>
      <c r="F2132" t="s">
        <v>17183</v>
      </c>
      <c r="G2132" t="b">
        <v>0</v>
      </c>
    </row>
    <row r="2133" spans="1:7" x14ac:dyDescent="0.25">
      <c r="A2133" t="s">
        <v>14614</v>
      </c>
      <c r="B2133" s="34">
        <v>3.7339999999999998E-2</v>
      </c>
      <c r="C2133" s="34">
        <v>3.1116666666666602E-3</v>
      </c>
      <c r="D2133" t="s">
        <v>35</v>
      </c>
      <c r="E2133" s="34">
        <v>0.1867</v>
      </c>
      <c r="F2133" t="s">
        <v>17068</v>
      </c>
      <c r="G2133" t="b">
        <v>0</v>
      </c>
    </row>
    <row r="2134" spans="1:7" x14ac:dyDescent="0.25">
      <c r="A2134" t="s">
        <v>14753</v>
      </c>
      <c r="B2134" s="34">
        <v>3.7155639999999997E-2</v>
      </c>
      <c r="C2134" s="34">
        <v>3.09630333333333E-3</v>
      </c>
      <c r="D2134" t="s">
        <v>104</v>
      </c>
      <c r="E2134" s="34">
        <v>0.1857782</v>
      </c>
      <c r="F2134" t="s">
        <v>17202</v>
      </c>
      <c r="G2134" t="b">
        <v>0</v>
      </c>
    </row>
    <row r="2135" spans="1:7" x14ac:dyDescent="0.25">
      <c r="A2135" t="s">
        <v>14531</v>
      </c>
      <c r="B2135" s="34">
        <v>3.7089999999999998E-2</v>
      </c>
      <c r="C2135" s="34">
        <v>3.09083333333333E-3</v>
      </c>
      <c r="D2135" t="s">
        <v>26</v>
      </c>
      <c r="E2135" s="34">
        <v>0.18545</v>
      </c>
      <c r="F2135" t="s">
        <v>16991</v>
      </c>
      <c r="G2135" t="b">
        <v>0</v>
      </c>
    </row>
    <row r="2136" spans="1:7" x14ac:dyDescent="0.25">
      <c r="A2136" t="s">
        <v>13973</v>
      </c>
      <c r="B2136" s="34">
        <v>3.6959199999999998E-2</v>
      </c>
      <c r="C2136" s="34">
        <v>3.0799333333333301E-3</v>
      </c>
      <c r="D2136" t="s">
        <v>2696</v>
      </c>
      <c r="E2136" s="34">
        <v>0.18479599999999999</v>
      </c>
      <c r="F2136" t="s">
        <v>16440</v>
      </c>
      <c r="G2136" t="b">
        <v>0</v>
      </c>
    </row>
    <row r="2137" spans="1:7" x14ac:dyDescent="0.25">
      <c r="A2137" t="s">
        <v>14013</v>
      </c>
      <c r="B2137" s="34">
        <v>3.6926699999999903E-2</v>
      </c>
      <c r="C2137" s="34">
        <v>3.0772249999999998E-3</v>
      </c>
      <c r="D2137" t="s">
        <v>318</v>
      </c>
      <c r="E2137" s="34">
        <v>0.18463350000000001</v>
      </c>
      <c r="F2137" t="s">
        <v>16480</v>
      </c>
      <c r="G2137" t="b">
        <v>0</v>
      </c>
    </row>
    <row r="2138" spans="1:7" x14ac:dyDescent="0.25">
      <c r="A2138" t="s">
        <v>14855</v>
      </c>
      <c r="B2138" s="34">
        <v>3.6779999999999903E-2</v>
      </c>
      <c r="C2138" s="34">
        <v>3.065E-3</v>
      </c>
      <c r="D2138" t="s">
        <v>753</v>
      </c>
      <c r="E2138" s="34">
        <v>0.18390000000000001</v>
      </c>
      <c r="F2138" t="s">
        <v>17292</v>
      </c>
      <c r="G2138" t="b">
        <v>0</v>
      </c>
    </row>
    <row r="2139" spans="1:7" x14ac:dyDescent="0.25">
      <c r="A2139" t="s">
        <v>13905</v>
      </c>
      <c r="B2139" s="34">
        <v>3.6689599999999899E-2</v>
      </c>
      <c r="C2139" s="34">
        <v>3.0574666666666598E-3</v>
      </c>
      <c r="D2139" t="s">
        <v>781</v>
      </c>
      <c r="E2139" s="34">
        <v>0.183448</v>
      </c>
      <c r="F2139" t="s">
        <v>16372</v>
      </c>
      <c r="G2139" t="b">
        <v>0</v>
      </c>
    </row>
    <row r="2140" spans="1:7" x14ac:dyDescent="0.25">
      <c r="A2140" t="s">
        <v>13478</v>
      </c>
      <c r="B2140" s="34">
        <v>3.6258600000000002E-2</v>
      </c>
      <c r="C2140" s="34">
        <v>3.02155E-3</v>
      </c>
      <c r="D2140" t="s">
        <v>35</v>
      </c>
      <c r="E2140" s="34">
        <v>0.18129300000000001</v>
      </c>
      <c r="F2140" t="s">
        <v>15947</v>
      </c>
      <c r="G2140" t="b">
        <v>0</v>
      </c>
    </row>
    <row r="2141" spans="1:7" x14ac:dyDescent="0.25">
      <c r="A2141" t="s">
        <v>14791</v>
      </c>
      <c r="B2141" s="34">
        <v>3.6139999999999999E-2</v>
      </c>
      <c r="C2141" s="34">
        <v>3.0116666666666599E-3</v>
      </c>
      <c r="D2141" t="s">
        <v>274</v>
      </c>
      <c r="E2141" s="34">
        <v>0.1807</v>
      </c>
      <c r="F2141" t="s">
        <v>17237</v>
      </c>
      <c r="G2141" t="b">
        <v>0</v>
      </c>
    </row>
    <row r="2142" spans="1:7" x14ac:dyDescent="0.25">
      <c r="A2142" t="s">
        <v>12652</v>
      </c>
      <c r="B2142" s="34">
        <v>3.5783799999999998E-2</v>
      </c>
      <c r="C2142" s="34">
        <v>2.9819833333333298E-3</v>
      </c>
      <c r="D2142" t="s">
        <v>35</v>
      </c>
      <c r="E2142" s="34">
        <v>0.17891899999999999</v>
      </c>
      <c r="F2142" t="s">
        <v>15127</v>
      </c>
      <c r="G2142" t="b">
        <v>0</v>
      </c>
    </row>
    <row r="2143" spans="1:7" x14ac:dyDescent="0.25">
      <c r="A2143" t="s">
        <v>13592</v>
      </c>
      <c r="B2143" s="34">
        <v>3.5633199999999997E-2</v>
      </c>
      <c r="C2143" s="34">
        <v>2.9694333333333302E-3</v>
      </c>
      <c r="D2143" t="s">
        <v>26</v>
      </c>
      <c r="E2143" s="34">
        <v>0.17816599999999999</v>
      </c>
      <c r="F2143" t="s">
        <v>16061</v>
      </c>
      <c r="G2143" t="b">
        <v>0</v>
      </c>
    </row>
    <row r="2144" spans="1:7" x14ac:dyDescent="0.25">
      <c r="A2144" t="s">
        <v>14155</v>
      </c>
      <c r="B2144" s="34">
        <v>3.5029999999999999E-2</v>
      </c>
      <c r="C2144" s="34">
        <v>2.9191666666666602E-3</v>
      </c>
      <c r="D2144" t="s">
        <v>1978</v>
      </c>
      <c r="E2144" s="34">
        <v>0.17515</v>
      </c>
      <c r="F2144" t="s">
        <v>16622</v>
      </c>
      <c r="G2144" t="b">
        <v>0</v>
      </c>
    </row>
    <row r="2145" spans="1:7" x14ac:dyDescent="0.25">
      <c r="A2145" t="s">
        <v>13025</v>
      </c>
      <c r="B2145" s="34">
        <v>3.4988499999999999E-2</v>
      </c>
      <c r="C2145" s="34">
        <v>2.9157083333333301E-3</v>
      </c>
      <c r="D2145" t="s">
        <v>1861</v>
      </c>
      <c r="E2145" s="34">
        <v>0.1749425</v>
      </c>
      <c r="F2145" t="s">
        <v>15500</v>
      </c>
      <c r="G2145" t="b">
        <v>0</v>
      </c>
    </row>
    <row r="2146" spans="1:7" x14ac:dyDescent="0.25">
      <c r="A2146" t="s">
        <v>14766</v>
      </c>
      <c r="B2146" s="34">
        <v>3.4755000000000001E-2</v>
      </c>
      <c r="C2146" s="34">
        <v>2.89625E-3</v>
      </c>
      <c r="D2146" t="s">
        <v>67</v>
      </c>
      <c r="E2146" s="34">
        <v>0.17377500000000001</v>
      </c>
      <c r="F2146" t="s">
        <v>17214</v>
      </c>
      <c r="G2146" t="b">
        <v>0</v>
      </c>
    </row>
    <row r="2147" spans="1:7" x14ac:dyDescent="0.25">
      <c r="A2147" t="s">
        <v>14822</v>
      </c>
      <c r="B2147" s="34">
        <v>3.4687179999999998E-2</v>
      </c>
      <c r="C2147" s="34">
        <v>2.89059833333333E-3</v>
      </c>
      <c r="D2147" t="s">
        <v>35</v>
      </c>
      <c r="E2147" s="34">
        <v>8.6717949999999905E-2</v>
      </c>
      <c r="F2147" t="s">
        <v>17263</v>
      </c>
      <c r="G2147" t="b">
        <v>0</v>
      </c>
    </row>
    <row r="2148" spans="1:7" x14ac:dyDescent="0.25">
      <c r="A2148" t="s">
        <v>14721</v>
      </c>
      <c r="B2148" s="34">
        <v>3.4500000000000003E-2</v>
      </c>
      <c r="C2148" s="34">
        <v>2.875E-3</v>
      </c>
      <c r="D2148" t="s">
        <v>2301</v>
      </c>
      <c r="E2148" s="34">
        <v>0.17249999999999999</v>
      </c>
      <c r="F2148" t="s">
        <v>17172</v>
      </c>
      <c r="G2148" t="b">
        <v>0</v>
      </c>
    </row>
    <row r="2149" spans="1:7" x14ac:dyDescent="0.25">
      <c r="A2149" t="s">
        <v>14270</v>
      </c>
      <c r="B2149" s="34">
        <v>3.4461800000000001E-2</v>
      </c>
      <c r="C2149" s="34">
        <v>2.8718166666666599E-3</v>
      </c>
      <c r="D2149" t="s">
        <v>576</v>
      </c>
      <c r="E2149" s="34">
        <v>0.17230899999999999</v>
      </c>
      <c r="F2149" t="s">
        <v>16734</v>
      </c>
      <c r="G2149" t="b">
        <v>0</v>
      </c>
    </row>
    <row r="2150" spans="1:7" x14ac:dyDescent="0.25">
      <c r="A2150" t="s">
        <v>13632</v>
      </c>
      <c r="B2150" s="34">
        <v>3.442651E-2</v>
      </c>
      <c r="C2150" s="34">
        <v>2.8688758333333302E-3</v>
      </c>
      <c r="D2150" t="s">
        <v>3151</v>
      </c>
      <c r="E2150" s="34">
        <v>0.17213255</v>
      </c>
      <c r="F2150" t="s">
        <v>16101</v>
      </c>
      <c r="G2150" t="b">
        <v>0</v>
      </c>
    </row>
    <row r="2151" spans="1:7" x14ac:dyDescent="0.25">
      <c r="A2151" t="s">
        <v>13668</v>
      </c>
      <c r="B2151" s="34">
        <v>3.4360000000000002E-2</v>
      </c>
      <c r="C2151" s="34">
        <v>2.8633333333333301E-3</v>
      </c>
      <c r="D2151" t="s">
        <v>35</v>
      </c>
      <c r="E2151" s="34">
        <v>0.17180000000000001</v>
      </c>
      <c r="F2151" t="s">
        <v>16136</v>
      </c>
      <c r="G2151" t="b">
        <v>0</v>
      </c>
    </row>
    <row r="2152" spans="1:7" x14ac:dyDescent="0.25">
      <c r="A2152" t="s">
        <v>14738</v>
      </c>
      <c r="B2152" s="34">
        <v>3.4053E-2</v>
      </c>
      <c r="C2152" s="34">
        <v>2.83775E-3</v>
      </c>
      <c r="D2152" t="s">
        <v>632</v>
      </c>
      <c r="E2152" s="34">
        <v>8.51325E-2</v>
      </c>
      <c r="F2152" t="s">
        <v>17187</v>
      </c>
      <c r="G2152" t="b">
        <v>0</v>
      </c>
    </row>
    <row r="2153" spans="1:7" x14ac:dyDescent="0.25">
      <c r="A2153" t="s">
        <v>13014</v>
      </c>
      <c r="B2153" s="34">
        <v>3.3994399999999897E-2</v>
      </c>
      <c r="C2153" s="34">
        <v>2.8328666666666601E-3</v>
      </c>
      <c r="D2153" t="s">
        <v>1716</v>
      </c>
      <c r="E2153" s="34">
        <v>0.16997199999999901</v>
      </c>
      <c r="F2153" t="s">
        <v>15489</v>
      </c>
      <c r="G2153" t="b">
        <v>0</v>
      </c>
    </row>
    <row r="2154" spans="1:7" x14ac:dyDescent="0.25">
      <c r="A2154" t="s">
        <v>14864</v>
      </c>
      <c r="B2154" s="34">
        <v>3.3520000000000001E-2</v>
      </c>
      <c r="C2154" s="34">
        <v>2.79333333333333E-3</v>
      </c>
      <c r="D2154" t="s">
        <v>84</v>
      </c>
      <c r="E2154" s="34">
        <v>0.1676</v>
      </c>
      <c r="F2154" t="s">
        <v>17301</v>
      </c>
      <c r="G2154" t="b">
        <v>0</v>
      </c>
    </row>
    <row r="2155" spans="1:7" x14ac:dyDescent="0.25">
      <c r="A2155" t="s">
        <v>14508</v>
      </c>
      <c r="B2155" s="34">
        <v>3.32E-2</v>
      </c>
      <c r="C2155" s="34">
        <v>2.7666666666666599E-3</v>
      </c>
      <c r="D2155" t="s">
        <v>312</v>
      </c>
      <c r="E2155" s="34">
        <v>0.16600000000000001</v>
      </c>
      <c r="F2155" t="s">
        <v>16968</v>
      </c>
      <c r="G2155" t="b">
        <v>0</v>
      </c>
    </row>
    <row r="2156" spans="1:7" x14ac:dyDescent="0.25">
      <c r="A2156" t="s">
        <v>13790</v>
      </c>
      <c r="B2156" s="34">
        <v>3.3092000000000003E-2</v>
      </c>
      <c r="C2156" s="34">
        <v>2.75766666666666E-3</v>
      </c>
      <c r="D2156" t="s">
        <v>35</v>
      </c>
      <c r="E2156" s="34">
        <v>0.16546</v>
      </c>
      <c r="F2156" t="s">
        <v>16257</v>
      </c>
      <c r="G2156" t="b">
        <v>0</v>
      </c>
    </row>
    <row r="2157" spans="1:7" x14ac:dyDescent="0.25">
      <c r="A2157" t="s">
        <v>14001</v>
      </c>
      <c r="B2157" s="34">
        <v>3.3003999999999901E-2</v>
      </c>
      <c r="C2157" s="34">
        <v>2.7503333333333299E-3</v>
      </c>
      <c r="D2157" t="s">
        <v>35</v>
      </c>
      <c r="E2157" s="34">
        <v>0.165019999999999</v>
      </c>
      <c r="F2157" t="s">
        <v>16468</v>
      </c>
      <c r="G2157" t="b">
        <v>0</v>
      </c>
    </row>
    <row r="2158" spans="1:7" x14ac:dyDescent="0.25">
      <c r="A2158" t="s">
        <v>14177</v>
      </c>
      <c r="B2158" s="34">
        <v>3.24464E-2</v>
      </c>
      <c r="C2158" s="34">
        <v>2.7038666666666599E-3</v>
      </c>
      <c r="D2158" t="s">
        <v>35</v>
      </c>
      <c r="E2158" s="34">
        <v>0.16223199999999999</v>
      </c>
      <c r="F2158" t="s">
        <v>16643</v>
      </c>
      <c r="G2158" t="b">
        <v>0</v>
      </c>
    </row>
    <row r="2159" spans="1:7" x14ac:dyDescent="0.25">
      <c r="A2159" t="s">
        <v>14258</v>
      </c>
      <c r="B2159" s="34">
        <v>3.17828E-2</v>
      </c>
      <c r="C2159" s="34">
        <v>2.64856666666666E-3</v>
      </c>
      <c r="D2159" t="s">
        <v>26</v>
      </c>
      <c r="E2159" s="34">
        <v>0.158914</v>
      </c>
      <c r="F2159" t="s">
        <v>16722</v>
      </c>
      <c r="G2159" t="b">
        <v>0</v>
      </c>
    </row>
    <row r="2160" spans="1:7" x14ac:dyDescent="0.25">
      <c r="A2160" t="s">
        <v>14065</v>
      </c>
      <c r="B2160" s="34">
        <v>3.1512999999999999E-2</v>
      </c>
      <c r="C2160" s="34">
        <v>2.6260833333333301E-3</v>
      </c>
      <c r="D2160" t="s">
        <v>2696</v>
      </c>
      <c r="E2160" s="34">
        <v>0.15756500000000001</v>
      </c>
      <c r="F2160" t="s">
        <v>16532</v>
      </c>
      <c r="G2160" t="b">
        <v>0</v>
      </c>
    </row>
    <row r="2161" spans="1:7" x14ac:dyDescent="0.25">
      <c r="A2161" t="s">
        <v>13796</v>
      </c>
      <c r="B2161" s="34">
        <v>3.1289999999999998E-2</v>
      </c>
      <c r="C2161" s="34">
        <v>2.6075E-3</v>
      </c>
      <c r="D2161" t="s">
        <v>162</v>
      </c>
      <c r="E2161" s="34">
        <v>0.15645000000000001</v>
      </c>
      <c r="F2161" t="s">
        <v>16263</v>
      </c>
      <c r="G2161" t="b">
        <v>0</v>
      </c>
    </row>
    <row r="2162" spans="1:7" x14ac:dyDescent="0.25">
      <c r="A2162" t="s">
        <v>14620</v>
      </c>
      <c r="B2162" s="34">
        <v>3.1280000000000002E-2</v>
      </c>
      <c r="C2162" s="34">
        <v>2.6066666666666599E-3</v>
      </c>
      <c r="D2162" t="s">
        <v>461</v>
      </c>
      <c r="E2162" s="34">
        <v>0.15640000000000001</v>
      </c>
      <c r="F2162" t="s">
        <v>17073</v>
      </c>
      <c r="G2162" t="b">
        <v>0</v>
      </c>
    </row>
    <row r="2163" spans="1:7" x14ac:dyDescent="0.25">
      <c r="A2163" t="s">
        <v>14358</v>
      </c>
      <c r="B2163" s="34">
        <v>3.1199999999999901E-2</v>
      </c>
      <c r="C2163" s="34">
        <v>2.5999999999999899E-3</v>
      </c>
      <c r="D2163" t="s">
        <v>461</v>
      </c>
      <c r="E2163" s="34">
        <v>0.155999999999999</v>
      </c>
      <c r="F2163" t="s">
        <v>16820</v>
      </c>
      <c r="G2163" t="b">
        <v>0</v>
      </c>
    </row>
    <row r="2164" spans="1:7" x14ac:dyDescent="0.25">
      <c r="A2164" t="s">
        <v>14336</v>
      </c>
      <c r="B2164" s="34">
        <v>3.1108E-2</v>
      </c>
      <c r="C2164" s="34">
        <v>2.5923333333333302E-3</v>
      </c>
      <c r="D2164" t="s">
        <v>151</v>
      </c>
      <c r="E2164" s="34">
        <v>0.15554000000000001</v>
      </c>
      <c r="F2164" t="s">
        <v>16799</v>
      </c>
      <c r="G2164" t="b">
        <v>0</v>
      </c>
    </row>
    <row r="2165" spans="1:7" x14ac:dyDescent="0.25">
      <c r="A2165" t="s">
        <v>14250</v>
      </c>
      <c r="B2165" s="34">
        <v>3.0880000000000001E-2</v>
      </c>
      <c r="C2165" s="34">
        <v>2.5733333333333298E-3</v>
      </c>
      <c r="D2165" t="s">
        <v>1787</v>
      </c>
      <c r="E2165" s="34">
        <v>0.15440000000000001</v>
      </c>
      <c r="F2165" t="s">
        <v>16714</v>
      </c>
      <c r="G2165" t="b">
        <v>0</v>
      </c>
    </row>
    <row r="2166" spans="1:7" x14ac:dyDescent="0.25">
      <c r="A2166" t="s">
        <v>14217</v>
      </c>
      <c r="B2166" s="34">
        <v>3.0563199999999902E-2</v>
      </c>
      <c r="C2166" s="34">
        <v>2.54693333333333E-3</v>
      </c>
      <c r="D2166" t="s">
        <v>35</v>
      </c>
      <c r="E2166" s="34">
        <v>0.15281599999999901</v>
      </c>
      <c r="F2166" t="s">
        <v>16681</v>
      </c>
      <c r="G2166" t="b">
        <v>0</v>
      </c>
    </row>
    <row r="2167" spans="1:7" x14ac:dyDescent="0.25">
      <c r="A2167" t="s">
        <v>14457</v>
      </c>
      <c r="B2167" s="34">
        <v>3.0433999999999999E-2</v>
      </c>
      <c r="C2167" s="34">
        <v>2.5361666666666601E-3</v>
      </c>
      <c r="D2167" t="s">
        <v>35</v>
      </c>
      <c r="E2167" s="34">
        <v>7.6085E-2</v>
      </c>
      <c r="F2167" t="s">
        <v>16917</v>
      </c>
      <c r="G2167" t="b">
        <v>0</v>
      </c>
    </row>
    <row r="2168" spans="1:7" x14ac:dyDescent="0.25">
      <c r="A2168" t="s">
        <v>14043</v>
      </c>
      <c r="B2168" s="34">
        <v>3.0179600000000001E-2</v>
      </c>
      <c r="C2168" s="34">
        <v>2.5149666666666598E-3</v>
      </c>
      <c r="D2168" t="s">
        <v>35</v>
      </c>
      <c r="E2168" s="34">
        <v>0.150898</v>
      </c>
      <c r="F2168" t="s">
        <v>16510</v>
      </c>
      <c r="G2168" t="b">
        <v>0</v>
      </c>
    </row>
    <row r="2169" spans="1:7" x14ac:dyDescent="0.25">
      <c r="A2169" t="s">
        <v>14339</v>
      </c>
      <c r="B2169" s="34">
        <v>2.9819999999999999E-2</v>
      </c>
      <c r="C2169" s="34">
        <v>2.4849999999999998E-3</v>
      </c>
      <c r="D2169" t="s">
        <v>2267</v>
      </c>
      <c r="E2169" s="34">
        <v>0.14910000000000001</v>
      </c>
      <c r="F2169" t="s">
        <v>16802</v>
      </c>
      <c r="G2169" t="b">
        <v>0</v>
      </c>
    </row>
    <row r="2170" spans="1:7" x14ac:dyDescent="0.25">
      <c r="A2170" t="s">
        <v>13404</v>
      </c>
      <c r="B2170" s="34">
        <v>2.9631999999999999E-2</v>
      </c>
      <c r="C2170" s="34">
        <v>2.4693333333333299E-3</v>
      </c>
      <c r="D2170" t="s">
        <v>35</v>
      </c>
      <c r="E2170" s="34">
        <v>0.14815999999999999</v>
      </c>
      <c r="F2170" t="s">
        <v>15874</v>
      </c>
      <c r="G2170" t="b">
        <v>0</v>
      </c>
    </row>
    <row r="2171" spans="1:7" x14ac:dyDescent="0.25">
      <c r="A2171" t="s">
        <v>13639</v>
      </c>
      <c r="B2171" s="34">
        <v>2.9450199999999999E-2</v>
      </c>
      <c r="C2171" s="34">
        <v>2.4541833333333301E-3</v>
      </c>
      <c r="D2171" t="s">
        <v>296</v>
      </c>
      <c r="E2171" s="34">
        <v>0.14725099999999999</v>
      </c>
      <c r="F2171" t="s">
        <v>16108</v>
      </c>
      <c r="G2171" t="b">
        <v>0</v>
      </c>
    </row>
    <row r="2172" spans="1:7" x14ac:dyDescent="0.25">
      <c r="A2172" t="s">
        <v>13020</v>
      </c>
      <c r="B2172" s="34">
        <v>2.9229999999999999E-2</v>
      </c>
      <c r="C2172" s="34">
        <v>2.4358333333333298E-3</v>
      </c>
      <c r="D2172" t="s">
        <v>4169</v>
      </c>
      <c r="E2172" s="34">
        <v>7.3075000000000001E-2</v>
      </c>
      <c r="F2172" t="s">
        <v>15495</v>
      </c>
      <c r="G2172" t="b">
        <v>0</v>
      </c>
    </row>
    <row r="2173" spans="1:7" x14ac:dyDescent="0.25">
      <c r="A2173" t="s">
        <v>13924</v>
      </c>
      <c r="B2173" s="34">
        <v>2.9207339999999998E-2</v>
      </c>
      <c r="C2173" s="34">
        <v>2.4339449999999999E-3</v>
      </c>
      <c r="D2173" t="s">
        <v>3151</v>
      </c>
      <c r="E2173" s="34">
        <v>7.3018349999999996E-2</v>
      </c>
      <c r="F2173" t="s">
        <v>16391</v>
      </c>
      <c r="G2173" t="b">
        <v>0</v>
      </c>
    </row>
    <row r="2174" spans="1:7" x14ac:dyDescent="0.25">
      <c r="A2174" t="s">
        <v>14880</v>
      </c>
      <c r="B2174" s="34">
        <v>2.9000000000000001E-2</v>
      </c>
      <c r="C2174" s="34">
        <v>2.4166666666666599E-3</v>
      </c>
      <c r="D2174" t="s">
        <v>3079</v>
      </c>
      <c r="E2174" s="34">
        <v>0.14499999999999999</v>
      </c>
      <c r="F2174" t="s">
        <v>17316</v>
      </c>
      <c r="G2174" t="b">
        <v>0</v>
      </c>
    </row>
    <row r="2175" spans="1:7" x14ac:dyDescent="0.25">
      <c r="A2175" t="s">
        <v>12766</v>
      </c>
      <c r="B2175" s="34">
        <v>2.8910000000000002E-2</v>
      </c>
      <c r="C2175" s="34">
        <v>2.4091666666666602E-3</v>
      </c>
      <c r="D2175" t="s">
        <v>395</v>
      </c>
      <c r="E2175" s="34">
        <v>0.14454999999999901</v>
      </c>
      <c r="F2175" t="s">
        <v>15241</v>
      </c>
      <c r="G2175" t="b">
        <v>0</v>
      </c>
    </row>
    <row r="2176" spans="1:7" x14ac:dyDescent="0.25">
      <c r="A2176" t="s">
        <v>14762</v>
      </c>
      <c r="B2176" s="34">
        <v>2.886E-2</v>
      </c>
      <c r="C2176" s="34">
        <v>2.405E-3</v>
      </c>
      <c r="D2176" t="s">
        <v>90</v>
      </c>
      <c r="E2176" s="34">
        <v>0.14430000000000001</v>
      </c>
      <c r="F2176" t="s">
        <v>17210</v>
      </c>
      <c r="G2176" t="b">
        <v>0</v>
      </c>
    </row>
    <row r="2177" spans="1:7" x14ac:dyDescent="0.25">
      <c r="A2177" t="s">
        <v>13326</v>
      </c>
      <c r="B2177" s="34">
        <v>2.88484E-2</v>
      </c>
      <c r="C2177" s="34">
        <v>2.40403333333333E-3</v>
      </c>
      <c r="D2177" t="s">
        <v>90</v>
      </c>
      <c r="E2177" s="34">
        <v>0.14424200000000001</v>
      </c>
      <c r="F2177" t="s">
        <v>15796</v>
      </c>
      <c r="G2177" t="b">
        <v>0</v>
      </c>
    </row>
    <row r="2178" spans="1:7" x14ac:dyDescent="0.25">
      <c r="A2178" t="s">
        <v>14804</v>
      </c>
      <c r="B2178" s="34">
        <v>2.8799999999999999E-2</v>
      </c>
      <c r="C2178" s="34">
        <v>2.3999999999999998E-3</v>
      </c>
      <c r="D2178" t="s">
        <v>132</v>
      </c>
      <c r="E2178" s="34">
        <v>0.14399999999999999</v>
      </c>
      <c r="F2178" t="s">
        <v>17248</v>
      </c>
      <c r="G2178" t="b">
        <v>0</v>
      </c>
    </row>
    <row r="2179" spans="1:7" x14ac:dyDescent="0.25">
      <c r="A2179" t="s">
        <v>14354</v>
      </c>
      <c r="B2179" s="34">
        <v>2.8680000000000001E-2</v>
      </c>
      <c r="C2179" s="34">
        <v>2.3899999999999898E-3</v>
      </c>
      <c r="D2179" t="s">
        <v>26</v>
      </c>
      <c r="E2179" s="34">
        <v>0.1434</v>
      </c>
      <c r="F2179" t="s">
        <v>16816</v>
      </c>
      <c r="G2179" t="b">
        <v>0</v>
      </c>
    </row>
    <row r="2180" spans="1:7" x14ac:dyDescent="0.25">
      <c r="A2180" t="s">
        <v>14619</v>
      </c>
      <c r="B2180" s="34">
        <v>2.8099999999999899E-2</v>
      </c>
      <c r="C2180" s="34">
        <v>2.3416666666666599E-3</v>
      </c>
      <c r="D2180" t="s">
        <v>1451</v>
      </c>
      <c r="E2180" s="34">
        <v>7.0249999999999896E-2</v>
      </c>
      <c r="F2180" t="s">
        <v>17072</v>
      </c>
      <c r="G2180" t="b">
        <v>0</v>
      </c>
    </row>
    <row r="2181" spans="1:7" x14ac:dyDescent="0.25">
      <c r="A2181" t="s">
        <v>14861</v>
      </c>
      <c r="B2181" s="34">
        <v>2.8060000000000002E-2</v>
      </c>
      <c r="C2181" s="34">
        <v>2.3383333333333299E-3</v>
      </c>
      <c r="D2181" t="s">
        <v>239</v>
      </c>
      <c r="E2181" s="34">
        <v>0.14030000000000001</v>
      </c>
      <c r="F2181" t="s">
        <v>17298</v>
      </c>
      <c r="G2181" t="b">
        <v>0</v>
      </c>
    </row>
    <row r="2182" spans="1:7" x14ac:dyDescent="0.25">
      <c r="A2182" t="s">
        <v>14747</v>
      </c>
      <c r="B2182" s="34">
        <v>2.7742274000000001E-2</v>
      </c>
      <c r="C2182" s="34">
        <v>2.3118561666666598E-3</v>
      </c>
      <c r="D2182" t="s">
        <v>626</v>
      </c>
      <c r="E2182" s="34">
        <v>0.13871137</v>
      </c>
      <c r="F2182" t="s">
        <v>17196</v>
      </c>
      <c r="G2182" t="b">
        <v>0</v>
      </c>
    </row>
    <row r="2183" spans="1:7" x14ac:dyDescent="0.25">
      <c r="A2183" t="s">
        <v>14687</v>
      </c>
      <c r="B2183" s="34">
        <v>2.7363599999999998E-2</v>
      </c>
      <c r="C2183" s="34">
        <v>2.2802999999999999E-3</v>
      </c>
      <c r="D2183" t="s">
        <v>853</v>
      </c>
      <c r="E2183" s="34">
        <v>0.136818</v>
      </c>
      <c r="F2183" t="s">
        <v>17139</v>
      </c>
      <c r="G2183" t="b">
        <v>0</v>
      </c>
    </row>
    <row r="2184" spans="1:7" x14ac:dyDescent="0.25">
      <c r="A2184" t="s">
        <v>14138</v>
      </c>
      <c r="B2184" s="34">
        <v>2.6800000000000001E-2</v>
      </c>
      <c r="C2184" s="34">
        <v>2.2333333333333298E-3</v>
      </c>
      <c r="D2184" t="s">
        <v>566</v>
      </c>
      <c r="E2184" s="34">
        <v>0.13400000000000001</v>
      </c>
      <c r="F2184" t="s">
        <v>16605</v>
      </c>
      <c r="G2184" t="b">
        <v>0</v>
      </c>
    </row>
    <row r="2185" spans="1:7" x14ac:dyDescent="0.25">
      <c r="A2185" t="s">
        <v>13775</v>
      </c>
      <c r="B2185" s="34">
        <v>2.6749599999999998E-2</v>
      </c>
      <c r="C2185" s="34">
        <v>2.22913333333333E-3</v>
      </c>
      <c r="D2185" t="s">
        <v>35</v>
      </c>
      <c r="E2185" s="34">
        <v>0.13374800000000001</v>
      </c>
      <c r="F2185" t="s">
        <v>16243</v>
      </c>
      <c r="G2185" t="b">
        <v>0</v>
      </c>
    </row>
    <row r="2186" spans="1:7" x14ac:dyDescent="0.25">
      <c r="A2186" t="s">
        <v>14374</v>
      </c>
      <c r="B2186" s="34">
        <v>2.67289E-2</v>
      </c>
      <c r="C2186" s="34">
        <v>2.2274083333333299E-3</v>
      </c>
      <c r="D2186" t="s">
        <v>1074</v>
      </c>
      <c r="E2186" s="34">
        <v>0.1336445</v>
      </c>
      <c r="F2186" t="s">
        <v>16836</v>
      </c>
      <c r="G2186" t="b">
        <v>0</v>
      </c>
    </row>
    <row r="2187" spans="1:7" x14ac:dyDescent="0.25">
      <c r="A2187" t="s">
        <v>14002</v>
      </c>
      <c r="B2187" s="34">
        <v>2.6689000000000001E-2</v>
      </c>
      <c r="C2187" s="34">
        <v>2.2240833333333301E-3</v>
      </c>
      <c r="D2187" t="s">
        <v>104</v>
      </c>
      <c r="E2187" s="34">
        <v>0.13344500000000001</v>
      </c>
      <c r="F2187" t="s">
        <v>16469</v>
      </c>
      <c r="G2187" t="b">
        <v>0</v>
      </c>
    </row>
    <row r="2188" spans="1:7" x14ac:dyDescent="0.25">
      <c r="A2188" t="s">
        <v>14612</v>
      </c>
      <c r="B2188" s="34">
        <v>2.6493900000000001E-2</v>
      </c>
      <c r="C2188" s="34">
        <v>2.2078250000000001E-3</v>
      </c>
      <c r="D2188" t="s">
        <v>424</v>
      </c>
      <c r="E2188" s="34">
        <v>0.13246949999999999</v>
      </c>
      <c r="F2188" t="s">
        <v>17066</v>
      </c>
      <c r="G2188" t="b">
        <v>0</v>
      </c>
    </row>
    <row r="2189" spans="1:7" x14ac:dyDescent="0.25">
      <c r="A2189" t="s">
        <v>14701</v>
      </c>
      <c r="B2189" s="34">
        <v>2.64E-2</v>
      </c>
      <c r="C2189" s="34">
        <v>2.2000000000000001E-3</v>
      </c>
      <c r="D2189" t="s">
        <v>1690</v>
      </c>
      <c r="E2189" s="34">
        <v>0.13200000000000001</v>
      </c>
      <c r="F2189" t="s">
        <v>17153</v>
      </c>
      <c r="G2189" t="b">
        <v>0</v>
      </c>
    </row>
    <row r="2190" spans="1:7" x14ac:dyDescent="0.25">
      <c r="A2190" t="s">
        <v>14845</v>
      </c>
      <c r="B2190" s="34">
        <v>2.63E-2</v>
      </c>
      <c r="C2190" s="34">
        <v>2.1916666666666599E-3</v>
      </c>
      <c r="D2190" t="s">
        <v>35</v>
      </c>
      <c r="E2190" s="34">
        <v>6.5750000000000003E-2</v>
      </c>
      <c r="F2190" t="s">
        <v>17282</v>
      </c>
      <c r="G2190" t="b">
        <v>0</v>
      </c>
    </row>
    <row r="2191" spans="1:7" x14ac:dyDescent="0.25">
      <c r="A2191" t="s">
        <v>13990</v>
      </c>
      <c r="B2191" s="34">
        <v>2.6250599999999999E-2</v>
      </c>
      <c r="C2191" s="34">
        <v>2.1875499999999999E-3</v>
      </c>
      <c r="D2191" t="s">
        <v>318</v>
      </c>
      <c r="E2191" s="34">
        <v>0.13125300000000001</v>
      </c>
      <c r="F2191" t="s">
        <v>16457</v>
      </c>
      <c r="G2191" t="b">
        <v>0</v>
      </c>
    </row>
    <row r="2192" spans="1:7" x14ac:dyDescent="0.25">
      <c r="A2192" t="s">
        <v>13725</v>
      </c>
      <c r="B2192" s="34">
        <v>2.623E-2</v>
      </c>
      <c r="C2192" s="34">
        <v>2.18583333333333E-3</v>
      </c>
      <c r="D2192" t="s">
        <v>781</v>
      </c>
      <c r="E2192" s="34">
        <v>0.13114999999999999</v>
      </c>
      <c r="F2192" t="s">
        <v>16193</v>
      </c>
      <c r="G2192" t="b">
        <v>0</v>
      </c>
    </row>
    <row r="2193" spans="1:7" x14ac:dyDescent="0.25">
      <c r="A2193" t="s">
        <v>13682</v>
      </c>
      <c r="B2193" s="34">
        <v>2.5808600000000001E-2</v>
      </c>
      <c r="C2193" s="34">
        <v>2.1507166666666598E-3</v>
      </c>
      <c r="D2193" t="s">
        <v>35</v>
      </c>
      <c r="E2193" s="34">
        <v>0.12904299999999999</v>
      </c>
      <c r="F2193" t="s">
        <v>16150</v>
      </c>
      <c r="G2193" t="b">
        <v>0</v>
      </c>
    </row>
    <row r="2194" spans="1:7" x14ac:dyDescent="0.25">
      <c r="A2194" t="s">
        <v>14219</v>
      </c>
      <c r="B2194" s="34">
        <v>2.5744E-2</v>
      </c>
      <c r="C2194" s="34">
        <v>2.1453333333333298E-3</v>
      </c>
      <c r="D2194" t="s">
        <v>162</v>
      </c>
      <c r="E2194" s="34">
        <v>0.12872</v>
      </c>
      <c r="F2194" t="s">
        <v>16683</v>
      </c>
      <c r="G2194" t="b">
        <v>0</v>
      </c>
    </row>
    <row r="2195" spans="1:7" x14ac:dyDescent="0.25">
      <c r="A2195" t="s">
        <v>13829</v>
      </c>
      <c r="B2195" s="34">
        <v>2.5399999999999999E-2</v>
      </c>
      <c r="C2195" s="34">
        <v>2.1166666666666599E-3</v>
      </c>
      <c r="D2195" t="s">
        <v>26</v>
      </c>
      <c r="E2195" s="34">
        <v>0.127</v>
      </c>
      <c r="F2195" t="s">
        <v>16296</v>
      </c>
      <c r="G2195" t="b">
        <v>0</v>
      </c>
    </row>
    <row r="2196" spans="1:7" x14ac:dyDescent="0.25">
      <c r="A2196" t="s">
        <v>14015</v>
      </c>
      <c r="B2196" s="34">
        <v>2.5391199999999999E-2</v>
      </c>
      <c r="C2196" s="34">
        <v>2.1159333333333301E-3</v>
      </c>
      <c r="D2196" t="s">
        <v>356</v>
      </c>
      <c r="E2196" s="34">
        <v>0.12695600000000001</v>
      </c>
      <c r="F2196" t="s">
        <v>16482</v>
      </c>
      <c r="G2196" t="b">
        <v>0</v>
      </c>
    </row>
    <row r="2197" spans="1:7" x14ac:dyDescent="0.25">
      <c r="A2197" t="s">
        <v>14844</v>
      </c>
      <c r="B2197" s="34">
        <v>2.53277999999999E-2</v>
      </c>
      <c r="C2197" s="34">
        <v>2.1106499999999999E-3</v>
      </c>
      <c r="D2197" t="s">
        <v>409</v>
      </c>
      <c r="E2197" s="34">
        <v>0.126639</v>
      </c>
      <c r="F2197" t="s">
        <v>17281</v>
      </c>
      <c r="G2197" t="b">
        <v>0</v>
      </c>
    </row>
    <row r="2198" spans="1:7" x14ac:dyDescent="0.25">
      <c r="A2198" t="s">
        <v>13559</v>
      </c>
      <c r="B2198" s="34">
        <v>2.49979E-2</v>
      </c>
      <c r="C2198" s="34">
        <v>2.08315833333333E-3</v>
      </c>
      <c r="D2198" t="s">
        <v>318</v>
      </c>
      <c r="E2198" s="34">
        <v>0.1249895</v>
      </c>
      <c r="F2198" t="s">
        <v>16028</v>
      </c>
      <c r="G2198" t="b">
        <v>0</v>
      </c>
    </row>
    <row r="2199" spans="1:7" x14ac:dyDescent="0.25">
      <c r="A2199" t="s">
        <v>13901</v>
      </c>
      <c r="B2199" s="34">
        <v>2.496E-2</v>
      </c>
      <c r="C2199" s="34">
        <v>2.0799999999999998E-3</v>
      </c>
      <c r="D2199" t="s">
        <v>26</v>
      </c>
      <c r="E2199" s="34">
        <v>0.12479999999999999</v>
      </c>
      <c r="F2199" t="s">
        <v>16368</v>
      </c>
      <c r="G2199" t="b">
        <v>0</v>
      </c>
    </row>
    <row r="2200" spans="1:7" x14ac:dyDescent="0.25">
      <c r="A2200" t="s">
        <v>14388</v>
      </c>
      <c r="B2200" s="34">
        <v>2.4E-2</v>
      </c>
      <c r="C2200" s="34">
        <v>2E-3</v>
      </c>
      <c r="D2200" t="s">
        <v>151</v>
      </c>
      <c r="E2200" s="34">
        <v>0.12</v>
      </c>
      <c r="F2200" t="s">
        <v>16850</v>
      </c>
      <c r="G2200" t="b">
        <v>0</v>
      </c>
    </row>
    <row r="2201" spans="1:7" x14ac:dyDescent="0.25">
      <c r="A2201" t="s">
        <v>14423</v>
      </c>
      <c r="B2201" s="34">
        <v>2.3609999999999999E-2</v>
      </c>
      <c r="C2201" s="34">
        <v>1.9675000000000001E-3</v>
      </c>
      <c r="D2201" t="s">
        <v>132</v>
      </c>
      <c r="E2201" s="34">
        <v>0.11805</v>
      </c>
      <c r="F2201" t="s">
        <v>16884</v>
      </c>
      <c r="G2201" t="b">
        <v>0</v>
      </c>
    </row>
    <row r="2202" spans="1:7" x14ac:dyDescent="0.25">
      <c r="A2202" t="s">
        <v>14835</v>
      </c>
      <c r="B2202" s="34">
        <v>2.2939999999999999E-2</v>
      </c>
      <c r="C2202" s="34">
        <v>1.91166666666666E-3</v>
      </c>
      <c r="D2202" t="s">
        <v>4135</v>
      </c>
      <c r="E2202" s="34">
        <v>0.1147</v>
      </c>
      <c r="F2202" t="s">
        <v>17273</v>
      </c>
      <c r="G2202" t="b">
        <v>0</v>
      </c>
    </row>
    <row r="2203" spans="1:7" x14ac:dyDescent="0.25">
      <c r="A2203" t="s">
        <v>14739</v>
      </c>
      <c r="B2203" s="34">
        <v>2.2874459999999999E-2</v>
      </c>
      <c r="C2203" s="34">
        <v>1.906205E-3</v>
      </c>
      <c r="D2203" t="s">
        <v>645</v>
      </c>
      <c r="E2203" s="34">
        <v>0.1143723</v>
      </c>
      <c r="F2203" t="s">
        <v>17188</v>
      </c>
      <c r="G2203" t="b">
        <v>0</v>
      </c>
    </row>
    <row r="2204" spans="1:7" x14ac:dyDescent="0.25">
      <c r="A2204" t="s">
        <v>14826</v>
      </c>
      <c r="B2204" s="34">
        <v>2.2609999999999901E-2</v>
      </c>
      <c r="C2204" s="34">
        <v>1.8841666666666601E-3</v>
      </c>
      <c r="D2204" t="s">
        <v>290</v>
      </c>
      <c r="E2204" s="34">
        <v>0.11305</v>
      </c>
      <c r="F2204" t="s">
        <v>17267</v>
      </c>
      <c r="G2204" t="b">
        <v>0</v>
      </c>
    </row>
    <row r="2205" spans="1:7" x14ac:dyDescent="0.25">
      <c r="A2205" t="s">
        <v>14676</v>
      </c>
      <c r="B2205" s="34">
        <v>2.24914999999999E-2</v>
      </c>
      <c r="C2205" s="34">
        <v>1.87429166666666E-3</v>
      </c>
      <c r="D2205" t="s">
        <v>35</v>
      </c>
      <c r="E2205" s="34">
        <v>0.1124575</v>
      </c>
      <c r="F2205" t="s">
        <v>17129</v>
      </c>
      <c r="G2205" t="b">
        <v>0</v>
      </c>
    </row>
    <row r="2206" spans="1:7" x14ac:dyDescent="0.25">
      <c r="A2206" t="s">
        <v>13761</v>
      </c>
      <c r="B2206" s="34">
        <v>2.2367999999999999E-2</v>
      </c>
      <c r="C2206" s="34">
        <v>1.864E-3</v>
      </c>
      <c r="D2206" t="s">
        <v>35</v>
      </c>
      <c r="E2206" s="34">
        <v>0.11183999999999999</v>
      </c>
      <c r="F2206" t="s">
        <v>16229</v>
      </c>
      <c r="G2206" t="b">
        <v>0</v>
      </c>
    </row>
    <row r="2207" spans="1:7" x14ac:dyDescent="0.25">
      <c r="A2207" t="s">
        <v>13773</v>
      </c>
      <c r="B2207" s="34">
        <v>2.2126900000000001E-2</v>
      </c>
      <c r="C2207" s="34">
        <v>1.8439083333333299E-3</v>
      </c>
      <c r="D2207" t="s">
        <v>35</v>
      </c>
      <c r="E2207" s="34">
        <v>0.1106345</v>
      </c>
      <c r="F2207" t="s">
        <v>16241</v>
      </c>
      <c r="G2207" t="b">
        <v>0</v>
      </c>
    </row>
    <row r="2208" spans="1:7" x14ac:dyDescent="0.25">
      <c r="A2208" t="s">
        <v>13846</v>
      </c>
      <c r="B2208" s="34">
        <v>2.1940000000000001E-2</v>
      </c>
      <c r="C2208" s="34">
        <v>1.82833333333333E-3</v>
      </c>
      <c r="D2208" t="s">
        <v>35</v>
      </c>
      <c r="E2208" s="34">
        <v>0.10970000000000001</v>
      </c>
      <c r="F2208" t="s">
        <v>16313</v>
      </c>
      <c r="G2208" t="b">
        <v>0</v>
      </c>
    </row>
    <row r="2209" spans="1:7" x14ac:dyDescent="0.25">
      <c r="A2209" t="s">
        <v>13019</v>
      </c>
      <c r="B2209" s="34">
        <v>2.17419999999999E-2</v>
      </c>
      <c r="C2209" s="34">
        <v>1.81183333333333E-3</v>
      </c>
      <c r="D2209" t="s">
        <v>566</v>
      </c>
      <c r="E2209" s="34">
        <v>0.108709999999999</v>
      </c>
      <c r="F2209" t="s">
        <v>15494</v>
      </c>
      <c r="G2209" t="b">
        <v>0</v>
      </c>
    </row>
    <row r="2210" spans="1:7" x14ac:dyDescent="0.25">
      <c r="A2210" t="s">
        <v>13694</v>
      </c>
      <c r="B2210" s="34">
        <v>2.1670065999999901E-2</v>
      </c>
      <c r="C2210" s="34">
        <v>1.80583883333333E-3</v>
      </c>
      <c r="D2210" t="s">
        <v>97</v>
      </c>
      <c r="E2210" s="34">
        <v>0.108350329999999</v>
      </c>
      <c r="F2210" t="s">
        <v>16162</v>
      </c>
      <c r="G2210" t="b">
        <v>0</v>
      </c>
    </row>
    <row r="2211" spans="1:7" x14ac:dyDescent="0.25">
      <c r="A2211" t="s">
        <v>14565</v>
      </c>
      <c r="B2211" s="34">
        <v>2.1600000000000001E-2</v>
      </c>
      <c r="C2211" s="34">
        <v>1.8E-3</v>
      </c>
      <c r="D2211" t="s">
        <v>853</v>
      </c>
      <c r="E2211" s="34">
        <v>0.108</v>
      </c>
      <c r="F2211" t="s">
        <v>17022</v>
      </c>
      <c r="G2211" t="b">
        <v>0</v>
      </c>
    </row>
    <row r="2212" spans="1:7" x14ac:dyDescent="0.25">
      <c r="A2212" t="s">
        <v>14504</v>
      </c>
      <c r="B2212" s="34">
        <v>2.1085400000000001E-2</v>
      </c>
      <c r="C2212" s="34">
        <v>1.75711666666666E-3</v>
      </c>
      <c r="D2212" t="s">
        <v>1240</v>
      </c>
      <c r="E2212" s="34">
        <v>0.10542700000000001</v>
      </c>
      <c r="F2212" t="s">
        <v>16964</v>
      </c>
      <c r="G2212" t="b">
        <v>0</v>
      </c>
    </row>
    <row r="2213" spans="1:7" x14ac:dyDescent="0.25">
      <c r="A2213" t="s">
        <v>14542</v>
      </c>
      <c r="B2213" s="34">
        <v>2.0909999999999901E-2</v>
      </c>
      <c r="C2213" s="34">
        <v>1.7424999999999999E-3</v>
      </c>
      <c r="D2213" t="s">
        <v>576</v>
      </c>
      <c r="E2213" s="34">
        <v>0.10455</v>
      </c>
      <c r="F2213" t="s">
        <v>17001</v>
      </c>
      <c r="G2213" t="b">
        <v>0</v>
      </c>
    </row>
    <row r="2214" spans="1:7" x14ac:dyDescent="0.25">
      <c r="A2214" t="s">
        <v>13392</v>
      </c>
      <c r="B2214" s="34">
        <v>2.0794E-2</v>
      </c>
      <c r="C2214" s="34">
        <v>1.7328333333333299E-3</v>
      </c>
      <c r="D2214" t="s">
        <v>318</v>
      </c>
      <c r="E2214" s="34">
        <v>0.10397000000000001</v>
      </c>
      <c r="F2214" t="s">
        <v>15862</v>
      </c>
      <c r="G2214" t="b">
        <v>0</v>
      </c>
    </row>
    <row r="2215" spans="1:7" x14ac:dyDescent="0.25">
      <c r="A2215" t="s">
        <v>13766</v>
      </c>
      <c r="B2215" s="34">
        <v>2.0629999999999999E-2</v>
      </c>
      <c r="C2215" s="34">
        <v>1.7191666666666601E-3</v>
      </c>
      <c r="D2215" t="s">
        <v>35</v>
      </c>
      <c r="E2215" s="34">
        <v>0.10315000000000001</v>
      </c>
      <c r="F2215" t="s">
        <v>16234</v>
      </c>
      <c r="G2215" t="b">
        <v>0</v>
      </c>
    </row>
    <row r="2216" spans="1:7" x14ac:dyDescent="0.25">
      <c r="A2216" t="s">
        <v>13786</v>
      </c>
      <c r="B2216" s="34">
        <v>2.0534E-2</v>
      </c>
      <c r="C2216" s="34">
        <v>1.7111666666666601E-3</v>
      </c>
      <c r="D2216" t="s">
        <v>35</v>
      </c>
      <c r="E2216" s="34">
        <v>0.102669999999999</v>
      </c>
      <c r="F2216" t="s">
        <v>16253</v>
      </c>
      <c r="G2216" t="b">
        <v>0</v>
      </c>
    </row>
    <row r="2217" spans="1:7" x14ac:dyDescent="0.25">
      <c r="A2217" t="s">
        <v>14262</v>
      </c>
      <c r="B2217" s="34">
        <v>2.0396000000000001E-2</v>
      </c>
      <c r="C2217" s="34">
        <v>1.6996666666666601E-3</v>
      </c>
      <c r="D2217" t="s">
        <v>54</v>
      </c>
      <c r="E2217" s="34">
        <v>0.10198</v>
      </c>
      <c r="F2217" t="s">
        <v>16726</v>
      </c>
      <c r="G2217" t="b">
        <v>0</v>
      </c>
    </row>
    <row r="2218" spans="1:7" x14ac:dyDescent="0.25">
      <c r="A2218" t="s">
        <v>13900</v>
      </c>
      <c r="B2218" s="34">
        <v>2.0279999999999999E-2</v>
      </c>
      <c r="C2218" s="34">
        <v>1.6899999999999899E-3</v>
      </c>
      <c r="D2218" t="s">
        <v>26</v>
      </c>
      <c r="E2218" s="34">
        <v>0.1014</v>
      </c>
      <c r="F2218" t="s">
        <v>16367</v>
      </c>
      <c r="G2218" t="b">
        <v>0</v>
      </c>
    </row>
    <row r="2219" spans="1:7" x14ac:dyDescent="0.25">
      <c r="A2219" t="s">
        <v>14455</v>
      </c>
      <c r="B2219" s="34">
        <v>2.018E-2</v>
      </c>
      <c r="C2219" s="34">
        <v>1.6816666666666601E-3</v>
      </c>
      <c r="D2219" t="s">
        <v>122</v>
      </c>
      <c r="E2219" s="34">
        <v>0.1009</v>
      </c>
      <c r="F2219" t="s">
        <v>16915</v>
      </c>
      <c r="G2219" t="b">
        <v>0</v>
      </c>
    </row>
    <row r="2220" spans="1:7" x14ac:dyDescent="0.25">
      <c r="A2220" t="s">
        <v>13389</v>
      </c>
      <c r="B2220" s="34">
        <v>1.9963249999999998E-2</v>
      </c>
      <c r="C2220" s="34">
        <v>1.66360416666666E-3</v>
      </c>
      <c r="D2220" t="s">
        <v>139</v>
      </c>
      <c r="E2220" s="34">
        <v>9.9816249999999995E-2</v>
      </c>
      <c r="F2220" t="s">
        <v>15859</v>
      </c>
      <c r="G2220" t="b">
        <v>0</v>
      </c>
    </row>
    <row r="2221" spans="1:7" x14ac:dyDescent="0.25">
      <c r="A2221" t="s">
        <v>13814</v>
      </c>
      <c r="B2221" s="34">
        <v>1.9959999999999999E-2</v>
      </c>
      <c r="C2221" s="34">
        <v>1.66333333333333E-3</v>
      </c>
      <c r="D2221" t="s">
        <v>84</v>
      </c>
      <c r="E2221" s="34">
        <v>9.98E-2</v>
      </c>
      <c r="F2221" t="s">
        <v>16281</v>
      </c>
      <c r="G2221" t="b">
        <v>0</v>
      </c>
    </row>
    <row r="2222" spans="1:7" x14ac:dyDescent="0.25">
      <c r="A2222" t="s">
        <v>13294</v>
      </c>
      <c r="B2222" s="34">
        <v>1.9519999999999999E-2</v>
      </c>
      <c r="C2222" s="34">
        <v>1.6266666666666599E-3</v>
      </c>
      <c r="D2222" t="s">
        <v>385</v>
      </c>
      <c r="E2222" s="34">
        <v>9.7600000000000006E-2</v>
      </c>
      <c r="F2222" t="s">
        <v>15766</v>
      </c>
      <c r="G2222" t="b">
        <v>0</v>
      </c>
    </row>
    <row r="2223" spans="1:7" x14ac:dyDescent="0.25">
      <c r="A2223" t="s">
        <v>13830</v>
      </c>
      <c r="B2223" s="34">
        <v>1.92791E-2</v>
      </c>
      <c r="C2223" s="34">
        <v>1.6065916666666599E-3</v>
      </c>
      <c r="D2223" t="s">
        <v>35</v>
      </c>
      <c r="E2223" s="34">
        <v>9.6395499999999995E-2</v>
      </c>
      <c r="F2223" t="s">
        <v>16297</v>
      </c>
      <c r="G2223" t="b">
        <v>0</v>
      </c>
    </row>
    <row r="2224" spans="1:7" x14ac:dyDescent="0.25">
      <c r="A2224" t="s">
        <v>14640</v>
      </c>
      <c r="B2224" s="34">
        <v>1.9217660000000001E-2</v>
      </c>
      <c r="C2224" s="34">
        <v>1.60147166666666E-3</v>
      </c>
      <c r="D2224" t="s">
        <v>480</v>
      </c>
      <c r="E2224" s="34">
        <v>9.6088300000000001E-2</v>
      </c>
      <c r="F2224" t="s">
        <v>17093</v>
      </c>
      <c r="G2224" t="b">
        <v>0</v>
      </c>
    </row>
    <row r="2225" spans="1:7" x14ac:dyDescent="0.25">
      <c r="A2225" t="s">
        <v>14870</v>
      </c>
      <c r="B2225" s="34">
        <v>1.9061700000000001E-2</v>
      </c>
      <c r="C2225" s="34">
        <v>1.58847499999999E-3</v>
      </c>
      <c r="D2225" t="s">
        <v>268</v>
      </c>
      <c r="E2225" s="34">
        <v>9.5308500000000004E-2</v>
      </c>
      <c r="F2225" t="s">
        <v>17306</v>
      </c>
      <c r="G2225" t="b">
        <v>0</v>
      </c>
    </row>
    <row r="2226" spans="1:7" x14ac:dyDescent="0.25">
      <c r="A2226" t="s">
        <v>13664</v>
      </c>
      <c r="B2226" s="34">
        <v>1.8929999999999999E-2</v>
      </c>
      <c r="C2226" s="34">
        <v>1.5774999999999999E-3</v>
      </c>
      <c r="D2226" t="s">
        <v>1074</v>
      </c>
      <c r="E2226" s="34">
        <v>9.4649999999999998E-2</v>
      </c>
      <c r="F2226" t="s">
        <v>16132</v>
      </c>
      <c r="G2226" t="b">
        <v>0</v>
      </c>
    </row>
    <row r="2227" spans="1:7" x14ac:dyDescent="0.25">
      <c r="A2227" t="s">
        <v>14853</v>
      </c>
      <c r="B2227" s="34">
        <v>1.85069E-2</v>
      </c>
      <c r="C2227" s="34">
        <v>1.54224166666666E-3</v>
      </c>
      <c r="D2227" t="s">
        <v>480</v>
      </c>
      <c r="E2227" s="34">
        <v>9.2534500000000006E-2</v>
      </c>
      <c r="F2227" t="s">
        <v>17290</v>
      </c>
      <c r="G2227" t="b">
        <v>0</v>
      </c>
    </row>
    <row r="2228" spans="1:7" x14ac:dyDescent="0.25">
      <c r="A2228" t="s">
        <v>13306</v>
      </c>
      <c r="B2228" s="34">
        <v>1.8362400000000001E-2</v>
      </c>
      <c r="C2228" s="34">
        <v>1.5302E-3</v>
      </c>
      <c r="D2228" t="s">
        <v>318</v>
      </c>
      <c r="E2228" s="34">
        <v>9.1812000000000005E-2</v>
      </c>
      <c r="F2228" t="s">
        <v>15776</v>
      </c>
      <c r="G2228" t="b">
        <v>0</v>
      </c>
    </row>
    <row r="2229" spans="1:7" x14ac:dyDescent="0.25">
      <c r="A2229" t="s">
        <v>13434</v>
      </c>
      <c r="B2229" s="34">
        <v>1.8078799999999999E-2</v>
      </c>
      <c r="C2229" s="34">
        <v>1.50656666666666E-3</v>
      </c>
      <c r="D2229" t="s">
        <v>13</v>
      </c>
      <c r="E2229" s="34">
        <v>9.0394000000000002E-2</v>
      </c>
      <c r="F2229" t="s">
        <v>15903</v>
      </c>
      <c r="G2229" t="b">
        <v>0</v>
      </c>
    </row>
    <row r="2230" spans="1:7" x14ac:dyDescent="0.25">
      <c r="A2230" t="s">
        <v>14570</v>
      </c>
      <c r="B2230" s="34">
        <v>1.7979999999999999E-2</v>
      </c>
      <c r="C2230" s="34">
        <v>1.49833333333333E-3</v>
      </c>
      <c r="D2230" t="s">
        <v>1209</v>
      </c>
      <c r="E2230" s="34">
        <v>8.9899999999999994E-2</v>
      </c>
      <c r="F2230" t="s">
        <v>17027</v>
      </c>
      <c r="G2230" t="b">
        <v>0</v>
      </c>
    </row>
    <row r="2231" spans="1:7" x14ac:dyDescent="0.25">
      <c r="A2231" t="s">
        <v>13724</v>
      </c>
      <c r="B2231" s="34">
        <v>1.76235E-2</v>
      </c>
      <c r="C2231" s="34">
        <v>1.4686250000000001E-3</v>
      </c>
      <c r="D2231" t="s">
        <v>35</v>
      </c>
      <c r="E2231" s="34">
        <v>8.8117500000000001E-2</v>
      </c>
      <c r="F2231" t="s">
        <v>16192</v>
      </c>
      <c r="G2231" t="b">
        <v>0</v>
      </c>
    </row>
    <row r="2232" spans="1:7" x14ac:dyDescent="0.25">
      <c r="A2232" t="s">
        <v>13099</v>
      </c>
      <c r="B2232" s="34">
        <v>1.7580499999999999E-2</v>
      </c>
      <c r="C2232" s="34">
        <v>1.4650416666666601E-3</v>
      </c>
      <c r="D2232" t="s">
        <v>2101</v>
      </c>
      <c r="E2232" s="34">
        <v>8.7902499999999995E-2</v>
      </c>
      <c r="F2232" t="s">
        <v>15574</v>
      </c>
      <c r="G2232" t="b">
        <v>0</v>
      </c>
    </row>
    <row r="2233" spans="1:7" x14ac:dyDescent="0.25">
      <c r="A2233" t="s">
        <v>13741</v>
      </c>
      <c r="B2233" s="34">
        <v>1.7469999999999999E-2</v>
      </c>
      <c r="C2233" s="34">
        <v>1.45583333333333E-3</v>
      </c>
      <c r="D2233" t="s">
        <v>35</v>
      </c>
      <c r="E2233" s="34">
        <v>4.3674999999999999E-2</v>
      </c>
      <c r="F2233" t="s">
        <v>16209</v>
      </c>
      <c r="G2233" t="b">
        <v>0</v>
      </c>
    </row>
    <row r="2234" spans="1:7" x14ac:dyDescent="0.25">
      <c r="A2234" t="s">
        <v>13385</v>
      </c>
      <c r="B2234" s="34">
        <v>1.7339999999999901E-2</v>
      </c>
      <c r="C2234" s="34">
        <v>1.4449999999999899E-3</v>
      </c>
      <c r="D2234" t="s">
        <v>1249</v>
      </c>
      <c r="E2234" s="34">
        <v>8.6699999999999902E-2</v>
      </c>
      <c r="F2234" t="s">
        <v>15855</v>
      </c>
      <c r="G2234" t="b">
        <v>0</v>
      </c>
    </row>
    <row r="2235" spans="1:7" x14ac:dyDescent="0.25">
      <c r="A2235" t="s">
        <v>14743</v>
      </c>
      <c r="B2235" s="34">
        <v>1.70136E-2</v>
      </c>
      <c r="C2235" s="34">
        <v>1.4177999999999899E-3</v>
      </c>
      <c r="D2235" t="s">
        <v>318</v>
      </c>
      <c r="E2235" s="34">
        <v>8.5067999999999894E-2</v>
      </c>
      <c r="F2235" t="s">
        <v>17192</v>
      </c>
      <c r="G2235" t="b">
        <v>0</v>
      </c>
    </row>
    <row r="2236" spans="1:7" x14ac:dyDescent="0.25">
      <c r="A2236" t="s">
        <v>14383</v>
      </c>
      <c r="B2236" s="34">
        <v>1.69704E-2</v>
      </c>
      <c r="C2236" s="34">
        <v>1.4142E-3</v>
      </c>
      <c r="D2236" t="s">
        <v>566</v>
      </c>
      <c r="E2236" s="34">
        <v>8.4851999999999997E-2</v>
      </c>
      <c r="F2236" t="s">
        <v>16845</v>
      </c>
      <c r="G2236" t="b">
        <v>0</v>
      </c>
    </row>
    <row r="2237" spans="1:7" x14ac:dyDescent="0.25">
      <c r="A2237" t="s">
        <v>14428</v>
      </c>
      <c r="B2237" s="34">
        <v>1.6879999999999999E-2</v>
      </c>
      <c r="C2237" s="34">
        <v>1.40666666666666E-3</v>
      </c>
      <c r="D2237" t="s">
        <v>253</v>
      </c>
      <c r="E2237" s="34">
        <v>8.4400000000000003E-2</v>
      </c>
      <c r="F2237" t="s">
        <v>16889</v>
      </c>
      <c r="G2237" t="b">
        <v>0</v>
      </c>
    </row>
    <row r="2238" spans="1:7" x14ac:dyDescent="0.25">
      <c r="A2238" t="s">
        <v>14846</v>
      </c>
      <c r="B2238" s="34">
        <v>1.67886999999999E-2</v>
      </c>
      <c r="C2238" s="34">
        <v>1.39905833333333E-3</v>
      </c>
      <c r="D2238" t="s">
        <v>1787</v>
      </c>
      <c r="E2238" s="34">
        <v>8.3943499999999893E-2</v>
      </c>
      <c r="F2238" t="s">
        <v>17283</v>
      </c>
      <c r="G2238" t="b">
        <v>0</v>
      </c>
    </row>
    <row r="2239" spans="1:7" x14ac:dyDescent="0.25">
      <c r="A2239" t="s">
        <v>14750</v>
      </c>
      <c r="B2239" s="34">
        <v>1.66E-2</v>
      </c>
      <c r="C2239" s="34">
        <v>1.38333333333333E-3</v>
      </c>
      <c r="D2239" t="s">
        <v>1645</v>
      </c>
      <c r="E2239" s="34">
        <v>8.3000000000000004E-2</v>
      </c>
      <c r="F2239" t="s">
        <v>17199</v>
      </c>
      <c r="G2239" t="b">
        <v>0</v>
      </c>
    </row>
    <row r="2240" spans="1:7" x14ac:dyDescent="0.25">
      <c r="A2240" t="s">
        <v>13889</v>
      </c>
      <c r="B2240" s="34">
        <v>1.61699999999999E-2</v>
      </c>
      <c r="C2240" s="34">
        <v>1.3475E-3</v>
      </c>
      <c r="D2240" t="s">
        <v>3523</v>
      </c>
      <c r="E2240" s="34">
        <v>8.0849999999999894E-2</v>
      </c>
      <c r="F2240" t="s">
        <v>16356</v>
      </c>
      <c r="G2240" t="b">
        <v>0</v>
      </c>
    </row>
    <row r="2241" spans="1:7" x14ac:dyDescent="0.25">
      <c r="A2241" t="s">
        <v>14328</v>
      </c>
      <c r="B2241" s="34">
        <v>1.6140599999999901E-2</v>
      </c>
      <c r="C2241" s="34">
        <v>1.34505E-3</v>
      </c>
      <c r="D2241" t="s">
        <v>35</v>
      </c>
      <c r="E2241" s="34">
        <v>8.0702999999999997E-2</v>
      </c>
      <c r="F2241" t="s">
        <v>16791</v>
      </c>
      <c r="G2241" t="b">
        <v>0</v>
      </c>
    </row>
    <row r="2242" spans="1:7" x14ac:dyDescent="0.25">
      <c r="A2242" t="s">
        <v>13988</v>
      </c>
      <c r="B2242" s="34">
        <v>1.6006099999999999E-2</v>
      </c>
      <c r="C2242" s="34">
        <v>1.3338416666666599E-3</v>
      </c>
      <c r="D2242" t="s">
        <v>35</v>
      </c>
      <c r="E2242" s="34">
        <v>8.0030499999999893E-2</v>
      </c>
      <c r="F2242" t="s">
        <v>16455</v>
      </c>
      <c r="G2242" t="b">
        <v>0</v>
      </c>
    </row>
    <row r="2243" spans="1:7" x14ac:dyDescent="0.25">
      <c r="A2243" t="s">
        <v>13056</v>
      </c>
      <c r="B2243" s="34">
        <v>1.58592E-2</v>
      </c>
      <c r="C2243" s="34">
        <v>1.3216E-3</v>
      </c>
      <c r="D2243" t="s">
        <v>1074</v>
      </c>
      <c r="E2243" s="34">
        <v>7.9296000000000005E-2</v>
      </c>
      <c r="F2243" t="s">
        <v>15531</v>
      </c>
      <c r="G2243" t="b">
        <v>0</v>
      </c>
    </row>
    <row r="2244" spans="1:7" x14ac:dyDescent="0.25">
      <c r="A2244" t="s">
        <v>14109</v>
      </c>
      <c r="B2244" s="34">
        <v>1.5789999999999998E-2</v>
      </c>
      <c r="C2244" s="34">
        <v>1.3158333333333301E-3</v>
      </c>
      <c r="D2244" t="s">
        <v>72</v>
      </c>
      <c r="E2244" s="34">
        <v>7.8949999999999895E-2</v>
      </c>
      <c r="F2244" t="s">
        <v>16576</v>
      </c>
      <c r="G2244" t="b">
        <v>0</v>
      </c>
    </row>
    <row r="2245" spans="1:7" x14ac:dyDescent="0.25">
      <c r="A2245" t="s">
        <v>13605</v>
      </c>
      <c r="B2245" s="34">
        <v>1.5768799999999999E-2</v>
      </c>
      <c r="C2245" s="34">
        <v>1.31406666666666E-3</v>
      </c>
      <c r="D2245" t="s">
        <v>139</v>
      </c>
      <c r="E2245" s="34">
        <v>7.8843999999999997E-2</v>
      </c>
      <c r="F2245" t="s">
        <v>16074</v>
      </c>
      <c r="G2245" t="b">
        <v>0</v>
      </c>
    </row>
    <row r="2246" spans="1:7" x14ac:dyDescent="0.25">
      <c r="A2246" t="s">
        <v>13642</v>
      </c>
      <c r="B2246" s="34">
        <v>1.5610000000000001E-2</v>
      </c>
      <c r="C2246" s="34">
        <v>1.3008333333333301E-3</v>
      </c>
      <c r="D2246" t="s">
        <v>1074</v>
      </c>
      <c r="E2246" s="34">
        <v>7.8049999999999994E-2</v>
      </c>
      <c r="F2246" t="s">
        <v>16111</v>
      </c>
      <c r="G2246" t="b">
        <v>0</v>
      </c>
    </row>
    <row r="2247" spans="1:7" x14ac:dyDescent="0.25">
      <c r="A2247" t="s">
        <v>14547</v>
      </c>
      <c r="B2247" s="34">
        <v>1.55357999999999E-2</v>
      </c>
      <c r="C2247" s="34">
        <v>1.2946499999999901E-3</v>
      </c>
      <c r="D2247" t="s">
        <v>424</v>
      </c>
      <c r="E2247" s="34">
        <v>7.7678999999999901E-2</v>
      </c>
      <c r="F2247" t="s">
        <v>17006</v>
      </c>
      <c r="G2247" t="b">
        <v>0</v>
      </c>
    </row>
    <row r="2248" spans="1:7" x14ac:dyDescent="0.25">
      <c r="A2248" t="s">
        <v>13310</v>
      </c>
      <c r="B2248" s="34">
        <v>1.54057999999999E-2</v>
      </c>
      <c r="C2248" s="34">
        <v>1.2838166666666599E-3</v>
      </c>
      <c r="D2248" t="s">
        <v>239</v>
      </c>
      <c r="E2248" s="34">
        <v>7.7029E-2</v>
      </c>
      <c r="F2248" t="s">
        <v>15780</v>
      </c>
      <c r="G2248" t="b">
        <v>0</v>
      </c>
    </row>
    <row r="2249" spans="1:7" x14ac:dyDescent="0.25">
      <c r="A2249" t="s">
        <v>13046</v>
      </c>
      <c r="B2249" s="34">
        <v>1.524E-2</v>
      </c>
      <c r="C2249" s="34">
        <v>1.2699999999999901E-3</v>
      </c>
      <c r="D2249" t="s">
        <v>471</v>
      </c>
      <c r="E2249" s="34">
        <v>7.6200000000000004E-2</v>
      </c>
      <c r="F2249" t="s">
        <v>15521</v>
      </c>
      <c r="G2249" t="b">
        <v>0</v>
      </c>
    </row>
    <row r="2250" spans="1:7" x14ac:dyDescent="0.25">
      <c r="A2250" t="s">
        <v>14054</v>
      </c>
      <c r="B2250" s="34">
        <v>1.5165E-2</v>
      </c>
      <c r="C2250" s="34">
        <v>1.2637499999999999E-3</v>
      </c>
      <c r="D2250" t="s">
        <v>576</v>
      </c>
      <c r="E2250" s="34">
        <v>7.5825000000000004E-2</v>
      </c>
      <c r="F2250" t="s">
        <v>16521</v>
      </c>
      <c r="G2250" t="b">
        <v>0</v>
      </c>
    </row>
    <row r="2251" spans="1:7" x14ac:dyDescent="0.25">
      <c r="A2251" t="s">
        <v>14527</v>
      </c>
      <c r="B2251" s="34">
        <v>1.5056999999999999E-2</v>
      </c>
      <c r="C2251" s="34">
        <v>1.25475E-3</v>
      </c>
      <c r="D2251" t="s">
        <v>104</v>
      </c>
      <c r="E2251" s="34">
        <v>7.5285000000000005E-2</v>
      </c>
      <c r="F2251" t="s">
        <v>16987</v>
      </c>
      <c r="G2251" t="b">
        <v>0</v>
      </c>
    </row>
    <row r="2252" spans="1:7" x14ac:dyDescent="0.25">
      <c r="A2252" t="s">
        <v>14214</v>
      </c>
      <c r="B2252" s="34">
        <v>1.50301999999999E-2</v>
      </c>
      <c r="C2252" s="34">
        <v>1.25251666666666E-3</v>
      </c>
      <c r="D2252" t="s">
        <v>1611</v>
      </c>
      <c r="E2252" s="34">
        <v>7.5150999999999898E-2</v>
      </c>
      <c r="F2252" t="s">
        <v>16678</v>
      </c>
      <c r="G2252" t="b">
        <v>0</v>
      </c>
    </row>
    <row r="2253" spans="1:7" x14ac:dyDescent="0.25">
      <c r="A2253" t="s">
        <v>14413</v>
      </c>
      <c r="B2253" s="34">
        <v>1.47384E-2</v>
      </c>
      <c r="C2253" s="34">
        <v>1.2281999999999901E-3</v>
      </c>
      <c r="D2253" t="s">
        <v>982</v>
      </c>
      <c r="E2253" s="34">
        <v>7.3691999999999994E-2</v>
      </c>
      <c r="F2253" t="s">
        <v>16874</v>
      </c>
      <c r="G2253" t="b">
        <v>0</v>
      </c>
    </row>
    <row r="2254" spans="1:7" x14ac:dyDescent="0.25">
      <c r="A2254" t="s">
        <v>14261</v>
      </c>
      <c r="B2254" s="34">
        <v>1.4411200000000001E-2</v>
      </c>
      <c r="C2254" s="34">
        <v>1.2009333333333301E-3</v>
      </c>
      <c r="D2254" t="s">
        <v>35</v>
      </c>
      <c r="E2254" s="34">
        <v>7.2055999999999995E-2</v>
      </c>
      <c r="F2254" t="s">
        <v>16725</v>
      </c>
      <c r="G2254" t="b">
        <v>0</v>
      </c>
    </row>
    <row r="2255" spans="1:7" x14ac:dyDescent="0.25">
      <c r="A2255" t="s">
        <v>14277</v>
      </c>
      <c r="B2255" s="34">
        <v>1.4279999999999999E-2</v>
      </c>
      <c r="C2255" s="34">
        <v>1.1900000000000001E-3</v>
      </c>
      <c r="D2255" t="s">
        <v>2768</v>
      </c>
      <c r="E2255" s="34">
        <v>7.1400000000000005E-2</v>
      </c>
      <c r="F2255" t="s">
        <v>16741</v>
      </c>
      <c r="G2255" t="b">
        <v>0</v>
      </c>
    </row>
    <row r="2256" spans="1:7" x14ac:dyDescent="0.25">
      <c r="A2256" t="s">
        <v>13866</v>
      </c>
      <c r="B2256" s="34">
        <v>1.41566E-2</v>
      </c>
      <c r="C2256" s="34">
        <v>1.17971666666666E-3</v>
      </c>
      <c r="D2256" t="s">
        <v>35</v>
      </c>
      <c r="E2256" s="34">
        <v>7.0782999999999999E-2</v>
      </c>
      <c r="F2256" t="s">
        <v>16333</v>
      </c>
      <c r="G2256" t="b">
        <v>0</v>
      </c>
    </row>
    <row r="2257" spans="1:7" x14ac:dyDescent="0.25">
      <c r="A2257" t="s">
        <v>14638</v>
      </c>
      <c r="B2257" s="34">
        <v>1.39864999999999E-2</v>
      </c>
      <c r="C2257" s="34">
        <v>1.16554166666666E-3</v>
      </c>
      <c r="D2257" t="s">
        <v>26</v>
      </c>
      <c r="E2257" s="34">
        <v>3.4966249999999997E-2</v>
      </c>
      <c r="F2257" t="s">
        <v>17091</v>
      </c>
      <c r="G2257" t="b">
        <v>0</v>
      </c>
    </row>
    <row r="2258" spans="1:7" x14ac:dyDescent="0.25">
      <c r="A2258" t="s">
        <v>13797</v>
      </c>
      <c r="B2258" s="34">
        <v>1.38E-2</v>
      </c>
      <c r="C2258" s="34">
        <v>1.15E-3</v>
      </c>
      <c r="D2258" t="s">
        <v>168</v>
      </c>
      <c r="E2258" s="34">
        <v>6.9000000000000006E-2</v>
      </c>
      <c r="F2258" t="s">
        <v>16264</v>
      </c>
      <c r="G2258" t="b">
        <v>0</v>
      </c>
    </row>
    <row r="2259" spans="1:7" x14ac:dyDescent="0.25">
      <c r="A2259" t="s">
        <v>13979</v>
      </c>
      <c r="B2259" s="34">
        <v>1.36156E-2</v>
      </c>
      <c r="C2259" s="34">
        <v>1.13463333333333E-3</v>
      </c>
      <c r="D2259" t="s">
        <v>26</v>
      </c>
      <c r="E2259" s="34">
        <v>6.8078E-2</v>
      </c>
      <c r="F2259" t="s">
        <v>16446</v>
      </c>
      <c r="G2259" t="b">
        <v>0</v>
      </c>
    </row>
    <row r="2260" spans="1:7" x14ac:dyDescent="0.25">
      <c r="A2260" t="s">
        <v>14626</v>
      </c>
      <c r="B2260" s="34">
        <v>1.3601999999999901E-2</v>
      </c>
      <c r="C2260" s="34">
        <v>1.13349999999999E-3</v>
      </c>
      <c r="D2260" t="s">
        <v>35</v>
      </c>
      <c r="E2260" s="34">
        <v>6.8009999999999904E-2</v>
      </c>
      <c r="F2260" t="s">
        <v>17079</v>
      </c>
      <c r="G2260" t="b">
        <v>0</v>
      </c>
    </row>
    <row r="2261" spans="1:7" x14ac:dyDescent="0.25">
      <c r="A2261" t="s">
        <v>14761</v>
      </c>
      <c r="B2261" s="34">
        <v>1.3535800000000001E-2</v>
      </c>
      <c r="C2261" s="34">
        <v>1.1279833333333301E-3</v>
      </c>
      <c r="D2261" t="s">
        <v>35</v>
      </c>
      <c r="E2261" s="34">
        <v>6.7679000000000003E-2</v>
      </c>
      <c r="F2261" t="s">
        <v>17209</v>
      </c>
      <c r="G2261" t="b">
        <v>0</v>
      </c>
    </row>
    <row r="2262" spans="1:7" x14ac:dyDescent="0.25">
      <c r="A2262" t="s">
        <v>14847</v>
      </c>
      <c r="B2262" s="34">
        <v>1.3163599999999999E-2</v>
      </c>
      <c r="C2262" s="34">
        <v>1.09696666666666E-3</v>
      </c>
      <c r="D2262" t="s">
        <v>853</v>
      </c>
      <c r="E2262" s="34">
        <v>6.5818000000000002E-2</v>
      </c>
      <c r="F2262" t="s">
        <v>17284</v>
      </c>
      <c r="G2262" t="b">
        <v>0</v>
      </c>
    </row>
    <row r="2263" spans="1:7" x14ac:dyDescent="0.25">
      <c r="A2263" t="s">
        <v>12650</v>
      </c>
      <c r="B2263" s="34">
        <v>1.31346E-2</v>
      </c>
      <c r="C2263" s="34">
        <v>1.0945499999999999E-3</v>
      </c>
      <c r="D2263" t="s">
        <v>35</v>
      </c>
      <c r="E2263" s="34">
        <v>6.5672999999999995E-2</v>
      </c>
      <c r="F2263" t="s">
        <v>15125</v>
      </c>
      <c r="G2263" t="b">
        <v>0</v>
      </c>
    </row>
    <row r="2264" spans="1:7" x14ac:dyDescent="0.25">
      <c r="A2264" t="s">
        <v>13718</v>
      </c>
      <c r="B2264" s="34">
        <v>1.25884399999999E-2</v>
      </c>
      <c r="C2264" s="34">
        <v>1.04903666666666E-3</v>
      </c>
      <c r="D2264" t="s">
        <v>54</v>
      </c>
      <c r="E2264" s="34">
        <v>6.2942199999999907E-2</v>
      </c>
      <c r="F2264" t="s">
        <v>16186</v>
      </c>
      <c r="G2264" t="b">
        <v>0</v>
      </c>
    </row>
    <row r="2265" spans="1:7" x14ac:dyDescent="0.25">
      <c r="A2265" t="s">
        <v>13660</v>
      </c>
      <c r="B2265" s="34">
        <v>1.2E-2</v>
      </c>
      <c r="C2265" s="34">
        <v>1E-3</v>
      </c>
      <c r="D2265" t="s">
        <v>461</v>
      </c>
      <c r="E2265" s="34">
        <v>0.06</v>
      </c>
      <c r="F2265" t="s">
        <v>16128</v>
      </c>
      <c r="G2265" t="b">
        <v>0</v>
      </c>
    </row>
    <row r="2266" spans="1:7" x14ac:dyDescent="0.25">
      <c r="A2266" t="s">
        <v>13689</v>
      </c>
      <c r="B2266" s="34">
        <v>1.1939999999999999E-2</v>
      </c>
      <c r="C2266" s="34">
        <v>9.9500000000000001E-4</v>
      </c>
      <c r="D2266" t="s">
        <v>1861</v>
      </c>
      <c r="E2266" s="34">
        <v>5.9700000000000003E-2</v>
      </c>
      <c r="F2266" t="s">
        <v>16157</v>
      </c>
      <c r="G2266" t="b">
        <v>0</v>
      </c>
    </row>
    <row r="2267" spans="1:7" x14ac:dyDescent="0.25">
      <c r="A2267" t="s">
        <v>14168</v>
      </c>
      <c r="B2267" s="34">
        <v>1.18E-2</v>
      </c>
      <c r="C2267" s="34">
        <v>9.8333333333333302E-4</v>
      </c>
      <c r="D2267" t="s">
        <v>1209</v>
      </c>
      <c r="E2267" s="34">
        <v>5.8999999999999997E-2</v>
      </c>
      <c r="F2267" t="s">
        <v>16635</v>
      </c>
      <c r="G2267" t="b">
        <v>0</v>
      </c>
    </row>
    <row r="2268" spans="1:7" x14ac:dyDescent="0.25">
      <c r="A2268" t="s">
        <v>14674</v>
      </c>
      <c r="B2268" s="34">
        <v>1.175E-2</v>
      </c>
      <c r="C2268" s="34">
        <v>9.7916666666666595E-4</v>
      </c>
      <c r="D2268" t="s">
        <v>6534</v>
      </c>
      <c r="E2268" s="34">
        <v>5.8749999999999997E-2</v>
      </c>
      <c r="F2268" t="s">
        <v>17127</v>
      </c>
      <c r="G2268" t="b">
        <v>0</v>
      </c>
    </row>
    <row r="2269" spans="1:7" x14ac:dyDescent="0.25">
      <c r="A2269" t="s">
        <v>14140</v>
      </c>
      <c r="B2269" s="34">
        <v>1.1259999999999999E-2</v>
      </c>
      <c r="C2269" s="34">
        <v>9.3833333333333301E-4</v>
      </c>
      <c r="D2269" t="s">
        <v>1074</v>
      </c>
      <c r="E2269" s="34">
        <v>5.6300000000000003E-2</v>
      </c>
      <c r="F2269" t="s">
        <v>16607</v>
      </c>
      <c r="G2269" t="b">
        <v>0</v>
      </c>
    </row>
    <row r="2270" spans="1:7" x14ac:dyDescent="0.25">
      <c r="A2270" t="s">
        <v>13978</v>
      </c>
      <c r="B2270" s="34">
        <v>1.124E-2</v>
      </c>
      <c r="C2270" s="34">
        <v>9.3666666666666605E-4</v>
      </c>
      <c r="D2270" t="s">
        <v>726</v>
      </c>
      <c r="E2270" s="34">
        <v>5.62E-2</v>
      </c>
      <c r="F2270" t="s">
        <v>16445</v>
      </c>
      <c r="G2270" t="b">
        <v>0</v>
      </c>
    </row>
    <row r="2271" spans="1:7" x14ac:dyDescent="0.25">
      <c r="A2271" t="s">
        <v>13917</v>
      </c>
      <c r="B2271" s="34">
        <v>1.11004E-2</v>
      </c>
      <c r="C2271" s="34">
        <v>9.2503333333333296E-4</v>
      </c>
      <c r="D2271" t="s">
        <v>1752</v>
      </c>
      <c r="E2271" s="34">
        <v>5.5501999999999899E-2</v>
      </c>
      <c r="F2271" t="s">
        <v>16384</v>
      </c>
      <c r="G2271" t="b">
        <v>0</v>
      </c>
    </row>
    <row r="2272" spans="1:7" x14ac:dyDescent="0.25">
      <c r="A2272" t="s">
        <v>14779</v>
      </c>
      <c r="B2272" s="34">
        <v>1.0994739999999999E-2</v>
      </c>
      <c r="C2272" s="34">
        <v>9.1622833333333299E-4</v>
      </c>
      <c r="D2272" t="s">
        <v>110</v>
      </c>
      <c r="E2272" s="34">
        <v>5.4973699999999903E-2</v>
      </c>
      <c r="F2272" t="s">
        <v>17226</v>
      </c>
      <c r="G2272" t="b">
        <v>0</v>
      </c>
    </row>
    <row r="2273" spans="1:7" x14ac:dyDescent="0.25">
      <c r="A2273" t="s">
        <v>13581</v>
      </c>
      <c r="B2273" s="34">
        <v>1.0782E-2</v>
      </c>
      <c r="C2273" s="34">
        <v>8.9849999999999999E-4</v>
      </c>
      <c r="D2273" t="s">
        <v>35</v>
      </c>
      <c r="E2273" s="34">
        <v>5.391E-2</v>
      </c>
      <c r="F2273" t="s">
        <v>16050</v>
      </c>
      <c r="G2273" t="b">
        <v>0</v>
      </c>
    </row>
    <row r="2274" spans="1:7" x14ac:dyDescent="0.25">
      <c r="A2274" t="s">
        <v>14817</v>
      </c>
      <c r="B2274" s="34">
        <v>1.072E-2</v>
      </c>
      <c r="C2274" s="34">
        <v>8.93333333333333E-4</v>
      </c>
      <c r="D2274" t="s">
        <v>35</v>
      </c>
      <c r="E2274" s="34">
        <v>2.67999999999999E-2</v>
      </c>
      <c r="F2274" t="s">
        <v>17260</v>
      </c>
      <c r="G2274" t="b">
        <v>0</v>
      </c>
    </row>
    <row r="2275" spans="1:7" x14ac:dyDescent="0.25">
      <c r="A2275" t="s">
        <v>12548</v>
      </c>
      <c r="B2275" s="34">
        <v>1.0609999999999901E-2</v>
      </c>
      <c r="C2275" s="34">
        <v>8.8416666666666602E-4</v>
      </c>
      <c r="D2275" t="s">
        <v>110</v>
      </c>
      <c r="E2275" s="34">
        <v>5.3049999999999903E-2</v>
      </c>
      <c r="F2275" t="s">
        <v>15023</v>
      </c>
      <c r="G2275" t="b">
        <v>0</v>
      </c>
    </row>
    <row r="2276" spans="1:7" x14ac:dyDescent="0.25">
      <c r="A2276" t="s">
        <v>14362</v>
      </c>
      <c r="B2276" s="34">
        <v>1.05495E-2</v>
      </c>
      <c r="C2276" s="34">
        <v>8.7912500000000002E-4</v>
      </c>
      <c r="D2276" t="s">
        <v>13</v>
      </c>
      <c r="E2276" s="34">
        <v>5.2747500000000003E-2</v>
      </c>
      <c r="F2276" t="s">
        <v>16824</v>
      </c>
      <c r="G2276" t="b">
        <v>0</v>
      </c>
    </row>
    <row r="2277" spans="1:7" x14ac:dyDescent="0.25">
      <c r="A2277" t="s">
        <v>14871</v>
      </c>
      <c r="B2277" s="34">
        <v>1.0200000000000001E-2</v>
      </c>
      <c r="C2277" s="34">
        <v>8.4999999999999995E-4</v>
      </c>
      <c r="D2277" t="s">
        <v>132</v>
      </c>
      <c r="E2277" s="34">
        <v>5.0999999999999997E-2</v>
      </c>
      <c r="F2277" t="s">
        <v>17307</v>
      </c>
      <c r="G2277" t="b">
        <v>0</v>
      </c>
    </row>
    <row r="2278" spans="1:7" x14ac:dyDescent="0.25">
      <c r="A2278" t="s">
        <v>13574</v>
      </c>
      <c r="B2278" s="34">
        <v>9.8927000000000008E-3</v>
      </c>
      <c r="C2278" s="34">
        <v>8.2439166666666605E-4</v>
      </c>
      <c r="D2278" t="s">
        <v>13</v>
      </c>
      <c r="E2278" s="34">
        <v>4.9463500000000001E-2</v>
      </c>
      <c r="F2278" t="s">
        <v>16043</v>
      </c>
      <c r="G2278" t="b">
        <v>0</v>
      </c>
    </row>
    <row r="2279" spans="1:7" x14ac:dyDescent="0.25">
      <c r="A2279" t="s">
        <v>14289</v>
      </c>
      <c r="B2279" s="34">
        <v>9.8300000000000002E-3</v>
      </c>
      <c r="C2279" s="34">
        <v>8.1916666666666596E-4</v>
      </c>
      <c r="D2279" t="s">
        <v>215</v>
      </c>
      <c r="E2279" s="34">
        <v>4.9149999999999999E-2</v>
      </c>
      <c r="F2279" t="s">
        <v>16752</v>
      </c>
      <c r="G2279" t="b">
        <v>0</v>
      </c>
    </row>
    <row r="2280" spans="1:7" x14ac:dyDescent="0.25">
      <c r="A2280" t="s">
        <v>13801</v>
      </c>
      <c r="B2280" s="34">
        <v>9.8156000000000007E-3</v>
      </c>
      <c r="C2280" s="34">
        <v>8.1796666666666604E-4</v>
      </c>
      <c r="D2280" t="s">
        <v>35</v>
      </c>
      <c r="E2280" s="34">
        <v>4.9077999999999997E-2</v>
      </c>
      <c r="F2280" t="s">
        <v>16268</v>
      </c>
      <c r="G2280" t="b">
        <v>0</v>
      </c>
    </row>
    <row r="2281" spans="1:7" x14ac:dyDescent="0.25">
      <c r="A2281" t="s">
        <v>14882</v>
      </c>
      <c r="B2281" s="34">
        <v>9.6900000000000007E-3</v>
      </c>
      <c r="C2281" s="34">
        <v>8.0749999999999995E-4</v>
      </c>
      <c r="D2281" t="s">
        <v>6755</v>
      </c>
      <c r="E2281" s="34">
        <v>4.845E-2</v>
      </c>
      <c r="F2281" t="s">
        <v>17318</v>
      </c>
      <c r="G2281" t="b">
        <v>0</v>
      </c>
    </row>
    <row r="2282" spans="1:7" x14ac:dyDescent="0.25">
      <c r="A2282" t="s">
        <v>14783</v>
      </c>
      <c r="B2282" s="34">
        <v>9.4701999999999998E-3</v>
      </c>
      <c r="C2282" s="34">
        <v>7.8918333333333299E-4</v>
      </c>
      <c r="D2282" t="s">
        <v>26</v>
      </c>
      <c r="E2282" s="34">
        <v>4.7350999999999997E-2</v>
      </c>
      <c r="F2282" t="s">
        <v>17230</v>
      </c>
      <c r="G2282" t="b">
        <v>0</v>
      </c>
    </row>
    <row r="2283" spans="1:7" x14ac:dyDescent="0.25">
      <c r="A2283" t="s">
        <v>14785</v>
      </c>
      <c r="B2283" s="34">
        <v>9.4354E-3</v>
      </c>
      <c r="C2283" s="34">
        <v>7.8628333333333298E-4</v>
      </c>
      <c r="D2283" t="s">
        <v>571</v>
      </c>
      <c r="E2283" s="34">
        <v>4.7176999999999997E-2</v>
      </c>
      <c r="F2283" t="s">
        <v>17232</v>
      </c>
      <c r="G2283" t="b">
        <v>0</v>
      </c>
    </row>
    <row r="2284" spans="1:7" x14ac:dyDescent="0.25">
      <c r="A2284" t="s">
        <v>14765</v>
      </c>
      <c r="B2284" s="34">
        <v>8.9595000000000004E-3</v>
      </c>
      <c r="C2284" s="34">
        <v>7.46625E-4</v>
      </c>
      <c r="D2284" t="s">
        <v>3151</v>
      </c>
      <c r="E2284" s="34">
        <v>4.4797499999999997E-2</v>
      </c>
      <c r="F2284" t="s">
        <v>17213</v>
      </c>
      <c r="G2284" t="b">
        <v>0</v>
      </c>
    </row>
    <row r="2285" spans="1:7" x14ac:dyDescent="0.25">
      <c r="A2285" t="s">
        <v>13485</v>
      </c>
      <c r="B2285" s="34">
        <v>8.7939999999999997E-3</v>
      </c>
      <c r="C2285" s="34">
        <v>7.3283333333333295E-4</v>
      </c>
      <c r="D2285" t="s">
        <v>35</v>
      </c>
      <c r="E2285" s="34">
        <v>4.3970000000000002E-2</v>
      </c>
      <c r="F2285" t="s">
        <v>15954</v>
      </c>
      <c r="G2285" t="b">
        <v>0</v>
      </c>
    </row>
    <row r="2286" spans="1:7" x14ac:dyDescent="0.25">
      <c r="A2286" t="s">
        <v>14249</v>
      </c>
      <c r="B2286" s="34">
        <v>8.4599999999999901E-3</v>
      </c>
      <c r="C2286" s="34">
        <v>7.0500000000000001E-4</v>
      </c>
      <c r="D2286" t="s">
        <v>35</v>
      </c>
      <c r="E2286" s="34">
        <v>4.2299999999999997E-2</v>
      </c>
      <c r="F2286" t="s">
        <v>16713</v>
      </c>
      <c r="G2286" t="b">
        <v>0</v>
      </c>
    </row>
    <row r="2287" spans="1:7" x14ac:dyDescent="0.25">
      <c r="A2287" t="s">
        <v>14585</v>
      </c>
      <c r="B2287" s="34">
        <v>8.005E-3</v>
      </c>
      <c r="C2287" s="34">
        <v>6.67083333333333E-4</v>
      </c>
      <c r="D2287" t="s">
        <v>1240</v>
      </c>
      <c r="E2287" s="34">
        <v>4.0024999999999998E-2</v>
      </c>
      <c r="F2287" t="s">
        <v>17042</v>
      </c>
      <c r="G2287" t="b">
        <v>0</v>
      </c>
    </row>
    <row r="2288" spans="1:7" x14ac:dyDescent="0.25">
      <c r="A2288" t="s">
        <v>14741</v>
      </c>
      <c r="B2288" s="34">
        <v>7.3899999999999999E-3</v>
      </c>
      <c r="C2288" s="34">
        <v>6.1583333333333303E-4</v>
      </c>
      <c r="D2288" t="s">
        <v>2137</v>
      </c>
      <c r="E2288" s="34">
        <v>3.6949999999999997E-2</v>
      </c>
      <c r="F2288" t="s">
        <v>17190</v>
      </c>
      <c r="G2288" t="b">
        <v>0</v>
      </c>
    </row>
    <row r="2289" spans="1:7" x14ac:dyDescent="0.25">
      <c r="A2289" t="s">
        <v>13926</v>
      </c>
      <c r="B2289" s="34">
        <v>7.3599999999999898E-3</v>
      </c>
      <c r="C2289" s="34">
        <v>6.1333333333333303E-4</v>
      </c>
      <c r="D2289" t="s">
        <v>35</v>
      </c>
      <c r="E2289" s="34">
        <v>3.6799999999999999E-2</v>
      </c>
      <c r="F2289" t="s">
        <v>16393</v>
      </c>
      <c r="G2289" t="b">
        <v>0</v>
      </c>
    </row>
    <row r="2290" spans="1:7" x14ac:dyDescent="0.25">
      <c r="A2290" t="s">
        <v>14856</v>
      </c>
      <c r="B2290" s="34">
        <v>7.2609600000000003E-3</v>
      </c>
      <c r="C2290" s="34">
        <v>6.0508000000000003E-4</v>
      </c>
      <c r="D2290" t="s">
        <v>2178</v>
      </c>
      <c r="E2290" s="34">
        <v>3.6304799999999998E-2</v>
      </c>
      <c r="F2290" t="s">
        <v>17293</v>
      </c>
      <c r="G2290" t="b">
        <v>0</v>
      </c>
    </row>
    <row r="2291" spans="1:7" x14ac:dyDescent="0.25">
      <c r="A2291" t="s">
        <v>14239</v>
      </c>
      <c r="B2291" s="34">
        <v>7.2555999999999897E-3</v>
      </c>
      <c r="C2291" s="34">
        <v>6.0463333333333298E-4</v>
      </c>
      <c r="D2291" t="s">
        <v>645</v>
      </c>
      <c r="E2291" s="34">
        <v>3.6277999999999901E-2</v>
      </c>
      <c r="F2291" t="s">
        <v>16703</v>
      </c>
      <c r="G2291" t="b">
        <v>0</v>
      </c>
    </row>
    <row r="2292" spans="1:7" x14ac:dyDescent="0.25">
      <c r="A2292" t="s">
        <v>14595</v>
      </c>
      <c r="B2292" s="34">
        <v>6.8393999999999998E-3</v>
      </c>
      <c r="C2292" s="34">
        <v>5.6994999999999995E-4</v>
      </c>
      <c r="D2292" t="s">
        <v>35</v>
      </c>
      <c r="E2292" s="34">
        <v>3.4196999999999998E-2</v>
      </c>
      <c r="F2292" t="s">
        <v>17051</v>
      </c>
      <c r="G2292" t="b">
        <v>0</v>
      </c>
    </row>
    <row r="2293" spans="1:7" x14ac:dyDescent="0.25">
      <c r="A2293" t="s">
        <v>13475</v>
      </c>
      <c r="B2293" s="34">
        <v>6.5374999999999999E-3</v>
      </c>
      <c r="C2293" s="34">
        <v>5.4479166666666597E-4</v>
      </c>
      <c r="D2293" t="s">
        <v>54</v>
      </c>
      <c r="E2293" s="34">
        <v>3.2687500000000001E-2</v>
      </c>
      <c r="F2293" t="s">
        <v>15944</v>
      </c>
      <c r="G2293" t="b">
        <v>0</v>
      </c>
    </row>
    <row r="2294" spans="1:7" x14ac:dyDescent="0.25">
      <c r="A2294" t="s">
        <v>14335</v>
      </c>
      <c r="B2294" s="34">
        <v>6.2399999999999999E-3</v>
      </c>
      <c r="C2294" s="34">
        <v>5.1999999999999995E-4</v>
      </c>
      <c r="D2294" t="s">
        <v>1209</v>
      </c>
      <c r="E2294" s="34">
        <v>3.1199999999999999E-2</v>
      </c>
      <c r="F2294" t="s">
        <v>16798</v>
      </c>
      <c r="G2294" t="b">
        <v>0</v>
      </c>
    </row>
    <row r="2295" spans="1:7" x14ac:dyDescent="0.25">
      <c r="A2295" t="s">
        <v>13311</v>
      </c>
      <c r="B2295" s="34">
        <v>5.9486000000000001E-3</v>
      </c>
      <c r="C2295" s="34">
        <v>4.9571666666666599E-4</v>
      </c>
      <c r="D2295" t="s">
        <v>1209</v>
      </c>
      <c r="E2295" s="34">
        <v>2.9742999999999999E-2</v>
      </c>
      <c r="F2295" t="s">
        <v>15781</v>
      </c>
      <c r="G2295" t="b">
        <v>0</v>
      </c>
    </row>
    <row r="2296" spans="1:7" x14ac:dyDescent="0.25">
      <c r="A2296" t="s">
        <v>13984</v>
      </c>
      <c r="B2296" s="34">
        <v>5.9399999999999904E-3</v>
      </c>
      <c r="C2296" s="34">
        <v>4.95E-4</v>
      </c>
      <c r="D2296" t="s">
        <v>139</v>
      </c>
      <c r="E2296" s="34">
        <v>2.9700000000000001E-2</v>
      </c>
      <c r="F2296" t="s">
        <v>16451</v>
      </c>
      <c r="G2296" t="b">
        <v>0</v>
      </c>
    </row>
    <row r="2297" spans="1:7" x14ac:dyDescent="0.25">
      <c r="A2297" t="s">
        <v>13645</v>
      </c>
      <c r="B2297" s="34">
        <v>5.8699999999999898E-3</v>
      </c>
      <c r="C2297" s="34">
        <v>4.8916666666666596E-4</v>
      </c>
      <c r="D2297" t="s">
        <v>1787</v>
      </c>
      <c r="E2297" s="34">
        <v>2.93499999999999E-2</v>
      </c>
      <c r="F2297" t="s">
        <v>16114</v>
      </c>
      <c r="G2297" t="b">
        <v>0</v>
      </c>
    </row>
    <row r="2298" spans="1:7" x14ac:dyDescent="0.25">
      <c r="A2298" t="s">
        <v>14881</v>
      </c>
      <c r="B2298" s="34">
        <v>5.7200000000000003E-3</v>
      </c>
      <c r="C2298" s="34">
        <v>4.7666666666666598E-4</v>
      </c>
      <c r="D2298" t="s">
        <v>2267</v>
      </c>
      <c r="E2298" s="34">
        <v>2.86E-2</v>
      </c>
      <c r="F2298" t="s">
        <v>17317</v>
      </c>
      <c r="G2298" t="b">
        <v>0</v>
      </c>
    </row>
    <row r="2299" spans="1:7" x14ac:dyDescent="0.25">
      <c r="A2299" t="s">
        <v>14834</v>
      </c>
      <c r="B2299" s="34">
        <v>5.5799999999999999E-3</v>
      </c>
      <c r="C2299" s="34">
        <v>4.6500000000000003E-4</v>
      </c>
      <c r="D2299" t="s">
        <v>35</v>
      </c>
      <c r="E2299" s="34">
        <v>2.7900000000000001E-2</v>
      </c>
      <c r="F2299" t="s">
        <v>17272</v>
      </c>
      <c r="G2299" t="b">
        <v>0</v>
      </c>
    </row>
    <row r="2300" spans="1:7" x14ac:dyDescent="0.25">
      <c r="A2300" t="s">
        <v>13619</v>
      </c>
      <c r="B2300" s="34">
        <v>5.4538999999999898E-3</v>
      </c>
      <c r="C2300" s="34">
        <v>4.54491666666666E-4</v>
      </c>
      <c r="D2300" t="s">
        <v>162</v>
      </c>
      <c r="E2300" s="34">
        <v>2.7269499999999999E-2</v>
      </c>
      <c r="F2300" t="s">
        <v>16088</v>
      </c>
      <c r="G2300" t="b">
        <v>0</v>
      </c>
    </row>
    <row r="2301" spans="1:7" x14ac:dyDescent="0.25">
      <c r="A2301" t="s">
        <v>14460</v>
      </c>
      <c r="B2301" s="34">
        <v>5.4454999999999998E-3</v>
      </c>
      <c r="C2301" s="34">
        <v>4.5379166666666598E-4</v>
      </c>
      <c r="D2301" t="s">
        <v>26</v>
      </c>
      <c r="E2301" s="34">
        <v>2.7227499999999901E-2</v>
      </c>
      <c r="F2301" t="s">
        <v>16920</v>
      </c>
      <c r="G2301" t="b">
        <v>0</v>
      </c>
    </row>
    <row r="2302" spans="1:7" x14ac:dyDescent="0.25">
      <c r="A2302" t="s">
        <v>14877</v>
      </c>
      <c r="B2302" s="34">
        <v>5.4400000000000004E-3</v>
      </c>
      <c r="C2302" s="34">
        <v>4.5333333333333299E-4</v>
      </c>
      <c r="D2302" t="s">
        <v>753</v>
      </c>
      <c r="E2302" s="34">
        <v>2.7199999999999998E-2</v>
      </c>
      <c r="F2302" t="s">
        <v>17313</v>
      </c>
      <c r="G2302" t="b">
        <v>0</v>
      </c>
    </row>
    <row r="2303" spans="1:7" x14ac:dyDescent="0.25">
      <c r="A2303" t="s">
        <v>13874</v>
      </c>
      <c r="B2303" s="34">
        <v>5.2410599999999996E-3</v>
      </c>
      <c r="C2303" s="34">
        <v>4.3675499999999999E-4</v>
      </c>
      <c r="D2303" t="s">
        <v>35</v>
      </c>
      <c r="E2303" s="34">
        <v>2.6205300000000001E-2</v>
      </c>
      <c r="F2303" t="s">
        <v>16341</v>
      </c>
      <c r="G2303" t="b">
        <v>0</v>
      </c>
    </row>
    <row r="2304" spans="1:7" x14ac:dyDescent="0.25">
      <c r="A2304" t="s">
        <v>14024</v>
      </c>
      <c r="B2304" s="34">
        <v>5.215E-3</v>
      </c>
      <c r="C2304" s="34">
        <v>4.3458333333333299E-4</v>
      </c>
      <c r="D2304" t="s">
        <v>781</v>
      </c>
      <c r="E2304" s="34">
        <v>2.6075000000000001E-2</v>
      </c>
      <c r="F2304" t="s">
        <v>16491</v>
      </c>
      <c r="G2304" t="b">
        <v>0</v>
      </c>
    </row>
    <row r="2305" spans="1:7" x14ac:dyDescent="0.25">
      <c r="A2305" t="s">
        <v>14607</v>
      </c>
      <c r="B2305" s="34">
        <v>5.2129999999999998E-3</v>
      </c>
      <c r="C2305" s="34">
        <v>4.3441666666666601E-4</v>
      </c>
      <c r="D2305" t="s">
        <v>35</v>
      </c>
      <c r="E2305" s="34">
        <v>2.6064999999999901E-2</v>
      </c>
      <c r="F2305" t="s">
        <v>17061</v>
      </c>
      <c r="G2305" t="b">
        <v>0</v>
      </c>
    </row>
    <row r="2306" spans="1:7" x14ac:dyDescent="0.25">
      <c r="A2306" t="s">
        <v>13245</v>
      </c>
      <c r="B2306" s="34">
        <v>4.9929999999999896E-3</v>
      </c>
      <c r="C2306" s="34">
        <v>4.1608333333333298E-4</v>
      </c>
      <c r="D2306" t="s">
        <v>4377</v>
      </c>
      <c r="E2306" s="34">
        <v>2.4965000000000001E-2</v>
      </c>
      <c r="F2306" t="s">
        <v>15718</v>
      </c>
      <c r="G2306" t="b">
        <v>0</v>
      </c>
    </row>
    <row r="2307" spans="1:7" x14ac:dyDescent="0.25">
      <c r="A2307" t="s">
        <v>13965</v>
      </c>
      <c r="B2307" s="34">
        <v>4.8808999999999996E-3</v>
      </c>
      <c r="C2307" s="34">
        <v>4.06741666666666E-4</v>
      </c>
      <c r="D2307" t="s">
        <v>54</v>
      </c>
      <c r="E2307" s="34">
        <v>2.4404499999999999E-2</v>
      </c>
      <c r="F2307" t="s">
        <v>16432</v>
      </c>
      <c r="G2307" t="b">
        <v>0</v>
      </c>
    </row>
    <row r="2308" spans="1:7" x14ac:dyDescent="0.25">
      <c r="A2308" t="s">
        <v>13844</v>
      </c>
      <c r="B2308" s="34">
        <v>4.8625999999999999E-3</v>
      </c>
      <c r="C2308" s="34">
        <v>4.0521666666666601E-4</v>
      </c>
      <c r="D2308" t="s">
        <v>26</v>
      </c>
      <c r="E2308" s="34">
        <v>2.4313000000000001E-2</v>
      </c>
      <c r="F2308" t="s">
        <v>16311</v>
      </c>
      <c r="G2308" t="b">
        <v>0</v>
      </c>
    </row>
    <row r="2309" spans="1:7" x14ac:dyDescent="0.25">
      <c r="A2309" t="s">
        <v>14814</v>
      </c>
      <c r="B2309" s="34">
        <v>4.6999999999999898E-3</v>
      </c>
      <c r="C2309" s="34">
        <v>3.9166666666666598E-4</v>
      </c>
      <c r="D2309" t="s">
        <v>928</v>
      </c>
      <c r="E2309" s="34">
        <v>2.35E-2</v>
      </c>
      <c r="F2309" t="s">
        <v>17257</v>
      </c>
      <c r="G2309" t="b">
        <v>0</v>
      </c>
    </row>
    <row r="2310" spans="1:7" x14ac:dyDescent="0.25">
      <c r="A2310" t="s">
        <v>14816</v>
      </c>
      <c r="B2310" s="34">
        <v>4.3660000000000001E-3</v>
      </c>
      <c r="C2310" s="34">
        <v>3.6383333333333298E-4</v>
      </c>
      <c r="D2310" t="s">
        <v>385</v>
      </c>
      <c r="E2310" s="34">
        <v>2.1829999999999999E-2</v>
      </c>
      <c r="F2310" t="s">
        <v>17259</v>
      </c>
      <c r="G2310" t="b">
        <v>0</v>
      </c>
    </row>
    <row r="2311" spans="1:7" x14ac:dyDescent="0.25">
      <c r="A2311" t="s">
        <v>13442</v>
      </c>
      <c r="B2311" s="34">
        <v>4.28E-3</v>
      </c>
      <c r="C2311" s="34">
        <v>3.5666666666666599E-4</v>
      </c>
      <c r="D2311" t="s">
        <v>35</v>
      </c>
      <c r="E2311" s="34">
        <v>2.1399999999999999E-2</v>
      </c>
      <c r="F2311" t="s">
        <v>15911</v>
      </c>
      <c r="G2311" t="b">
        <v>0</v>
      </c>
    </row>
    <row r="2312" spans="1:7" x14ac:dyDescent="0.25">
      <c r="A2312" t="s">
        <v>13378</v>
      </c>
      <c r="B2312" s="34">
        <v>3.77999999999999E-3</v>
      </c>
      <c r="C2312" s="34">
        <v>3.1500000000000001E-4</v>
      </c>
      <c r="D2312" t="s">
        <v>1787</v>
      </c>
      <c r="E2312" s="34">
        <v>1.89E-2</v>
      </c>
      <c r="F2312" t="s">
        <v>15848</v>
      </c>
      <c r="G2312" t="b">
        <v>0</v>
      </c>
    </row>
    <row r="2313" spans="1:7" x14ac:dyDescent="0.25">
      <c r="A2313" t="s">
        <v>14859</v>
      </c>
      <c r="B2313" s="34">
        <v>3.7699999999999999E-3</v>
      </c>
      <c r="C2313" s="34">
        <v>3.1416666666666599E-4</v>
      </c>
      <c r="D2313" t="s">
        <v>26</v>
      </c>
      <c r="E2313" s="34">
        <v>1.8849999999999999E-2</v>
      </c>
      <c r="F2313" t="s">
        <v>17296</v>
      </c>
      <c r="G2313" t="b">
        <v>0</v>
      </c>
    </row>
    <row r="2314" spans="1:7" x14ac:dyDescent="0.25">
      <c r="A2314" t="s">
        <v>13643</v>
      </c>
      <c r="B2314" s="34">
        <v>3.346E-3</v>
      </c>
      <c r="C2314" s="34">
        <v>2.7883333333333297E-4</v>
      </c>
      <c r="D2314" t="s">
        <v>35</v>
      </c>
      <c r="E2314" s="34">
        <v>1.6729999999999998E-2</v>
      </c>
      <c r="F2314" t="s">
        <v>16112</v>
      </c>
      <c r="G2314" t="b">
        <v>0</v>
      </c>
    </row>
    <row r="2315" spans="1:7" x14ac:dyDescent="0.25">
      <c r="A2315" t="s">
        <v>13705</v>
      </c>
      <c r="B2315" s="34">
        <v>2.6540000000000001E-3</v>
      </c>
      <c r="C2315" s="34">
        <v>2.2116666666666601E-4</v>
      </c>
      <c r="D2315" t="s">
        <v>35</v>
      </c>
      <c r="E2315" s="34">
        <v>1.3270000000000001E-2</v>
      </c>
      <c r="F2315" t="s">
        <v>16173</v>
      </c>
      <c r="G2315" t="b">
        <v>0</v>
      </c>
    </row>
    <row r="2316" spans="1:7" x14ac:dyDescent="0.25">
      <c r="A2316" t="s">
        <v>13948</v>
      </c>
      <c r="B2316" s="34">
        <v>2.3900000000000002E-3</v>
      </c>
      <c r="C2316" s="34">
        <v>1.9916666666666599E-4</v>
      </c>
      <c r="D2316" t="s">
        <v>35</v>
      </c>
      <c r="E2316" s="34">
        <v>1.1950000000000001E-2</v>
      </c>
      <c r="F2316" t="s">
        <v>16415</v>
      </c>
      <c r="G2316" t="b">
        <v>0</v>
      </c>
    </row>
    <row r="2317" spans="1:7" x14ac:dyDescent="0.25">
      <c r="A2317" t="s">
        <v>13275</v>
      </c>
      <c r="B2317" s="34">
        <v>2.3116E-3</v>
      </c>
      <c r="C2317" s="34">
        <v>1.9263333333333299E-4</v>
      </c>
      <c r="D2317" t="s">
        <v>26</v>
      </c>
      <c r="E2317" s="34">
        <v>1.1558000000000001E-2</v>
      </c>
      <c r="F2317" t="s">
        <v>15747</v>
      </c>
      <c r="G2317" t="b">
        <v>0</v>
      </c>
    </row>
    <row r="2318" spans="1:7" x14ac:dyDescent="0.25">
      <c r="A2318" t="s">
        <v>14165</v>
      </c>
      <c r="B2318" s="34">
        <v>2.27969999999999E-3</v>
      </c>
      <c r="C2318" s="34">
        <v>1.89975E-4</v>
      </c>
      <c r="D2318" t="s">
        <v>395</v>
      </c>
      <c r="E2318" s="34">
        <v>1.1398500000000001E-2</v>
      </c>
      <c r="F2318" t="s">
        <v>16632</v>
      </c>
      <c r="G2318" t="b">
        <v>0</v>
      </c>
    </row>
    <row r="2319" spans="1:7" x14ac:dyDescent="0.25">
      <c r="A2319" t="s">
        <v>13916</v>
      </c>
      <c r="B2319" s="34">
        <v>2.2458999999999999E-3</v>
      </c>
      <c r="C2319" s="34">
        <v>1.8715833333333301E-4</v>
      </c>
      <c r="D2319" t="s">
        <v>810</v>
      </c>
      <c r="E2319" s="34">
        <v>1.12295E-2</v>
      </c>
      <c r="F2319" t="s">
        <v>16383</v>
      </c>
      <c r="G2319" t="b">
        <v>0</v>
      </c>
    </row>
    <row r="2320" spans="1:7" x14ac:dyDescent="0.25">
      <c r="A2320" t="s">
        <v>13366</v>
      </c>
      <c r="B2320" s="34">
        <v>2.2233999999999999E-3</v>
      </c>
      <c r="C2320" s="34">
        <v>1.85283333333333E-4</v>
      </c>
      <c r="D2320" t="s">
        <v>35</v>
      </c>
      <c r="E2320" s="34">
        <v>1.1117E-2</v>
      </c>
      <c r="F2320" t="s">
        <v>15836</v>
      </c>
      <c r="G2320" t="b">
        <v>0</v>
      </c>
    </row>
    <row r="2321" spans="1:7" x14ac:dyDescent="0.25">
      <c r="A2321" t="s">
        <v>13838</v>
      </c>
      <c r="B2321" s="34">
        <v>1.7359999999999999E-3</v>
      </c>
      <c r="C2321" s="34">
        <v>1.4466666666666599E-4</v>
      </c>
      <c r="D2321" t="s">
        <v>385</v>
      </c>
      <c r="E2321" s="34">
        <v>8.6800000000000002E-3</v>
      </c>
      <c r="F2321" t="s">
        <v>16305</v>
      </c>
      <c r="G2321" t="b">
        <v>0</v>
      </c>
    </row>
    <row r="2322" spans="1:7" x14ac:dyDescent="0.25">
      <c r="A2322" t="s">
        <v>13403</v>
      </c>
      <c r="B2322" s="34">
        <v>1.2465E-3</v>
      </c>
      <c r="C2322" s="34">
        <v>1.03875E-4</v>
      </c>
      <c r="D2322" t="s">
        <v>1013</v>
      </c>
      <c r="E2322" s="34">
        <v>6.2325000000000002E-3</v>
      </c>
      <c r="F2322" t="s">
        <v>15873</v>
      </c>
      <c r="G2322" t="b">
        <v>0</v>
      </c>
    </row>
    <row r="2323" spans="1:7" x14ac:dyDescent="0.25">
      <c r="A2323" t="s">
        <v>13439</v>
      </c>
      <c r="B2323" s="34">
        <v>1.1999999999999999E-3</v>
      </c>
      <c r="C2323" s="34">
        <v>1E-4</v>
      </c>
      <c r="D2323" t="s">
        <v>290</v>
      </c>
      <c r="E2323" s="34">
        <v>6.0000000000000001E-3</v>
      </c>
      <c r="F2323" t="s">
        <v>15908</v>
      </c>
      <c r="G2323" t="b">
        <v>0</v>
      </c>
    </row>
    <row r="2324" spans="1:7" x14ac:dyDescent="0.25">
      <c r="A2324" t="s">
        <v>14773</v>
      </c>
      <c r="B2324" s="34">
        <v>1.1999999999999999E-3</v>
      </c>
      <c r="C2324" s="34">
        <v>1E-4</v>
      </c>
      <c r="D2324" t="s">
        <v>1013</v>
      </c>
      <c r="E2324" s="34">
        <v>6.0000000000000001E-3</v>
      </c>
      <c r="F2324" t="s">
        <v>17221</v>
      </c>
      <c r="G2324" t="b">
        <v>0</v>
      </c>
    </row>
    <row r="2325" spans="1:7" x14ac:dyDescent="0.25">
      <c r="A2325" t="s">
        <v>13985</v>
      </c>
      <c r="B2325" s="34">
        <v>1.12699E-3</v>
      </c>
      <c r="C2325" s="34">
        <v>9.3915833333333299E-5</v>
      </c>
      <c r="D2325" t="s">
        <v>1240</v>
      </c>
      <c r="E2325" s="34">
        <v>5.6349499999999997E-3</v>
      </c>
      <c r="F2325" t="s">
        <v>16452</v>
      </c>
      <c r="G2325" t="b">
        <v>0</v>
      </c>
    </row>
    <row r="2326" spans="1:7" x14ac:dyDescent="0.25">
      <c r="A2326" t="s">
        <v>13512</v>
      </c>
      <c r="B2326" s="34">
        <v>1.1199999999999999E-3</v>
      </c>
      <c r="C2326" s="34">
        <v>9.3333333333333303E-5</v>
      </c>
      <c r="D2326" t="s">
        <v>35</v>
      </c>
      <c r="E2326" s="34">
        <v>5.5999999999999999E-3</v>
      </c>
      <c r="F2326" t="s">
        <v>15981</v>
      </c>
      <c r="G2326" t="b">
        <v>0</v>
      </c>
    </row>
    <row r="2327" spans="1:7" x14ac:dyDescent="0.25">
      <c r="A2327" t="s">
        <v>13612</v>
      </c>
      <c r="B2327" s="34">
        <v>1.1199999999999999E-3</v>
      </c>
      <c r="C2327" s="34">
        <v>9.3333333333333303E-5</v>
      </c>
      <c r="D2327" t="s">
        <v>35</v>
      </c>
      <c r="E2327" s="34">
        <v>5.5999999999999999E-3</v>
      </c>
      <c r="F2327" t="s">
        <v>16081</v>
      </c>
      <c r="G2327" t="b">
        <v>0</v>
      </c>
    </row>
    <row r="2328" spans="1:7" x14ac:dyDescent="0.25">
      <c r="A2328" t="s">
        <v>13586</v>
      </c>
      <c r="B2328" s="34">
        <v>4.3659999999999999E-4</v>
      </c>
      <c r="C2328" s="34">
        <v>3.6383333333333301E-5</v>
      </c>
      <c r="D2328" t="s">
        <v>1240</v>
      </c>
      <c r="E2328" s="34">
        <v>2.183E-3</v>
      </c>
      <c r="F2328" t="s">
        <v>16055</v>
      </c>
      <c r="G2328" t="b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D61"/>
  <sheetViews>
    <sheetView workbookViewId="0">
      <selection activeCell="A9" sqref="A9"/>
    </sheetView>
  </sheetViews>
  <sheetFormatPr defaultRowHeight="15" x14ac:dyDescent="0.25"/>
  <cols>
    <col min="1" max="1" width="9.140625" style="35"/>
  </cols>
  <sheetData>
    <row r="1" spans="1:4" x14ac:dyDescent="0.25">
      <c r="A1" s="35">
        <v>1117</v>
      </c>
    </row>
    <row r="2" spans="1:4" x14ac:dyDescent="0.25">
      <c r="A2" s="35">
        <v>0.65900000000000003</v>
      </c>
      <c r="C2" t="s">
        <v>17320</v>
      </c>
      <c r="D2">
        <f>PERCENTILE(sb,0.25)</f>
        <v>0.79300000000000004</v>
      </c>
    </row>
    <row r="3" spans="1:4" x14ac:dyDescent="0.25">
      <c r="A3" s="35">
        <v>1238</v>
      </c>
      <c r="C3" t="s">
        <v>17321</v>
      </c>
      <c r="D3">
        <f>PERCENTILE(sb,0.75)</f>
        <v>1060</v>
      </c>
    </row>
    <row r="4" spans="1:4" x14ac:dyDescent="0.25">
      <c r="A4" s="35">
        <v>1.153</v>
      </c>
      <c r="C4" t="s">
        <v>17322</v>
      </c>
      <c r="D4">
        <f>D3-D2</f>
        <v>1059.2070000000001</v>
      </c>
    </row>
    <row r="5" spans="1:4" x14ac:dyDescent="0.25">
      <c r="A5" s="35">
        <v>1219</v>
      </c>
    </row>
    <row r="6" spans="1:4" x14ac:dyDescent="0.25">
      <c r="A6" s="35">
        <v>0.95399999999999996</v>
      </c>
      <c r="C6" t="s">
        <v>17323</v>
      </c>
      <c r="D6">
        <f>D2-1.5*D4</f>
        <v>-1588.0175000000002</v>
      </c>
    </row>
    <row r="7" spans="1:4" x14ac:dyDescent="0.25">
      <c r="A7" s="35">
        <v>0.63800000000000001</v>
      </c>
      <c r="C7" t="s">
        <v>17324</v>
      </c>
      <c r="D7">
        <f>D3+1.5*D4</f>
        <v>2648.8105</v>
      </c>
    </row>
    <row r="8" spans="1:4" x14ac:dyDescent="0.25">
      <c r="A8" s="35">
        <v>0.64800000000000002</v>
      </c>
    </row>
    <row r="9" spans="1:4" x14ac:dyDescent="0.25">
      <c r="A9" s="35">
        <v>0.78200000000000003</v>
      </c>
      <c r="C9">
        <f>STDEV(sb)</f>
        <v>572.44124482381483</v>
      </c>
    </row>
    <row r="10" spans="1:4" x14ac:dyDescent="0.25">
      <c r="A10" s="35">
        <v>1015</v>
      </c>
      <c r="C10">
        <f>AVERAGE(sb)</f>
        <v>452.15937704918048</v>
      </c>
    </row>
    <row r="11" spans="1:4" x14ac:dyDescent="0.25">
      <c r="A11" s="35">
        <v>0.88500000000000001</v>
      </c>
    </row>
    <row r="12" spans="1:4" x14ac:dyDescent="0.25">
      <c r="A12" s="35">
        <v>0.97799999999999998</v>
      </c>
      <c r="C12">
        <f>C10+2.5*C9</f>
        <v>1883.2624891087175</v>
      </c>
    </row>
    <row r="13" spans="1:4" x14ac:dyDescent="0.25">
      <c r="A13" s="35">
        <v>0.89400000000000002</v>
      </c>
    </row>
    <row r="14" spans="1:4" x14ac:dyDescent="0.25">
      <c r="A14" s="35">
        <v>0.73</v>
      </c>
    </row>
    <row r="15" spans="1:4" x14ac:dyDescent="0.25">
      <c r="A15" s="35">
        <v>0.94199999999999995</v>
      </c>
    </row>
    <row r="16" spans="1:4" x14ac:dyDescent="0.25">
      <c r="A16" s="35">
        <v>0.96399999999999997</v>
      </c>
    </row>
    <row r="17" spans="1:1" x14ac:dyDescent="0.25">
      <c r="A17" s="35">
        <v>0.95199999999999996</v>
      </c>
    </row>
    <row r="18" spans="1:1" x14ac:dyDescent="0.25">
      <c r="A18" s="35">
        <v>1073</v>
      </c>
    </row>
    <row r="19" spans="1:1" x14ac:dyDescent="0.25">
      <c r="A19" s="35">
        <v>0.89700000000000002</v>
      </c>
    </row>
    <row r="20" spans="1:1" x14ac:dyDescent="0.25">
      <c r="A20" s="35">
        <v>1436</v>
      </c>
    </row>
    <row r="21" spans="1:1" x14ac:dyDescent="0.25">
      <c r="A21" s="35">
        <v>1060</v>
      </c>
    </row>
    <row r="22" spans="1:1" x14ac:dyDescent="0.25">
      <c r="A22" s="35">
        <v>1049</v>
      </c>
    </row>
    <row r="23" spans="1:1" x14ac:dyDescent="0.25">
      <c r="A23" s="35">
        <v>0.86099999999999999</v>
      </c>
    </row>
    <row r="24" spans="1:1" x14ac:dyDescent="0.25">
      <c r="A24" s="35">
        <v>0.78900000000000003</v>
      </c>
    </row>
    <row r="25" spans="1:1" x14ac:dyDescent="0.25">
      <c r="A25" s="35">
        <v>1031</v>
      </c>
    </row>
    <row r="26" spans="1:1" x14ac:dyDescent="0.25">
      <c r="A26" s="35">
        <v>0.79500000000000004</v>
      </c>
    </row>
    <row r="27" spans="1:1" x14ac:dyDescent="0.25">
      <c r="A27" s="35">
        <v>1115</v>
      </c>
    </row>
    <row r="28" spans="1:1" x14ac:dyDescent="0.25">
      <c r="A28" s="35">
        <v>0.79</v>
      </c>
    </row>
    <row r="29" spans="1:1" x14ac:dyDescent="0.25">
      <c r="A29" s="35">
        <v>0.70499999999999996</v>
      </c>
    </row>
    <row r="30" spans="1:1" x14ac:dyDescent="0.25">
      <c r="A30" s="35">
        <v>1000</v>
      </c>
    </row>
    <row r="31" spans="1:1" x14ac:dyDescent="0.25">
      <c r="A31" s="35">
        <v>0.83099999999999996</v>
      </c>
    </row>
    <row r="32" spans="1:1" x14ac:dyDescent="0.25">
      <c r="A32" s="35">
        <v>0.86799999999999999</v>
      </c>
    </row>
    <row r="33" spans="1:1" x14ac:dyDescent="0.25">
      <c r="A33" s="35">
        <v>0.81299999999999994</v>
      </c>
    </row>
    <row r="34" spans="1:1" x14ac:dyDescent="0.25">
      <c r="A34" s="35">
        <v>0.74</v>
      </c>
    </row>
    <row r="35" spans="1:1" x14ac:dyDescent="0.25">
      <c r="A35" s="35">
        <v>0.64300000000000002</v>
      </c>
    </row>
    <row r="36" spans="1:1" x14ac:dyDescent="0.25">
      <c r="A36" s="35">
        <v>0.76200000000000001</v>
      </c>
    </row>
    <row r="37" spans="1:1" x14ac:dyDescent="0.25">
      <c r="A37" s="35">
        <v>1060</v>
      </c>
    </row>
    <row r="38" spans="1:1" x14ac:dyDescent="0.25">
      <c r="A38" s="35">
        <v>1372</v>
      </c>
    </row>
    <row r="39" spans="1:1" x14ac:dyDescent="0.25">
      <c r="A39" s="35">
        <v>0.84799999999999998</v>
      </c>
    </row>
    <row r="40" spans="1:1" x14ac:dyDescent="0.25">
      <c r="A40" s="35">
        <v>0.73599999999999999</v>
      </c>
    </row>
    <row r="41" spans="1:1" x14ac:dyDescent="0.25">
      <c r="A41" s="35">
        <v>0.94699999999999995</v>
      </c>
    </row>
    <row r="42" spans="1:1" x14ac:dyDescent="0.25">
      <c r="A42" s="35">
        <v>1041</v>
      </c>
    </row>
    <row r="43" spans="1:1" x14ac:dyDescent="0.25">
      <c r="A43" s="35">
        <v>1061</v>
      </c>
    </row>
    <row r="44" spans="1:1" x14ac:dyDescent="0.25">
      <c r="A44" s="35">
        <v>0.81200000000000006</v>
      </c>
    </row>
    <row r="45" spans="1:1" x14ac:dyDescent="0.25">
      <c r="A45" s="35">
        <v>1561</v>
      </c>
    </row>
    <row r="46" spans="1:1" x14ac:dyDescent="0.25">
      <c r="A46" s="35">
        <v>1190</v>
      </c>
    </row>
    <row r="47" spans="1:1" x14ac:dyDescent="0.25">
      <c r="A47" s="35">
        <v>0.91600000000000004</v>
      </c>
    </row>
    <row r="48" spans="1:1" x14ac:dyDescent="0.25">
      <c r="A48" s="35">
        <v>0.99</v>
      </c>
    </row>
    <row r="49" spans="1:1" x14ac:dyDescent="0.25">
      <c r="A49" s="35">
        <v>1138</v>
      </c>
    </row>
    <row r="50" spans="1:1" x14ac:dyDescent="0.25">
      <c r="A50" s="35">
        <v>1130</v>
      </c>
    </row>
    <row r="51" spans="1:1" x14ac:dyDescent="0.25">
      <c r="A51" s="35">
        <v>0.77800000000000002</v>
      </c>
    </row>
    <row r="52" spans="1:1" x14ac:dyDescent="0.25">
      <c r="A52" s="35">
        <v>0.77800000000000002</v>
      </c>
    </row>
    <row r="53" spans="1:1" x14ac:dyDescent="0.25">
      <c r="A53" s="35">
        <v>1047</v>
      </c>
    </row>
    <row r="54" spans="1:1" x14ac:dyDescent="0.25">
      <c r="A54" s="35">
        <v>0.89600000000000002</v>
      </c>
    </row>
    <row r="55" spans="1:1" x14ac:dyDescent="0.25">
      <c r="A55" s="35">
        <v>0.79300000000000004</v>
      </c>
    </row>
    <row r="56" spans="1:1" x14ac:dyDescent="0.25">
      <c r="A56" s="35">
        <v>1033</v>
      </c>
    </row>
    <row r="57" spans="1:1" x14ac:dyDescent="0.25">
      <c r="A57" s="35">
        <v>1369</v>
      </c>
    </row>
    <row r="58" spans="1:1" x14ac:dyDescent="0.25">
      <c r="A58" s="35">
        <v>1055</v>
      </c>
    </row>
    <row r="59" spans="1:1" x14ac:dyDescent="0.25">
      <c r="A59" s="35">
        <v>0.80300000000000005</v>
      </c>
    </row>
    <row r="60" spans="1:1" x14ac:dyDescent="0.25">
      <c r="A60" s="35">
        <v>0.752</v>
      </c>
    </row>
    <row r="61" spans="1:1" x14ac:dyDescent="0.25">
      <c r="A61" s="35">
        <v>1141</v>
      </c>
    </row>
  </sheetData>
  <pageMargins left="0.7" right="0.7" top="0.75" bottom="0.75" header="0.3" footer="0.3"/>
  <pageSetup orientation="portrait" horizontalDpi="90" verticalDpi="9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"/>
  <dimension ref="A1:R3812"/>
  <sheetViews>
    <sheetView zoomScale="90" zoomScaleNormal="90" workbookViewId="0">
      <selection activeCell="N16" sqref="N16"/>
    </sheetView>
  </sheetViews>
  <sheetFormatPr defaultRowHeight="15" x14ac:dyDescent="0.25"/>
  <cols>
    <col min="1" max="1" width="15.7109375" style="6" bestFit="1" customWidth="1"/>
    <col min="2" max="2" width="13.140625" style="6" bestFit="1" customWidth="1"/>
    <col min="3" max="3" width="11.42578125" style="6" bestFit="1" customWidth="1"/>
    <col min="4" max="4" width="9.5703125" style="6" bestFit="1" customWidth="1"/>
    <col min="5" max="5" width="14.85546875" style="6" bestFit="1" customWidth="1"/>
    <col min="6" max="6" width="76.7109375" style="6" bestFit="1" customWidth="1"/>
    <col min="7" max="7" width="10" style="6" bestFit="1" customWidth="1"/>
    <col min="8" max="8" width="9" style="6" bestFit="1" customWidth="1"/>
    <col min="9" max="9" width="10.5703125" style="6" bestFit="1" customWidth="1"/>
    <col min="10" max="10" width="13.7109375" style="6" customWidth="1"/>
    <col min="11" max="12" width="19.7109375" style="7" customWidth="1"/>
    <col min="13" max="13" width="12" style="6" bestFit="1" customWidth="1"/>
    <col min="14" max="14" width="8.85546875" style="6" bestFit="1" customWidth="1"/>
    <col min="15" max="15" width="10.28515625" style="6" bestFit="1" customWidth="1"/>
    <col min="16" max="16" width="20.7109375" style="6" customWidth="1"/>
    <col min="17" max="17" width="22.7109375" style="13" bestFit="1" customWidth="1"/>
    <col min="18" max="18" width="38.85546875" style="14" bestFit="1" customWidth="1"/>
  </cols>
  <sheetData>
    <row r="1" spans="1:18" s="10" customFormat="1" x14ac:dyDescent="0.25">
      <c r="A1" s="8" t="s">
        <v>12514</v>
      </c>
      <c r="B1" s="8" t="s">
        <v>12513</v>
      </c>
      <c r="C1" s="8" t="s">
        <v>12512</v>
      </c>
      <c r="D1" s="8" t="s">
        <v>12511</v>
      </c>
      <c r="E1" s="8" t="s">
        <v>12510</v>
      </c>
      <c r="F1" s="8" t="s">
        <v>12509</v>
      </c>
      <c r="G1" s="8" t="s">
        <v>12508</v>
      </c>
      <c r="H1" s="8" t="s">
        <v>12507</v>
      </c>
      <c r="I1" s="8" t="s">
        <v>12506</v>
      </c>
      <c r="J1" s="8" t="s">
        <v>12505</v>
      </c>
      <c r="K1" s="9" t="s">
        <v>12504</v>
      </c>
      <c r="L1" s="9" t="s">
        <v>12503</v>
      </c>
      <c r="M1" s="8" t="s">
        <v>12502</v>
      </c>
      <c r="N1" s="8" t="s">
        <v>12501</v>
      </c>
      <c r="O1" s="8" t="s">
        <v>12500</v>
      </c>
      <c r="P1" s="8"/>
      <c r="Q1" s="11"/>
      <c r="R1" s="12"/>
    </row>
    <row r="2" spans="1:18" x14ac:dyDescent="0.25">
      <c r="A2" s="6" t="s">
        <v>12054</v>
      </c>
      <c r="B2" s="6" t="s">
        <v>12045</v>
      </c>
      <c r="C2" s="6" t="s">
        <v>31</v>
      </c>
      <c r="E2" s="6" t="s">
        <v>12044</v>
      </c>
      <c r="F2" s="6" t="s">
        <v>1459</v>
      </c>
      <c r="G2" s="6" t="s">
        <v>16</v>
      </c>
      <c r="H2" s="6" t="s">
        <v>15</v>
      </c>
      <c r="I2" s="6" t="s">
        <v>36</v>
      </c>
      <c r="J2" s="6" t="s">
        <v>2583</v>
      </c>
      <c r="K2" s="7">
        <v>32.908002529999997</v>
      </c>
      <c r="L2" s="7">
        <v>-94.717933239999994</v>
      </c>
      <c r="M2" s="6" t="s">
        <v>1941</v>
      </c>
      <c r="N2" s="6" t="s">
        <v>42</v>
      </c>
      <c r="O2" s="6" t="s">
        <v>65</v>
      </c>
      <c r="R2" s="15"/>
    </row>
    <row r="3" spans="1:18" x14ac:dyDescent="0.25">
      <c r="A3" s="6" t="s">
        <v>12053</v>
      </c>
      <c r="B3" s="6" t="s">
        <v>12045</v>
      </c>
      <c r="C3" s="6" t="s">
        <v>19</v>
      </c>
      <c r="E3" s="6" t="s">
        <v>12044</v>
      </c>
      <c r="F3" s="6" t="s">
        <v>1459</v>
      </c>
      <c r="G3" s="6" t="s">
        <v>16</v>
      </c>
      <c r="H3" s="6" t="s">
        <v>15</v>
      </c>
      <c r="I3" s="6" t="s">
        <v>36</v>
      </c>
      <c r="J3" s="6" t="s">
        <v>2583</v>
      </c>
      <c r="K3" s="7">
        <v>32.915095780000001</v>
      </c>
      <c r="L3" s="7">
        <v>-94.727733900000004</v>
      </c>
      <c r="M3" s="6" t="s">
        <v>1941</v>
      </c>
      <c r="N3" s="6" t="s">
        <v>42</v>
      </c>
      <c r="O3" s="6" t="s">
        <v>65</v>
      </c>
    </row>
    <row r="4" spans="1:18" x14ac:dyDescent="0.25">
      <c r="A4" s="6" t="s">
        <v>12046</v>
      </c>
      <c r="B4" s="6" t="s">
        <v>12045</v>
      </c>
      <c r="C4" s="6" t="s">
        <v>436</v>
      </c>
      <c r="E4" s="6" t="s">
        <v>12044</v>
      </c>
      <c r="F4" s="6" t="s">
        <v>1459</v>
      </c>
      <c r="G4" s="6" t="s">
        <v>16</v>
      </c>
      <c r="H4" s="6" t="s">
        <v>430</v>
      </c>
      <c r="I4" s="6" t="s">
        <v>36</v>
      </c>
      <c r="J4" s="6" t="s">
        <v>2583</v>
      </c>
      <c r="K4" s="7">
        <v>32.936733089999997</v>
      </c>
      <c r="L4" s="7">
        <v>-94.695583049999996</v>
      </c>
      <c r="M4" s="6" t="s">
        <v>1941</v>
      </c>
      <c r="N4" s="6" t="s">
        <v>42</v>
      </c>
      <c r="O4" s="6" t="s">
        <v>65</v>
      </c>
    </row>
    <row r="5" spans="1:18" x14ac:dyDescent="0.25">
      <c r="A5" s="6" t="s">
        <v>1834</v>
      </c>
      <c r="B5" s="6" t="s">
        <v>1833</v>
      </c>
      <c r="C5" s="6" t="s">
        <v>31</v>
      </c>
      <c r="E5" s="6" t="s">
        <v>1832</v>
      </c>
      <c r="F5" s="6" t="s">
        <v>269</v>
      </c>
      <c r="G5" s="6" t="s">
        <v>16</v>
      </c>
      <c r="H5" s="6" t="s">
        <v>15</v>
      </c>
      <c r="I5" s="6" t="s">
        <v>14</v>
      </c>
      <c r="J5" s="6" t="s">
        <v>1831</v>
      </c>
      <c r="K5" s="7">
        <v>33.107914090000001</v>
      </c>
      <c r="L5" s="7">
        <v>-95.065354859999999</v>
      </c>
      <c r="M5" s="6" t="s">
        <v>1830</v>
      </c>
      <c r="N5" s="6" t="s">
        <v>42</v>
      </c>
      <c r="O5" s="6" t="s">
        <v>65</v>
      </c>
    </row>
    <row r="6" spans="1:18" x14ac:dyDescent="0.25">
      <c r="A6" s="6" t="s">
        <v>12076</v>
      </c>
      <c r="B6" s="6" t="s">
        <v>12075</v>
      </c>
      <c r="C6" s="6" t="s">
        <v>31</v>
      </c>
      <c r="E6" s="6" t="s">
        <v>12074</v>
      </c>
      <c r="F6" s="6" t="s">
        <v>12073</v>
      </c>
      <c r="G6" s="6" t="s">
        <v>16</v>
      </c>
      <c r="H6" s="6" t="s">
        <v>15</v>
      </c>
      <c r="I6" s="6" t="s">
        <v>46</v>
      </c>
      <c r="J6" s="6" t="s">
        <v>97</v>
      </c>
      <c r="K6" s="7">
        <v>33.648079860000003</v>
      </c>
      <c r="L6" s="7">
        <v>-95.585992730000001</v>
      </c>
      <c r="M6" s="6" t="s">
        <v>2115</v>
      </c>
      <c r="N6" s="6" t="s">
        <v>95</v>
      </c>
      <c r="O6" s="6" t="s">
        <v>65</v>
      </c>
    </row>
    <row r="7" spans="1:18" x14ac:dyDescent="0.25">
      <c r="A7" s="6" t="s">
        <v>7077</v>
      </c>
      <c r="B7" s="6" t="s">
        <v>7076</v>
      </c>
      <c r="C7" s="6" t="s">
        <v>31</v>
      </c>
      <c r="E7" s="6" t="s">
        <v>7075</v>
      </c>
      <c r="F7" s="6" t="s">
        <v>7074</v>
      </c>
      <c r="G7" s="6" t="s">
        <v>16</v>
      </c>
      <c r="H7" s="6" t="s">
        <v>15</v>
      </c>
      <c r="I7" s="6" t="s">
        <v>27</v>
      </c>
      <c r="J7" s="6" t="s">
        <v>883</v>
      </c>
      <c r="K7" s="7">
        <v>33.276329859999997</v>
      </c>
      <c r="L7" s="7">
        <v>-94.058648610000006</v>
      </c>
      <c r="M7" s="6" t="s">
        <v>882</v>
      </c>
      <c r="N7" s="6" t="s">
        <v>95</v>
      </c>
      <c r="O7" s="6" t="s">
        <v>65</v>
      </c>
    </row>
    <row r="8" spans="1:18" x14ac:dyDescent="0.25">
      <c r="A8" s="6" t="s">
        <v>7104</v>
      </c>
      <c r="B8" s="6" t="s">
        <v>7103</v>
      </c>
      <c r="C8" s="6" t="s">
        <v>31</v>
      </c>
      <c r="E8" s="6" t="s">
        <v>7102</v>
      </c>
      <c r="F8" s="6" t="s">
        <v>1219</v>
      </c>
      <c r="G8" s="6" t="s">
        <v>16</v>
      </c>
      <c r="H8" s="6" t="s">
        <v>16</v>
      </c>
      <c r="I8" s="6" t="s">
        <v>14</v>
      </c>
      <c r="J8" s="6" t="s">
        <v>1611</v>
      </c>
      <c r="K8" s="7">
        <v>32.376209330000002</v>
      </c>
      <c r="L8" s="7">
        <v>-94.640799869999995</v>
      </c>
      <c r="M8" s="6" t="s">
        <v>6849</v>
      </c>
      <c r="N8" s="6" t="s">
        <v>65</v>
      </c>
      <c r="O8" s="6" t="s">
        <v>65</v>
      </c>
      <c r="R8" s="15"/>
    </row>
    <row r="9" spans="1:18" x14ac:dyDescent="0.25">
      <c r="A9" s="6" t="s">
        <v>1589</v>
      </c>
      <c r="B9" s="6" t="s">
        <v>1588</v>
      </c>
      <c r="C9" s="6" t="s">
        <v>19</v>
      </c>
      <c r="E9" s="6" t="s">
        <v>1587</v>
      </c>
      <c r="F9" s="6" t="s">
        <v>1586</v>
      </c>
      <c r="G9" s="6" t="s">
        <v>16</v>
      </c>
      <c r="H9" s="6" t="s">
        <v>15</v>
      </c>
      <c r="I9" s="6" t="s">
        <v>46</v>
      </c>
      <c r="J9" s="6" t="s">
        <v>781</v>
      </c>
      <c r="K9" s="7">
        <v>32.390486000000003</v>
      </c>
      <c r="L9" s="7">
        <v>-94.484429000000006</v>
      </c>
      <c r="M9" s="6" t="s">
        <v>1218</v>
      </c>
      <c r="N9" s="6" t="s">
        <v>65</v>
      </c>
      <c r="O9" s="6" t="s">
        <v>65</v>
      </c>
      <c r="R9" s="15"/>
    </row>
    <row r="10" spans="1:18" x14ac:dyDescent="0.25">
      <c r="A10" s="6" t="s">
        <v>9153</v>
      </c>
      <c r="B10" s="6" t="s">
        <v>9152</v>
      </c>
      <c r="C10" s="6" t="s">
        <v>31</v>
      </c>
      <c r="E10" s="6" t="s">
        <v>9151</v>
      </c>
      <c r="F10" s="6" t="s">
        <v>592</v>
      </c>
      <c r="G10" s="6" t="s">
        <v>16</v>
      </c>
      <c r="H10" s="6" t="s">
        <v>591</v>
      </c>
      <c r="I10" s="6" t="s">
        <v>14</v>
      </c>
      <c r="J10" s="6" t="s">
        <v>1275</v>
      </c>
      <c r="K10" s="7">
        <v>31.85550808</v>
      </c>
      <c r="L10" s="7">
        <v>-96.047305750000007</v>
      </c>
      <c r="M10" s="6" t="s">
        <v>1031</v>
      </c>
      <c r="N10" s="6" t="s">
        <v>102</v>
      </c>
      <c r="O10" s="6" t="s">
        <v>120</v>
      </c>
      <c r="R10" s="15"/>
    </row>
    <row r="11" spans="1:18" x14ac:dyDescent="0.25">
      <c r="A11" s="6" t="s">
        <v>8154</v>
      </c>
      <c r="B11" s="6" t="s">
        <v>3183</v>
      </c>
      <c r="C11" s="6" t="s">
        <v>31</v>
      </c>
      <c r="E11" s="6" t="s">
        <v>3182</v>
      </c>
      <c r="F11" s="6" t="s">
        <v>3181</v>
      </c>
      <c r="G11" s="6" t="s">
        <v>16</v>
      </c>
      <c r="H11" s="6" t="s">
        <v>15</v>
      </c>
      <c r="I11" s="6" t="s">
        <v>46</v>
      </c>
      <c r="J11" s="6" t="s">
        <v>151</v>
      </c>
      <c r="K11" s="7">
        <v>33.255392000000001</v>
      </c>
      <c r="L11" s="7">
        <v>-97.769479000000004</v>
      </c>
      <c r="M11" s="6" t="s">
        <v>150</v>
      </c>
      <c r="N11" s="6" t="s">
        <v>102</v>
      </c>
      <c r="O11" s="6" t="s">
        <v>42</v>
      </c>
      <c r="R11" s="15"/>
    </row>
    <row r="12" spans="1:18" x14ac:dyDescent="0.25">
      <c r="A12" s="6" t="s">
        <v>3184</v>
      </c>
      <c r="B12" s="6" t="s">
        <v>3183</v>
      </c>
      <c r="C12" s="6" t="s">
        <v>19</v>
      </c>
      <c r="E12" s="6" t="s">
        <v>3182</v>
      </c>
      <c r="F12" s="6" t="s">
        <v>3181</v>
      </c>
      <c r="G12" s="6" t="s">
        <v>16</v>
      </c>
      <c r="H12" s="6" t="s">
        <v>15</v>
      </c>
      <c r="I12" s="6" t="s">
        <v>46</v>
      </c>
      <c r="J12" s="6" t="s">
        <v>151</v>
      </c>
      <c r="K12" s="7">
        <v>33.270230439999999</v>
      </c>
      <c r="L12" s="7">
        <v>-97.766475610000001</v>
      </c>
      <c r="M12" s="6" t="s">
        <v>150</v>
      </c>
      <c r="N12" s="6" t="s">
        <v>102</v>
      </c>
      <c r="O12" s="6" t="s">
        <v>42</v>
      </c>
    </row>
    <row r="13" spans="1:18" x14ac:dyDescent="0.25">
      <c r="A13" s="6" t="s">
        <v>12434</v>
      </c>
      <c r="B13" s="6" t="s">
        <v>6766</v>
      </c>
      <c r="C13" s="6" t="s">
        <v>31</v>
      </c>
      <c r="E13" s="6" t="s">
        <v>6765</v>
      </c>
      <c r="F13" s="6" t="s">
        <v>6764</v>
      </c>
      <c r="G13" s="6" t="s">
        <v>16</v>
      </c>
      <c r="H13" s="6" t="s">
        <v>15</v>
      </c>
      <c r="I13" s="6" t="s">
        <v>14</v>
      </c>
      <c r="J13" s="6" t="s">
        <v>4455</v>
      </c>
      <c r="K13" s="7">
        <v>30.574266789999999</v>
      </c>
      <c r="L13" s="7">
        <v>-97.048645210000004</v>
      </c>
      <c r="M13" s="6" t="s">
        <v>589</v>
      </c>
      <c r="N13" s="6" t="s">
        <v>23</v>
      </c>
      <c r="O13" s="6" t="s">
        <v>120</v>
      </c>
      <c r="R13" s="15"/>
    </row>
    <row r="14" spans="1:18" x14ac:dyDescent="0.25">
      <c r="A14" s="6" t="s">
        <v>6767</v>
      </c>
      <c r="B14" s="6" t="s">
        <v>6766</v>
      </c>
      <c r="C14" s="6" t="s">
        <v>4265</v>
      </c>
      <c r="D14" s="6" t="s">
        <v>907</v>
      </c>
      <c r="E14" s="6" t="s">
        <v>6765</v>
      </c>
      <c r="F14" s="6" t="s">
        <v>6764</v>
      </c>
      <c r="G14" s="6" t="s">
        <v>16</v>
      </c>
      <c r="H14" s="6" t="s">
        <v>15</v>
      </c>
      <c r="I14" s="6" t="s">
        <v>14</v>
      </c>
      <c r="J14" s="6" t="s">
        <v>4455</v>
      </c>
      <c r="K14" s="7">
        <v>30.593604559999999</v>
      </c>
      <c r="L14" s="7">
        <v>-97.043911969999996</v>
      </c>
      <c r="M14" s="6" t="s">
        <v>589</v>
      </c>
      <c r="N14" s="6" t="s">
        <v>23</v>
      </c>
      <c r="O14" s="6" t="s">
        <v>120</v>
      </c>
    </row>
    <row r="15" spans="1:18" x14ac:dyDescent="0.25">
      <c r="A15" s="6" t="s">
        <v>9727</v>
      </c>
      <c r="B15" s="6" t="s">
        <v>5024</v>
      </c>
      <c r="C15" s="6" t="s">
        <v>31</v>
      </c>
      <c r="E15" s="6" t="s">
        <v>5023</v>
      </c>
      <c r="F15" s="6" t="s">
        <v>5022</v>
      </c>
      <c r="G15" s="6" t="s">
        <v>16</v>
      </c>
      <c r="H15" s="6" t="s">
        <v>15</v>
      </c>
      <c r="I15" s="6" t="s">
        <v>14</v>
      </c>
      <c r="J15" s="6" t="s">
        <v>781</v>
      </c>
      <c r="K15" s="7">
        <v>32.42939543</v>
      </c>
      <c r="L15" s="7">
        <v>-94.693005339999999</v>
      </c>
      <c r="M15" s="6" t="s">
        <v>1218</v>
      </c>
      <c r="N15" s="6" t="s">
        <v>65</v>
      </c>
      <c r="O15" s="6" t="s">
        <v>65</v>
      </c>
      <c r="R15" s="15"/>
    </row>
    <row r="16" spans="1:18" x14ac:dyDescent="0.25">
      <c r="A16" s="6" t="s">
        <v>9726</v>
      </c>
      <c r="B16" s="6" t="s">
        <v>5024</v>
      </c>
      <c r="C16" s="6" t="s">
        <v>19</v>
      </c>
      <c r="E16" s="6" t="s">
        <v>5023</v>
      </c>
      <c r="F16" s="6" t="s">
        <v>5022</v>
      </c>
      <c r="G16" s="6" t="s">
        <v>16</v>
      </c>
      <c r="H16" s="6" t="s">
        <v>15</v>
      </c>
      <c r="I16" s="6" t="s">
        <v>14</v>
      </c>
      <c r="J16" s="6" t="s">
        <v>781</v>
      </c>
      <c r="K16" s="7">
        <v>32.426508550000001</v>
      </c>
      <c r="L16" s="7">
        <v>-94.673380649999999</v>
      </c>
      <c r="M16" s="6" t="s">
        <v>1218</v>
      </c>
      <c r="N16" s="6" t="s">
        <v>65</v>
      </c>
      <c r="O16" s="6" t="s">
        <v>65</v>
      </c>
    </row>
    <row r="17" spans="1:18" x14ac:dyDescent="0.25">
      <c r="A17" s="6" t="s">
        <v>5025</v>
      </c>
      <c r="B17" s="6" t="s">
        <v>5024</v>
      </c>
      <c r="C17" s="6" t="s">
        <v>597</v>
      </c>
      <c r="E17" s="6" t="s">
        <v>5023</v>
      </c>
      <c r="F17" s="6" t="s">
        <v>5022</v>
      </c>
      <c r="G17" s="6" t="s">
        <v>16</v>
      </c>
      <c r="H17" s="6" t="s">
        <v>430</v>
      </c>
      <c r="I17" s="6" t="s">
        <v>14</v>
      </c>
      <c r="J17" s="6" t="s">
        <v>781</v>
      </c>
      <c r="K17" s="7">
        <v>32.408892899999998</v>
      </c>
      <c r="L17" s="7">
        <v>-94.657329790000006</v>
      </c>
      <c r="M17" s="6" t="s">
        <v>1218</v>
      </c>
      <c r="N17" s="6" t="s">
        <v>65</v>
      </c>
      <c r="O17" s="6" t="s">
        <v>65</v>
      </c>
    </row>
    <row r="18" spans="1:18" x14ac:dyDescent="0.25">
      <c r="A18" s="6" t="s">
        <v>12191</v>
      </c>
      <c r="B18" s="6" t="s">
        <v>5024</v>
      </c>
      <c r="C18" s="6" t="s">
        <v>557</v>
      </c>
      <c r="E18" s="6" t="s">
        <v>5023</v>
      </c>
      <c r="F18" s="6" t="s">
        <v>5022</v>
      </c>
      <c r="G18" s="6" t="s">
        <v>16</v>
      </c>
      <c r="H18" s="6" t="s">
        <v>15</v>
      </c>
      <c r="I18" s="6" t="s">
        <v>14</v>
      </c>
      <c r="J18" s="6" t="s">
        <v>781</v>
      </c>
      <c r="K18" s="7">
        <v>32.434365219999997</v>
      </c>
      <c r="L18" s="7">
        <v>-94.676268269999994</v>
      </c>
      <c r="M18" s="6" t="s">
        <v>1218</v>
      </c>
      <c r="N18" s="6" t="s">
        <v>65</v>
      </c>
      <c r="O18" s="6" t="s">
        <v>65</v>
      </c>
    </row>
    <row r="19" spans="1:18" x14ac:dyDescent="0.25">
      <c r="A19" s="6" t="s">
        <v>8136</v>
      </c>
      <c r="B19" s="6" t="s">
        <v>8134</v>
      </c>
      <c r="C19" s="6" t="s">
        <v>31</v>
      </c>
      <c r="E19" s="6" t="s">
        <v>8133</v>
      </c>
      <c r="F19" s="6" t="s">
        <v>8132</v>
      </c>
      <c r="G19" s="6" t="s">
        <v>16</v>
      </c>
      <c r="H19" s="6" t="s">
        <v>15</v>
      </c>
      <c r="I19" s="6" t="s">
        <v>14</v>
      </c>
      <c r="J19" s="6" t="s">
        <v>471</v>
      </c>
      <c r="K19" s="7">
        <v>32.716883799999998</v>
      </c>
      <c r="L19" s="7">
        <v>-96.95232747</v>
      </c>
      <c r="M19" s="6" t="s">
        <v>5209</v>
      </c>
      <c r="N19" s="6" t="s">
        <v>102</v>
      </c>
      <c r="O19" s="6" t="s">
        <v>42</v>
      </c>
      <c r="R19" s="15"/>
    </row>
    <row r="20" spans="1:18" x14ac:dyDescent="0.25">
      <c r="A20" s="6" t="s">
        <v>8135</v>
      </c>
      <c r="B20" s="6" t="s">
        <v>8134</v>
      </c>
      <c r="C20" s="6" t="s">
        <v>19</v>
      </c>
      <c r="E20" s="6" t="s">
        <v>8133</v>
      </c>
      <c r="F20" s="6" t="s">
        <v>8132</v>
      </c>
      <c r="G20" s="6" t="s">
        <v>16</v>
      </c>
      <c r="H20" s="6" t="s">
        <v>15</v>
      </c>
      <c r="I20" s="6" t="s">
        <v>14</v>
      </c>
      <c r="J20" s="6" t="s">
        <v>471</v>
      </c>
      <c r="K20" s="7">
        <v>32.72383258</v>
      </c>
      <c r="L20" s="7">
        <v>-96.937418149999999</v>
      </c>
      <c r="M20" s="6" t="s">
        <v>5209</v>
      </c>
      <c r="N20" s="6" t="s">
        <v>102</v>
      </c>
      <c r="O20" s="6" t="s">
        <v>42</v>
      </c>
    </row>
    <row r="21" spans="1:18" x14ac:dyDescent="0.25">
      <c r="A21" s="6" t="s">
        <v>8139</v>
      </c>
      <c r="B21" s="6" t="s">
        <v>8138</v>
      </c>
      <c r="C21" s="6" t="s">
        <v>31</v>
      </c>
      <c r="E21" s="6" t="s">
        <v>8137</v>
      </c>
      <c r="F21" s="6" t="s">
        <v>269</v>
      </c>
      <c r="G21" s="6" t="s">
        <v>16</v>
      </c>
      <c r="H21" s="6" t="s">
        <v>15</v>
      </c>
      <c r="I21" s="6" t="s">
        <v>1410</v>
      </c>
      <c r="J21" s="6" t="s">
        <v>471</v>
      </c>
      <c r="K21" s="7">
        <v>32.839411759999997</v>
      </c>
      <c r="L21" s="7">
        <v>-96.543604549999998</v>
      </c>
      <c r="M21" s="6" t="s">
        <v>5476</v>
      </c>
      <c r="N21" s="6" t="s">
        <v>102</v>
      </c>
      <c r="O21" s="6" t="s">
        <v>42</v>
      </c>
    </row>
    <row r="22" spans="1:18" x14ac:dyDescent="0.25">
      <c r="A22" s="6" t="s">
        <v>6906</v>
      </c>
      <c r="B22" s="6" t="s">
        <v>6905</v>
      </c>
      <c r="C22" s="6" t="s">
        <v>31</v>
      </c>
      <c r="E22" s="6" t="s">
        <v>6904</v>
      </c>
      <c r="F22" s="6" t="s">
        <v>269</v>
      </c>
      <c r="G22" s="6" t="s">
        <v>16</v>
      </c>
      <c r="H22" s="6" t="s">
        <v>15</v>
      </c>
      <c r="I22" s="6" t="s">
        <v>14</v>
      </c>
      <c r="J22" s="6" t="s">
        <v>2267</v>
      </c>
      <c r="K22" s="7">
        <v>32.116696730000001</v>
      </c>
      <c r="L22" s="7">
        <v>-96.082367020000007</v>
      </c>
      <c r="M22" s="6" t="s">
        <v>1031</v>
      </c>
      <c r="N22" s="6" t="s">
        <v>102</v>
      </c>
      <c r="O22" s="6" t="s">
        <v>65</v>
      </c>
    </row>
    <row r="23" spans="1:18" x14ac:dyDescent="0.25">
      <c r="A23" s="6" t="s">
        <v>8120</v>
      </c>
      <c r="B23" s="6" t="s">
        <v>8119</v>
      </c>
      <c r="C23" s="6" t="s">
        <v>31</v>
      </c>
      <c r="E23" s="6" t="s">
        <v>8118</v>
      </c>
      <c r="F23" s="6" t="s">
        <v>269</v>
      </c>
      <c r="G23" s="6" t="s">
        <v>16</v>
      </c>
      <c r="H23" s="6" t="s">
        <v>15</v>
      </c>
      <c r="I23" s="6" t="s">
        <v>14</v>
      </c>
      <c r="J23" s="6" t="s">
        <v>122</v>
      </c>
      <c r="K23" s="7">
        <v>31.570272630000002</v>
      </c>
      <c r="L23" s="7">
        <v>-96.949991900000001</v>
      </c>
      <c r="M23" s="6" t="s">
        <v>121</v>
      </c>
      <c r="N23" s="6" t="s">
        <v>23</v>
      </c>
      <c r="O23" s="6" t="s">
        <v>120</v>
      </c>
    </row>
    <row r="24" spans="1:18" x14ac:dyDescent="0.25">
      <c r="A24" s="6" t="s">
        <v>6902</v>
      </c>
      <c r="B24" s="6" t="s">
        <v>6899</v>
      </c>
      <c r="C24" s="6" t="s">
        <v>31</v>
      </c>
      <c r="E24" s="6" t="s">
        <v>6898</v>
      </c>
      <c r="F24" s="6" t="s">
        <v>269</v>
      </c>
      <c r="G24" s="6" t="s">
        <v>16</v>
      </c>
      <c r="H24" s="6" t="s">
        <v>15</v>
      </c>
      <c r="I24" s="6" t="s">
        <v>14</v>
      </c>
      <c r="J24" s="6" t="s">
        <v>122</v>
      </c>
      <c r="K24" s="7">
        <v>31.470252540000001</v>
      </c>
      <c r="L24" s="7">
        <v>-96.980235039999997</v>
      </c>
      <c r="M24" s="6" t="s">
        <v>121</v>
      </c>
      <c r="N24" s="6" t="s">
        <v>23</v>
      </c>
      <c r="O24" s="6" t="s">
        <v>120</v>
      </c>
    </row>
    <row r="25" spans="1:18" x14ac:dyDescent="0.25">
      <c r="A25" s="6" t="s">
        <v>6901</v>
      </c>
      <c r="B25" s="6" t="s">
        <v>6899</v>
      </c>
      <c r="C25" s="6" t="s">
        <v>19</v>
      </c>
      <c r="E25" s="6" t="s">
        <v>6898</v>
      </c>
      <c r="F25" s="6" t="s">
        <v>269</v>
      </c>
      <c r="G25" s="6" t="s">
        <v>16</v>
      </c>
      <c r="H25" s="6" t="s">
        <v>15</v>
      </c>
      <c r="I25" s="6" t="s">
        <v>14</v>
      </c>
      <c r="J25" s="6" t="s">
        <v>122</v>
      </c>
      <c r="K25" s="7">
        <v>31.46390156</v>
      </c>
      <c r="L25" s="7">
        <v>-96.983745099999993</v>
      </c>
      <c r="M25" s="6" t="s">
        <v>121</v>
      </c>
      <c r="N25" s="6" t="s">
        <v>23</v>
      </c>
      <c r="O25" s="6" t="s">
        <v>120</v>
      </c>
    </row>
    <row r="26" spans="1:18" x14ac:dyDescent="0.25">
      <c r="A26" s="6" t="s">
        <v>6900</v>
      </c>
      <c r="B26" s="6" t="s">
        <v>6899</v>
      </c>
      <c r="C26" s="6" t="s">
        <v>436</v>
      </c>
      <c r="E26" s="6" t="s">
        <v>6898</v>
      </c>
      <c r="F26" s="6" t="s">
        <v>269</v>
      </c>
      <c r="G26" s="6" t="s">
        <v>16</v>
      </c>
      <c r="H26" s="6" t="s">
        <v>15</v>
      </c>
      <c r="I26" s="6" t="s">
        <v>14</v>
      </c>
      <c r="J26" s="6" t="s">
        <v>122</v>
      </c>
      <c r="K26" s="7">
        <v>31.46274824</v>
      </c>
      <c r="L26" s="7">
        <v>-96.985699789999998</v>
      </c>
      <c r="M26" s="6" t="s">
        <v>121</v>
      </c>
      <c r="N26" s="6" t="s">
        <v>23</v>
      </c>
      <c r="O26" s="6" t="s">
        <v>120</v>
      </c>
    </row>
    <row r="27" spans="1:18" x14ac:dyDescent="0.25">
      <c r="A27" s="6" t="s">
        <v>6909</v>
      </c>
      <c r="B27" s="6" t="s">
        <v>6908</v>
      </c>
      <c r="C27" s="6" t="s">
        <v>31</v>
      </c>
      <c r="E27" s="6" t="s">
        <v>6907</v>
      </c>
      <c r="F27" s="6" t="s">
        <v>269</v>
      </c>
      <c r="G27" s="6" t="s">
        <v>16</v>
      </c>
      <c r="H27" s="6" t="s">
        <v>15</v>
      </c>
      <c r="I27" s="6" t="s">
        <v>14</v>
      </c>
      <c r="J27" s="6" t="s">
        <v>72</v>
      </c>
      <c r="K27" s="7">
        <v>31.957792680000001</v>
      </c>
      <c r="L27" s="7">
        <v>-94.99563646</v>
      </c>
      <c r="M27" s="6" t="s">
        <v>203</v>
      </c>
      <c r="N27" s="6" t="s">
        <v>52</v>
      </c>
      <c r="O27" s="6" t="s">
        <v>65</v>
      </c>
    </row>
    <row r="28" spans="1:18" x14ac:dyDescent="0.25">
      <c r="A28" s="6" t="s">
        <v>8357</v>
      </c>
      <c r="B28" s="6" t="s">
        <v>8354</v>
      </c>
      <c r="C28" s="6" t="s">
        <v>31</v>
      </c>
      <c r="E28" s="6" t="s">
        <v>8353</v>
      </c>
      <c r="F28" s="6" t="s">
        <v>269</v>
      </c>
      <c r="G28" s="6" t="s">
        <v>16</v>
      </c>
      <c r="H28" s="6" t="s">
        <v>15</v>
      </c>
      <c r="I28" s="6" t="s">
        <v>14</v>
      </c>
      <c r="J28" s="6" t="s">
        <v>8352</v>
      </c>
      <c r="K28" s="7">
        <v>33.133331650000002</v>
      </c>
      <c r="L28" s="7">
        <v>-98.609721469999997</v>
      </c>
      <c r="M28" s="6" t="s">
        <v>8356</v>
      </c>
      <c r="N28" s="6" t="s">
        <v>23</v>
      </c>
      <c r="O28" s="6" t="s">
        <v>95</v>
      </c>
    </row>
    <row r="29" spans="1:18" x14ac:dyDescent="0.25">
      <c r="A29" s="6" t="s">
        <v>8355</v>
      </c>
      <c r="B29" s="6" t="s">
        <v>8354</v>
      </c>
      <c r="C29" s="6" t="s">
        <v>19</v>
      </c>
      <c r="E29" s="6" t="s">
        <v>8353</v>
      </c>
      <c r="F29" s="6" t="s">
        <v>269</v>
      </c>
      <c r="G29" s="6" t="s">
        <v>16</v>
      </c>
      <c r="H29" s="6" t="s">
        <v>15</v>
      </c>
      <c r="I29" s="6" t="s">
        <v>14</v>
      </c>
      <c r="J29" s="6" t="s">
        <v>8352</v>
      </c>
      <c r="K29" s="7">
        <v>33.130275609999998</v>
      </c>
      <c r="L29" s="7">
        <v>-98.615290939999994</v>
      </c>
      <c r="M29" s="6" t="s">
        <v>6981</v>
      </c>
      <c r="N29" s="6" t="s">
        <v>23</v>
      </c>
      <c r="O29" s="6" t="s">
        <v>95</v>
      </c>
    </row>
    <row r="30" spans="1:18" x14ac:dyDescent="0.25">
      <c r="A30" s="6" t="s">
        <v>8083</v>
      </c>
      <c r="B30" s="6" t="s">
        <v>8082</v>
      </c>
      <c r="C30" s="6" t="s">
        <v>19</v>
      </c>
      <c r="E30" s="6" t="s">
        <v>8081</v>
      </c>
      <c r="F30" s="6" t="s">
        <v>269</v>
      </c>
      <c r="G30" s="6" t="s">
        <v>16</v>
      </c>
      <c r="H30" s="6" t="s">
        <v>15</v>
      </c>
      <c r="I30" s="6" t="s">
        <v>14</v>
      </c>
      <c r="J30" s="6" t="s">
        <v>8080</v>
      </c>
      <c r="K30" s="7">
        <v>32.325356999999997</v>
      </c>
      <c r="L30" s="7">
        <v>-100.917295</v>
      </c>
      <c r="M30" s="6" t="s">
        <v>1801</v>
      </c>
      <c r="N30" s="6" t="s">
        <v>10</v>
      </c>
      <c r="O30" s="6" t="s">
        <v>95</v>
      </c>
    </row>
    <row r="31" spans="1:18" x14ac:dyDescent="0.25">
      <c r="A31" s="6" t="s">
        <v>8087</v>
      </c>
      <c r="B31" s="6" t="s">
        <v>8086</v>
      </c>
      <c r="C31" s="6" t="s">
        <v>31</v>
      </c>
      <c r="E31" s="6" t="s">
        <v>8085</v>
      </c>
      <c r="F31" s="6" t="s">
        <v>8084</v>
      </c>
      <c r="G31" s="6" t="s">
        <v>16</v>
      </c>
      <c r="H31" s="6" t="s">
        <v>15</v>
      </c>
      <c r="I31" s="6" t="s">
        <v>27</v>
      </c>
      <c r="J31" s="6" t="s">
        <v>268</v>
      </c>
      <c r="K31" s="7">
        <v>32.715824759999997</v>
      </c>
      <c r="L31" s="7">
        <v>-97.217503800000003</v>
      </c>
      <c r="M31" s="6" t="s">
        <v>2826</v>
      </c>
      <c r="N31" s="6" t="s">
        <v>102</v>
      </c>
      <c r="O31" s="6" t="s">
        <v>42</v>
      </c>
    </row>
    <row r="32" spans="1:18" x14ac:dyDescent="0.25">
      <c r="A32" s="6" t="s">
        <v>6501</v>
      </c>
      <c r="B32" s="6" t="s">
        <v>6500</v>
      </c>
      <c r="C32" s="6" t="s">
        <v>31</v>
      </c>
      <c r="D32" s="6" t="s">
        <v>907</v>
      </c>
      <c r="E32" s="6" t="s">
        <v>6499</v>
      </c>
      <c r="F32" s="6" t="s">
        <v>6498</v>
      </c>
      <c r="G32" s="6" t="s">
        <v>16</v>
      </c>
      <c r="H32" s="6" t="s">
        <v>15</v>
      </c>
      <c r="I32" s="6" t="s">
        <v>46</v>
      </c>
      <c r="J32" s="6" t="s">
        <v>1013</v>
      </c>
      <c r="K32" s="7">
        <v>31.196670000000001</v>
      </c>
      <c r="L32" s="7">
        <v>-94.817644000000001</v>
      </c>
      <c r="M32" s="6" t="s">
        <v>53</v>
      </c>
      <c r="N32" s="6" t="s">
        <v>52</v>
      </c>
      <c r="O32" s="6" t="s">
        <v>24</v>
      </c>
    </row>
    <row r="33" spans="1:15" x14ac:dyDescent="0.25">
      <c r="A33" s="6" t="s">
        <v>6501</v>
      </c>
      <c r="B33" s="6" t="s">
        <v>6500</v>
      </c>
      <c r="C33" s="6" t="s">
        <v>31</v>
      </c>
      <c r="D33" s="6" t="s">
        <v>619</v>
      </c>
      <c r="E33" s="6" t="s">
        <v>6499</v>
      </c>
      <c r="F33" s="6" t="s">
        <v>6498</v>
      </c>
      <c r="G33" s="6" t="s">
        <v>16</v>
      </c>
      <c r="H33" s="6" t="s">
        <v>15</v>
      </c>
      <c r="I33" s="6" t="s">
        <v>46</v>
      </c>
      <c r="J33" s="6" t="s">
        <v>1013</v>
      </c>
      <c r="K33" s="7">
        <v>31.192875000000001</v>
      </c>
      <c r="L33" s="7">
        <v>-94.812431000000004</v>
      </c>
      <c r="M33" s="6" t="s">
        <v>53</v>
      </c>
      <c r="N33" s="6" t="s">
        <v>52</v>
      </c>
      <c r="O33" s="6" t="s">
        <v>24</v>
      </c>
    </row>
    <row r="34" spans="1:15" x14ac:dyDescent="0.25">
      <c r="A34" s="6" t="s">
        <v>10679</v>
      </c>
      <c r="B34" s="6" t="s">
        <v>6500</v>
      </c>
      <c r="C34" s="6" t="s">
        <v>436</v>
      </c>
      <c r="E34" s="6" t="s">
        <v>6499</v>
      </c>
      <c r="F34" s="6" t="s">
        <v>6498</v>
      </c>
      <c r="G34" s="6" t="s">
        <v>16</v>
      </c>
      <c r="H34" s="6" t="s">
        <v>15</v>
      </c>
      <c r="I34" s="6" t="s">
        <v>46</v>
      </c>
      <c r="J34" s="6" t="s">
        <v>1013</v>
      </c>
      <c r="K34" s="7">
        <v>31.188920400000001</v>
      </c>
      <c r="L34" s="7">
        <v>-94.792390690000005</v>
      </c>
      <c r="M34" s="6" t="s">
        <v>53</v>
      </c>
      <c r="N34" s="6" t="s">
        <v>52</v>
      </c>
      <c r="O34" s="6" t="s">
        <v>24</v>
      </c>
    </row>
    <row r="35" spans="1:15" x14ac:dyDescent="0.25">
      <c r="A35" s="6" t="s">
        <v>10678</v>
      </c>
      <c r="B35" s="6" t="s">
        <v>6500</v>
      </c>
      <c r="C35" s="6" t="s">
        <v>597</v>
      </c>
      <c r="E35" s="6" t="s">
        <v>6499</v>
      </c>
      <c r="F35" s="6" t="s">
        <v>6498</v>
      </c>
      <c r="G35" s="6" t="s">
        <v>16</v>
      </c>
      <c r="H35" s="6" t="s">
        <v>15</v>
      </c>
      <c r="I35" s="6" t="s">
        <v>46</v>
      </c>
      <c r="J35" s="6" t="s">
        <v>1013</v>
      </c>
      <c r="K35" s="7">
        <v>31.199485809999999</v>
      </c>
      <c r="L35" s="7">
        <v>-94.790326800000003</v>
      </c>
      <c r="M35" s="6" t="s">
        <v>53</v>
      </c>
      <c r="N35" s="6" t="s">
        <v>52</v>
      </c>
      <c r="O35" s="6" t="s">
        <v>24</v>
      </c>
    </row>
    <row r="36" spans="1:15" x14ac:dyDescent="0.25">
      <c r="A36" s="6" t="s">
        <v>10677</v>
      </c>
      <c r="B36" s="6" t="s">
        <v>6500</v>
      </c>
      <c r="C36" s="6" t="s">
        <v>433</v>
      </c>
      <c r="E36" s="6" t="s">
        <v>6499</v>
      </c>
      <c r="F36" s="6" t="s">
        <v>6498</v>
      </c>
      <c r="G36" s="6" t="s">
        <v>16</v>
      </c>
      <c r="H36" s="6" t="s">
        <v>430</v>
      </c>
      <c r="I36" s="6" t="s">
        <v>46</v>
      </c>
      <c r="J36" s="6" t="s">
        <v>1013</v>
      </c>
      <c r="K36" s="7">
        <v>31.18666223</v>
      </c>
      <c r="L36" s="7">
        <v>-94.791684320000002</v>
      </c>
      <c r="M36" s="6" t="s">
        <v>53</v>
      </c>
      <c r="N36" s="6" t="s">
        <v>52</v>
      </c>
      <c r="O36" s="6" t="s">
        <v>24</v>
      </c>
    </row>
    <row r="37" spans="1:15" x14ac:dyDescent="0.25">
      <c r="A37" s="6" t="s">
        <v>10643</v>
      </c>
      <c r="B37" s="6" t="s">
        <v>7594</v>
      </c>
      <c r="C37" s="6" t="s">
        <v>31</v>
      </c>
      <c r="E37" s="6" t="s">
        <v>7593</v>
      </c>
      <c r="F37" s="6" t="s">
        <v>7592</v>
      </c>
      <c r="G37" s="6" t="s">
        <v>16</v>
      </c>
      <c r="H37" s="6" t="s">
        <v>591</v>
      </c>
      <c r="I37" s="6" t="s">
        <v>14</v>
      </c>
      <c r="J37" s="6" t="s">
        <v>1281</v>
      </c>
      <c r="K37" s="7">
        <v>31.300495439999999</v>
      </c>
      <c r="L37" s="7">
        <v>-96.505507379999997</v>
      </c>
      <c r="M37" s="6" t="s">
        <v>927</v>
      </c>
      <c r="N37" s="6" t="s">
        <v>23</v>
      </c>
      <c r="O37" s="6" t="s">
        <v>120</v>
      </c>
    </row>
    <row r="38" spans="1:15" x14ac:dyDescent="0.25">
      <c r="A38" s="6" t="s">
        <v>7596</v>
      </c>
      <c r="B38" s="6" t="s">
        <v>7594</v>
      </c>
      <c r="C38" s="6" t="s">
        <v>19</v>
      </c>
      <c r="E38" s="6" t="s">
        <v>7593</v>
      </c>
      <c r="F38" s="6" t="s">
        <v>7592</v>
      </c>
      <c r="G38" s="6" t="s">
        <v>16</v>
      </c>
      <c r="H38" s="6" t="s">
        <v>591</v>
      </c>
      <c r="I38" s="6" t="s">
        <v>14</v>
      </c>
      <c r="J38" s="6" t="s">
        <v>1281</v>
      </c>
      <c r="K38" s="7">
        <v>31.297363730000001</v>
      </c>
      <c r="L38" s="7">
        <v>-96.510006880000006</v>
      </c>
      <c r="M38" s="6" t="s">
        <v>927</v>
      </c>
      <c r="N38" s="6" t="s">
        <v>23</v>
      </c>
      <c r="O38" s="6" t="s">
        <v>120</v>
      </c>
    </row>
    <row r="39" spans="1:15" x14ac:dyDescent="0.25">
      <c r="A39" s="6" t="s">
        <v>7595</v>
      </c>
      <c r="B39" s="6" t="s">
        <v>7594</v>
      </c>
      <c r="C39" s="6" t="s">
        <v>597</v>
      </c>
      <c r="E39" s="6" t="s">
        <v>7593</v>
      </c>
      <c r="F39" s="6" t="s">
        <v>7592</v>
      </c>
      <c r="G39" s="6" t="s">
        <v>16</v>
      </c>
      <c r="H39" s="6" t="s">
        <v>591</v>
      </c>
      <c r="I39" s="6" t="s">
        <v>14</v>
      </c>
      <c r="J39" s="6" t="s">
        <v>1281</v>
      </c>
      <c r="K39" s="7">
        <v>31.302916</v>
      </c>
      <c r="L39" s="7">
        <v>-96.496932000000001</v>
      </c>
      <c r="M39" s="6" t="s">
        <v>927</v>
      </c>
      <c r="N39" s="6" t="s">
        <v>23</v>
      </c>
      <c r="O39" s="6" t="s">
        <v>120</v>
      </c>
    </row>
    <row r="40" spans="1:15" x14ac:dyDescent="0.25">
      <c r="A40" s="6" t="s">
        <v>1825</v>
      </c>
      <c r="B40" s="6" t="s">
        <v>1380</v>
      </c>
      <c r="C40" s="6" t="s">
        <v>31</v>
      </c>
      <c r="E40" s="6" t="s">
        <v>1379</v>
      </c>
      <c r="F40" s="6" t="s">
        <v>1378</v>
      </c>
      <c r="G40" s="6" t="s">
        <v>16</v>
      </c>
      <c r="H40" s="6" t="s">
        <v>430</v>
      </c>
      <c r="I40" s="6" t="s">
        <v>27</v>
      </c>
      <c r="J40" s="6" t="s">
        <v>67</v>
      </c>
      <c r="K40" s="7">
        <v>32.361071379999998</v>
      </c>
      <c r="L40" s="7">
        <v>-95.279663330000005</v>
      </c>
      <c r="M40" s="6" t="s">
        <v>765</v>
      </c>
      <c r="N40" s="6" t="s">
        <v>52</v>
      </c>
      <c r="O40" s="6" t="s">
        <v>65</v>
      </c>
    </row>
    <row r="41" spans="1:15" x14ac:dyDescent="0.25">
      <c r="A41" s="6" t="s">
        <v>1824</v>
      </c>
      <c r="B41" s="6" t="s">
        <v>1380</v>
      </c>
      <c r="C41" s="6" t="s">
        <v>19</v>
      </c>
      <c r="E41" s="6" t="s">
        <v>1379</v>
      </c>
      <c r="F41" s="6" t="s">
        <v>1378</v>
      </c>
      <c r="G41" s="6" t="s">
        <v>16</v>
      </c>
      <c r="H41" s="6" t="s">
        <v>430</v>
      </c>
      <c r="I41" s="6" t="s">
        <v>27</v>
      </c>
      <c r="J41" s="6" t="s">
        <v>67</v>
      </c>
      <c r="K41" s="7">
        <v>32.365434290000003</v>
      </c>
      <c r="L41" s="7">
        <v>-95.273042189999998</v>
      </c>
      <c r="M41" s="6" t="s">
        <v>765</v>
      </c>
      <c r="N41" s="6" t="s">
        <v>52</v>
      </c>
      <c r="O41" s="6" t="s">
        <v>65</v>
      </c>
    </row>
    <row r="42" spans="1:15" x14ac:dyDescent="0.25">
      <c r="A42" s="6" t="s">
        <v>1381</v>
      </c>
      <c r="B42" s="6" t="s">
        <v>1380</v>
      </c>
      <c r="C42" s="6" t="s">
        <v>436</v>
      </c>
      <c r="E42" s="6" t="s">
        <v>1379</v>
      </c>
      <c r="F42" s="6" t="s">
        <v>1378</v>
      </c>
      <c r="G42" s="6" t="s">
        <v>16</v>
      </c>
      <c r="H42" s="6" t="s">
        <v>430</v>
      </c>
      <c r="I42" s="6" t="s">
        <v>27</v>
      </c>
      <c r="J42" s="6" t="s">
        <v>67</v>
      </c>
      <c r="K42" s="7">
        <v>32.358514</v>
      </c>
      <c r="L42" s="7">
        <v>-95.285511</v>
      </c>
      <c r="M42" s="6" t="s">
        <v>765</v>
      </c>
      <c r="N42" s="6" t="s">
        <v>52</v>
      </c>
      <c r="O42" s="6" t="s">
        <v>65</v>
      </c>
    </row>
    <row r="43" spans="1:15" x14ac:dyDescent="0.25">
      <c r="A43" s="6" t="s">
        <v>2236</v>
      </c>
      <c r="B43" s="6" t="s">
        <v>1380</v>
      </c>
      <c r="C43" s="6" t="s">
        <v>597</v>
      </c>
      <c r="E43" s="6" t="s">
        <v>1379</v>
      </c>
      <c r="F43" s="6" t="s">
        <v>1378</v>
      </c>
      <c r="G43" s="6" t="s">
        <v>16</v>
      </c>
      <c r="H43" s="6" t="s">
        <v>430</v>
      </c>
      <c r="I43" s="6" t="s">
        <v>27</v>
      </c>
      <c r="J43" s="6" t="s">
        <v>67</v>
      </c>
      <c r="K43" s="7">
        <v>32.357999</v>
      </c>
      <c r="L43" s="7">
        <v>-95.279269999999997</v>
      </c>
      <c r="M43" s="6" t="s">
        <v>765</v>
      </c>
      <c r="N43" s="6" t="s">
        <v>52</v>
      </c>
      <c r="O43" s="6" t="s">
        <v>65</v>
      </c>
    </row>
    <row r="44" spans="1:15" x14ac:dyDescent="0.25">
      <c r="A44" s="6" t="s">
        <v>2040</v>
      </c>
      <c r="B44" s="6" t="s">
        <v>1380</v>
      </c>
      <c r="C44" s="6" t="s">
        <v>557</v>
      </c>
      <c r="E44" s="6" t="s">
        <v>1379</v>
      </c>
      <c r="F44" s="6" t="s">
        <v>1378</v>
      </c>
      <c r="G44" s="6" t="s">
        <v>16</v>
      </c>
      <c r="H44" s="6" t="s">
        <v>430</v>
      </c>
      <c r="I44" s="6" t="s">
        <v>27</v>
      </c>
      <c r="J44" s="6" t="s">
        <v>67</v>
      </c>
      <c r="K44" s="7">
        <v>32.362031109999997</v>
      </c>
      <c r="L44" s="7">
        <v>-95.278670790000007</v>
      </c>
      <c r="M44" s="6" t="s">
        <v>765</v>
      </c>
      <c r="N44" s="6" t="s">
        <v>52</v>
      </c>
      <c r="O44" s="6" t="s">
        <v>65</v>
      </c>
    </row>
    <row r="45" spans="1:15" x14ac:dyDescent="0.25">
      <c r="A45" s="6" t="s">
        <v>2036</v>
      </c>
      <c r="B45" s="6" t="s">
        <v>1380</v>
      </c>
      <c r="C45" s="6" t="s">
        <v>433</v>
      </c>
      <c r="E45" s="6" t="s">
        <v>1379</v>
      </c>
      <c r="F45" s="6" t="s">
        <v>1378</v>
      </c>
      <c r="G45" s="6" t="s">
        <v>16</v>
      </c>
      <c r="H45" s="6" t="s">
        <v>430</v>
      </c>
      <c r="I45" s="6" t="s">
        <v>27</v>
      </c>
      <c r="J45" s="6" t="s">
        <v>67</v>
      </c>
      <c r="K45" s="7">
        <v>32.362814999999998</v>
      </c>
      <c r="L45" s="7">
        <v>-95.278064000000001</v>
      </c>
      <c r="M45" s="6" t="s">
        <v>765</v>
      </c>
      <c r="N45" s="6" t="s">
        <v>52</v>
      </c>
      <c r="O45" s="6" t="s">
        <v>65</v>
      </c>
    </row>
    <row r="46" spans="1:15" x14ac:dyDescent="0.25">
      <c r="A46" s="6" t="s">
        <v>2035</v>
      </c>
      <c r="B46" s="6" t="s">
        <v>1380</v>
      </c>
      <c r="C46" s="6" t="s">
        <v>1096</v>
      </c>
      <c r="E46" s="6" t="s">
        <v>1379</v>
      </c>
      <c r="F46" s="6" t="s">
        <v>1378</v>
      </c>
      <c r="G46" s="6" t="s">
        <v>16</v>
      </c>
      <c r="H46" s="6" t="s">
        <v>430</v>
      </c>
      <c r="I46" s="6" t="s">
        <v>27</v>
      </c>
      <c r="J46" s="6" t="s">
        <v>67</v>
      </c>
      <c r="K46" s="7">
        <v>32.367105000000002</v>
      </c>
      <c r="L46" s="7">
        <v>-95.275732000000005</v>
      </c>
      <c r="M46" s="6" t="s">
        <v>765</v>
      </c>
      <c r="N46" s="6" t="s">
        <v>52</v>
      </c>
      <c r="O46" s="6" t="s">
        <v>65</v>
      </c>
    </row>
    <row r="47" spans="1:15" x14ac:dyDescent="0.25">
      <c r="A47" s="6" t="s">
        <v>2034</v>
      </c>
      <c r="B47" s="6" t="s">
        <v>1380</v>
      </c>
      <c r="C47" s="6" t="s">
        <v>635</v>
      </c>
      <c r="E47" s="6" t="s">
        <v>1379</v>
      </c>
      <c r="F47" s="6" t="s">
        <v>1378</v>
      </c>
      <c r="G47" s="6" t="s">
        <v>16</v>
      </c>
      <c r="H47" s="6" t="s">
        <v>430</v>
      </c>
      <c r="I47" s="6" t="s">
        <v>27</v>
      </c>
      <c r="J47" s="6" t="s">
        <v>67</v>
      </c>
      <c r="K47" s="7">
        <v>32.3703</v>
      </c>
      <c r="L47" s="7">
        <v>-95.271085999999997</v>
      </c>
      <c r="M47" s="6" t="s">
        <v>765</v>
      </c>
      <c r="N47" s="6" t="s">
        <v>52</v>
      </c>
      <c r="O47" s="6" t="s">
        <v>65</v>
      </c>
    </row>
    <row r="48" spans="1:15" x14ac:dyDescent="0.25">
      <c r="A48" s="6" t="s">
        <v>2033</v>
      </c>
      <c r="B48" s="6" t="s">
        <v>1380</v>
      </c>
      <c r="C48" s="6" t="s">
        <v>1092</v>
      </c>
      <c r="E48" s="6" t="s">
        <v>1379</v>
      </c>
      <c r="F48" s="6" t="s">
        <v>1378</v>
      </c>
      <c r="G48" s="6" t="s">
        <v>16</v>
      </c>
      <c r="H48" s="6" t="s">
        <v>430</v>
      </c>
      <c r="I48" s="6" t="s">
        <v>27</v>
      </c>
      <c r="J48" s="6" t="s">
        <v>67</v>
      </c>
      <c r="K48" s="7">
        <v>32.36509006</v>
      </c>
      <c r="L48" s="7">
        <v>-95.278058509999994</v>
      </c>
      <c r="M48" s="6" t="s">
        <v>765</v>
      </c>
      <c r="N48" s="6" t="s">
        <v>52</v>
      </c>
      <c r="O48" s="6" t="s">
        <v>65</v>
      </c>
    </row>
    <row r="49" spans="1:18" x14ac:dyDescent="0.25">
      <c r="A49" s="6" t="s">
        <v>2028</v>
      </c>
      <c r="B49" s="6" t="s">
        <v>1380</v>
      </c>
      <c r="C49" s="6" t="s">
        <v>869</v>
      </c>
      <c r="E49" s="6" t="s">
        <v>1379</v>
      </c>
      <c r="F49" s="6" t="s">
        <v>1378</v>
      </c>
      <c r="G49" s="6" t="s">
        <v>16</v>
      </c>
      <c r="H49" s="6" t="s">
        <v>430</v>
      </c>
      <c r="I49" s="6" t="s">
        <v>27</v>
      </c>
      <c r="J49" s="6" t="s">
        <v>67</v>
      </c>
      <c r="K49" s="7">
        <v>32.365872410000001</v>
      </c>
      <c r="L49" s="7">
        <v>-95.279689579999996</v>
      </c>
      <c r="M49" s="6" t="s">
        <v>765</v>
      </c>
      <c r="N49" s="6" t="s">
        <v>52</v>
      </c>
      <c r="O49" s="6" t="s">
        <v>65</v>
      </c>
    </row>
    <row r="50" spans="1:18" x14ac:dyDescent="0.25">
      <c r="A50" s="6" t="s">
        <v>11737</v>
      </c>
      <c r="B50" s="6" t="s">
        <v>1380</v>
      </c>
      <c r="C50" s="6" t="s">
        <v>1844</v>
      </c>
      <c r="E50" s="6" t="s">
        <v>1379</v>
      </c>
      <c r="F50" s="6" t="s">
        <v>1378</v>
      </c>
      <c r="G50" s="6" t="s">
        <v>16</v>
      </c>
      <c r="H50" s="6" t="s">
        <v>430</v>
      </c>
      <c r="I50" s="6" t="s">
        <v>27</v>
      </c>
      <c r="J50" s="6" t="s">
        <v>67</v>
      </c>
      <c r="K50" s="7">
        <v>32.358780099999997</v>
      </c>
      <c r="L50" s="7">
        <v>-95.279746180000004</v>
      </c>
      <c r="M50" s="6" t="s">
        <v>765</v>
      </c>
      <c r="N50" s="6" t="s">
        <v>52</v>
      </c>
      <c r="O50" s="6" t="s">
        <v>65</v>
      </c>
      <c r="R50" s="15"/>
    </row>
    <row r="51" spans="1:18" x14ac:dyDescent="0.25">
      <c r="A51" s="6" t="s">
        <v>4281</v>
      </c>
      <c r="B51" s="6" t="s">
        <v>1380</v>
      </c>
      <c r="C51" s="6" t="s">
        <v>1189</v>
      </c>
      <c r="E51" s="6" t="s">
        <v>1379</v>
      </c>
      <c r="F51" s="6" t="s">
        <v>1378</v>
      </c>
      <c r="G51" s="6" t="s">
        <v>16</v>
      </c>
      <c r="H51" s="6" t="s">
        <v>430</v>
      </c>
      <c r="I51" s="6" t="s">
        <v>46</v>
      </c>
      <c r="J51" s="6" t="s">
        <v>67</v>
      </c>
      <c r="K51" s="7">
        <v>32.367777740000001</v>
      </c>
      <c r="L51" s="7">
        <v>-95.271388950000002</v>
      </c>
      <c r="M51" s="6" t="s">
        <v>765</v>
      </c>
      <c r="N51" s="6" t="s">
        <v>52</v>
      </c>
      <c r="O51" s="6" t="s">
        <v>65</v>
      </c>
    </row>
    <row r="52" spans="1:18" x14ac:dyDescent="0.25">
      <c r="A52" s="6" t="s">
        <v>4280</v>
      </c>
      <c r="B52" s="6" t="s">
        <v>1380</v>
      </c>
      <c r="C52" s="6" t="s">
        <v>1841</v>
      </c>
      <c r="E52" s="6" t="s">
        <v>1379</v>
      </c>
      <c r="F52" s="6" t="s">
        <v>1378</v>
      </c>
      <c r="G52" s="6" t="s">
        <v>16</v>
      </c>
      <c r="H52" s="6" t="s">
        <v>430</v>
      </c>
      <c r="I52" s="6" t="s">
        <v>46</v>
      </c>
      <c r="J52" s="6" t="s">
        <v>67</v>
      </c>
      <c r="K52" s="7">
        <v>32.368324620000003</v>
      </c>
      <c r="L52" s="7">
        <v>-95.268885870000005</v>
      </c>
      <c r="M52" s="6" t="s">
        <v>765</v>
      </c>
      <c r="N52" s="6" t="s">
        <v>52</v>
      </c>
      <c r="O52" s="6" t="s">
        <v>65</v>
      </c>
    </row>
    <row r="53" spans="1:18" x14ac:dyDescent="0.25">
      <c r="A53" s="6" t="s">
        <v>9979</v>
      </c>
      <c r="B53" s="6" t="s">
        <v>9975</v>
      </c>
      <c r="C53" s="6" t="s">
        <v>31</v>
      </c>
      <c r="E53" s="6" t="s">
        <v>9974</v>
      </c>
      <c r="F53" s="6" t="s">
        <v>9973</v>
      </c>
      <c r="G53" s="6" t="s">
        <v>16</v>
      </c>
      <c r="H53" s="6" t="s">
        <v>15</v>
      </c>
      <c r="I53" s="6" t="s">
        <v>14</v>
      </c>
      <c r="J53" s="6" t="s">
        <v>67</v>
      </c>
      <c r="K53" s="7">
        <v>32.431621040000003</v>
      </c>
      <c r="L53" s="7">
        <v>-95.362486009999998</v>
      </c>
      <c r="M53" s="6" t="s">
        <v>423</v>
      </c>
      <c r="N53" s="6" t="s">
        <v>65</v>
      </c>
      <c r="O53" s="6" t="s">
        <v>65</v>
      </c>
      <c r="R53" s="15"/>
    </row>
    <row r="54" spans="1:18" x14ac:dyDescent="0.25">
      <c r="A54" s="6" t="s">
        <v>9978</v>
      </c>
      <c r="B54" s="6" t="s">
        <v>9975</v>
      </c>
      <c r="C54" s="6" t="s">
        <v>19</v>
      </c>
      <c r="E54" s="6" t="s">
        <v>9974</v>
      </c>
      <c r="F54" s="6" t="s">
        <v>9973</v>
      </c>
      <c r="G54" s="6" t="s">
        <v>16</v>
      </c>
      <c r="H54" s="6" t="s">
        <v>28</v>
      </c>
      <c r="I54" s="6" t="s">
        <v>14</v>
      </c>
      <c r="J54" s="6" t="s">
        <v>67</v>
      </c>
      <c r="K54" s="7">
        <v>32.44084694</v>
      </c>
      <c r="L54" s="7">
        <v>-95.356431040000004</v>
      </c>
      <c r="M54" s="6" t="s">
        <v>423</v>
      </c>
      <c r="N54" s="6" t="s">
        <v>65</v>
      </c>
      <c r="O54" s="6" t="s">
        <v>65</v>
      </c>
    </row>
    <row r="55" spans="1:18" x14ac:dyDescent="0.25">
      <c r="A55" s="6" t="s">
        <v>9977</v>
      </c>
      <c r="B55" s="6" t="s">
        <v>9975</v>
      </c>
      <c r="C55" s="6" t="s">
        <v>436</v>
      </c>
      <c r="E55" s="6" t="s">
        <v>9974</v>
      </c>
      <c r="F55" s="6" t="s">
        <v>9973</v>
      </c>
      <c r="G55" s="6" t="s">
        <v>16</v>
      </c>
      <c r="H55" s="6" t="s">
        <v>430</v>
      </c>
      <c r="I55" s="6" t="s">
        <v>14</v>
      </c>
      <c r="J55" s="6" t="s">
        <v>67</v>
      </c>
      <c r="K55" s="7">
        <v>32.441436840000001</v>
      </c>
      <c r="L55" s="7">
        <v>-95.36574564</v>
      </c>
      <c r="M55" s="6" t="s">
        <v>423</v>
      </c>
      <c r="N55" s="6" t="s">
        <v>65</v>
      </c>
      <c r="O55" s="6" t="s">
        <v>65</v>
      </c>
    </row>
    <row r="56" spans="1:18" x14ac:dyDescent="0.25">
      <c r="A56" s="6" t="s">
        <v>9976</v>
      </c>
      <c r="B56" s="6" t="s">
        <v>9975</v>
      </c>
      <c r="C56" s="6" t="s">
        <v>597</v>
      </c>
      <c r="E56" s="6" t="s">
        <v>9974</v>
      </c>
      <c r="F56" s="6" t="s">
        <v>9973</v>
      </c>
      <c r="G56" s="6" t="s">
        <v>16</v>
      </c>
      <c r="H56" s="6" t="s">
        <v>430</v>
      </c>
      <c r="I56" s="6" t="s">
        <v>14</v>
      </c>
      <c r="J56" s="6" t="s">
        <v>67</v>
      </c>
      <c r="K56" s="7">
        <v>32.43275225</v>
      </c>
      <c r="L56" s="7">
        <v>-95.361054030000005</v>
      </c>
      <c r="M56" s="6" t="s">
        <v>423</v>
      </c>
      <c r="N56" s="6" t="s">
        <v>65</v>
      </c>
      <c r="O56" s="6" t="s">
        <v>65</v>
      </c>
    </row>
    <row r="57" spans="1:18" x14ac:dyDescent="0.25">
      <c r="A57" s="6" t="s">
        <v>8167</v>
      </c>
      <c r="B57" s="6" t="s">
        <v>8166</v>
      </c>
      <c r="C57" s="6" t="s">
        <v>31</v>
      </c>
      <c r="E57" s="6" t="s">
        <v>8165</v>
      </c>
      <c r="F57" s="6" t="s">
        <v>8164</v>
      </c>
      <c r="G57" s="6" t="s">
        <v>16</v>
      </c>
      <c r="H57" s="6" t="s">
        <v>15</v>
      </c>
      <c r="I57" s="6" t="s">
        <v>27</v>
      </c>
      <c r="J57" s="6" t="s">
        <v>512</v>
      </c>
      <c r="K57" s="7">
        <v>27.565563000000001</v>
      </c>
      <c r="L57" s="7">
        <v>-99.510892999999996</v>
      </c>
      <c r="M57" s="6" t="s">
        <v>511</v>
      </c>
      <c r="N57" s="6" t="s">
        <v>373</v>
      </c>
      <c r="O57" s="6" t="s">
        <v>510</v>
      </c>
    </row>
    <row r="58" spans="1:18" x14ac:dyDescent="0.25">
      <c r="A58" s="6" t="s">
        <v>12036</v>
      </c>
      <c r="B58" s="6" t="s">
        <v>10697</v>
      </c>
      <c r="C58" s="6" t="s">
        <v>31</v>
      </c>
      <c r="E58" s="6" t="s">
        <v>10696</v>
      </c>
      <c r="F58" s="6" t="s">
        <v>10695</v>
      </c>
      <c r="G58" s="6" t="s">
        <v>16</v>
      </c>
      <c r="H58" s="6" t="s">
        <v>15</v>
      </c>
      <c r="I58" s="6" t="s">
        <v>46</v>
      </c>
      <c r="J58" s="6" t="s">
        <v>1013</v>
      </c>
      <c r="K58" s="7">
        <v>31.382771959999999</v>
      </c>
      <c r="L58" s="7">
        <v>-94.67022455</v>
      </c>
      <c r="M58" s="6" t="s">
        <v>644</v>
      </c>
      <c r="N58" s="6" t="s">
        <v>52</v>
      </c>
      <c r="O58" s="6" t="s">
        <v>24</v>
      </c>
    </row>
    <row r="59" spans="1:18" x14ac:dyDescent="0.25">
      <c r="A59" s="6" t="s">
        <v>12035</v>
      </c>
      <c r="B59" s="6" t="s">
        <v>10697</v>
      </c>
      <c r="C59" s="6" t="s">
        <v>19</v>
      </c>
      <c r="E59" s="6" t="s">
        <v>10696</v>
      </c>
      <c r="F59" s="6" t="s">
        <v>10695</v>
      </c>
      <c r="G59" s="6" t="s">
        <v>16</v>
      </c>
      <c r="H59" s="6" t="s">
        <v>15</v>
      </c>
      <c r="I59" s="6" t="s">
        <v>46</v>
      </c>
      <c r="J59" s="6" t="s">
        <v>1013</v>
      </c>
      <c r="K59" s="7">
        <v>31.383222</v>
      </c>
      <c r="L59" s="7">
        <v>-94.667895000000001</v>
      </c>
      <c r="M59" s="6" t="s">
        <v>644</v>
      </c>
      <c r="N59" s="6" t="s">
        <v>52</v>
      </c>
      <c r="O59" s="6" t="s">
        <v>24</v>
      </c>
    </row>
    <row r="60" spans="1:18" x14ac:dyDescent="0.25">
      <c r="A60" s="6" t="s">
        <v>11803</v>
      </c>
      <c r="B60" s="6" t="s">
        <v>10697</v>
      </c>
      <c r="C60" s="6" t="s">
        <v>597</v>
      </c>
      <c r="E60" s="6" t="s">
        <v>10696</v>
      </c>
      <c r="F60" s="6" t="s">
        <v>10695</v>
      </c>
      <c r="G60" s="6" t="s">
        <v>16</v>
      </c>
      <c r="H60" s="6" t="s">
        <v>15</v>
      </c>
      <c r="I60" s="6" t="s">
        <v>46</v>
      </c>
      <c r="J60" s="6" t="s">
        <v>1013</v>
      </c>
      <c r="K60" s="7">
        <v>31.355260999999999</v>
      </c>
      <c r="L60" s="7">
        <v>-94.676426000000006</v>
      </c>
      <c r="M60" s="6" t="s">
        <v>644</v>
      </c>
      <c r="N60" s="6" t="s">
        <v>52</v>
      </c>
      <c r="O60" s="6" t="s">
        <v>24</v>
      </c>
    </row>
    <row r="61" spans="1:18" x14ac:dyDescent="0.25">
      <c r="A61" s="6" t="s">
        <v>10698</v>
      </c>
      <c r="B61" s="6" t="s">
        <v>10697</v>
      </c>
      <c r="C61" s="6" t="s">
        <v>557</v>
      </c>
      <c r="E61" s="6" t="s">
        <v>10696</v>
      </c>
      <c r="F61" s="6" t="s">
        <v>10695</v>
      </c>
      <c r="G61" s="6" t="s">
        <v>16</v>
      </c>
      <c r="H61" s="6" t="s">
        <v>430</v>
      </c>
      <c r="I61" s="6" t="s">
        <v>46</v>
      </c>
      <c r="J61" s="6" t="s">
        <v>1013</v>
      </c>
      <c r="K61" s="7">
        <v>31.359387000000002</v>
      </c>
      <c r="L61" s="7">
        <v>-94.674404999999993</v>
      </c>
      <c r="M61" s="6" t="s">
        <v>644</v>
      </c>
      <c r="N61" s="6" t="s">
        <v>52</v>
      </c>
      <c r="O61" s="6" t="s">
        <v>24</v>
      </c>
    </row>
    <row r="62" spans="1:18" x14ac:dyDescent="0.25">
      <c r="A62" s="6" t="s">
        <v>8904</v>
      </c>
      <c r="B62" s="6" t="s">
        <v>3077</v>
      </c>
      <c r="C62" s="6" t="s">
        <v>31</v>
      </c>
      <c r="E62" s="6" t="s">
        <v>3076</v>
      </c>
      <c r="F62" s="6" t="s">
        <v>3075</v>
      </c>
      <c r="G62" s="6" t="s">
        <v>16</v>
      </c>
      <c r="H62" s="6" t="s">
        <v>591</v>
      </c>
      <c r="I62" s="6" t="s">
        <v>14</v>
      </c>
      <c r="J62" s="6" t="s">
        <v>571</v>
      </c>
      <c r="K62" s="7">
        <v>32.297924530000003</v>
      </c>
      <c r="L62" s="7">
        <v>-97.629229289999998</v>
      </c>
      <c r="M62" s="6" t="s">
        <v>466</v>
      </c>
      <c r="N62" s="6" t="s">
        <v>23</v>
      </c>
      <c r="O62" s="6" t="s">
        <v>42</v>
      </c>
    </row>
    <row r="63" spans="1:18" x14ac:dyDescent="0.25">
      <c r="A63" s="6" t="s">
        <v>8903</v>
      </c>
      <c r="B63" s="6" t="s">
        <v>3077</v>
      </c>
      <c r="C63" s="6" t="s">
        <v>19</v>
      </c>
      <c r="E63" s="6" t="s">
        <v>3076</v>
      </c>
      <c r="F63" s="6" t="s">
        <v>3075</v>
      </c>
      <c r="G63" s="6" t="s">
        <v>16</v>
      </c>
      <c r="H63" s="6" t="s">
        <v>591</v>
      </c>
      <c r="I63" s="6" t="s">
        <v>14</v>
      </c>
      <c r="J63" s="6" t="s">
        <v>571</v>
      </c>
      <c r="K63" s="7">
        <v>32.292089140000002</v>
      </c>
      <c r="L63" s="7">
        <v>-97.631527019999993</v>
      </c>
      <c r="M63" s="6" t="s">
        <v>466</v>
      </c>
      <c r="N63" s="6" t="s">
        <v>23</v>
      </c>
      <c r="O63" s="6" t="s">
        <v>42</v>
      </c>
    </row>
    <row r="64" spans="1:18" x14ac:dyDescent="0.25">
      <c r="A64" s="6" t="s">
        <v>8900</v>
      </c>
      <c r="B64" s="6" t="s">
        <v>3077</v>
      </c>
      <c r="C64" s="6" t="s">
        <v>436</v>
      </c>
      <c r="E64" s="6" t="s">
        <v>3076</v>
      </c>
      <c r="F64" s="6" t="s">
        <v>3075</v>
      </c>
      <c r="G64" s="6" t="s">
        <v>16</v>
      </c>
      <c r="H64" s="6" t="s">
        <v>591</v>
      </c>
      <c r="I64" s="6" t="s">
        <v>14</v>
      </c>
      <c r="J64" s="6" t="s">
        <v>571</v>
      </c>
      <c r="K64" s="7">
        <v>32.30670697</v>
      </c>
      <c r="L64" s="7">
        <v>-97.645285290000004</v>
      </c>
      <c r="M64" s="6" t="s">
        <v>466</v>
      </c>
      <c r="N64" s="6" t="s">
        <v>23</v>
      </c>
      <c r="O64" s="6" t="s">
        <v>42</v>
      </c>
    </row>
    <row r="65" spans="1:15" x14ac:dyDescent="0.25">
      <c r="A65" s="6" t="s">
        <v>3389</v>
      </c>
      <c r="B65" s="6" t="s">
        <v>3077</v>
      </c>
      <c r="C65" s="6" t="s">
        <v>597</v>
      </c>
      <c r="E65" s="6" t="s">
        <v>3076</v>
      </c>
      <c r="F65" s="6" t="s">
        <v>3075</v>
      </c>
      <c r="G65" s="6" t="s">
        <v>16</v>
      </c>
      <c r="H65" s="6" t="s">
        <v>591</v>
      </c>
      <c r="I65" s="6" t="s">
        <v>14</v>
      </c>
      <c r="J65" s="6" t="s">
        <v>571</v>
      </c>
      <c r="K65" s="7">
        <v>32.29679445</v>
      </c>
      <c r="L65" s="7">
        <v>-97.634974069999998</v>
      </c>
      <c r="M65" s="6" t="s">
        <v>466</v>
      </c>
      <c r="N65" s="6" t="s">
        <v>23</v>
      </c>
      <c r="O65" s="6" t="s">
        <v>42</v>
      </c>
    </row>
    <row r="66" spans="1:15" x14ac:dyDescent="0.25">
      <c r="A66" s="6" t="s">
        <v>3078</v>
      </c>
      <c r="B66" s="6" t="s">
        <v>3077</v>
      </c>
      <c r="C66" s="6" t="s">
        <v>557</v>
      </c>
      <c r="E66" s="6" t="s">
        <v>3076</v>
      </c>
      <c r="F66" s="6" t="s">
        <v>3075</v>
      </c>
      <c r="G66" s="6" t="s">
        <v>284</v>
      </c>
      <c r="H66" s="6" t="s">
        <v>591</v>
      </c>
      <c r="I66" s="6" t="s">
        <v>14</v>
      </c>
      <c r="J66" s="6" t="s">
        <v>571</v>
      </c>
      <c r="K66" s="7">
        <v>32.292531609999997</v>
      </c>
      <c r="L66" s="7">
        <v>-97.633069030000001</v>
      </c>
      <c r="M66" s="6" t="s">
        <v>466</v>
      </c>
      <c r="N66" s="6" t="s">
        <v>23</v>
      </c>
      <c r="O66" s="6" t="s">
        <v>42</v>
      </c>
    </row>
    <row r="67" spans="1:15" x14ac:dyDescent="0.25">
      <c r="A67" s="6" t="s">
        <v>8259</v>
      </c>
      <c r="B67" s="6" t="s">
        <v>8258</v>
      </c>
      <c r="C67" s="6" t="s">
        <v>31</v>
      </c>
      <c r="E67" s="6" t="s">
        <v>8257</v>
      </c>
      <c r="F67" s="6" t="s">
        <v>8256</v>
      </c>
      <c r="G67" s="6" t="s">
        <v>16</v>
      </c>
      <c r="H67" s="6" t="s">
        <v>15</v>
      </c>
      <c r="I67" s="6" t="s">
        <v>14</v>
      </c>
      <c r="J67" s="6" t="s">
        <v>239</v>
      </c>
      <c r="K67" s="7">
        <v>33.068507599999997</v>
      </c>
      <c r="L67" s="7">
        <v>-96.454209239999997</v>
      </c>
      <c r="M67" s="6" t="s">
        <v>349</v>
      </c>
      <c r="N67" s="6" t="s">
        <v>102</v>
      </c>
      <c r="O67" s="6" t="s">
        <v>42</v>
      </c>
    </row>
    <row r="68" spans="1:15" x14ac:dyDescent="0.25">
      <c r="A68" s="6" t="s">
        <v>7490</v>
      </c>
      <c r="B68" s="6" t="s">
        <v>7489</v>
      </c>
      <c r="C68" s="6" t="s">
        <v>31</v>
      </c>
      <c r="E68" s="6" t="s">
        <v>7488</v>
      </c>
      <c r="F68" s="6" t="s">
        <v>7487</v>
      </c>
      <c r="G68" s="6" t="s">
        <v>16</v>
      </c>
      <c r="H68" s="6" t="s">
        <v>15</v>
      </c>
      <c r="I68" s="6" t="s">
        <v>46</v>
      </c>
      <c r="J68" s="6" t="s">
        <v>7055</v>
      </c>
      <c r="K68" s="7">
        <v>30.434911499999998</v>
      </c>
      <c r="L68" s="7">
        <v>-99.673201669999997</v>
      </c>
      <c r="M68" s="6" t="s">
        <v>888</v>
      </c>
      <c r="N68" s="6" t="s">
        <v>10</v>
      </c>
      <c r="O68" s="6" t="s">
        <v>102</v>
      </c>
    </row>
    <row r="69" spans="1:15" x14ac:dyDescent="0.25">
      <c r="A69" s="6" t="s">
        <v>11861</v>
      </c>
      <c r="B69" s="6" t="s">
        <v>11860</v>
      </c>
      <c r="C69" s="6" t="s">
        <v>31</v>
      </c>
      <c r="E69" s="6" t="s">
        <v>11859</v>
      </c>
      <c r="F69" s="6" t="s">
        <v>11858</v>
      </c>
      <c r="G69" s="6" t="s">
        <v>16</v>
      </c>
      <c r="H69" s="6" t="s">
        <v>28</v>
      </c>
      <c r="I69" s="6" t="s">
        <v>60</v>
      </c>
      <c r="J69" s="6" t="s">
        <v>11857</v>
      </c>
      <c r="K69" s="7">
        <v>32.71123</v>
      </c>
      <c r="L69" s="7">
        <v>-99.290077999999994</v>
      </c>
      <c r="M69" s="6" t="s">
        <v>681</v>
      </c>
      <c r="N69" s="6" t="s">
        <v>23</v>
      </c>
      <c r="O69" s="6" t="s">
        <v>95</v>
      </c>
    </row>
    <row r="70" spans="1:15" x14ac:dyDescent="0.25">
      <c r="A70" s="6" t="s">
        <v>8752</v>
      </c>
      <c r="B70" s="6" t="s">
        <v>8751</v>
      </c>
      <c r="C70" s="6" t="s">
        <v>31</v>
      </c>
      <c r="E70" s="6" t="s">
        <v>8750</v>
      </c>
      <c r="F70" s="6" t="s">
        <v>8627</v>
      </c>
      <c r="G70" s="6" t="s">
        <v>16</v>
      </c>
      <c r="H70" s="6" t="s">
        <v>28</v>
      </c>
      <c r="I70" s="6" t="s">
        <v>27</v>
      </c>
      <c r="J70" s="6" t="s">
        <v>663</v>
      </c>
      <c r="K70" s="7">
        <v>32.555672780000002</v>
      </c>
      <c r="L70" s="7">
        <v>-94.956169290000005</v>
      </c>
      <c r="M70" s="6" t="s">
        <v>423</v>
      </c>
      <c r="N70" s="6" t="s">
        <v>65</v>
      </c>
      <c r="O70" s="6" t="s">
        <v>65</v>
      </c>
    </row>
    <row r="71" spans="1:15" x14ac:dyDescent="0.25">
      <c r="A71" s="6" t="s">
        <v>9929</v>
      </c>
      <c r="B71" s="6" t="s">
        <v>9928</v>
      </c>
      <c r="C71" s="6" t="s">
        <v>31</v>
      </c>
      <c r="E71" s="6" t="s">
        <v>9927</v>
      </c>
      <c r="F71" s="6" t="s">
        <v>9926</v>
      </c>
      <c r="G71" s="6" t="s">
        <v>16</v>
      </c>
      <c r="H71" s="6" t="s">
        <v>28</v>
      </c>
      <c r="I71" s="6" t="s">
        <v>73</v>
      </c>
      <c r="J71" s="6" t="s">
        <v>239</v>
      </c>
      <c r="K71" s="7">
        <v>33.021456860000001</v>
      </c>
      <c r="L71" s="7">
        <v>-96.527353880000007</v>
      </c>
      <c r="M71" s="6" t="s">
        <v>5476</v>
      </c>
      <c r="N71" s="6" t="s">
        <v>102</v>
      </c>
      <c r="O71" s="6" t="s">
        <v>42</v>
      </c>
    </row>
    <row r="72" spans="1:15" x14ac:dyDescent="0.25">
      <c r="A72" s="6" t="s">
        <v>11754</v>
      </c>
      <c r="B72" s="6" t="s">
        <v>9928</v>
      </c>
      <c r="C72" s="6" t="s">
        <v>19</v>
      </c>
      <c r="E72" s="6" t="s">
        <v>9927</v>
      </c>
      <c r="F72" s="6" t="s">
        <v>9926</v>
      </c>
      <c r="G72" s="6" t="s">
        <v>16</v>
      </c>
      <c r="H72" s="6" t="s">
        <v>28</v>
      </c>
      <c r="I72" s="6" t="s">
        <v>73</v>
      </c>
      <c r="J72" s="6" t="s">
        <v>239</v>
      </c>
      <c r="K72" s="7">
        <v>33.023505149999998</v>
      </c>
      <c r="L72" s="7">
        <v>-96.530255190000005</v>
      </c>
      <c r="M72" s="6" t="s">
        <v>5476</v>
      </c>
      <c r="N72" s="6" t="s">
        <v>102</v>
      </c>
      <c r="O72" s="6" t="s">
        <v>42</v>
      </c>
    </row>
    <row r="73" spans="1:15" x14ac:dyDescent="0.25">
      <c r="A73" s="6" t="s">
        <v>11753</v>
      </c>
      <c r="B73" s="6" t="s">
        <v>9928</v>
      </c>
      <c r="C73" s="6" t="s">
        <v>436</v>
      </c>
      <c r="E73" s="6" t="s">
        <v>9927</v>
      </c>
      <c r="F73" s="6" t="s">
        <v>9926</v>
      </c>
      <c r="G73" s="6" t="s">
        <v>16</v>
      </c>
      <c r="H73" s="6" t="s">
        <v>28</v>
      </c>
      <c r="I73" s="6" t="s">
        <v>73</v>
      </c>
      <c r="J73" s="6" t="s">
        <v>239</v>
      </c>
      <c r="K73" s="7">
        <v>33.028126989999997</v>
      </c>
      <c r="L73" s="7">
        <v>-96.529444400000003</v>
      </c>
      <c r="M73" s="6" t="s">
        <v>5476</v>
      </c>
      <c r="N73" s="6" t="s">
        <v>102</v>
      </c>
      <c r="O73" s="6" t="s">
        <v>42</v>
      </c>
    </row>
    <row r="74" spans="1:15" x14ac:dyDescent="0.25">
      <c r="A74" s="6" t="s">
        <v>11751</v>
      </c>
      <c r="B74" s="6" t="s">
        <v>9928</v>
      </c>
      <c r="C74" s="6" t="s">
        <v>597</v>
      </c>
      <c r="E74" s="6" t="s">
        <v>9927</v>
      </c>
      <c r="F74" s="6" t="s">
        <v>9926</v>
      </c>
      <c r="G74" s="6" t="s">
        <v>16</v>
      </c>
      <c r="H74" s="6" t="s">
        <v>28</v>
      </c>
      <c r="I74" s="6" t="s">
        <v>73</v>
      </c>
      <c r="J74" s="6" t="s">
        <v>239</v>
      </c>
      <c r="K74" s="7">
        <v>33.030091820000003</v>
      </c>
      <c r="L74" s="7">
        <v>-96.519302170000003</v>
      </c>
      <c r="M74" s="6" t="s">
        <v>5476</v>
      </c>
      <c r="N74" s="6" t="s">
        <v>102</v>
      </c>
      <c r="O74" s="6" t="s">
        <v>42</v>
      </c>
    </row>
    <row r="75" spans="1:15" x14ac:dyDescent="0.25">
      <c r="A75" s="6" t="s">
        <v>11750</v>
      </c>
      <c r="B75" s="6" t="s">
        <v>11748</v>
      </c>
      <c r="C75" s="6" t="s">
        <v>557</v>
      </c>
      <c r="E75" s="6" t="s">
        <v>9927</v>
      </c>
      <c r="F75" s="6" t="s">
        <v>9926</v>
      </c>
      <c r="G75" s="6" t="s">
        <v>16</v>
      </c>
      <c r="H75" s="6" t="s">
        <v>28</v>
      </c>
      <c r="I75" s="6" t="s">
        <v>73</v>
      </c>
      <c r="J75" s="6" t="s">
        <v>239</v>
      </c>
      <c r="K75" s="7">
        <v>33.019616679999999</v>
      </c>
      <c r="L75" s="7">
        <v>-96.534051730000002</v>
      </c>
      <c r="M75" s="6" t="s">
        <v>5476</v>
      </c>
      <c r="N75" s="6" t="s">
        <v>102</v>
      </c>
      <c r="O75" s="6" t="s">
        <v>42</v>
      </c>
    </row>
    <row r="76" spans="1:15" x14ac:dyDescent="0.25">
      <c r="A76" s="6" t="s">
        <v>11749</v>
      </c>
      <c r="B76" s="6" t="s">
        <v>11748</v>
      </c>
      <c r="C76" s="6" t="s">
        <v>433</v>
      </c>
      <c r="E76" s="6" t="s">
        <v>9927</v>
      </c>
      <c r="F76" s="6" t="s">
        <v>9926</v>
      </c>
      <c r="G76" s="6" t="s">
        <v>16</v>
      </c>
      <c r="H76" s="6" t="s">
        <v>28</v>
      </c>
      <c r="I76" s="6" t="s">
        <v>73</v>
      </c>
      <c r="J76" s="6" t="s">
        <v>239</v>
      </c>
      <c r="K76" s="7">
        <v>33.01903068</v>
      </c>
      <c r="L76" s="7">
        <v>-96.532141609999996</v>
      </c>
      <c r="M76" s="6" t="s">
        <v>5476</v>
      </c>
      <c r="N76" s="6" t="s">
        <v>102</v>
      </c>
      <c r="O76" s="6" t="s">
        <v>42</v>
      </c>
    </row>
    <row r="77" spans="1:15" x14ac:dyDescent="0.25">
      <c r="A77" s="6" t="s">
        <v>11752</v>
      </c>
      <c r="B77" s="6" t="s">
        <v>9928</v>
      </c>
      <c r="C77" s="6" t="s">
        <v>1098</v>
      </c>
      <c r="E77" s="6" t="s">
        <v>9927</v>
      </c>
      <c r="F77" s="6" t="s">
        <v>9926</v>
      </c>
      <c r="G77" s="6" t="s">
        <v>16</v>
      </c>
      <c r="H77" s="6" t="s">
        <v>28</v>
      </c>
      <c r="I77" s="6" t="s">
        <v>73</v>
      </c>
      <c r="J77" s="6" t="s">
        <v>239</v>
      </c>
      <c r="K77" s="7">
        <v>33.032571879999999</v>
      </c>
      <c r="L77" s="7">
        <v>-96.529260590000007</v>
      </c>
      <c r="M77" s="6" t="s">
        <v>5476</v>
      </c>
      <c r="N77" s="6" t="s">
        <v>102</v>
      </c>
      <c r="O77" s="6" t="s">
        <v>42</v>
      </c>
    </row>
    <row r="78" spans="1:15" x14ac:dyDescent="0.25">
      <c r="A78" s="6" t="s">
        <v>2514</v>
      </c>
      <c r="B78" s="6" t="s">
        <v>2507</v>
      </c>
      <c r="C78" s="6" t="s">
        <v>597</v>
      </c>
      <c r="E78" s="6" t="s">
        <v>2506</v>
      </c>
      <c r="F78" s="6" t="s">
        <v>2505</v>
      </c>
      <c r="G78" s="6" t="s">
        <v>16</v>
      </c>
      <c r="H78" s="6" t="s">
        <v>15</v>
      </c>
      <c r="I78" s="6" t="s">
        <v>14</v>
      </c>
      <c r="J78" s="6" t="s">
        <v>253</v>
      </c>
      <c r="K78" s="7">
        <v>31.148656899999999</v>
      </c>
      <c r="L78" s="7">
        <v>-97.738311409999994</v>
      </c>
      <c r="M78" s="6" t="s">
        <v>2272</v>
      </c>
      <c r="N78" s="6" t="s">
        <v>23</v>
      </c>
      <c r="O78" s="6" t="s">
        <v>120</v>
      </c>
    </row>
    <row r="79" spans="1:15" x14ac:dyDescent="0.25">
      <c r="A79" s="6" t="s">
        <v>2513</v>
      </c>
      <c r="B79" s="6" t="s">
        <v>2507</v>
      </c>
      <c r="C79" s="6" t="s">
        <v>557</v>
      </c>
      <c r="E79" s="6" t="s">
        <v>2506</v>
      </c>
      <c r="F79" s="6" t="s">
        <v>2505</v>
      </c>
      <c r="G79" s="6" t="s">
        <v>16</v>
      </c>
      <c r="H79" s="6" t="s">
        <v>15</v>
      </c>
      <c r="I79" s="6" t="s">
        <v>14</v>
      </c>
      <c r="J79" s="6" t="s">
        <v>253</v>
      </c>
      <c r="K79" s="7">
        <v>31.14962899</v>
      </c>
      <c r="L79" s="7">
        <v>-97.743260070000005</v>
      </c>
      <c r="M79" s="6" t="s">
        <v>2272</v>
      </c>
      <c r="N79" s="6" t="s">
        <v>23</v>
      </c>
      <c r="O79" s="6" t="s">
        <v>120</v>
      </c>
    </row>
    <row r="80" spans="1:15" x14ac:dyDescent="0.25">
      <c r="A80" s="6" t="s">
        <v>2508</v>
      </c>
      <c r="B80" s="6" t="s">
        <v>2507</v>
      </c>
      <c r="C80" s="6" t="s">
        <v>433</v>
      </c>
      <c r="E80" s="6" t="s">
        <v>2506</v>
      </c>
      <c r="F80" s="6" t="s">
        <v>2505</v>
      </c>
      <c r="G80" s="6" t="s">
        <v>16</v>
      </c>
      <c r="H80" s="6" t="s">
        <v>15</v>
      </c>
      <c r="I80" s="6" t="s">
        <v>14</v>
      </c>
      <c r="J80" s="6" t="s">
        <v>2273</v>
      </c>
      <c r="K80" s="7">
        <v>31.17062876</v>
      </c>
      <c r="L80" s="7">
        <v>-97.807447789999998</v>
      </c>
      <c r="M80" s="6" t="s">
        <v>2272</v>
      </c>
      <c r="N80" s="6" t="s">
        <v>23</v>
      </c>
      <c r="O80" s="6" t="s">
        <v>120</v>
      </c>
    </row>
    <row r="81" spans="1:15" x14ac:dyDescent="0.25">
      <c r="A81" s="6" t="s">
        <v>11769</v>
      </c>
      <c r="B81" s="6" t="s">
        <v>11768</v>
      </c>
      <c r="C81" s="6" t="s">
        <v>31</v>
      </c>
      <c r="E81" s="6" t="s">
        <v>11767</v>
      </c>
      <c r="F81" s="6" t="s">
        <v>5580</v>
      </c>
      <c r="G81" s="6" t="s">
        <v>16</v>
      </c>
      <c r="H81" s="6" t="s">
        <v>15</v>
      </c>
      <c r="I81" s="6" t="s">
        <v>799</v>
      </c>
      <c r="J81" s="6" t="s">
        <v>104</v>
      </c>
      <c r="K81" s="7">
        <v>32.748775000000002</v>
      </c>
      <c r="L81" s="7">
        <v>-96.513008999999997</v>
      </c>
      <c r="M81" s="6" t="s">
        <v>450</v>
      </c>
      <c r="N81" s="6" t="s">
        <v>102</v>
      </c>
      <c r="O81" s="6" t="s">
        <v>42</v>
      </c>
    </row>
    <row r="82" spans="1:15" x14ac:dyDescent="0.25">
      <c r="A82" s="6" t="s">
        <v>11766</v>
      </c>
      <c r="B82" s="6" t="s">
        <v>11765</v>
      </c>
      <c r="C82" s="6" t="s">
        <v>31</v>
      </c>
      <c r="E82" s="6" t="s">
        <v>11764</v>
      </c>
      <c r="F82" s="6" t="s">
        <v>5580</v>
      </c>
      <c r="G82" s="6" t="s">
        <v>16</v>
      </c>
      <c r="H82" s="6" t="s">
        <v>15</v>
      </c>
      <c r="I82" s="6" t="s">
        <v>799</v>
      </c>
      <c r="J82" s="6" t="s">
        <v>471</v>
      </c>
      <c r="K82" s="7">
        <v>32.965465000000002</v>
      </c>
      <c r="L82" s="7">
        <v>-96.944012000000001</v>
      </c>
      <c r="M82" s="6" t="s">
        <v>7449</v>
      </c>
      <c r="N82" s="6" t="s">
        <v>102</v>
      </c>
      <c r="O82" s="6" t="s">
        <v>42</v>
      </c>
    </row>
    <row r="83" spans="1:15" x14ac:dyDescent="0.25">
      <c r="A83" s="6" t="s">
        <v>12433</v>
      </c>
      <c r="B83" s="6" t="s">
        <v>12432</v>
      </c>
      <c r="C83" s="6" t="s">
        <v>31</v>
      </c>
      <c r="E83" s="6" t="s">
        <v>12431</v>
      </c>
      <c r="F83" s="6" t="s">
        <v>5580</v>
      </c>
      <c r="G83" s="6" t="s">
        <v>16</v>
      </c>
      <c r="H83" s="6" t="s">
        <v>15</v>
      </c>
      <c r="I83" s="6" t="s">
        <v>799</v>
      </c>
      <c r="J83" s="6" t="s">
        <v>471</v>
      </c>
      <c r="K83" s="7">
        <v>32.842060959999998</v>
      </c>
      <c r="L83" s="7">
        <v>-96.87603618</v>
      </c>
      <c r="M83" s="6" t="s">
        <v>7449</v>
      </c>
      <c r="N83" s="6" t="s">
        <v>102</v>
      </c>
      <c r="O83" s="6" t="s">
        <v>42</v>
      </c>
    </row>
    <row r="84" spans="1:15" x14ac:dyDescent="0.25">
      <c r="A84" s="6" t="s">
        <v>7543</v>
      </c>
      <c r="B84" s="6" t="s">
        <v>7542</v>
      </c>
      <c r="C84" s="6" t="s">
        <v>31</v>
      </c>
      <c r="E84" s="6" t="s">
        <v>7541</v>
      </c>
      <c r="F84" s="6" t="s">
        <v>7534</v>
      </c>
      <c r="G84" s="6" t="s">
        <v>16</v>
      </c>
      <c r="H84" s="6" t="s">
        <v>15</v>
      </c>
      <c r="I84" s="6" t="s">
        <v>14</v>
      </c>
      <c r="J84" s="6" t="s">
        <v>253</v>
      </c>
      <c r="K84" s="7">
        <v>31.10843088</v>
      </c>
      <c r="L84" s="7">
        <v>-97.702651990000007</v>
      </c>
      <c r="M84" s="6" t="s">
        <v>1627</v>
      </c>
      <c r="N84" s="6" t="s">
        <v>23</v>
      </c>
      <c r="O84" s="6" t="s">
        <v>120</v>
      </c>
    </row>
    <row r="85" spans="1:15" x14ac:dyDescent="0.25">
      <c r="A85" s="6" t="s">
        <v>9876</v>
      </c>
      <c r="B85" s="6" t="s">
        <v>9875</v>
      </c>
      <c r="C85" s="6" t="s">
        <v>31</v>
      </c>
      <c r="E85" s="6" t="s">
        <v>9874</v>
      </c>
      <c r="F85" s="6" t="s">
        <v>513</v>
      </c>
      <c r="G85" s="6" t="s">
        <v>16</v>
      </c>
      <c r="H85" s="6" t="s">
        <v>15</v>
      </c>
      <c r="I85" s="6" t="s">
        <v>73</v>
      </c>
      <c r="J85" s="6" t="s">
        <v>512</v>
      </c>
      <c r="K85" s="7">
        <v>27.523122999999998</v>
      </c>
      <c r="L85" s="7">
        <v>-99.524198999999996</v>
      </c>
      <c r="M85" s="6" t="s">
        <v>511</v>
      </c>
      <c r="N85" s="6" t="s">
        <v>373</v>
      </c>
      <c r="O85" s="6" t="s">
        <v>510</v>
      </c>
    </row>
    <row r="86" spans="1:15" x14ac:dyDescent="0.25">
      <c r="A86" s="6" t="s">
        <v>4210</v>
      </c>
      <c r="B86" s="6" t="s">
        <v>4209</v>
      </c>
      <c r="C86" s="6" t="s">
        <v>31</v>
      </c>
      <c r="E86" s="6" t="s">
        <v>4208</v>
      </c>
      <c r="F86" s="6" t="s">
        <v>4207</v>
      </c>
      <c r="G86" s="6" t="s">
        <v>16</v>
      </c>
      <c r="H86" s="6" t="s">
        <v>28</v>
      </c>
      <c r="I86" s="6" t="s">
        <v>73</v>
      </c>
      <c r="J86" s="6" t="s">
        <v>2267</v>
      </c>
      <c r="K86" s="7">
        <v>32.335909000000001</v>
      </c>
      <c r="L86" s="7">
        <v>-96.154233000000005</v>
      </c>
      <c r="M86" s="6" t="s">
        <v>193</v>
      </c>
      <c r="N86" s="6" t="s">
        <v>102</v>
      </c>
      <c r="O86" s="6" t="s">
        <v>65</v>
      </c>
    </row>
    <row r="87" spans="1:15" x14ac:dyDescent="0.25">
      <c r="A87" s="6" t="s">
        <v>11275</v>
      </c>
      <c r="B87" s="6" t="s">
        <v>11274</v>
      </c>
      <c r="C87" s="6" t="s">
        <v>31</v>
      </c>
      <c r="E87" s="6" t="s">
        <v>11273</v>
      </c>
      <c r="F87" s="6" t="s">
        <v>11272</v>
      </c>
      <c r="G87" s="6" t="s">
        <v>16</v>
      </c>
      <c r="H87" s="6" t="s">
        <v>28</v>
      </c>
      <c r="I87" s="6" t="s">
        <v>27</v>
      </c>
      <c r="J87" s="6" t="s">
        <v>110</v>
      </c>
      <c r="K87" s="7">
        <v>32.883903979999999</v>
      </c>
      <c r="L87" s="7">
        <v>-95.936319280000006</v>
      </c>
      <c r="M87" s="6" t="s">
        <v>109</v>
      </c>
      <c r="N87" s="6" t="s">
        <v>65</v>
      </c>
      <c r="O87" s="6" t="s">
        <v>65</v>
      </c>
    </row>
    <row r="88" spans="1:15" x14ac:dyDescent="0.25">
      <c r="A88" s="6" t="s">
        <v>1960</v>
      </c>
      <c r="B88" s="6" t="s">
        <v>1959</v>
      </c>
      <c r="C88" s="6" t="s">
        <v>31</v>
      </c>
      <c r="E88" s="6" t="s">
        <v>1958</v>
      </c>
      <c r="F88" s="6" t="s">
        <v>386</v>
      </c>
      <c r="G88" s="6" t="s">
        <v>16</v>
      </c>
      <c r="H88" s="6" t="s">
        <v>15</v>
      </c>
      <c r="I88" s="6" t="s">
        <v>14</v>
      </c>
      <c r="J88" s="6" t="s">
        <v>1861</v>
      </c>
      <c r="K88" s="7">
        <v>30.620474690000002</v>
      </c>
      <c r="L88" s="7">
        <v>-96.340783830000007</v>
      </c>
      <c r="M88" s="6" t="s">
        <v>927</v>
      </c>
      <c r="N88" s="6" t="s">
        <v>23</v>
      </c>
      <c r="O88" s="6" t="s">
        <v>120</v>
      </c>
    </row>
    <row r="89" spans="1:15" x14ac:dyDescent="0.25">
      <c r="A89" s="6" t="s">
        <v>8487</v>
      </c>
      <c r="B89" s="6" t="s">
        <v>1448</v>
      </c>
      <c r="C89" s="6" t="s">
        <v>19</v>
      </c>
      <c r="E89" s="6" t="s">
        <v>1447</v>
      </c>
      <c r="F89" s="6" t="s">
        <v>1446</v>
      </c>
      <c r="G89" s="6" t="s">
        <v>16</v>
      </c>
      <c r="H89" s="6" t="s">
        <v>430</v>
      </c>
      <c r="I89" s="6" t="s">
        <v>36</v>
      </c>
      <c r="J89" s="6" t="s">
        <v>853</v>
      </c>
      <c r="K89" s="7">
        <v>29.76512498</v>
      </c>
      <c r="L89" s="7">
        <v>-94.918798519999996</v>
      </c>
      <c r="M89" s="6" t="s">
        <v>1445</v>
      </c>
      <c r="N89" s="6" t="s">
        <v>120</v>
      </c>
      <c r="O89" s="6" t="s">
        <v>23</v>
      </c>
    </row>
    <row r="90" spans="1:15" x14ac:dyDescent="0.25">
      <c r="A90" s="6" t="s">
        <v>8396</v>
      </c>
      <c r="B90" s="6" t="s">
        <v>1448</v>
      </c>
      <c r="C90" s="6" t="s">
        <v>436</v>
      </c>
      <c r="E90" s="6" t="s">
        <v>1447</v>
      </c>
      <c r="F90" s="6" t="s">
        <v>1446</v>
      </c>
      <c r="G90" s="6" t="s">
        <v>16</v>
      </c>
      <c r="H90" s="6" t="s">
        <v>430</v>
      </c>
      <c r="I90" s="6" t="s">
        <v>36</v>
      </c>
      <c r="J90" s="6" t="s">
        <v>853</v>
      </c>
      <c r="K90" s="7">
        <v>29.757099220000001</v>
      </c>
      <c r="L90" s="7">
        <v>-94.91176772</v>
      </c>
      <c r="M90" s="6" t="s">
        <v>1445</v>
      </c>
      <c r="N90" s="6" t="s">
        <v>120</v>
      </c>
      <c r="O90" s="6" t="s">
        <v>23</v>
      </c>
    </row>
    <row r="91" spans="1:15" x14ac:dyDescent="0.25">
      <c r="A91" s="6" t="s">
        <v>8395</v>
      </c>
      <c r="B91" s="6" t="s">
        <v>1448</v>
      </c>
      <c r="C91" s="6" t="s">
        <v>597</v>
      </c>
      <c r="E91" s="6" t="s">
        <v>1447</v>
      </c>
      <c r="F91" s="6" t="s">
        <v>1446</v>
      </c>
      <c r="G91" s="6" t="s">
        <v>16</v>
      </c>
      <c r="H91" s="6" t="s">
        <v>430</v>
      </c>
      <c r="I91" s="6" t="s">
        <v>36</v>
      </c>
      <c r="J91" s="6" t="s">
        <v>853</v>
      </c>
      <c r="K91" s="7">
        <v>29.751007000000001</v>
      </c>
      <c r="L91" s="7">
        <v>-94.911053999999993</v>
      </c>
      <c r="M91" s="6" t="s">
        <v>1445</v>
      </c>
      <c r="N91" s="6" t="s">
        <v>120</v>
      </c>
      <c r="O91" s="6" t="s">
        <v>23</v>
      </c>
    </row>
    <row r="92" spans="1:15" x14ac:dyDescent="0.25">
      <c r="A92" s="6" t="s">
        <v>9389</v>
      </c>
      <c r="B92" s="6" t="s">
        <v>1448</v>
      </c>
      <c r="C92" s="6" t="s">
        <v>433</v>
      </c>
      <c r="E92" s="6" t="s">
        <v>1447</v>
      </c>
      <c r="F92" s="6" t="s">
        <v>1446</v>
      </c>
      <c r="G92" s="6" t="s">
        <v>16</v>
      </c>
      <c r="H92" s="6" t="s">
        <v>430</v>
      </c>
      <c r="I92" s="6" t="s">
        <v>36</v>
      </c>
      <c r="J92" s="6" t="s">
        <v>853</v>
      </c>
      <c r="K92" s="7">
        <v>29.760047</v>
      </c>
      <c r="L92" s="7">
        <v>-94.915785999999997</v>
      </c>
      <c r="M92" s="6" t="s">
        <v>1445</v>
      </c>
      <c r="N92" s="6" t="s">
        <v>120</v>
      </c>
      <c r="O92" s="6" t="s">
        <v>23</v>
      </c>
    </row>
    <row r="93" spans="1:15" x14ac:dyDescent="0.25">
      <c r="A93" s="6" t="s">
        <v>9387</v>
      </c>
      <c r="B93" s="6" t="s">
        <v>1448</v>
      </c>
      <c r="C93" s="6" t="s">
        <v>1098</v>
      </c>
      <c r="E93" s="6" t="s">
        <v>1447</v>
      </c>
      <c r="F93" s="6" t="s">
        <v>1446</v>
      </c>
      <c r="G93" s="6" t="s">
        <v>16</v>
      </c>
      <c r="H93" s="6" t="s">
        <v>15</v>
      </c>
      <c r="I93" s="6" t="s">
        <v>36</v>
      </c>
      <c r="J93" s="6" t="s">
        <v>35</v>
      </c>
      <c r="K93" s="7">
        <v>29.690617</v>
      </c>
      <c r="L93" s="7">
        <v>-94.984014999999999</v>
      </c>
      <c r="M93" s="6" t="s">
        <v>701</v>
      </c>
      <c r="N93" s="6" t="s">
        <v>24</v>
      </c>
      <c r="O93" s="6" t="s">
        <v>23</v>
      </c>
    </row>
    <row r="94" spans="1:15" x14ac:dyDescent="0.25">
      <c r="A94" s="6" t="s">
        <v>1449</v>
      </c>
      <c r="B94" s="6" t="s">
        <v>1448</v>
      </c>
      <c r="C94" s="6" t="s">
        <v>1096</v>
      </c>
      <c r="E94" s="6" t="s">
        <v>1447</v>
      </c>
      <c r="F94" s="6" t="s">
        <v>1446</v>
      </c>
      <c r="G94" s="6" t="s">
        <v>16</v>
      </c>
      <c r="H94" s="6" t="s">
        <v>15</v>
      </c>
      <c r="I94" s="6" t="s">
        <v>36</v>
      </c>
      <c r="J94" s="6" t="s">
        <v>853</v>
      </c>
      <c r="K94" s="7">
        <v>29.716514</v>
      </c>
      <c r="L94" s="7">
        <v>-94.944923000000003</v>
      </c>
      <c r="M94" s="6" t="s">
        <v>1445</v>
      </c>
      <c r="N94" s="6" t="s">
        <v>120</v>
      </c>
      <c r="O94" s="6" t="s">
        <v>23</v>
      </c>
    </row>
    <row r="95" spans="1:15" x14ac:dyDescent="0.25">
      <c r="A95" s="6" t="s">
        <v>11245</v>
      </c>
      <c r="B95" s="6" t="s">
        <v>11231</v>
      </c>
      <c r="C95" s="6" t="s">
        <v>31</v>
      </c>
      <c r="E95" s="6" t="s">
        <v>11230</v>
      </c>
      <c r="F95" s="6" t="s">
        <v>11224</v>
      </c>
      <c r="G95" s="6" t="s">
        <v>16</v>
      </c>
      <c r="H95" s="6" t="s">
        <v>15</v>
      </c>
      <c r="I95" s="6" t="s">
        <v>14</v>
      </c>
      <c r="J95" s="6" t="s">
        <v>84</v>
      </c>
      <c r="K95" s="7">
        <v>28.498758580000001</v>
      </c>
      <c r="L95" s="7">
        <v>-96.795546639999998</v>
      </c>
      <c r="M95" s="6" t="s">
        <v>83</v>
      </c>
      <c r="N95" s="6" t="s">
        <v>82</v>
      </c>
      <c r="O95" s="6" t="s">
        <v>10</v>
      </c>
    </row>
    <row r="96" spans="1:15" x14ac:dyDescent="0.25">
      <c r="A96" s="6" t="s">
        <v>11244</v>
      </c>
      <c r="B96" s="6" t="s">
        <v>11231</v>
      </c>
      <c r="C96" s="6" t="s">
        <v>19</v>
      </c>
      <c r="E96" s="6" t="s">
        <v>11230</v>
      </c>
      <c r="F96" s="6" t="s">
        <v>11224</v>
      </c>
      <c r="G96" s="6" t="s">
        <v>16</v>
      </c>
      <c r="H96" s="6" t="s">
        <v>15</v>
      </c>
      <c r="I96" s="6" t="s">
        <v>14</v>
      </c>
      <c r="J96" s="6" t="s">
        <v>84</v>
      </c>
      <c r="K96" s="7">
        <v>28.498758580000001</v>
      </c>
      <c r="L96" s="7">
        <v>-96.795546639999998</v>
      </c>
      <c r="M96" s="6" t="s">
        <v>83</v>
      </c>
      <c r="N96" s="6" t="s">
        <v>82</v>
      </c>
      <c r="O96" s="6" t="s">
        <v>10</v>
      </c>
    </row>
    <row r="97" spans="1:15" x14ac:dyDescent="0.25">
      <c r="A97" s="6" t="s">
        <v>11243</v>
      </c>
      <c r="B97" s="6" t="s">
        <v>11231</v>
      </c>
      <c r="C97" s="6" t="s">
        <v>436</v>
      </c>
      <c r="E97" s="6" t="s">
        <v>11230</v>
      </c>
      <c r="F97" s="6" t="s">
        <v>11224</v>
      </c>
      <c r="G97" s="6" t="s">
        <v>16</v>
      </c>
      <c r="H97" s="6" t="s">
        <v>430</v>
      </c>
      <c r="I97" s="6" t="s">
        <v>14</v>
      </c>
      <c r="J97" s="6" t="s">
        <v>84</v>
      </c>
      <c r="K97" s="7">
        <v>28.52172268</v>
      </c>
      <c r="L97" s="7">
        <v>-96.763832370000003</v>
      </c>
      <c r="M97" s="6" t="s">
        <v>289</v>
      </c>
      <c r="N97" s="6" t="s">
        <v>82</v>
      </c>
      <c r="O97" s="6" t="s">
        <v>10</v>
      </c>
    </row>
    <row r="98" spans="1:15" x14ac:dyDescent="0.25">
      <c r="A98" s="6" t="s">
        <v>11242</v>
      </c>
      <c r="B98" s="6" t="s">
        <v>11231</v>
      </c>
      <c r="C98" s="6" t="s">
        <v>597</v>
      </c>
      <c r="E98" s="6" t="s">
        <v>11230</v>
      </c>
      <c r="F98" s="6" t="s">
        <v>11224</v>
      </c>
      <c r="G98" s="6" t="s">
        <v>16</v>
      </c>
      <c r="H98" s="6" t="s">
        <v>430</v>
      </c>
      <c r="I98" s="6" t="s">
        <v>14</v>
      </c>
      <c r="J98" s="6" t="s">
        <v>84</v>
      </c>
      <c r="K98" s="7">
        <v>28.491459859999999</v>
      </c>
      <c r="L98" s="7">
        <v>-96.764657299999996</v>
      </c>
      <c r="M98" s="6" t="s">
        <v>1977</v>
      </c>
      <c r="N98" s="6" t="s">
        <v>82</v>
      </c>
      <c r="O98" s="6" t="s">
        <v>10</v>
      </c>
    </row>
    <row r="99" spans="1:15" x14ac:dyDescent="0.25">
      <c r="A99" s="6" t="s">
        <v>11241</v>
      </c>
      <c r="B99" s="6" t="s">
        <v>11231</v>
      </c>
      <c r="C99" s="6" t="s">
        <v>557</v>
      </c>
      <c r="E99" s="6" t="s">
        <v>11230</v>
      </c>
      <c r="F99" s="6" t="s">
        <v>11224</v>
      </c>
      <c r="G99" s="6" t="s">
        <v>16</v>
      </c>
      <c r="H99" s="6" t="s">
        <v>430</v>
      </c>
      <c r="I99" s="6" t="s">
        <v>14</v>
      </c>
      <c r="J99" s="6" t="s">
        <v>84</v>
      </c>
      <c r="K99" s="7">
        <v>28.491260199999999</v>
      </c>
      <c r="L99" s="7">
        <v>-96.777994449999994</v>
      </c>
      <c r="M99" s="6" t="s">
        <v>83</v>
      </c>
      <c r="N99" s="6" t="s">
        <v>82</v>
      </c>
      <c r="O99" s="6" t="s">
        <v>10</v>
      </c>
    </row>
    <row r="100" spans="1:15" x14ac:dyDescent="0.25">
      <c r="A100" s="6" t="s">
        <v>11240</v>
      </c>
      <c r="B100" s="6" t="s">
        <v>11231</v>
      </c>
      <c r="C100" s="6" t="s">
        <v>433</v>
      </c>
      <c r="E100" s="6" t="s">
        <v>11230</v>
      </c>
      <c r="F100" s="6" t="s">
        <v>11224</v>
      </c>
      <c r="G100" s="6" t="s">
        <v>16</v>
      </c>
      <c r="H100" s="6" t="s">
        <v>430</v>
      </c>
      <c r="I100" s="6" t="s">
        <v>14</v>
      </c>
      <c r="J100" s="6" t="s">
        <v>84</v>
      </c>
      <c r="K100" s="7">
        <v>28.508003070000001</v>
      </c>
      <c r="L100" s="7">
        <v>-96.779009500000001</v>
      </c>
      <c r="M100" s="6" t="s">
        <v>83</v>
      </c>
      <c r="N100" s="6" t="s">
        <v>82</v>
      </c>
      <c r="O100" s="6" t="s">
        <v>10</v>
      </c>
    </row>
    <row r="101" spans="1:15" x14ac:dyDescent="0.25">
      <c r="A101" s="6" t="s">
        <v>11239</v>
      </c>
      <c r="B101" s="6" t="s">
        <v>11231</v>
      </c>
      <c r="C101" s="6" t="s">
        <v>1098</v>
      </c>
      <c r="E101" s="6" t="s">
        <v>11230</v>
      </c>
      <c r="F101" s="6" t="s">
        <v>11224</v>
      </c>
      <c r="G101" s="6" t="s">
        <v>16</v>
      </c>
      <c r="H101" s="6" t="s">
        <v>430</v>
      </c>
      <c r="I101" s="6" t="s">
        <v>14</v>
      </c>
      <c r="J101" s="6" t="s">
        <v>84</v>
      </c>
      <c r="K101" s="7">
        <v>28.490988640000001</v>
      </c>
      <c r="L101" s="7">
        <v>-96.776781380000003</v>
      </c>
      <c r="M101" s="6" t="s">
        <v>83</v>
      </c>
      <c r="N101" s="6" t="s">
        <v>82</v>
      </c>
      <c r="O101" s="6" t="s">
        <v>10</v>
      </c>
    </row>
    <row r="102" spans="1:15" x14ac:dyDescent="0.25">
      <c r="A102" s="6" t="s">
        <v>11238</v>
      </c>
      <c r="B102" s="6" t="s">
        <v>11231</v>
      </c>
      <c r="C102" s="6" t="s">
        <v>1096</v>
      </c>
      <c r="E102" s="6" t="s">
        <v>11230</v>
      </c>
      <c r="F102" s="6" t="s">
        <v>11224</v>
      </c>
      <c r="G102" s="6" t="s">
        <v>16</v>
      </c>
      <c r="H102" s="6" t="s">
        <v>430</v>
      </c>
      <c r="I102" s="6" t="s">
        <v>14</v>
      </c>
      <c r="J102" s="6" t="s">
        <v>84</v>
      </c>
      <c r="K102" s="7">
        <v>28.489859160000002</v>
      </c>
      <c r="L102" s="7">
        <v>-96.776711019999993</v>
      </c>
      <c r="M102" s="6" t="s">
        <v>83</v>
      </c>
      <c r="N102" s="6" t="s">
        <v>82</v>
      </c>
      <c r="O102" s="6" t="s">
        <v>10</v>
      </c>
    </row>
    <row r="103" spans="1:15" x14ac:dyDescent="0.25">
      <c r="A103" s="6" t="s">
        <v>11237</v>
      </c>
      <c r="B103" s="6" t="s">
        <v>11231</v>
      </c>
      <c r="C103" s="6" t="s">
        <v>638</v>
      </c>
      <c r="E103" s="6" t="s">
        <v>11230</v>
      </c>
      <c r="F103" s="6" t="s">
        <v>11224</v>
      </c>
      <c r="G103" s="6" t="s">
        <v>16</v>
      </c>
      <c r="H103" s="6" t="s">
        <v>430</v>
      </c>
      <c r="I103" s="6" t="s">
        <v>14</v>
      </c>
      <c r="J103" s="6" t="s">
        <v>84</v>
      </c>
      <c r="K103" s="7">
        <v>28.489230800000001</v>
      </c>
      <c r="L103" s="7">
        <v>-96.776666539999994</v>
      </c>
      <c r="M103" s="6" t="s">
        <v>83</v>
      </c>
      <c r="N103" s="6" t="s">
        <v>82</v>
      </c>
      <c r="O103" s="6" t="s">
        <v>10</v>
      </c>
    </row>
    <row r="104" spans="1:15" x14ac:dyDescent="0.25">
      <c r="A104" s="6" t="s">
        <v>11236</v>
      </c>
      <c r="B104" s="6" t="s">
        <v>11231</v>
      </c>
      <c r="C104" s="6" t="s">
        <v>635</v>
      </c>
      <c r="E104" s="6" t="s">
        <v>11230</v>
      </c>
      <c r="F104" s="6" t="s">
        <v>11224</v>
      </c>
      <c r="G104" s="6" t="s">
        <v>16</v>
      </c>
      <c r="H104" s="6" t="s">
        <v>430</v>
      </c>
      <c r="I104" s="6" t="s">
        <v>14</v>
      </c>
      <c r="J104" s="6" t="s">
        <v>84</v>
      </c>
      <c r="K104" s="7">
        <v>28.489093109999999</v>
      </c>
      <c r="L104" s="7">
        <v>-96.776120719999994</v>
      </c>
      <c r="M104" s="6" t="s">
        <v>83</v>
      </c>
      <c r="N104" s="6" t="s">
        <v>82</v>
      </c>
      <c r="O104" s="6" t="s">
        <v>10</v>
      </c>
    </row>
    <row r="105" spans="1:15" x14ac:dyDescent="0.25">
      <c r="A105" s="6" t="s">
        <v>11235</v>
      </c>
      <c r="B105" s="6" t="s">
        <v>11231</v>
      </c>
      <c r="C105" s="6" t="s">
        <v>869</v>
      </c>
      <c r="E105" s="6" t="s">
        <v>11230</v>
      </c>
      <c r="F105" s="6" t="s">
        <v>11224</v>
      </c>
      <c r="G105" s="6" t="s">
        <v>16</v>
      </c>
      <c r="H105" s="6" t="s">
        <v>430</v>
      </c>
      <c r="I105" s="6" t="s">
        <v>14</v>
      </c>
      <c r="J105" s="6" t="s">
        <v>84</v>
      </c>
      <c r="K105" s="7">
        <v>28.503704760000002</v>
      </c>
      <c r="L105" s="7">
        <v>-96.786629509999997</v>
      </c>
      <c r="M105" s="6" t="s">
        <v>83</v>
      </c>
      <c r="N105" s="6" t="s">
        <v>82</v>
      </c>
      <c r="O105" s="6" t="s">
        <v>10</v>
      </c>
    </row>
    <row r="106" spans="1:15" x14ac:dyDescent="0.25">
      <c r="A106" s="6" t="s">
        <v>11234</v>
      </c>
      <c r="B106" s="6" t="s">
        <v>11231</v>
      </c>
      <c r="C106" s="6" t="s">
        <v>1189</v>
      </c>
      <c r="E106" s="6" t="s">
        <v>11230</v>
      </c>
      <c r="F106" s="6" t="s">
        <v>11224</v>
      </c>
      <c r="G106" s="6" t="s">
        <v>16</v>
      </c>
      <c r="H106" s="6" t="s">
        <v>430</v>
      </c>
      <c r="I106" s="6" t="s">
        <v>14</v>
      </c>
      <c r="J106" s="6" t="s">
        <v>84</v>
      </c>
      <c r="K106" s="7">
        <v>28.536934779999999</v>
      </c>
      <c r="L106" s="7">
        <v>-96.77238638</v>
      </c>
      <c r="M106" s="6" t="s">
        <v>289</v>
      </c>
      <c r="N106" s="6" t="s">
        <v>82</v>
      </c>
      <c r="O106" s="6" t="s">
        <v>10</v>
      </c>
    </row>
    <row r="107" spans="1:15" x14ac:dyDescent="0.25">
      <c r="A107" s="6" t="s">
        <v>11233</v>
      </c>
      <c r="B107" s="6" t="s">
        <v>11231</v>
      </c>
      <c r="C107" s="6" t="s">
        <v>1841</v>
      </c>
      <c r="E107" s="6" t="s">
        <v>11230</v>
      </c>
      <c r="F107" s="6" t="s">
        <v>11224</v>
      </c>
      <c r="G107" s="6" t="s">
        <v>16</v>
      </c>
      <c r="H107" s="6" t="s">
        <v>430</v>
      </c>
      <c r="I107" s="6" t="s">
        <v>14</v>
      </c>
      <c r="J107" s="6" t="s">
        <v>84</v>
      </c>
      <c r="K107" s="7">
        <v>28.536969939999999</v>
      </c>
      <c r="L107" s="7">
        <v>-96.772321910000002</v>
      </c>
      <c r="M107" s="6" t="s">
        <v>289</v>
      </c>
      <c r="N107" s="6" t="s">
        <v>82</v>
      </c>
      <c r="O107" s="6" t="s">
        <v>10</v>
      </c>
    </row>
    <row r="108" spans="1:15" x14ac:dyDescent="0.25">
      <c r="A108" s="6" t="s">
        <v>11232</v>
      </c>
      <c r="B108" s="6" t="s">
        <v>11231</v>
      </c>
      <c r="C108" s="6" t="s">
        <v>4806</v>
      </c>
      <c r="E108" s="6" t="s">
        <v>11230</v>
      </c>
      <c r="F108" s="6" t="s">
        <v>11224</v>
      </c>
      <c r="G108" s="6" t="s">
        <v>16</v>
      </c>
      <c r="H108" s="6" t="s">
        <v>430</v>
      </c>
      <c r="I108" s="6" t="s">
        <v>14</v>
      </c>
      <c r="J108" s="6" t="s">
        <v>84</v>
      </c>
      <c r="K108" s="7">
        <v>28.53700658</v>
      </c>
      <c r="L108" s="7">
        <v>-96.757990379999995</v>
      </c>
      <c r="M108" s="6" t="s">
        <v>289</v>
      </c>
      <c r="N108" s="6" t="s">
        <v>82</v>
      </c>
      <c r="O108" s="6" t="s">
        <v>10</v>
      </c>
    </row>
    <row r="109" spans="1:15" x14ac:dyDescent="0.25">
      <c r="A109" s="6" t="s">
        <v>11229</v>
      </c>
      <c r="B109" s="6" t="s">
        <v>11226</v>
      </c>
      <c r="C109" s="6" t="s">
        <v>19</v>
      </c>
      <c r="E109" s="6" t="s">
        <v>11225</v>
      </c>
      <c r="F109" s="6" t="s">
        <v>11224</v>
      </c>
      <c r="G109" s="6" t="s">
        <v>16</v>
      </c>
      <c r="H109" s="6" t="s">
        <v>430</v>
      </c>
      <c r="I109" s="6" t="s">
        <v>14</v>
      </c>
      <c r="J109" s="6" t="s">
        <v>215</v>
      </c>
      <c r="K109" s="7">
        <v>29.379127459999999</v>
      </c>
      <c r="L109" s="7">
        <v>-94.941611120000005</v>
      </c>
      <c r="M109" s="6" t="s">
        <v>7148</v>
      </c>
      <c r="N109" s="6" t="s">
        <v>160</v>
      </c>
      <c r="O109" s="6" t="s">
        <v>23</v>
      </c>
    </row>
    <row r="110" spans="1:15" x14ac:dyDescent="0.25">
      <c r="A110" s="6" t="s">
        <v>11228</v>
      </c>
      <c r="B110" s="6" t="s">
        <v>11226</v>
      </c>
      <c r="C110" s="6" t="s">
        <v>436</v>
      </c>
      <c r="E110" s="6" t="s">
        <v>11225</v>
      </c>
      <c r="F110" s="6" t="s">
        <v>11224</v>
      </c>
      <c r="G110" s="6" t="s">
        <v>16</v>
      </c>
      <c r="H110" s="6" t="s">
        <v>430</v>
      </c>
      <c r="I110" s="6" t="s">
        <v>14</v>
      </c>
      <c r="J110" s="6" t="s">
        <v>215</v>
      </c>
      <c r="K110" s="7">
        <v>29.377894189999999</v>
      </c>
      <c r="L110" s="7">
        <v>-94.950849070000004</v>
      </c>
      <c r="M110" s="6" t="s">
        <v>7148</v>
      </c>
      <c r="N110" s="6" t="s">
        <v>160</v>
      </c>
      <c r="O110" s="6" t="s">
        <v>23</v>
      </c>
    </row>
    <row r="111" spans="1:15" x14ac:dyDescent="0.25">
      <c r="A111" s="6" t="s">
        <v>11227</v>
      </c>
      <c r="B111" s="6" t="s">
        <v>11226</v>
      </c>
      <c r="C111" s="6" t="s">
        <v>433</v>
      </c>
      <c r="E111" s="6" t="s">
        <v>11225</v>
      </c>
      <c r="F111" s="6" t="s">
        <v>11224</v>
      </c>
      <c r="G111" s="6" t="s">
        <v>16</v>
      </c>
      <c r="H111" s="6" t="s">
        <v>430</v>
      </c>
      <c r="I111" s="6" t="s">
        <v>14</v>
      </c>
      <c r="J111" s="6" t="s">
        <v>215</v>
      </c>
      <c r="K111" s="7">
        <v>29.371082999999999</v>
      </c>
      <c r="L111" s="7">
        <v>-94.941400999999999</v>
      </c>
      <c r="M111" s="6" t="s">
        <v>672</v>
      </c>
      <c r="N111" s="6" t="s">
        <v>160</v>
      </c>
      <c r="O111" s="6" t="s">
        <v>23</v>
      </c>
    </row>
    <row r="112" spans="1:15" x14ac:dyDescent="0.25">
      <c r="A112" s="6" t="s">
        <v>12064</v>
      </c>
      <c r="B112" s="6" t="s">
        <v>12060</v>
      </c>
      <c r="C112" s="6" t="s">
        <v>31</v>
      </c>
      <c r="E112" s="6" t="s">
        <v>12059</v>
      </c>
      <c r="F112" s="6" t="s">
        <v>12058</v>
      </c>
      <c r="G112" s="6" t="s">
        <v>16</v>
      </c>
      <c r="H112" s="6" t="s">
        <v>15</v>
      </c>
      <c r="I112" s="6" t="s">
        <v>46</v>
      </c>
      <c r="J112" s="6" t="s">
        <v>385</v>
      </c>
      <c r="K112" s="7">
        <v>30.00782409</v>
      </c>
      <c r="L112" s="7">
        <v>-93.977770649999997</v>
      </c>
      <c r="M112" s="6" t="s">
        <v>429</v>
      </c>
      <c r="N112" s="6" t="s">
        <v>52</v>
      </c>
      <c r="O112" s="6" t="s">
        <v>24</v>
      </c>
    </row>
    <row r="113" spans="1:15" x14ac:dyDescent="0.25">
      <c r="A113" s="6" t="s">
        <v>12063</v>
      </c>
      <c r="B113" s="6" t="s">
        <v>12060</v>
      </c>
      <c r="C113" s="6" t="s">
        <v>19</v>
      </c>
      <c r="E113" s="6" t="s">
        <v>12059</v>
      </c>
      <c r="F113" s="6" t="s">
        <v>12058</v>
      </c>
      <c r="G113" s="6" t="s">
        <v>16</v>
      </c>
      <c r="H113" s="6" t="s">
        <v>15</v>
      </c>
      <c r="I113" s="6" t="s">
        <v>46</v>
      </c>
      <c r="J113" s="6" t="s">
        <v>385</v>
      </c>
      <c r="K113" s="7">
        <v>30.012386719999999</v>
      </c>
      <c r="L113" s="7">
        <v>-93.964292130000004</v>
      </c>
      <c r="M113" s="6" t="s">
        <v>429</v>
      </c>
      <c r="N113" s="6" t="s">
        <v>52</v>
      </c>
      <c r="O113" s="6" t="s">
        <v>24</v>
      </c>
    </row>
    <row r="114" spans="1:15" x14ac:dyDescent="0.25">
      <c r="A114" s="6" t="s">
        <v>12062</v>
      </c>
      <c r="B114" s="6" t="s">
        <v>12060</v>
      </c>
      <c r="C114" s="6" t="s">
        <v>436</v>
      </c>
      <c r="E114" s="6" t="s">
        <v>12059</v>
      </c>
      <c r="F114" s="6" t="s">
        <v>12058</v>
      </c>
      <c r="G114" s="6" t="s">
        <v>16</v>
      </c>
      <c r="H114" s="6" t="s">
        <v>15</v>
      </c>
      <c r="I114" s="6" t="s">
        <v>46</v>
      </c>
      <c r="J114" s="6" t="s">
        <v>385</v>
      </c>
      <c r="K114" s="7">
        <v>29.988083</v>
      </c>
      <c r="L114" s="7">
        <v>-93.987875000000003</v>
      </c>
      <c r="M114" s="6" t="s">
        <v>429</v>
      </c>
      <c r="N114" s="6" t="s">
        <v>52</v>
      </c>
      <c r="O114" s="6" t="s">
        <v>24</v>
      </c>
    </row>
    <row r="115" spans="1:15" x14ac:dyDescent="0.25">
      <c r="A115" s="6" t="s">
        <v>12061</v>
      </c>
      <c r="B115" s="6" t="s">
        <v>12060</v>
      </c>
      <c r="C115" s="6" t="s">
        <v>557</v>
      </c>
      <c r="E115" s="6" t="s">
        <v>12059</v>
      </c>
      <c r="F115" s="6" t="s">
        <v>12058</v>
      </c>
      <c r="G115" s="6" t="s">
        <v>16</v>
      </c>
      <c r="H115" s="6" t="s">
        <v>15</v>
      </c>
      <c r="I115" s="6" t="s">
        <v>46</v>
      </c>
      <c r="J115" s="6" t="s">
        <v>385</v>
      </c>
      <c r="K115" s="7">
        <v>30.006652549999998</v>
      </c>
      <c r="L115" s="7">
        <v>-93.970016659999999</v>
      </c>
      <c r="M115" s="6" t="s">
        <v>429</v>
      </c>
      <c r="N115" s="6" t="s">
        <v>52</v>
      </c>
      <c r="O115" s="6" t="s">
        <v>24</v>
      </c>
    </row>
    <row r="116" spans="1:15" x14ac:dyDescent="0.25">
      <c r="A116" s="6" t="s">
        <v>6704</v>
      </c>
      <c r="B116" s="6" t="s">
        <v>6701</v>
      </c>
      <c r="C116" s="6" t="s">
        <v>31</v>
      </c>
      <c r="E116" s="6" t="s">
        <v>6700</v>
      </c>
      <c r="F116" s="6" t="s">
        <v>3189</v>
      </c>
      <c r="G116" s="6" t="s">
        <v>16</v>
      </c>
      <c r="H116" s="6" t="s">
        <v>15</v>
      </c>
      <c r="I116" s="6" t="s">
        <v>14</v>
      </c>
      <c r="J116" s="6" t="s">
        <v>35</v>
      </c>
      <c r="K116" s="7">
        <v>29.709690599999998</v>
      </c>
      <c r="L116" s="7">
        <v>-95.076386130000003</v>
      </c>
      <c r="M116" s="6" t="s">
        <v>599</v>
      </c>
      <c r="N116" s="6" t="s">
        <v>160</v>
      </c>
      <c r="O116" s="6" t="s">
        <v>23</v>
      </c>
    </row>
    <row r="117" spans="1:15" x14ac:dyDescent="0.25">
      <c r="A117" s="6" t="s">
        <v>6703</v>
      </c>
      <c r="B117" s="6" t="s">
        <v>6701</v>
      </c>
      <c r="C117" s="6" t="s">
        <v>19</v>
      </c>
      <c r="E117" s="6" t="s">
        <v>6700</v>
      </c>
      <c r="F117" s="6" t="s">
        <v>3189</v>
      </c>
      <c r="G117" s="6" t="s">
        <v>16</v>
      </c>
      <c r="H117" s="6" t="s">
        <v>430</v>
      </c>
      <c r="I117" s="6" t="s">
        <v>14</v>
      </c>
      <c r="J117" s="6" t="s">
        <v>35</v>
      </c>
      <c r="K117" s="7">
        <v>29.710636300000001</v>
      </c>
      <c r="L117" s="7">
        <v>-95.076146960000003</v>
      </c>
      <c r="M117" s="6" t="s">
        <v>599</v>
      </c>
      <c r="N117" s="6" t="s">
        <v>160</v>
      </c>
      <c r="O117" s="6" t="s">
        <v>23</v>
      </c>
    </row>
    <row r="118" spans="1:15" x14ac:dyDescent="0.25">
      <c r="A118" s="6" t="s">
        <v>6702</v>
      </c>
      <c r="B118" s="6" t="s">
        <v>6701</v>
      </c>
      <c r="C118" s="6" t="s">
        <v>436</v>
      </c>
      <c r="E118" s="6" t="s">
        <v>6700</v>
      </c>
      <c r="F118" s="6" t="s">
        <v>3189</v>
      </c>
      <c r="G118" s="6" t="s">
        <v>16</v>
      </c>
      <c r="H118" s="6" t="s">
        <v>430</v>
      </c>
      <c r="I118" s="6" t="s">
        <v>14</v>
      </c>
      <c r="J118" s="6" t="s">
        <v>35</v>
      </c>
      <c r="K118" s="7">
        <v>29.7097017</v>
      </c>
      <c r="L118" s="7">
        <v>-95.075147790000003</v>
      </c>
      <c r="M118" s="6" t="s">
        <v>599</v>
      </c>
      <c r="N118" s="6" t="s">
        <v>160</v>
      </c>
      <c r="O118" s="6" t="s">
        <v>23</v>
      </c>
    </row>
    <row r="119" spans="1:15" x14ac:dyDescent="0.25">
      <c r="A119" s="6" t="s">
        <v>6673</v>
      </c>
      <c r="B119" s="6" t="s">
        <v>6672</v>
      </c>
      <c r="C119" s="6" t="s">
        <v>31</v>
      </c>
      <c r="E119" s="6" t="s">
        <v>6671</v>
      </c>
      <c r="F119" s="6" t="s">
        <v>6670</v>
      </c>
      <c r="G119" s="6" t="s">
        <v>16</v>
      </c>
      <c r="H119" s="6" t="s">
        <v>15</v>
      </c>
      <c r="I119" s="6" t="s">
        <v>27</v>
      </c>
      <c r="J119" s="6" t="s">
        <v>145</v>
      </c>
      <c r="K119" s="7">
        <v>30.35046629</v>
      </c>
      <c r="L119" s="7">
        <v>-94.183570329999995</v>
      </c>
      <c r="M119" s="6" t="s">
        <v>3287</v>
      </c>
      <c r="N119" s="6" t="s">
        <v>52</v>
      </c>
      <c r="O119" s="6" t="s">
        <v>24</v>
      </c>
    </row>
    <row r="120" spans="1:15" x14ac:dyDescent="0.25">
      <c r="A120" s="6" t="s">
        <v>11539</v>
      </c>
      <c r="B120" s="6" t="s">
        <v>11538</v>
      </c>
      <c r="C120" s="6" t="s">
        <v>31</v>
      </c>
      <c r="E120" s="6" t="s">
        <v>11537</v>
      </c>
      <c r="F120" s="6" t="s">
        <v>11536</v>
      </c>
      <c r="G120" s="6" t="s">
        <v>16</v>
      </c>
      <c r="H120" s="6" t="s">
        <v>15</v>
      </c>
      <c r="I120" s="6" t="s">
        <v>73</v>
      </c>
      <c r="J120" s="6" t="s">
        <v>632</v>
      </c>
      <c r="K120" s="7">
        <v>30.044962999999999</v>
      </c>
      <c r="L120" s="7">
        <v>-93.788036000000005</v>
      </c>
      <c r="M120" s="6" t="s">
        <v>758</v>
      </c>
      <c r="N120" s="6" t="s">
        <v>65</v>
      </c>
      <c r="O120" s="6" t="s">
        <v>24</v>
      </c>
    </row>
    <row r="121" spans="1:15" x14ac:dyDescent="0.25">
      <c r="A121" s="6" t="s">
        <v>11715</v>
      </c>
      <c r="B121" s="6" t="s">
        <v>11538</v>
      </c>
      <c r="C121" s="6" t="s">
        <v>19</v>
      </c>
      <c r="E121" s="6" t="s">
        <v>11537</v>
      </c>
      <c r="F121" s="6" t="s">
        <v>11536</v>
      </c>
      <c r="G121" s="6" t="s">
        <v>16</v>
      </c>
      <c r="H121" s="6" t="s">
        <v>430</v>
      </c>
      <c r="I121" s="6" t="s">
        <v>73</v>
      </c>
      <c r="J121" s="6" t="s">
        <v>632</v>
      </c>
      <c r="K121" s="7">
        <v>30.04513</v>
      </c>
      <c r="L121" s="7">
        <v>-93.786282999999997</v>
      </c>
      <c r="M121" s="6" t="s">
        <v>758</v>
      </c>
      <c r="N121" s="6" t="s">
        <v>65</v>
      </c>
      <c r="O121" s="6" t="s">
        <v>24</v>
      </c>
    </row>
    <row r="122" spans="1:15" x14ac:dyDescent="0.25">
      <c r="A122" s="6" t="s">
        <v>9742</v>
      </c>
      <c r="B122" s="6" t="s">
        <v>9740</v>
      </c>
      <c r="C122" s="6" t="s">
        <v>31</v>
      </c>
      <c r="E122" s="6" t="s">
        <v>9739</v>
      </c>
      <c r="F122" s="6" t="s">
        <v>2254</v>
      </c>
      <c r="G122" s="6" t="s">
        <v>16</v>
      </c>
      <c r="H122" s="6" t="s">
        <v>15</v>
      </c>
      <c r="I122" s="6" t="s">
        <v>14</v>
      </c>
      <c r="J122" s="6" t="s">
        <v>35</v>
      </c>
      <c r="K122" s="7">
        <v>29.723861979999999</v>
      </c>
      <c r="L122" s="7">
        <v>-95.252636100000004</v>
      </c>
      <c r="M122" s="6" t="s">
        <v>866</v>
      </c>
      <c r="N122" s="6" t="s">
        <v>24</v>
      </c>
      <c r="O122" s="6" t="s">
        <v>23</v>
      </c>
    </row>
    <row r="123" spans="1:15" x14ac:dyDescent="0.25">
      <c r="A123" s="6" t="s">
        <v>9741</v>
      </c>
      <c r="B123" s="6" t="s">
        <v>9740</v>
      </c>
      <c r="C123" s="6" t="s">
        <v>19</v>
      </c>
      <c r="E123" s="6" t="s">
        <v>9739</v>
      </c>
      <c r="F123" s="6" t="s">
        <v>2254</v>
      </c>
      <c r="G123" s="6" t="s">
        <v>16</v>
      </c>
      <c r="H123" s="6" t="s">
        <v>15</v>
      </c>
      <c r="I123" s="6" t="s">
        <v>14</v>
      </c>
      <c r="J123" s="6" t="s">
        <v>35</v>
      </c>
      <c r="K123" s="7">
        <v>29.724323500000001</v>
      </c>
      <c r="L123" s="7">
        <v>-95.253262579999998</v>
      </c>
      <c r="M123" s="6" t="s">
        <v>866</v>
      </c>
      <c r="N123" s="6" t="s">
        <v>24</v>
      </c>
      <c r="O123" s="6" t="s">
        <v>23</v>
      </c>
    </row>
    <row r="124" spans="1:15" x14ac:dyDescent="0.25">
      <c r="A124" s="6" t="s">
        <v>10969</v>
      </c>
      <c r="B124" s="6" t="s">
        <v>9740</v>
      </c>
      <c r="C124" s="6" t="s">
        <v>436</v>
      </c>
      <c r="E124" s="6" t="s">
        <v>9739</v>
      </c>
      <c r="F124" s="6" t="s">
        <v>2254</v>
      </c>
      <c r="G124" s="6" t="s">
        <v>16</v>
      </c>
      <c r="H124" s="6" t="s">
        <v>430</v>
      </c>
      <c r="I124" s="6" t="s">
        <v>14</v>
      </c>
      <c r="J124" s="6" t="s">
        <v>35</v>
      </c>
      <c r="K124" s="7">
        <v>29.720591899999999</v>
      </c>
      <c r="L124" s="7">
        <v>-95.249445879999996</v>
      </c>
      <c r="M124" s="6" t="s">
        <v>866</v>
      </c>
      <c r="N124" s="6" t="s">
        <v>24</v>
      </c>
      <c r="O124" s="6" t="s">
        <v>23</v>
      </c>
    </row>
    <row r="125" spans="1:15" x14ac:dyDescent="0.25">
      <c r="A125" s="6" t="s">
        <v>10968</v>
      </c>
      <c r="B125" s="6" t="s">
        <v>9740</v>
      </c>
      <c r="C125" s="6" t="s">
        <v>557</v>
      </c>
      <c r="E125" s="6" t="s">
        <v>9739</v>
      </c>
      <c r="F125" s="6" t="s">
        <v>2254</v>
      </c>
      <c r="G125" s="6" t="s">
        <v>16</v>
      </c>
      <c r="H125" s="6" t="s">
        <v>430</v>
      </c>
      <c r="I125" s="6" t="s">
        <v>14</v>
      </c>
      <c r="J125" s="6" t="s">
        <v>35</v>
      </c>
      <c r="K125" s="7">
        <v>29.725848620000001</v>
      </c>
      <c r="L125" s="7">
        <v>-95.257230289999995</v>
      </c>
      <c r="M125" s="6" t="s">
        <v>866</v>
      </c>
      <c r="N125" s="6" t="s">
        <v>24</v>
      </c>
      <c r="O125" s="6" t="s">
        <v>23</v>
      </c>
    </row>
    <row r="126" spans="1:15" x14ac:dyDescent="0.25">
      <c r="A126" s="6" t="s">
        <v>10967</v>
      </c>
      <c r="B126" s="6" t="s">
        <v>9740</v>
      </c>
      <c r="C126" s="6" t="s">
        <v>433</v>
      </c>
      <c r="E126" s="6" t="s">
        <v>9739</v>
      </c>
      <c r="F126" s="6" t="s">
        <v>2254</v>
      </c>
      <c r="G126" s="6" t="s">
        <v>16</v>
      </c>
      <c r="H126" s="6" t="s">
        <v>430</v>
      </c>
      <c r="I126" s="6" t="s">
        <v>14</v>
      </c>
      <c r="J126" s="6" t="s">
        <v>35</v>
      </c>
      <c r="K126" s="7">
        <v>29.725855840000001</v>
      </c>
      <c r="L126" s="7">
        <v>-95.259816659999998</v>
      </c>
      <c r="M126" s="6" t="s">
        <v>866</v>
      </c>
      <c r="N126" s="6" t="s">
        <v>24</v>
      </c>
      <c r="O126" s="6" t="s">
        <v>23</v>
      </c>
    </row>
    <row r="127" spans="1:15" x14ac:dyDescent="0.25">
      <c r="A127" s="6" t="s">
        <v>10966</v>
      </c>
      <c r="B127" s="6" t="s">
        <v>9740</v>
      </c>
      <c r="C127" s="6" t="s">
        <v>1098</v>
      </c>
      <c r="E127" s="6" t="s">
        <v>9739</v>
      </c>
      <c r="F127" s="6" t="s">
        <v>2254</v>
      </c>
      <c r="G127" s="6" t="s">
        <v>16</v>
      </c>
      <c r="H127" s="6" t="s">
        <v>430</v>
      </c>
      <c r="I127" s="6" t="s">
        <v>14</v>
      </c>
      <c r="J127" s="6" t="s">
        <v>35</v>
      </c>
      <c r="K127" s="7">
        <v>29.713564359999999</v>
      </c>
      <c r="L127" s="7">
        <v>-95.250889139999998</v>
      </c>
      <c r="M127" s="6" t="s">
        <v>866</v>
      </c>
      <c r="N127" s="6" t="s">
        <v>24</v>
      </c>
      <c r="O127" s="6" t="s">
        <v>23</v>
      </c>
    </row>
    <row r="128" spans="1:15" x14ac:dyDescent="0.25">
      <c r="A128" s="6" t="s">
        <v>10965</v>
      </c>
      <c r="B128" s="6" t="s">
        <v>9740</v>
      </c>
      <c r="C128" s="6" t="s">
        <v>1096</v>
      </c>
      <c r="E128" s="6" t="s">
        <v>9739</v>
      </c>
      <c r="F128" s="6" t="s">
        <v>2254</v>
      </c>
      <c r="G128" s="6" t="s">
        <v>16</v>
      </c>
      <c r="H128" s="6" t="s">
        <v>15</v>
      </c>
      <c r="I128" s="6" t="s">
        <v>14</v>
      </c>
      <c r="J128" s="6" t="s">
        <v>35</v>
      </c>
      <c r="K128" s="7">
        <v>29.723687630000001</v>
      </c>
      <c r="L128" s="7">
        <v>-95.252379199999993</v>
      </c>
      <c r="M128" s="6" t="s">
        <v>866</v>
      </c>
      <c r="N128" s="6" t="s">
        <v>24</v>
      </c>
      <c r="O128" s="6" t="s">
        <v>23</v>
      </c>
    </row>
    <row r="129" spans="1:15" x14ac:dyDescent="0.25">
      <c r="A129" s="6" t="s">
        <v>8171</v>
      </c>
      <c r="B129" s="6" t="s">
        <v>8169</v>
      </c>
      <c r="C129" s="6" t="s">
        <v>31</v>
      </c>
      <c r="E129" s="6" t="s">
        <v>8168</v>
      </c>
      <c r="F129" s="6" t="s">
        <v>7074</v>
      </c>
      <c r="G129" s="6" t="s">
        <v>16</v>
      </c>
      <c r="H129" s="6" t="s">
        <v>15</v>
      </c>
      <c r="I129" s="6" t="s">
        <v>14</v>
      </c>
      <c r="J129" s="6" t="s">
        <v>632</v>
      </c>
      <c r="K129" s="7">
        <v>30.20013221</v>
      </c>
      <c r="L129" s="7">
        <v>-93.718210260000006</v>
      </c>
      <c r="M129" s="6" t="s">
        <v>797</v>
      </c>
      <c r="N129" s="6" t="s">
        <v>65</v>
      </c>
      <c r="O129" s="6" t="s">
        <v>24</v>
      </c>
    </row>
    <row r="130" spans="1:15" x14ac:dyDescent="0.25">
      <c r="A130" s="6" t="s">
        <v>8170</v>
      </c>
      <c r="B130" s="6" t="s">
        <v>8169</v>
      </c>
      <c r="C130" s="6" t="s">
        <v>19</v>
      </c>
      <c r="E130" s="6" t="s">
        <v>8168</v>
      </c>
      <c r="F130" s="6" t="s">
        <v>7074</v>
      </c>
      <c r="G130" s="6" t="s">
        <v>16</v>
      </c>
      <c r="H130" s="6" t="s">
        <v>15</v>
      </c>
      <c r="I130" s="6" t="s">
        <v>14</v>
      </c>
      <c r="J130" s="6" t="s">
        <v>632</v>
      </c>
      <c r="K130" s="7">
        <v>30.216195689999999</v>
      </c>
      <c r="L130" s="7">
        <v>-93.73534042</v>
      </c>
      <c r="M130" s="6" t="s">
        <v>797</v>
      </c>
      <c r="N130" s="6" t="s">
        <v>65</v>
      </c>
      <c r="O130" s="6" t="s">
        <v>24</v>
      </c>
    </row>
    <row r="131" spans="1:15" x14ac:dyDescent="0.25">
      <c r="A131" s="6" t="s">
        <v>8481</v>
      </c>
      <c r="B131" s="6" t="s">
        <v>8477</v>
      </c>
      <c r="C131" s="6" t="s">
        <v>31</v>
      </c>
      <c r="E131" s="6" t="s">
        <v>8476</v>
      </c>
      <c r="F131" s="6" t="s">
        <v>8475</v>
      </c>
      <c r="G131" s="6" t="s">
        <v>16</v>
      </c>
      <c r="H131" s="6" t="s">
        <v>15</v>
      </c>
      <c r="I131" s="6" t="s">
        <v>14</v>
      </c>
      <c r="J131" s="6" t="s">
        <v>145</v>
      </c>
      <c r="K131" s="7">
        <v>30.39685154</v>
      </c>
      <c r="L131" s="7">
        <v>-94.229247999999998</v>
      </c>
      <c r="M131" s="6" t="s">
        <v>1704</v>
      </c>
      <c r="N131" s="6" t="s">
        <v>52</v>
      </c>
      <c r="O131" s="6" t="s">
        <v>24</v>
      </c>
    </row>
    <row r="132" spans="1:15" x14ac:dyDescent="0.25">
      <c r="A132" s="6" t="s">
        <v>8480</v>
      </c>
      <c r="B132" s="6" t="s">
        <v>8477</v>
      </c>
      <c r="C132" s="6" t="s">
        <v>19</v>
      </c>
      <c r="E132" s="6" t="s">
        <v>8476</v>
      </c>
      <c r="F132" s="6" t="s">
        <v>8475</v>
      </c>
      <c r="G132" s="6" t="s">
        <v>16</v>
      </c>
      <c r="H132" s="6" t="s">
        <v>15</v>
      </c>
      <c r="I132" s="6" t="s">
        <v>14</v>
      </c>
      <c r="J132" s="6" t="s">
        <v>145</v>
      </c>
      <c r="K132" s="7">
        <v>30.39685154</v>
      </c>
      <c r="L132" s="7">
        <v>-94.229247999999998</v>
      </c>
      <c r="M132" s="6" t="s">
        <v>1704</v>
      </c>
      <c r="N132" s="6" t="s">
        <v>52</v>
      </c>
      <c r="O132" s="6" t="s">
        <v>24</v>
      </c>
    </row>
    <row r="133" spans="1:15" x14ac:dyDescent="0.25">
      <c r="A133" s="6" t="s">
        <v>8479</v>
      </c>
      <c r="B133" s="6" t="s">
        <v>8477</v>
      </c>
      <c r="C133" s="6" t="s">
        <v>436</v>
      </c>
      <c r="E133" s="6" t="s">
        <v>8476</v>
      </c>
      <c r="F133" s="6" t="s">
        <v>8475</v>
      </c>
      <c r="G133" s="6" t="s">
        <v>16</v>
      </c>
      <c r="H133" s="6" t="s">
        <v>430</v>
      </c>
      <c r="I133" s="6" t="s">
        <v>14</v>
      </c>
      <c r="J133" s="6" t="s">
        <v>145</v>
      </c>
      <c r="K133" s="7">
        <v>30.394934169999999</v>
      </c>
      <c r="L133" s="7">
        <v>-94.230404039999996</v>
      </c>
      <c r="M133" s="6" t="s">
        <v>1704</v>
      </c>
      <c r="N133" s="6" t="s">
        <v>52</v>
      </c>
      <c r="O133" s="6" t="s">
        <v>24</v>
      </c>
    </row>
    <row r="134" spans="1:15" x14ac:dyDescent="0.25">
      <c r="A134" s="6" t="s">
        <v>8478</v>
      </c>
      <c r="B134" s="6" t="s">
        <v>8477</v>
      </c>
      <c r="C134" s="6" t="s">
        <v>597</v>
      </c>
      <c r="E134" s="6" t="s">
        <v>8476</v>
      </c>
      <c r="F134" s="6" t="s">
        <v>8475</v>
      </c>
      <c r="G134" s="6" t="s">
        <v>16</v>
      </c>
      <c r="H134" s="6" t="s">
        <v>430</v>
      </c>
      <c r="I134" s="6" t="s">
        <v>14</v>
      </c>
      <c r="J134" s="6" t="s">
        <v>145</v>
      </c>
      <c r="K134" s="7">
        <v>30.373820250000001</v>
      </c>
      <c r="L134" s="7">
        <v>-94.170689960000004</v>
      </c>
      <c r="M134" s="6" t="s">
        <v>1704</v>
      </c>
      <c r="N134" s="6" t="s">
        <v>52</v>
      </c>
      <c r="O134" s="6" t="s">
        <v>24</v>
      </c>
    </row>
    <row r="135" spans="1:15" x14ac:dyDescent="0.25">
      <c r="A135" s="6" t="s">
        <v>10646</v>
      </c>
      <c r="B135" s="6" t="s">
        <v>10645</v>
      </c>
      <c r="C135" s="6" t="s">
        <v>31</v>
      </c>
      <c r="E135" s="6" t="s">
        <v>10644</v>
      </c>
      <c r="F135" s="6" t="s">
        <v>4175</v>
      </c>
      <c r="G135" s="6" t="s">
        <v>16</v>
      </c>
      <c r="H135" s="6" t="s">
        <v>15</v>
      </c>
      <c r="I135" s="6" t="s">
        <v>14</v>
      </c>
      <c r="J135" s="6" t="s">
        <v>35</v>
      </c>
      <c r="K135" s="7">
        <v>29.720746999999999</v>
      </c>
      <c r="L135" s="7">
        <v>-95.113055000000003</v>
      </c>
      <c r="M135" s="6" t="s">
        <v>34</v>
      </c>
      <c r="N135" s="6" t="s">
        <v>24</v>
      </c>
      <c r="O135" s="6" t="s">
        <v>23</v>
      </c>
    </row>
    <row r="136" spans="1:15" x14ac:dyDescent="0.25">
      <c r="A136" s="6" t="s">
        <v>12460</v>
      </c>
      <c r="B136" s="6" t="s">
        <v>12457</v>
      </c>
      <c r="C136" s="6" t="s">
        <v>31</v>
      </c>
      <c r="E136" s="6" t="s">
        <v>12456</v>
      </c>
      <c r="F136" s="6" t="s">
        <v>12455</v>
      </c>
      <c r="G136" s="6" t="s">
        <v>16</v>
      </c>
      <c r="H136" s="6" t="s">
        <v>430</v>
      </c>
      <c r="I136" s="6" t="s">
        <v>799</v>
      </c>
      <c r="J136" s="6" t="s">
        <v>35</v>
      </c>
      <c r="K136" s="7">
        <v>29.723285000000001</v>
      </c>
      <c r="L136" s="7">
        <v>-95.230767999999998</v>
      </c>
      <c r="M136" s="6" t="s">
        <v>866</v>
      </c>
      <c r="N136" s="6" t="s">
        <v>24</v>
      </c>
      <c r="O136" s="6" t="s">
        <v>23</v>
      </c>
    </row>
    <row r="137" spans="1:15" x14ac:dyDescent="0.25">
      <c r="A137" s="6" t="s">
        <v>12459</v>
      </c>
      <c r="B137" s="6" t="s">
        <v>12457</v>
      </c>
      <c r="C137" s="6" t="s">
        <v>19</v>
      </c>
      <c r="E137" s="6" t="s">
        <v>12456</v>
      </c>
      <c r="F137" s="6" t="s">
        <v>12455</v>
      </c>
      <c r="G137" s="6" t="s">
        <v>16</v>
      </c>
      <c r="H137" s="6" t="s">
        <v>15</v>
      </c>
      <c r="I137" s="6" t="s">
        <v>799</v>
      </c>
      <c r="J137" s="6" t="s">
        <v>35</v>
      </c>
      <c r="K137" s="7">
        <v>29.723006999999999</v>
      </c>
      <c r="L137" s="7">
        <v>-95.231323000000003</v>
      </c>
      <c r="M137" s="6" t="s">
        <v>866</v>
      </c>
      <c r="N137" s="6" t="s">
        <v>24</v>
      </c>
      <c r="O137" s="6" t="s">
        <v>23</v>
      </c>
    </row>
    <row r="138" spans="1:15" x14ac:dyDescent="0.25">
      <c r="A138" s="6" t="s">
        <v>12458</v>
      </c>
      <c r="B138" s="6" t="s">
        <v>12457</v>
      </c>
      <c r="C138" s="6" t="s">
        <v>436</v>
      </c>
      <c r="E138" s="6" t="s">
        <v>12456</v>
      </c>
      <c r="F138" s="6" t="s">
        <v>12455</v>
      </c>
      <c r="G138" s="6" t="s">
        <v>16</v>
      </c>
      <c r="H138" s="6" t="s">
        <v>430</v>
      </c>
      <c r="I138" s="6" t="s">
        <v>799</v>
      </c>
      <c r="J138" s="6" t="s">
        <v>35</v>
      </c>
      <c r="K138" s="7">
        <v>29.716618</v>
      </c>
      <c r="L138" s="7">
        <v>-95.239102000000003</v>
      </c>
      <c r="M138" s="6" t="s">
        <v>866</v>
      </c>
      <c r="N138" s="6" t="s">
        <v>24</v>
      </c>
      <c r="O138" s="6" t="s">
        <v>23</v>
      </c>
    </row>
    <row r="139" spans="1:15" x14ac:dyDescent="0.25">
      <c r="A139" s="6" t="s">
        <v>11250</v>
      </c>
      <c r="B139" s="6" t="s">
        <v>2078</v>
      </c>
      <c r="C139" s="6" t="s">
        <v>31</v>
      </c>
      <c r="E139" s="6" t="s">
        <v>2077</v>
      </c>
      <c r="F139" s="6" t="s">
        <v>2076</v>
      </c>
      <c r="G139" s="6" t="s">
        <v>16</v>
      </c>
      <c r="H139" s="6" t="s">
        <v>15</v>
      </c>
      <c r="I139" s="6" t="s">
        <v>46</v>
      </c>
      <c r="J139" s="6" t="s">
        <v>215</v>
      </c>
      <c r="K139" s="7">
        <v>29.3674879</v>
      </c>
      <c r="L139" s="7">
        <v>-94.892382659999996</v>
      </c>
      <c r="M139" s="6" t="s">
        <v>672</v>
      </c>
      <c r="N139" s="6" t="s">
        <v>160</v>
      </c>
      <c r="O139" s="6" t="s">
        <v>23</v>
      </c>
    </row>
    <row r="140" spans="1:15" x14ac:dyDescent="0.25">
      <c r="A140" s="6" t="s">
        <v>11249</v>
      </c>
      <c r="B140" s="6" t="s">
        <v>2078</v>
      </c>
      <c r="C140" s="6" t="s">
        <v>19</v>
      </c>
      <c r="E140" s="6" t="s">
        <v>2077</v>
      </c>
      <c r="F140" s="6" t="s">
        <v>2076</v>
      </c>
      <c r="G140" s="6" t="s">
        <v>16</v>
      </c>
      <c r="H140" s="6" t="s">
        <v>15</v>
      </c>
      <c r="I140" s="6" t="s">
        <v>46</v>
      </c>
      <c r="J140" s="6" t="s">
        <v>215</v>
      </c>
      <c r="K140" s="7">
        <v>29.35458203</v>
      </c>
      <c r="L140" s="7">
        <v>-94.924023120000001</v>
      </c>
      <c r="M140" s="6" t="s">
        <v>672</v>
      </c>
      <c r="N140" s="6" t="s">
        <v>160</v>
      </c>
      <c r="O140" s="6" t="s">
        <v>23</v>
      </c>
    </row>
    <row r="141" spans="1:15" x14ac:dyDescent="0.25">
      <c r="A141" s="6" t="s">
        <v>11248</v>
      </c>
      <c r="B141" s="6" t="s">
        <v>2078</v>
      </c>
      <c r="C141" s="6" t="s">
        <v>436</v>
      </c>
      <c r="E141" s="6" t="s">
        <v>2077</v>
      </c>
      <c r="F141" s="6" t="s">
        <v>2076</v>
      </c>
      <c r="G141" s="6" t="s">
        <v>16</v>
      </c>
      <c r="H141" s="6" t="s">
        <v>430</v>
      </c>
      <c r="I141" s="6" t="s">
        <v>46</v>
      </c>
      <c r="J141" s="6" t="s">
        <v>215</v>
      </c>
      <c r="K141" s="7">
        <v>29.364794700000001</v>
      </c>
      <c r="L141" s="7">
        <v>-94.920082249999993</v>
      </c>
      <c r="M141" s="6" t="s">
        <v>672</v>
      </c>
      <c r="N141" s="6" t="s">
        <v>160</v>
      </c>
      <c r="O141" s="6" t="s">
        <v>23</v>
      </c>
    </row>
    <row r="142" spans="1:15" x14ac:dyDescent="0.25">
      <c r="A142" s="6" t="s">
        <v>9750</v>
      </c>
      <c r="B142" s="6" t="s">
        <v>2078</v>
      </c>
      <c r="C142" s="6" t="s">
        <v>557</v>
      </c>
      <c r="E142" s="6" t="s">
        <v>2077</v>
      </c>
      <c r="F142" s="6" t="s">
        <v>2076</v>
      </c>
      <c r="G142" s="6" t="s">
        <v>16</v>
      </c>
      <c r="H142" s="6" t="s">
        <v>15</v>
      </c>
      <c r="I142" s="6" t="s">
        <v>46</v>
      </c>
      <c r="J142" s="6" t="s">
        <v>215</v>
      </c>
      <c r="K142" s="7">
        <v>29.364327710000001</v>
      </c>
      <c r="L142" s="7">
        <v>-94.925215010000002</v>
      </c>
      <c r="M142" s="6" t="s">
        <v>672</v>
      </c>
      <c r="N142" s="6" t="s">
        <v>160</v>
      </c>
      <c r="O142" s="6" t="s">
        <v>23</v>
      </c>
    </row>
    <row r="143" spans="1:15" x14ac:dyDescent="0.25">
      <c r="A143" s="6" t="s">
        <v>3499</v>
      </c>
      <c r="B143" s="6" t="s">
        <v>2078</v>
      </c>
      <c r="C143" s="6" t="s">
        <v>1098</v>
      </c>
      <c r="E143" s="6" t="s">
        <v>2077</v>
      </c>
      <c r="F143" s="6" t="s">
        <v>2076</v>
      </c>
      <c r="G143" s="6" t="s">
        <v>16</v>
      </c>
      <c r="H143" s="6" t="s">
        <v>15</v>
      </c>
      <c r="I143" s="6" t="s">
        <v>46</v>
      </c>
      <c r="J143" s="6" t="s">
        <v>215</v>
      </c>
      <c r="K143" s="7">
        <v>29.364416210000002</v>
      </c>
      <c r="L143" s="7">
        <v>-94.925018249999994</v>
      </c>
      <c r="M143" s="6" t="s">
        <v>672</v>
      </c>
      <c r="N143" s="6" t="s">
        <v>160</v>
      </c>
      <c r="O143" s="6" t="s">
        <v>23</v>
      </c>
    </row>
    <row r="144" spans="1:15" x14ac:dyDescent="0.25">
      <c r="A144" s="6" t="s">
        <v>3498</v>
      </c>
      <c r="B144" s="6" t="s">
        <v>2078</v>
      </c>
      <c r="C144" s="6" t="s">
        <v>1096</v>
      </c>
      <c r="E144" s="6" t="s">
        <v>2077</v>
      </c>
      <c r="F144" s="6" t="s">
        <v>2076</v>
      </c>
      <c r="G144" s="6" t="s">
        <v>16</v>
      </c>
      <c r="H144" s="6" t="s">
        <v>15</v>
      </c>
      <c r="I144" s="6" t="s">
        <v>46</v>
      </c>
      <c r="J144" s="6" t="s">
        <v>215</v>
      </c>
      <c r="K144" s="7">
        <v>29.354752000000001</v>
      </c>
      <c r="L144" s="7">
        <v>-94.927685999999994</v>
      </c>
      <c r="M144" s="6" t="s">
        <v>672</v>
      </c>
      <c r="N144" s="6" t="s">
        <v>160</v>
      </c>
      <c r="O144" s="6" t="s">
        <v>23</v>
      </c>
    </row>
    <row r="145" spans="1:15" x14ac:dyDescent="0.25">
      <c r="A145" s="6" t="s">
        <v>9898</v>
      </c>
      <c r="B145" s="6" t="s">
        <v>2078</v>
      </c>
      <c r="C145" s="6" t="s">
        <v>635</v>
      </c>
      <c r="E145" s="6" t="s">
        <v>2077</v>
      </c>
      <c r="F145" s="6" t="s">
        <v>2076</v>
      </c>
      <c r="G145" s="6" t="s">
        <v>16</v>
      </c>
      <c r="H145" s="6" t="s">
        <v>430</v>
      </c>
      <c r="I145" s="6" t="s">
        <v>46</v>
      </c>
      <c r="J145" s="6" t="s">
        <v>215</v>
      </c>
      <c r="K145" s="7">
        <v>29.3651716</v>
      </c>
      <c r="L145" s="7">
        <v>-94.940018980000005</v>
      </c>
      <c r="M145" s="6" t="s">
        <v>672</v>
      </c>
      <c r="N145" s="6" t="s">
        <v>160</v>
      </c>
      <c r="O145" s="6" t="s">
        <v>23</v>
      </c>
    </row>
    <row r="146" spans="1:15" x14ac:dyDescent="0.25">
      <c r="A146" s="6" t="s">
        <v>2079</v>
      </c>
      <c r="B146" s="6" t="s">
        <v>2078</v>
      </c>
      <c r="C146" s="6" t="s">
        <v>1092</v>
      </c>
      <c r="E146" s="6" t="s">
        <v>2077</v>
      </c>
      <c r="F146" s="6" t="s">
        <v>2076</v>
      </c>
      <c r="G146" s="6" t="s">
        <v>16</v>
      </c>
      <c r="H146" s="6" t="s">
        <v>15</v>
      </c>
      <c r="I146" s="6" t="s">
        <v>46</v>
      </c>
      <c r="J146" s="6" t="s">
        <v>215</v>
      </c>
      <c r="K146" s="7">
        <v>29.367498149999999</v>
      </c>
      <c r="L146" s="7">
        <v>-94.892409459999996</v>
      </c>
      <c r="M146" s="6" t="s">
        <v>672</v>
      </c>
      <c r="N146" s="6" t="s">
        <v>160</v>
      </c>
      <c r="O146" s="6" t="s">
        <v>23</v>
      </c>
    </row>
    <row r="147" spans="1:15" x14ac:dyDescent="0.25">
      <c r="A147" s="6" t="s">
        <v>12465</v>
      </c>
      <c r="B147" s="6" t="s">
        <v>6531</v>
      </c>
      <c r="C147" s="6" t="s">
        <v>31</v>
      </c>
      <c r="E147" s="6" t="s">
        <v>6530</v>
      </c>
      <c r="F147" s="6" t="s">
        <v>1310</v>
      </c>
      <c r="G147" s="6" t="s">
        <v>16</v>
      </c>
      <c r="H147" s="6" t="s">
        <v>15</v>
      </c>
      <c r="I147" s="6" t="s">
        <v>36</v>
      </c>
      <c r="J147" s="6" t="s">
        <v>35</v>
      </c>
      <c r="K147" s="7">
        <v>29.83358333</v>
      </c>
      <c r="L147" s="7">
        <v>-95.107180760000006</v>
      </c>
      <c r="M147" s="6" t="s">
        <v>716</v>
      </c>
      <c r="N147" s="6" t="s">
        <v>24</v>
      </c>
      <c r="O147" s="6" t="s">
        <v>23</v>
      </c>
    </row>
    <row r="148" spans="1:15" x14ac:dyDescent="0.25">
      <c r="A148" s="6" t="s">
        <v>12464</v>
      </c>
      <c r="B148" s="6" t="s">
        <v>6531</v>
      </c>
      <c r="C148" s="6" t="s">
        <v>19</v>
      </c>
      <c r="E148" s="6" t="s">
        <v>6530</v>
      </c>
      <c r="F148" s="6" t="s">
        <v>1310</v>
      </c>
      <c r="G148" s="6" t="s">
        <v>16</v>
      </c>
      <c r="H148" s="6" t="s">
        <v>15</v>
      </c>
      <c r="I148" s="6" t="s">
        <v>36</v>
      </c>
      <c r="J148" s="6" t="s">
        <v>35</v>
      </c>
      <c r="K148" s="7">
        <v>29.8304002</v>
      </c>
      <c r="L148" s="7">
        <v>-95.107150009999998</v>
      </c>
      <c r="M148" s="6" t="s">
        <v>716</v>
      </c>
      <c r="N148" s="6" t="s">
        <v>24</v>
      </c>
      <c r="O148" s="6" t="s">
        <v>23</v>
      </c>
    </row>
    <row r="149" spans="1:15" x14ac:dyDescent="0.25">
      <c r="A149" s="6" t="s">
        <v>12463</v>
      </c>
      <c r="B149" s="6" t="s">
        <v>6531</v>
      </c>
      <c r="C149" s="6" t="s">
        <v>436</v>
      </c>
      <c r="E149" s="6" t="s">
        <v>6530</v>
      </c>
      <c r="F149" s="6" t="s">
        <v>1310</v>
      </c>
      <c r="G149" s="6" t="s">
        <v>16</v>
      </c>
      <c r="H149" s="6" t="s">
        <v>15</v>
      </c>
      <c r="I149" s="6" t="s">
        <v>36</v>
      </c>
      <c r="J149" s="6" t="s">
        <v>35</v>
      </c>
      <c r="K149" s="7">
        <v>29.824703379999999</v>
      </c>
      <c r="L149" s="7">
        <v>-95.126414409999995</v>
      </c>
      <c r="M149" s="6" t="s">
        <v>716</v>
      </c>
      <c r="N149" s="6" t="s">
        <v>24</v>
      </c>
      <c r="O149" s="6" t="s">
        <v>23</v>
      </c>
    </row>
    <row r="150" spans="1:15" x14ac:dyDescent="0.25">
      <c r="A150" s="6" t="s">
        <v>12462</v>
      </c>
      <c r="B150" s="6" t="s">
        <v>6531</v>
      </c>
      <c r="C150" s="6" t="s">
        <v>597</v>
      </c>
      <c r="E150" s="6" t="s">
        <v>6530</v>
      </c>
      <c r="F150" s="6" t="s">
        <v>1310</v>
      </c>
      <c r="G150" s="6" t="s">
        <v>16</v>
      </c>
      <c r="H150" s="6" t="s">
        <v>15</v>
      </c>
      <c r="I150" s="6" t="s">
        <v>36</v>
      </c>
      <c r="J150" s="6" t="s">
        <v>35</v>
      </c>
      <c r="K150" s="7">
        <v>29.834179939999999</v>
      </c>
      <c r="L150" s="7">
        <v>-95.107200140000003</v>
      </c>
      <c r="M150" s="6" t="s">
        <v>716</v>
      </c>
      <c r="N150" s="6" t="s">
        <v>24</v>
      </c>
      <c r="O150" s="6" t="s">
        <v>23</v>
      </c>
    </row>
    <row r="151" spans="1:15" x14ac:dyDescent="0.25">
      <c r="A151" s="6" t="s">
        <v>12461</v>
      </c>
      <c r="B151" s="6" t="s">
        <v>6531</v>
      </c>
      <c r="C151" s="6" t="s">
        <v>557</v>
      </c>
      <c r="E151" s="6" t="s">
        <v>6530</v>
      </c>
      <c r="F151" s="6" t="s">
        <v>1310</v>
      </c>
      <c r="G151" s="6" t="s">
        <v>16</v>
      </c>
      <c r="H151" s="6" t="s">
        <v>15</v>
      </c>
      <c r="I151" s="6" t="s">
        <v>36</v>
      </c>
      <c r="J151" s="6" t="s">
        <v>35</v>
      </c>
      <c r="K151" s="7">
        <v>29.816791089999999</v>
      </c>
      <c r="L151" s="7">
        <v>-95.098268300000001</v>
      </c>
      <c r="M151" s="6" t="s">
        <v>716</v>
      </c>
      <c r="N151" s="6" t="s">
        <v>24</v>
      </c>
      <c r="O151" s="6" t="s">
        <v>23</v>
      </c>
    </row>
    <row r="152" spans="1:15" x14ac:dyDescent="0.25">
      <c r="A152" s="6" t="s">
        <v>6532</v>
      </c>
      <c r="B152" s="6" t="s">
        <v>6531</v>
      </c>
      <c r="C152" s="6" t="s">
        <v>433</v>
      </c>
      <c r="E152" s="6" t="s">
        <v>6530</v>
      </c>
      <c r="F152" s="6" t="s">
        <v>1310</v>
      </c>
      <c r="G152" s="6" t="s">
        <v>16</v>
      </c>
      <c r="H152" s="6" t="s">
        <v>430</v>
      </c>
      <c r="I152" s="6" t="s">
        <v>14</v>
      </c>
      <c r="J152" s="6" t="s">
        <v>35</v>
      </c>
      <c r="K152" s="7">
        <v>29.83832752</v>
      </c>
      <c r="L152" s="7">
        <v>-95.114847620000006</v>
      </c>
      <c r="M152" s="6" t="s">
        <v>716</v>
      </c>
      <c r="N152" s="6" t="s">
        <v>24</v>
      </c>
      <c r="O152" s="6" t="s">
        <v>23</v>
      </c>
    </row>
    <row r="153" spans="1:15" x14ac:dyDescent="0.25">
      <c r="A153" s="6" t="s">
        <v>8131</v>
      </c>
      <c r="B153" s="6" t="s">
        <v>8129</v>
      </c>
      <c r="C153" s="6" t="s">
        <v>31</v>
      </c>
      <c r="E153" s="6" t="s">
        <v>8128</v>
      </c>
      <c r="F153" s="6" t="s">
        <v>8127</v>
      </c>
      <c r="G153" s="6" t="s">
        <v>16</v>
      </c>
      <c r="H153" s="6" t="s">
        <v>15</v>
      </c>
      <c r="I153" s="6" t="s">
        <v>46</v>
      </c>
      <c r="J153" s="6" t="s">
        <v>13</v>
      </c>
      <c r="K153" s="7">
        <v>27.849439279999999</v>
      </c>
      <c r="L153" s="7">
        <v>-97.617920729999994</v>
      </c>
      <c r="M153" s="6" t="s">
        <v>8126</v>
      </c>
      <c r="N153" s="6" t="s">
        <v>524</v>
      </c>
      <c r="O153" s="6" t="s">
        <v>10</v>
      </c>
    </row>
    <row r="154" spans="1:15" x14ac:dyDescent="0.25">
      <c r="A154" s="6" t="s">
        <v>8130</v>
      </c>
      <c r="B154" s="6" t="s">
        <v>8129</v>
      </c>
      <c r="C154" s="6" t="s">
        <v>19</v>
      </c>
      <c r="E154" s="6" t="s">
        <v>8128</v>
      </c>
      <c r="F154" s="6" t="s">
        <v>8127</v>
      </c>
      <c r="G154" s="6" t="s">
        <v>16</v>
      </c>
      <c r="H154" s="6" t="s">
        <v>15</v>
      </c>
      <c r="I154" s="6" t="s">
        <v>46</v>
      </c>
      <c r="J154" s="6" t="s">
        <v>13</v>
      </c>
      <c r="K154" s="7">
        <v>27.85073345</v>
      </c>
      <c r="L154" s="7">
        <v>-97.617744979999998</v>
      </c>
      <c r="M154" s="6" t="s">
        <v>8126</v>
      </c>
      <c r="N154" s="6" t="s">
        <v>524</v>
      </c>
      <c r="O154" s="6" t="s">
        <v>10</v>
      </c>
    </row>
    <row r="155" spans="1:15" x14ac:dyDescent="0.25">
      <c r="A155" s="6" t="s">
        <v>7107</v>
      </c>
      <c r="B155" s="6" t="s">
        <v>7106</v>
      </c>
      <c r="C155" s="6" t="s">
        <v>31</v>
      </c>
      <c r="E155" s="6" t="s">
        <v>7105</v>
      </c>
      <c r="F155" s="6" t="s">
        <v>5836</v>
      </c>
      <c r="G155" s="6" t="s">
        <v>16</v>
      </c>
      <c r="H155" s="6" t="s">
        <v>15</v>
      </c>
      <c r="I155" s="6" t="s">
        <v>14</v>
      </c>
      <c r="J155" s="6" t="s">
        <v>84</v>
      </c>
      <c r="K155" s="7">
        <v>28.6455555</v>
      </c>
      <c r="L155" s="7">
        <v>-96.543631149999996</v>
      </c>
      <c r="M155" s="6" t="s">
        <v>1087</v>
      </c>
      <c r="N155" s="6" t="s">
        <v>22</v>
      </c>
      <c r="O155" s="6" t="s">
        <v>10</v>
      </c>
    </row>
    <row r="156" spans="1:15" x14ac:dyDescent="0.25">
      <c r="A156" s="6" t="s">
        <v>8146</v>
      </c>
      <c r="B156" s="6" t="s">
        <v>8145</v>
      </c>
      <c r="C156" s="6" t="s">
        <v>31</v>
      </c>
      <c r="E156" s="6" t="s">
        <v>8144</v>
      </c>
      <c r="F156" s="6" t="s">
        <v>8143</v>
      </c>
      <c r="G156" s="6" t="s">
        <v>16</v>
      </c>
      <c r="H156" s="6" t="s">
        <v>15</v>
      </c>
      <c r="I156" s="6" t="s">
        <v>14</v>
      </c>
      <c r="J156" s="6" t="s">
        <v>13</v>
      </c>
      <c r="K156" s="7">
        <v>27.82464263</v>
      </c>
      <c r="L156" s="7">
        <v>-97.417833720000004</v>
      </c>
      <c r="M156" s="6" t="s">
        <v>4722</v>
      </c>
      <c r="N156" s="6" t="s">
        <v>11</v>
      </c>
      <c r="O156" s="6" t="s">
        <v>10</v>
      </c>
    </row>
    <row r="157" spans="1:15" x14ac:dyDescent="0.25">
      <c r="A157" s="6" t="s">
        <v>10665</v>
      </c>
      <c r="B157" s="6" t="s">
        <v>10663</v>
      </c>
      <c r="C157" s="6" t="s">
        <v>31</v>
      </c>
      <c r="E157" s="6" t="s">
        <v>10662</v>
      </c>
      <c r="F157" s="6" t="s">
        <v>10661</v>
      </c>
      <c r="G157" s="6" t="s">
        <v>16</v>
      </c>
      <c r="H157" s="6" t="s">
        <v>15</v>
      </c>
      <c r="I157" s="6" t="s">
        <v>14</v>
      </c>
      <c r="J157" s="6" t="s">
        <v>1240</v>
      </c>
      <c r="K157" s="7">
        <v>28.787500049999998</v>
      </c>
      <c r="L157" s="7">
        <v>-97.011111380000003</v>
      </c>
      <c r="M157" s="6" t="s">
        <v>1739</v>
      </c>
      <c r="N157" s="6" t="s">
        <v>559</v>
      </c>
      <c r="O157" s="6" t="s">
        <v>10</v>
      </c>
    </row>
    <row r="158" spans="1:15" x14ac:dyDescent="0.25">
      <c r="A158" s="6" t="s">
        <v>10664</v>
      </c>
      <c r="B158" s="6" t="s">
        <v>10663</v>
      </c>
      <c r="C158" s="6" t="s">
        <v>19</v>
      </c>
      <c r="E158" s="6" t="s">
        <v>10662</v>
      </c>
      <c r="F158" s="6" t="s">
        <v>10661</v>
      </c>
      <c r="G158" s="6" t="s">
        <v>16</v>
      </c>
      <c r="H158" s="6" t="s">
        <v>15</v>
      </c>
      <c r="I158" s="6" t="s">
        <v>14</v>
      </c>
      <c r="J158" s="6" t="s">
        <v>1240</v>
      </c>
      <c r="K158" s="7">
        <v>28.788622910000001</v>
      </c>
      <c r="L158" s="7">
        <v>-97.010735589999996</v>
      </c>
      <c r="M158" s="6" t="s">
        <v>1739</v>
      </c>
      <c r="N158" s="6" t="s">
        <v>559</v>
      </c>
      <c r="O158" s="6" t="s">
        <v>10</v>
      </c>
    </row>
    <row r="159" spans="1:15" x14ac:dyDescent="0.25">
      <c r="A159" s="6" t="s">
        <v>10660</v>
      </c>
      <c r="B159" s="6" t="s">
        <v>10659</v>
      </c>
      <c r="C159" s="6" t="s">
        <v>31</v>
      </c>
      <c r="E159" s="6" t="s">
        <v>10658</v>
      </c>
      <c r="F159" s="6" t="s">
        <v>10657</v>
      </c>
      <c r="G159" s="6" t="s">
        <v>16</v>
      </c>
      <c r="H159" s="6" t="s">
        <v>15</v>
      </c>
      <c r="I159" s="6" t="s">
        <v>27</v>
      </c>
      <c r="J159" s="6" t="s">
        <v>632</v>
      </c>
      <c r="K159" s="7">
        <v>30.031628779999998</v>
      </c>
      <c r="L159" s="7">
        <v>-93.767808160000001</v>
      </c>
      <c r="M159" s="6" t="s">
        <v>758</v>
      </c>
      <c r="N159" s="6" t="s">
        <v>65</v>
      </c>
      <c r="O159" s="6" t="s">
        <v>24</v>
      </c>
    </row>
    <row r="160" spans="1:15" x14ac:dyDescent="0.25">
      <c r="A160" s="6" t="s">
        <v>5006</v>
      </c>
      <c r="B160" s="6" t="s">
        <v>434</v>
      </c>
      <c r="C160" s="6" t="s">
        <v>31</v>
      </c>
      <c r="E160" s="6" t="s">
        <v>432</v>
      </c>
      <c r="F160" s="6" t="s">
        <v>431</v>
      </c>
      <c r="G160" s="6" t="s">
        <v>16</v>
      </c>
      <c r="H160" s="6" t="s">
        <v>15</v>
      </c>
      <c r="I160" s="6" t="s">
        <v>14</v>
      </c>
      <c r="J160" s="6" t="s">
        <v>385</v>
      </c>
      <c r="K160" s="7">
        <v>30.057959149999999</v>
      </c>
      <c r="L160" s="7">
        <v>-94.033645120000003</v>
      </c>
      <c r="M160" s="6" t="s">
        <v>429</v>
      </c>
      <c r="N160" s="6" t="s">
        <v>52</v>
      </c>
      <c r="O160" s="6" t="s">
        <v>24</v>
      </c>
    </row>
    <row r="161" spans="1:15" x14ac:dyDescent="0.25">
      <c r="A161" s="6" t="s">
        <v>8163</v>
      </c>
      <c r="B161" s="6" t="s">
        <v>434</v>
      </c>
      <c r="C161" s="6" t="s">
        <v>19</v>
      </c>
      <c r="E161" s="6" t="s">
        <v>432</v>
      </c>
      <c r="F161" s="6" t="s">
        <v>431</v>
      </c>
      <c r="G161" s="6" t="s">
        <v>16</v>
      </c>
      <c r="H161" s="6" t="s">
        <v>15</v>
      </c>
      <c r="I161" s="6" t="s">
        <v>14</v>
      </c>
      <c r="J161" s="6" t="s">
        <v>385</v>
      </c>
      <c r="K161" s="7">
        <v>30.057136450000002</v>
      </c>
      <c r="L161" s="7">
        <v>-94.037880299999998</v>
      </c>
      <c r="M161" s="6" t="s">
        <v>429</v>
      </c>
      <c r="N161" s="6" t="s">
        <v>52</v>
      </c>
      <c r="O161" s="6" t="s">
        <v>24</v>
      </c>
    </row>
    <row r="162" spans="1:15" x14ac:dyDescent="0.25">
      <c r="A162" s="6" t="s">
        <v>437</v>
      </c>
      <c r="B162" s="6" t="s">
        <v>434</v>
      </c>
      <c r="C162" s="6" t="s">
        <v>436</v>
      </c>
      <c r="E162" s="6" t="s">
        <v>432</v>
      </c>
      <c r="F162" s="6" t="s">
        <v>431</v>
      </c>
      <c r="G162" s="6" t="s">
        <v>16</v>
      </c>
      <c r="H162" s="6" t="s">
        <v>15</v>
      </c>
      <c r="I162" s="6" t="s">
        <v>14</v>
      </c>
      <c r="J162" s="6" t="s">
        <v>385</v>
      </c>
      <c r="K162" s="7">
        <v>30.05789897</v>
      </c>
      <c r="L162" s="7">
        <v>-94.037597529999999</v>
      </c>
      <c r="M162" s="6" t="s">
        <v>429</v>
      </c>
      <c r="N162" s="6" t="s">
        <v>52</v>
      </c>
      <c r="O162" s="6" t="s">
        <v>24</v>
      </c>
    </row>
    <row r="163" spans="1:15" x14ac:dyDescent="0.25">
      <c r="A163" s="6" t="s">
        <v>8162</v>
      </c>
      <c r="B163" s="6" t="s">
        <v>434</v>
      </c>
      <c r="C163" s="6" t="s">
        <v>597</v>
      </c>
      <c r="E163" s="6" t="s">
        <v>432</v>
      </c>
      <c r="F163" s="6" t="s">
        <v>431</v>
      </c>
      <c r="G163" s="6" t="s">
        <v>16</v>
      </c>
      <c r="H163" s="6" t="s">
        <v>15</v>
      </c>
      <c r="I163" s="6" t="s">
        <v>14</v>
      </c>
      <c r="J163" s="6" t="s">
        <v>385</v>
      </c>
      <c r="K163" s="7">
        <v>30.05759604</v>
      </c>
      <c r="L163" s="7">
        <v>-94.034621709999996</v>
      </c>
      <c r="M163" s="6" t="s">
        <v>429</v>
      </c>
      <c r="N163" s="6" t="s">
        <v>52</v>
      </c>
      <c r="O163" s="6" t="s">
        <v>24</v>
      </c>
    </row>
    <row r="164" spans="1:15" x14ac:dyDescent="0.25">
      <c r="A164" s="6" t="s">
        <v>8161</v>
      </c>
      <c r="B164" s="6" t="s">
        <v>434</v>
      </c>
      <c r="C164" s="6" t="s">
        <v>557</v>
      </c>
      <c r="E164" s="6" t="s">
        <v>432</v>
      </c>
      <c r="F164" s="6" t="s">
        <v>431</v>
      </c>
      <c r="G164" s="6" t="s">
        <v>16</v>
      </c>
      <c r="H164" s="6" t="s">
        <v>15</v>
      </c>
      <c r="I164" s="6" t="s">
        <v>14</v>
      </c>
      <c r="J164" s="6" t="s">
        <v>385</v>
      </c>
      <c r="K164" s="7">
        <v>30.05904585</v>
      </c>
      <c r="L164" s="7">
        <v>-94.034068680000004</v>
      </c>
      <c r="M164" s="6" t="s">
        <v>429</v>
      </c>
      <c r="N164" s="6" t="s">
        <v>52</v>
      </c>
      <c r="O164" s="6" t="s">
        <v>24</v>
      </c>
    </row>
    <row r="165" spans="1:15" x14ac:dyDescent="0.25">
      <c r="A165" s="6" t="s">
        <v>435</v>
      </c>
      <c r="B165" s="6" t="s">
        <v>434</v>
      </c>
      <c r="C165" s="6" t="s">
        <v>433</v>
      </c>
      <c r="E165" s="6" t="s">
        <v>432</v>
      </c>
      <c r="F165" s="6" t="s">
        <v>431</v>
      </c>
      <c r="G165" s="6" t="s">
        <v>16</v>
      </c>
      <c r="H165" s="6" t="s">
        <v>430</v>
      </c>
      <c r="I165" s="6" t="s">
        <v>14</v>
      </c>
      <c r="J165" s="6" t="s">
        <v>385</v>
      </c>
      <c r="K165" s="7">
        <v>30.06013106</v>
      </c>
      <c r="L165" s="7">
        <v>-94.036645089999993</v>
      </c>
      <c r="M165" s="6" t="s">
        <v>429</v>
      </c>
      <c r="N165" s="6" t="s">
        <v>52</v>
      </c>
      <c r="O165" s="6" t="s">
        <v>24</v>
      </c>
    </row>
    <row r="166" spans="1:15" x14ac:dyDescent="0.25">
      <c r="A166" s="6" t="s">
        <v>8160</v>
      </c>
      <c r="B166" s="6" t="s">
        <v>434</v>
      </c>
      <c r="C166" s="6" t="s">
        <v>1098</v>
      </c>
      <c r="E166" s="6" t="s">
        <v>432</v>
      </c>
      <c r="F166" s="6" t="s">
        <v>431</v>
      </c>
      <c r="G166" s="6" t="s">
        <v>16</v>
      </c>
      <c r="H166" s="6" t="s">
        <v>430</v>
      </c>
      <c r="I166" s="6" t="s">
        <v>14</v>
      </c>
      <c r="J166" s="6" t="s">
        <v>385</v>
      </c>
      <c r="K166" s="7">
        <v>30.060924709999998</v>
      </c>
      <c r="L166" s="7">
        <v>-94.03797299</v>
      </c>
      <c r="M166" s="6" t="s">
        <v>429</v>
      </c>
      <c r="N166" s="6" t="s">
        <v>52</v>
      </c>
      <c r="O166" s="6" t="s">
        <v>24</v>
      </c>
    </row>
    <row r="167" spans="1:15" x14ac:dyDescent="0.25">
      <c r="A167" s="6" t="s">
        <v>8159</v>
      </c>
      <c r="B167" s="6" t="s">
        <v>434</v>
      </c>
      <c r="C167" s="6" t="s">
        <v>1096</v>
      </c>
      <c r="E167" s="6" t="s">
        <v>432</v>
      </c>
      <c r="F167" s="6" t="s">
        <v>431</v>
      </c>
      <c r="G167" s="6" t="s">
        <v>16</v>
      </c>
      <c r="H167" s="6" t="s">
        <v>15</v>
      </c>
      <c r="I167" s="6" t="s">
        <v>14</v>
      </c>
      <c r="J167" s="6" t="s">
        <v>385</v>
      </c>
      <c r="K167" s="7">
        <v>30.05716116</v>
      </c>
      <c r="L167" s="7">
        <v>-94.04005445</v>
      </c>
      <c r="M167" s="6" t="s">
        <v>429</v>
      </c>
      <c r="N167" s="6" t="s">
        <v>52</v>
      </c>
      <c r="O167" s="6" t="s">
        <v>24</v>
      </c>
    </row>
    <row r="168" spans="1:15" x14ac:dyDescent="0.25">
      <c r="A168" s="6" t="s">
        <v>10656</v>
      </c>
      <c r="B168" s="6" t="s">
        <v>10649</v>
      </c>
      <c r="C168" s="6" t="s">
        <v>31</v>
      </c>
      <c r="E168" s="6" t="s">
        <v>10648</v>
      </c>
      <c r="F168" s="6" t="s">
        <v>10647</v>
      </c>
      <c r="G168" s="6" t="s">
        <v>16</v>
      </c>
      <c r="H168" s="6" t="s">
        <v>15</v>
      </c>
      <c r="I168" s="6" t="s">
        <v>14</v>
      </c>
      <c r="J168" s="6" t="s">
        <v>385</v>
      </c>
      <c r="K168" s="7">
        <v>29.971087829999998</v>
      </c>
      <c r="L168" s="7">
        <v>-94.052717380000004</v>
      </c>
      <c r="M168" s="6" t="s">
        <v>384</v>
      </c>
      <c r="N168" s="6" t="s">
        <v>383</v>
      </c>
      <c r="O168" s="6" t="s">
        <v>24</v>
      </c>
    </row>
    <row r="169" spans="1:15" x14ac:dyDescent="0.25">
      <c r="A169" s="6" t="s">
        <v>10651</v>
      </c>
      <c r="B169" s="6" t="s">
        <v>10649</v>
      </c>
      <c r="C169" s="6" t="s">
        <v>19</v>
      </c>
      <c r="E169" s="6" t="s">
        <v>10648</v>
      </c>
      <c r="F169" s="6" t="s">
        <v>10647</v>
      </c>
      <c r="G169" s="6" t="s">
        <v>16</v>
      </c>
      <c r="H169" s="6" t="s">
        <v>15</v>
      </c>
      <c r="I169" s="6" t="s">
        <v>14</v>
      </c>
      <c r="J169" s="6" t="s">
        <v>385</v>
      </c>
      <c r="K169" s="7">
        <v>29.971572609999999</v>
      </c>
      <c r="L169" s="7">
        <v>-94.053196839999998</v>
      </c>
      <c r="M169" s="6" t="s">
        <v>384</v>
      </c>
      <c r="N169" s="6" t="s">
        <v>383</v>
      </c>
      <c r="O169" s="6" t="s">
        <v>24</v>
      </c>
    </row>
    <row r="170" spans="1:15" x14ac:dyDescent="0.25">
      <c r="A170" s="6" t="s">
        <v>10650</v>
      </c>
      <c r="B170" s="6" t="s">
        <v>10649</v>
      </c>
      <c r="C170" s="6" t="s">
        <v>436</v>
      </c>
      <c r="E170" s="6" t="s">
        <v>10648</v>
      </c>
      <c r="F170" s="6" t="s">
        <v>10647</v>
      </c>
      <c r="G170" s="6" t="s">
        <v>16</v>
      </c>
      <c r="H170" s="6" t="s">
        <v>15</v>
      </c>
      <c r="I170" s="6" t="s">
        <v>14</v>
      </c>
      <c r="J170" s="6" t="s">
        <v>385</v>
      </c>
      <c r="K170" s="7">
        <v>29.968471210000001</v>
      </c>
      <c r="L170" s="7">
        <v>-94.052278970000003</v>
      </c>
      <c r="M170" s="6" t="s">
        <v>384</v>
      </c>
      <c r="N170" s="6" t="s">
        <v>383</v>
      </c>
      <c r="O170" s="6" t="s">
        <v>24</v>
      </c>
    </row>
    <row r="171" spans="1:15" x14ac:dyDescent="0.25">
      <c r="A171" s="6" t="s">
        <v>10034</v>
      </c>
      <c r="B171" s="6" t="s">
        <v>10032</v>
      </c>
      <c r="C171" s="6" t="s">
        <v>31</v>
      </c>
      <c r="E171" s="6" t="s">
        <v>10031</v>
      </c>
      <c r="F171" s="6" t="s">
        <v>10030</v>
      </c>
      <c r="G171" s="6" t="s">
        <v>16</v>
      </c>
      <c r="H171" s="6" t="s">
        <v>15</v>
      </c>
      <c r="I171" s="6" t="s">
        <v>14</v>
      </c>
      <c r="J171" s="6" t="s">
        <v>35</v>
      </c>
      <c r="K171" s="7">
        <v>29.706725039999998</v>
      </c>
      <c r="L171" s="7">
        <v>-95.257798620000003</v>
      </c>
      <c r="M171" s="6" t="s">
        <v>866</v>
      </c>
      <c r="N171" s="6" t="s">
        <v>24</v>
      </c>
      <c r="O171" s="6" t="s">
        <v>23</v>
      </c>
    </row>
    <row r="172" spans="1:15" x14ac:dyDescent="0.25">
      <c r="A172" s="6" t="s">
        <v>10033</v>
      </c>
      <c r="B172" s="6" t="s">
        <v>10032</v>
      </c>
      <c r="C172" s="6" t="s">
        <v>19</v>
      </c>
      <c r="E172" s="6" t="s">
        <v>10031</v>
      </c>
      <c r="F172" s="6" t="s">
        <v>10030</v>
      </c>
      <c r="G172" s="6" t="s">
        <v>16</v>
      </c>
      <c r="H172" s="6" t="s">
        <v>430</v>
      </c>
      <c r="I172" s="6" t="s">
        <v>14</v>
      </c>
      <c r="J172" s="6" t="s">
        <v>35</v>
      </c>
      <c r="K172" s="7">
        <v>29.706661570000001</v>
      </c>
      <c r="L172" s="7">
        <v>-95.257903299999995</v>
      </c>
      <c r="M172" s="6" t="s">
        <v>866</v>
      </c>
      <c r="N172" s="6" t="s">
        <v>24</v>
      </c>
      <c r="O172" s="6" t="s">
        <v>23</v>
      </c>
    </row>
    <row r="173" spans="1:15" x14ac:dyDescent="0.25">
      <c r="A173" s="6" t="s">
        <v>7797</v>
      </c>
      <c r="B173" s="6" t="s">
        <v>1190</v>
      </c>
      <c r="C173" s="6" t="s">
        <v>31</v>
      </c>
      <c r="E173" s="6" t="s">
        <v>1188</v>
      </c>
      <c r="F173" s="6" t="s">
        <v>1187</v>
      </c>
      <c r="G173" s="6" t="s">
        <v>16</v>
      </c>
      <c r="H173" s="6" t="s">
        <v>15</v>
      </c>
      <c r="I173" s="6" t="s">
        <v>36</v>
      </c>
      <c r="J173" s="6" t="s">
        <v>215</v>
      </c>
      <c r="K173" s="7">
        <v>29.376420280000001</v>
      </c>
      <c r="L173" s="7">
        <v>-94.903832100000002</v>
      </c>
      <c r="M173" s="6" t="s">
        <v>672</v>
      </c>
      <c r="N173" s="6" t="s">
        <v>160</v>
      </c>
      <c r="O173" s="6" t="s">
        <v>23</v>
      </c>
    </row>
    <row r="174" spans="1:15" x14ac:dyDescent="0.25">
      <c r="A174" s="6" t="s">
        <v>10542</v>
      </c>
      <c r="B174" s="6" t="s">
        <v>1190</v>
      </c>
      <c r="C174" s="6" t="s">
        <v>436</v>
      </c>
      <c r="E174" s="6" t="s">
        <v>1188</v>
      </c>
      <c r="F174" s="6" t="s">
        <v>1187</v>
      </c>
      <c r="G174" s="6" t="s">
        <v>16</v>
      </c>
      <c r="H174" s="6" t="s">
        <v>15</v>
      </c>
      <c r="I174" s="6" t="s">
        <v>36</v>
      </c>
      <c r="J174" s="6" t="s">
        <v>215</v>
      </c>
      <c r="K174" s="7">
        <v>29.371643550000002</v>
      </c>
      <c r="L174" s="7">
        <v>-94.903626270000004</v>
      </c>
      <c r="M174" s="6" t="s">
        <v>672</v>
      </c>
      <c r="N174" s="6" t="s">
        <v>160</v>
      </c>
      <c r="O174" s="6" t="s">
        <v>23</v>
      </c>
    </row>
    <row r="175" spans="1:15" x14ac:dyDescent="0.25">
      <c r="A175" s="6" t="s">
        <v>12241</v>
      </c>
      <c r="B175" s="6" t="s">
        <v>1190</v>
      </c>
      <c r="C175" s="6" t="s">
        <v>597</v>
      </c>
      <c r="E175" s="6" t="s">
        <v>1188</v>
      </c>
      <c r="F175" s="6" t="s">
        <v>1187</v>
      </c>
      <c r="G175" s="6" t="s">
        <v>16</v>
      </c>
      <c r="H175" s="6" t="s">
        <v>15</v>
      </c>
      <c r="I175" s="6" t="s">
        <v>36</v>
      </c>
      <c r="J175" s="6" t="s">
        <v>215</v>
      </c>
      <c r="K175" s="7">
        <v>29.37084939</v>
      </c>
      <c r="L175" s="7">
        <v>-94.904151400000003</v>
      </c>
      <c r="M175" s="6" t="s">
        <v>672</v>
      </c>
      <c r="N175" s="6" t="s">
        <v>160</v>
      </c>
      <c r="O175" s="6" t="s">
        <v>23</v>
      </c>
    </row>
    <row r="176" spans="1:15" x14ac:dyDescent="0.25">
      <c r="A176" s="6" t="s">
        <v>10541</v>
      </c>
      <c r="B176" s="6" t="s">
        <v>1190</v>
      </c>
      <c r="C176" s="6" t="s">
        <v>557</v>
      </c>
      <c r="E176" s="6" t="s">
        <v>1188</v>
      </c>
      <c r="F176" s="6" t="s">
        <v>1187</v>
      </c>
      <c r="G176" s="6" t="s">
        <v>16</v>
      </c>
      <c r="H176" s="6" t="s">
        <v>15</v>
      </c>
      <c r="I176" s="6" t="s">
        <v>36</v>
      </c>
      <c r="J176" s="6" t="s">
        <v>215</v>
      </c>
      <c r="K176" s="7">
        <v>29.369655940000001</v>
      </c>
      <c r="L176" s="7">
        <v>-94.913489609999999</v>
      </c>
      <c r="M176" s="6" t="s">
        <v>672</v>
      </c>
      <c r="N176" s="6" t="s">
        <v>160</v>
      </c>
      <c r="O176" s="6" t="s">
        <v>23</v>
      </c>
    </row>
    <row r="177" spans="1:15" x14ac:dyDescent="0.25">
      <c r="A177" s="6" t="s">
        <v>10540</v>
      </c>
      <c r="B177" s="6" t="s">
        <v>1190</v>
      </c>
      <c r="C177" s="6" t="s">
        <v>433</v>
      </c>
      <c r="E177" s="6" t="s">
        <v>1188</v>
      </c>
      <c r="F177" s="6" t="s">
        <v>1187</v>
      </c>
      <c r="G177" s="6" t="s">
        <v>16</v>
      </c>
      <c r="H177" s="6" t="s">
        <v>15</v>
      </c>
      <c r="I177" s="6" t="s">
        <v>36</v>
      </c>
      <c r="J177" s="6" t="s">
        <v>215</v>
      </c>
      <c r="K177" s="7">
        <v>29.374399570000001</v>
      </c>
      <c r="L177" s="7">
        <v>-94.908495310000006</v>
      </c>
      <c r="M177" s="6" t="s">
        <v>672</v>
      </c>
      <c r="N177" s="6" t="s">
        <v>160</v>
      </c>
      <c r="O177" s="6" t="s">
        <v>23</v>
      </c>
    </row>
    <row r="178" spans="1:15" x14ac:dyDescent="0.25">
      <c r="A178" s="6" t="s">
        <v>10539</v>
      </c>
      <c r="B178" s="6" t="s">
        <v>1190</v>
      </c>
      <c r="C178" s="6" t="s">
        <v>638</v>
      </c>
      <c r="E178" s="6" t="s">
        <v>1188</v>
      </c>
      <c r="F178" s="6" t="s">
        <v>1187</v>
      </c>
      <c r="G178" s="6" t="s">
        <v>16</v>
      </c>
      <c r="H178" s="6" t="s">
        <v>15</v>
      </c>
      <c r="I178" s="6" t="s">
        <v>36</v>
      </c>
      <c r="J178" s="6" t="s">
        <v>215</v>
      </c>
      <c r="K178" s="7">
        <v>29.373336890000001</v>
      </c>
      <c r="L178" s="7">
        <v>-94.909626540000005</v>
      </c>
      <c r="M178" s="6" t="s">
        <v>672</v>
      </c>
      <c r="N178" s="6" t="s">
        <v>160</v>
      </c>
      <c r="O178" s="6" t="s">
        <v>23</v>
      </c>
    </row>
    <row r="179" spans="1:15" x14ac:dyDescent="0.25">
      <c r="A179" s="6" t="s">
        <v>10530</v>
      </c>
      <c r="B179" s="6" t="s">
        <v>1190</v>
      </c>
      <c r="C179" s="6" t="s">
        <v>869</v>
      </c>
      <c r="E179" s="6" t="s">
        <v>1188</v>
      </c>
      <c r="F179" s="6" t="s">
        <v>1187</v>
      </c>
      <c r="G179" s="6" t="s">
        <v>16</v>
      </c>
      <c r="H179" s="6" t="s">
        <v>15</v>
      </c>
      <c r="I179" s="6" t="s">
        <v>36</v>
      </c>
      <c r="J179" s="6" t="s">
        <v>215</v>
      </c>
      <c r="K179" s="7">
        <v>29.37331073</v>
      </c>
      <c r="L179" s="7">
        <v>-94.908607810000007</v>
      </c>
      <c r="M179" s="6" t="s">
        <v>672</v>
      </c>
      <c r="N179" s="6" t="s">
        <v>160</v>
      </c>
      <c r="O179" s="6" t="s">
        <v>23</v>
      </c>
    </row>
    <row r="180" spans="1:15" x14ac:dyDescent="0.25">
      <c r="A180" s="6" t="s">
        <v>1191</v>
      </c>
      <c r="B180" s="6" t="s">
        <v>1190</v>
      </c>
      <c r="C180" s="6" t="s">
        <v>1189</v>
      </c>
      <c r="E180" s="6" t="s">
        <v>1188</v>
      </c>
      <c r="F180" s="6" t="s">
        <v>1187</v>
      </c>
      <c r="G180" s="6" t="s">
        <v>16</v>
      </c>
      <c r="H180" s="6" t="s">
        <v>15</v>
      </c>
      <c r="I180" s="6" t="s">
        <v>36</v>
      </c>
      <c r="J180" s="6" t="s">
        <v>215</v>
      </c>
      <c r="K180" s="7">
        <v>29.376420280000001</v>
      </c>
      <c r="L180" s="7">
        <v>-94.903832100000002</v>
      </c>
      <c r="M180" s="6" t="s">
        <v>672</v>
      </c>
      <c r="N180" s="6" t="s">
        <v>160</v>
      </c>
      <c r="O180" s="6" t="s">
        <v>23</v>
      </c>
    </row>
    <row r="181" spans="1:15" x14ac:dyDescent="0.25">
      <c r="A181" s="6" t="s">
        <v>12031</v>
      </c>
      <c r="B181" s="6" t="s">
        <v>12029</v>
      </c>
      <c r="C181" s="6" t="s">
        <v>31</v>
      </c>
      <c r="E181" s="6" t="s">
        <v>12028</v>
      </c>
      <c r="F181" s="6" t="s">
        <v>12027</v>
      </c>
      <c r="G181" s="6" t="s">
        <v>16</v>
      </c>
      <c r="H181" s="6" t="s">
        <v>15</v>
      </c>
      <c r="I181" s="6" t="s">
        <v>14</v>
      </c>
      <c r="J181" s="6" t="s">
        <v>215</v>
      </c>
      <c r="K181" s="7">
        <v>29.457224239999999</v>
      </c>
      <c r="L181" s="7">
        <v>-95.04189873</v>
      </c>
      <c r="M181" s="6" t="s">
        <v>3066</v>
      </c>
      <c r="N181" s="6" t="s">
        <v>160</v>
      </c>
      <c r="O181" s="6" t="s">
        <v>23</v>
      </c>
    </row>
    <row r="182" spans="1:15" x14ac:dyDescent="0.25">
      <c r="A182" s="6" t="s">
        <v>12030</v>
      </c>
      <c r="B182" s="6" t="s">
        <v>12029</v>
      </c>
      <c r="C182" s="6" t="s">
        <v>19</v>
      </c>
      <c r="E182" s="6" t="s">
        <v>12028</v>
      </c>
      <c r="F182" s="6" t="s">
        <v>12027</v>
      </c>
      <c r="G182" s="6" t="s">
        <v>16</v>
      </c>
      <c r="H182" s="6" t="s">
        <v>430</v>
      </c>
      <c r="I182" s="6" t="s">
        <v>14</v>
      </c>
      <c r="J182" s="6" t="s">
        <v>215</v>
      </c>
      <c r="K182" s="7">
        <v>29.459573200000001</v>
      </c>
      <c r="L182" s="7">
        <v>-95.044229610000002</v>
      </c>
      <c r="M182" s="6" t="s">
        <v>3066</v>
      </c>
      <c r="N182" s="6" t="s">
        <v>160</v>
      </c>
      <c r="O182" s="6" t="s">
        <v>23</v>
      </c>
    </row>
    <row r="183" spans="1:15" x14ac:dyDescent="0.25">
      <c r="A183" s="6" t="s">
        <v>12466</v>
      </c>
      <c r="B183" s="6" t="s">
        <v>12029</v>
      </c>
      <c r="C183" s="6" t="s">
        <v>436</v>
      </c>
      <c r="E183" s="6" t="s">
        <v>12028</v>
      </c>
      <c r="F183" s="6" t="s">
        <v>12027</v>
      </c>
      <c r="G183" s="6" t="s">
        <v>16</v>
      </c>
      <c r="H183" s="6" t="s">
        <v>430</v>
      </c>
      <c r="I183" s="6" t="s">
        <v>14</v>
      </c>
      <c r="J183" s="6" t="s">
        <v>215</v>
      </c>
      <c r="K183" s="7">
        <v>29.458186000000001</v>
      </c>
      <c r="L183" s="7">
        <v>-95.043312</v>
      </c>
      <c r="M183" s="6" t="s">
        <v>3066</v>
      </c>
      <c r="N183" s="6" t="s">
        <v>160</v>
      </c>
      <c r="O183" s="6" t="s">
        <v>23</v>
      </c>
    </row>
    <row r="184" spans="1:15" x14ac:dyDescent="0.25">
      <c r="A184" s="6" t="s">
        <v>6677</v>
      </c>
      <c r="B184" s="6" t="s">
        <v>6676</v>
      </c>
      <c r="C184" s="6" t="s">
        <v>31</v>
      </c>
      <c r="E184" s="6" t="s">
        <v>6675</v>
      </c>
      <c r="F184" s="6" t="s">
        <v>6674</v>
      </c>
      <c r="G184" s="6" t="s">
        <v>16</v>
      </c>
      <c r="H184" s="6" t="s">
        <v>430</v>
      </c>
      <c r="I184" s="6" t="s">
        <v>14</v>
      </c>
      <c r="J184" s="6" t="s">
        <v>35</v>
      </c>
      <c r="K184" s="7">
        <v>29.817222520000001</v>
      </c>
      <c r="L184" s="7">
        <v>-94.910841160000004</v>
      </c>
      <c r="M184" s="6" t="s">
        <v>1445</v>
      </c>
      <c r="N184" s="6" t="s">
        <v>120</v>
      </c>
      <c r="O184" s="6" t="s">
        <v>23</v>
      </c>
    </row>
    <row r="185" spans="1:15" x14ac:dyDescent="0.25">
      <c r="A185" s="6" t="s">
        <v>1602</v>
      </c>
      <c r="B185" s="6" t="s">
        <v>1601</v>
      </c>
      <c r="C185" s="6" t="s">
        <v>31</v>
      </c>
      <c r="E185" s="6" t="s">
        <v>1600</v>
      </c>
      <c r="F185" s="6" t="s">
        <v>1599</v>
      </c>
      <c r="G185" s="6" t="s">
        <v>16</v>
      </c>
      <c r="H185" s="6" t="s">
        <v>15</v>
      </c>
      <c r="I185" s="6" t="s">
        <v>14</v>
      </c>
      <c r="J185" s="6" t="s">
        <v>215</v>
      </c>
      <c r="K185" s="7">
        <v>29.30518799</v>
      </c>
      <c r="L185" s="7">
        <v>-94.8190247</v>
      </c>
      <c r="M185" s="6" t="s">
        <v>496</v>
      </c>
      <c r="N185" s="6" t="s">
        <v>160</v>
      </c>
      <c r="O185" s="6" t="s">
        <v>23</v>
      </c>
    </row>
    <row r="186" spans="1:15" x14ac:dyDescent="0.25">
      <c r="A186" s="6" t="s">
        <v>12088</v>
      </c>
      <c r="B186" s="6" t="s">
        <v>6596</v>
      </c>
      <c r="C186" s="6" t="s">
        <v>31</v>
      </c>
      <c r="E186" s="6" t="s">
        <v>6595</v>
      </c>
      <c r="F186" s="6" t="s">
        <v>6594</v>
      </c>
      <c r="G186" s="6" t="s">
        <v>16</v>
      </c>
      <c r="H186" s="6" t="s">
        <v>15</v>
      </c>
      <c r="I186" s="6" t="s">
        <v>14</v>
      </c>
      <c r="J186" s="6" t="s">
        <v>162</v>
      </c>
      <c r="K186" s="7">
        <v>29.240789849999999</v>
      </c>
      <c r="L186" s="7">
        <v>-95.218100019999994</v>
      </c>
      <c r="M186" s="6" t="s">
        <v>3071</v>
      </c>
      <c r="N186" s="6" t="s">
        <v>160</v>
      </c>
      <c r="O186" s="6" t="s">
        <v>23</v>
      </c>
    </row>
    <row r="187" spans="1:15" x14ac:dyDescent="0.25">
      <c r="A187" s="6" t="s">
        <v>12087</v>
      </c>
      <c r="B187" s="6" t="s">
        <v>6596</v>
      </c>
      <c r="C187" s="6" t="s">
        <v>19</v>
      </c>
      <c r="E187" s="6" t="s">
        <v>6595</v>
      </c>
      <c r="F187" s="6" t="s">
        <v>6594</v>
      </c>
      <c r="G187" s="6" t="s">
        <v>16</v>
      </c>
      <c r="H187" s="6" t="s">
        <v>15</v>
      </c>
      <c r="I187" s="6" t="s">
        <v>14</v>
      </c>
      <c r="J187" s="6" t="s">
        <v>162</v>
      </c>
      <c r="K187" s="7">
        <v>29.24354907</v>
      </c>
      <c r="L187" s="7">
        <v>-95.221777750000001</v>
      </c>
      <c r="M187" s="6" t="s">
        <v>3071</v>
      </c>
      <c r="N187" s="6" t="s">
        <v>160</v>
      </c>
      <c r="O187" s="6" t="s">
        <v>23</v>
      </c>
    </row>
    <row r="188" spans="1:15" x14ac:dyDescent="0.25">
      <c r="A188" s="6" t="s">
        <v>12086</v>
      </c>
      <c r="B188" s="6" t="s">
        <v>6596</v>
      </c>
      <c r="C188" s="6" t="s">
        <v>436</v>
      </c>
      <c r="E188" s="6" t="s">
        <v>6595</v>
      </c>
      <c r="F188" s="6" t="s">
        <v>6594</v>
      </c>
      <c r="G188" s="6" t="s">
        <v>16</v>
      </c>
      <c r="H188" s="6" t="s">
        <v>15</v>
      </c>
      <c r="I188" s="6" t="s">
        <v>14</v>
      </c>
      <c r="J188" s="6" t="s">
        <v>162</v>
      </c>
      <c r="K188" s="7">
        <v>29.240009560000001</v>
      </c>
      <c r="L188" s="7">
        <v>-95.217193899999998</v>
      </c>
      <c r="M188" s="6" t="s">
        <v>3071</v>
      </c>
      <c r="N188" s="6" t="s">
        <v>160</v>
      </c>
      <c r="O188" s="6" t="s">
        <v>23</v>
      </c>
    </row>
    <row r="189" spans="1:15" x14ac:dyDescent="0.25">
      <c r="A189" s="6" t="s">
        <v>6597</v>
      </c>
      <c r="B189" s="6" t="s">
        <v>6596</v>
      </c>
      <c r="C189" s="6" t="s">
        <v>597</v>
      </c>
      <c r="E189" s="6" t="s">
        <v>6595</v>
      </c>
      <c r="F189" s="6" t="s">
        <v>6594</v>
      </c>
      <c r="G189" s="6" t="s">
        <v>16</v>
      </c>
      <c r="H189" s="6" t="s">
        <v>430</v>
      </c>
      <c r="I189" s="6" t="s">
        <v>14</v>
      </c>
      <c r="J189" s="6" t="s">
        <v>162</v>
      </c>
      <c r="K189" s="7">
        <v>29.25944471</v>
      </c>
      <c r="L189" s="7">
        <v>-95.203334290000001</v>
      </c>
      <c r="M189" s="6" t="s">
        <v>706</v>
      </c>
      <c r="N189" s="6" t="s">
        <v>160</v>
      </c>
      <c r="O189" s="6" t="s">
        <v>23</v>
      </c>
    </row>
    <row r="190" spans="1:15" x14ac:dyDescent="0.25">
      <c r="A190" s="6" t="s">
        <v>12085</v>
      </c>
      <c r="B190" s="6" t="s">
        <v>6596</v>
      </c>
      <c r="C190" s="6" t="s">
        <v>557</v>
      </c>
      <c r="E190" s="6" t="s">
        <v>6595</v>
      </c>
      <c r="F190" s="6" t="s">
        <v>6594</v>
      </c>
      <c r="G190" s="6" t="s">
        <v>16</v>
      </c>
      <c r="H190" s="6" t="s">
        <v>430</v>
      </c>
      <c r="I190" s="6" t="s">
        <v>14</v>
      </c>
      <c r="J190" s="6" t="s">
        <v>162</v>
      </c>
      <c r="K190" s="7">
        <v>29.261741369999999</v>
      </c>
      <c r="L190" s="7">
        <v>-95.196762309999997</v>
      </c>
      <c r="M190" s="6" t="s">
        <v>706</v>
      </c>
      <c r="N190" s="6" t="s">
        <v>160</v>
      </c>
      <c r="O190" s="6" t="s">
        <v>23</v>
      </c>
    </row>
    <row r="191" spans="1:15" x14ac:dyDescent="0.25">
      <c r="A191" s="6" t="s">
        <v>12084</v>
      </c>
      <c r="B191" s="6" t="s">
        <v>6596</v>
      </c>
      <c r="C191" s="6" t="s">
        <v>433</v>
      </c>
      <c r="E191" s="6" t="s">
        <v>6595</v>
      </c>
      <c r="F191" s="6" t="s">
        <v>6594</v>
      </c>
      <c r="G191" s="6" t="s">
        <v>16</v>
      </c>
      <c r="H191" s="6" t="s">
        <v>430</v>
      </c>
      <c r="I191" s="6" t="s">
        <v>14</v>
      </c>
      <c r="J191" s="6" t="s">
        <v>162</v>
      </c>
      <c r="K191" s="7">
        <v>29.261532720000002</v>
      </c>
      <c r="L191" s="7">
        <v>-95.19666599</v>
      </c>
      <c r="M191" s="6" t="s">
        <v>706</v>
      </c>
      <c r="N191" s="6" t="s">
        <v>160</v>
      </c>
      <c r="O191" s="6" t="s">
        <v>23</v>
      </c>
    </row>
    <row r="192" spans="1:15" x14ac:dyDescent="0.25">
      <c r="A192" s="6" t="s">
        <v>12083</v>
      </c>
      <c r="B192" s="6" t="s">
        <v>6596</v>
      </c>
      <c r="C192" s="6" t="s">
        <v>1098</v>
      </c>
      <c r="E192" s="6" t="s">
        <v>6595</v>
      </c>
      <c r="F192" s="6" t="s">
        <v>6594</v>
      </c>
      <c r="G192" s="6" t="s">
        <v>16</v>
      </c>
      <c r="H192" s="6" t="s">
        <v>430</v>
      </c>
      <c r="I192" s="6" t="s">
        <v>14</v>
      </c>
      <c r="J192" s="6" t="s">
        <v>162</v>
      </c>
      <c r="K192" s="7">
        <v>29.2613895</v>
      </c>
      <c r="L192" s="7">
        <v>-95.196669060000005</v>
      </c>
      <c r="M192" s="6" t="s">
        <v>706</v>
      </c>
      <c r="N192" s="6" t="s">
        <v>160</v>
      </c>
      <c r="O192" s="6" t="s">
        <v>23</v>
      </c>
    </row>
    <row r="193" spans="1:15" x14ac:dyDescent="0.25">
      <c r="A193" s="6" t="s">
        <v>10172</v>
      </c>
      <c r="B193" s="6" t="s">
        <v>10170</v>
      </c>
      <c r="C193" s="6" t="s">
        <v>31</v>
      </c>
      <c r="E193" s="6" t="s">
        <v>10169</v>
      </c>
      <c r="F193" s="6" t="s">
        <v>10168</v>
      </c>
      <c r="G193" s="6" t="s">
        <v>16</v>
      </c>
      <c r="H193" s="6" t="s">
        <v>15</v>
      </c>
      <c r="I193" s="6" t="s">
        <v>36</v>
      </c>
      <c r="J193" s="6" t="s">
        <v>632</v>
      </c>
      <c r="K193" s="7">
        <v>30.126333989999999</v>
      </c>
      <c r="L193" s="7">
        <v>-94.077857929999993</v>
      </c>
      <c r="M193" s="6" t="s">
        <v>429</v>
      </c>
      <c r="N193" s="6" t="s">
        <v>52</v>
      </c>
      <c r="O193" s="6" t="s">
        <v>24</v>
      </c>
    </row>
    <row r="194" spans="1:15" x14ac:dyDescent="0.25">
      <c r="A194" s="6" t="s">
        <v>10171</v>
      </c>
      <c r="B194" s="6" t="s">
        <v>10170</v>
      </c>
      <c r="C194" s="6" t="s">
        <v>19</v>
      </c>
      <c r="E194" s="6" t="s">
        <v>10169</v>
      </c>
      <c r="F194" s="6" t="s">
        <v>10168</v>
      </c>
      <c r="G194" s="6" t="s">
        <v>16</v>
      </c>
      <c r="H194" s="6" t="s">
        <v>15</v>
      </c>
      <c r="I194" s="6" t="s">
        <v>36</v>
      </c>
      <c r="J194" s="6" t="s">
        <v>2287</v>
      </c>
      <c r="K194" s="7">
        <v>30.34325887</v>
      </c>
      <c r="L194" s="7">
        <v>-94.072750729999996</v>
      </c>
      <c r="M194" s="6" t="s">
        <v>3287</v>
      </c>
      <c r="N194" s="6" t="s">
        <v>52</v>
      </c>
      <c r="O194" s="6" t="s">
        <v>24</v>
      </c>
    </row>
    <row r="195" spans="1:15" x14ac:dyDescent="0.25">
      <c r="A195" s="6" t="s">
        <v>10525</v>
      </c>
      <c r="B195" s="6" t="s">
        <v>917</v>
      </c>
      <c r="C195" s="6" t="s">
        <v>31</v>
      </c>
      <c r="E195" s="6" t="s">
        <v>916</v>
      </c>
      <c r="F195" s="6" t="s">
        <v>915</v>
      </c>
      <c r="G195" s="6" t="s">
        <v>16</v>
      </c>
      <c r="H195" s="6" t="s">
        <v>15</v>
      </c>
      <c r="I195" s="6" t="s">
        <v>14</v>
      </c>
      <c r="J195" s="6" t="s">
        <v>35</v>
      </c>
      <c r="K195" s="7">
        <v>29.830304000000002</v>
      </c>
      <c r="L195" s="7">
        <v>-94.916749999999993</v>
      </c>
      <c r="M195" s="6" t="s">
        <v>1445</v>
      </c>
      <c r="N195" s="6" t="s">
        <v>120</v>
      </c>
      <c r="O195" s="6" t="s">
        <v>23</v>
      </c>
    </row>
    <row r="196" spans="1:15" x14ac:dyDescent="0.25">
      <c r="A196" s="6" t="s">
        <v>10524</v>
      </c>
      <c r="B196" s="6" t="s">
        <v>917</v>
      </c>
      <c r="C196" s="6" t="s">
        <v>19</v>
      </c>
      <c r="E196" s="6" t="s">
        <v>916</v>
      </c>
      <c r="F196" s="6" t="s">
        <v>915</v>
      </c>
      <c r="G196" s="6" t="s">
        <v>16</v>
      </c>
      <c r="H196" s="6" t="s">
        <v>430</v>
      </c>
      <c r="I196" s="6" t="s">
        <v>14</v>
      </c>
      <c r="J196" s="6" t="s">
        <v>35</v>
      </c>
      <c r="K196" s="7">
        <v>29.829232569999999</v>
      </c>
      <c r="L196" s="7">
        <v>-94.912342280000004</v>
      </c>
      <c r="M196" s="6" t="s">
        <v>1445</v>
      </c>
      <c r="N196" s="6" t="s">
        <v>120</v>
      </c>
      <c r="O196" s="6" t="s">
        <v>23</v>
      </c>
    </row>
    <row r="197" spans="1:15" x14ac:dyDescent="0.25">
      <c r="A197" s="6" t="s">
        <v>10523</v>
      </c>
      <c r="B197" s="6" t="s">
        <v>917</v>
      </c>
      <c r="C197" s="6" t="s">
        <v>436</v>
      </c>
      <c r="E197" s="6" t="s">
        <v>916</v>
      </c>
      <c r="F197" s="6" t="s">
        <v>915</v>
      </c>
      <c r="G197" s="6" t="s">
        <v>16</v>
      </c>
      <c r="H197" s="6" t="s">
        <v>15</v>
      </c>
      <c r="I197" s="6" t="s">
        <v>14</v>
      </c>
      <c r="J197" s="6" t="s">
        <v>35</v>
      </c>
      <c r="K197" s="7">
        <v>29.831119999999999</v>
      </c>
      <c r="L197" s="7">
        <v>-94.919754999999995</v>
      </c>
      <c r="M197" s="6" t="s">
        <v>1445</v>
      </c>
      <c r="N197" s="6" t="s">
        <v>120</v>
      </c>
      <c r="O197" s="6" t="s">
        <v>23</v>
      </c>
    </row>
    <row r="198" spans="1:15" x14ac:dyDescent="0.25">
      <c r="A198" s="6" t="s">
        <v>918</v>
      </c>
      <c r="B198" s="6" t="s">
        <v>917</v>
      </c>
      <c r="C198" s="6" t="s">
        <v>597</v>
      </c>
      <c r="E198" s="6" t="s">
        <v>916</v>
      </c>
      <c r="F198" s="6" t="s">
        <v>915</v>
      </c>
      <c r="G198" s="6" t="s">
        <v>16</v>
      </c>
      <c r="H198" s="6" t="s">
        <v>15</v>
      </c>
      <c r="I198" s="6" t="s">
        <v>14</v>
      </c>
      <c r="J198" s="6" t="s">
        <v>35</v>
      </c>
      <c r="K198" s="7">
        <v>29.829871959999998</v>
      </c>
      <c r="L198" s="7">
        <v>-94.928645279999998</v>
      </c>
      <c r="M198" s="6" t="s">
        <v>914</v>
      </c>
      <c r="N198" s="6" t="s">
        <v>120</v>
      </c>
      <c r="O198" s="6" t="s">
        <v>23</v>
      </c>
    </row>
    <row r="199" spans="1:15" x14ac:dyDescent="0.25">
      <c r="A199" s="6" t="s">
        <v>10511</v>
      </c>
      <c r="B199" s="6" t="s">
        <v>1811</v>
      </c>
      <c r="C199" s="6" t="s">
        <v>31</v>
      </c>
      <c r="E199" s="6" t="s">
        <v>1810</v>
      </c>
      <c r="F199" s="6" t="s">
        <v>1809</v>
      </c>
      <c r="G199" s="6" t="s">
        <v>16</v>
      </c>
      <c r="H199" s="6" t="s">
        <v>15</v>
      </c>
      <c r="I199" s="6" t="s">
        <v>36</v>
      </c>
      <c r="J199" s="6" t="s">
        <v>35</v>
      </c>
      <c r="K199" s="7">
        <v>29.754154150000002</v>
      </c>
      <c r="L199" s="7">
        <v>-95.307888599999998</v>
      </c>
      <c r="M199" s="6" t="s">
        <v>866</v>
      </c>
      <c r="N199" s="6" t="s">
        <v>24</v>
      </c>
      <c r="O199" s="6" t="s">
        <v>23</v>
      </c>
    </row>
    <row r="200" spans="1:15" x14ac:dyDescent="0.25">
      <c r="A200" s="6" t="s">
        <v>10165</v>
      </c>
      <c r="B200" s="6" t="s">
        <v>1811</v>
      </c>
      <c r="C200" s="6" t="s">
        <v>19</v>
      </c>
      <c r="E200" s="6" t="s">
        <v>1810</v>
      </c>
      <c r="F200" s="6" t="s">
        <v>1809</v>
      </c>
      <c r="G200" s="6" t="s">
        <v>16</v>
      </c>
      <c r="H200" s="6" t="s">
        <v>430</v>
      </c>
      <c r="I200" s="6" t="s">
        <v>36</v>
      </c>
      <c r="J200" s="6" t="s">
        <v>35</v>
      </c>
      <c r="K200" s="7">
        <v>29.754151100000001</v>
      </c>
      <c r="L200" s="7">
        <v>-95.308172949999999</v>
      </c>
      <c r="M200" s="6" t="s">
        <v>866</v>
      </c>
      <c r="N200" s="6" t="s">
        <v>24</v>
      </c>
      <c r="O200" s="6" t="s">
        <v>23</v>
      </c>
    </row>
    <row r="201" spans="1:15" x14ac:dyDescent="0.25">
      <c r="A201" s="6" t="s">
        <v>11309</v>
      </c>
      <c r="B201" s="6" t="s">
        <v>1811</v>
      </c>
      <c r="C201" s="6" t="s">
        <v>436</v>
      </c>
      <c r="E201" s="6" t="s">
        <v>1810</v>
      </c>
      <c r="F201" s="6" t="s">
        <v>1809</v>
      </c>
      <c r="G201" s="6" t="s">
        <v>16</v>
      </c>
      <c r="H201" s="6" t="s">
        <v>15</v>
      </c>
      <c r="I201" s="6" t="s">
        <v>36</v>
      </c>
      <c r="J201" s="6" t="s">
        <v>35</v>
      </c>
      <c r="K201" s="7">
        <v>29.755420539999999</v>
      </c>
      <c r="L201" s="7">
        <v>-95.305594020000001</v>
      </c>
      <c r="M201" s="6" t="s">
        <v>866</v>
      </c>
      <c r="N201" s="6" t="s">
        <v>24</v>
      </c>
      <c r="O201" s="6" t="s">
        <v>23</v>
      </c>
    </row>
    <row r="202" spans="1:15" x14ac:dyDescent="0.25">
      <c r="A202" s="6" t="s">
        <v>1812</v>
      </c>
      <c r="B202" s="6" t="s">
        <v>1811</v>
      </c>
      <c r="C202" s="6" t="s">
        <v>597</v>
      </c>
      <c r="E202" s="6" t="s">
        <v>1810</v>
      </c>
      <c r="F202" s="6" t="s">
        <v>1809</v>
      </c>
      <c r="G202" s="6" t="s">
        <v>16</v>
      </c>
      <c r="H202" s="6" t="s">
        <v>430</v>
      </c>
      <c r="I202" s="6" t="s">
        <v>36</v>
      </c>
      <c r="J202" s="6" t="s">
        <v>35</v>
      </c>
      <c r="K202" s="7">
        <v>29.752406959999998</v>
      </c>
      <c r="L202" s="7">
        <v>-95.304516000000007</v>
      </c>
      <c r="M202" s="6" t="s">
        <v>866</v>
      </c>
      <c r="N202" s="6" t="s">
        <v>24</v>
      </c>
      <c r="O202" s="6" t="s">
        <v>23</v>
      </c>
    </row>
    <row r="203" spans="1:15" x14ac:dyDescent="0.25">
      <c r="A203" s="6" t="s">
        <v>10183</v>
      </c>
      <c r="B203" s="6" t="s">
        <v>5032</v>
      </c>
      <c r="C203" s="6" t="s">
        <v>31</v>
      </c>
      <c r="E203" s="6" t="s">
        <v>5031</v>
      </c>
      <c r="F203" s="6" t="s">
        <v>5030</v>
      </c>
      <c r="G203" s="6" t="s">
        <v>16</v>
      </c>
      <c r="H203" s="6" t="s">
        <v>15</v>
      </c>
      <c r="I203" s="6" t="s">
        <v>36</v>
      </c>
      <c r="J203" s="6" t="s">
        <v>385</v>
      </c>
      <c r="K203" s="7">
        <v>29.980619820000001</v>
      </c>
      <c r="L203" s="7">
        <v>-93.882164810000006</v>
      </c>
      <c r="M203" s="6" t="s">
        <v>429</v>
      </c>
      <c r="N203" s="6" t="s">
        <v>52</v>
      </c>
      <c r="O203" s="6" t="s">
        <v>24</v>
      </c>
    </row>
    <row r="204" spans="1:15" x14ac:dyDescent="0.25">
      <c r="A204" s="6" t="s">
        <v>10182</v>
      </c>
      <c r="B204" s="6" t="s">
        <v>5032</v>
      </c>
      <c r="C204" s="6" t="s">
        <v>19</v>
      </c>
      <c r="E204" s="6" t="s">
        <v>5031</v>
      </c>
      <c r="F204" s="6" t="s">
        <v>5030</v>
      </c>
      <c r="G204" s="6" t="s">
        <v>16</v>
      </c>
      <c r="H204" s="6" t="s">
        <v>430</v>
      </c>
      <c r="I204" s="6" t="s">
        <v>36</v>
      </c>
      <c r="J204" s="6" t="s">
        <v>385</v>
      </c>
      <c r="K204" s="7">
        <v>29.979949059999999</v>
      </c>
      <c r="L204" s="7">
        <v>-93.88272053</v>
      </c>
      <c r="M204" s="6" t="s">
        <v>429</v>
      </c>
      <c r="N204" s="6" t="s">
        <v>52</v>
      </c>
      <c r="O204" s="6" t="s">
        <v>24</v>
      </c>
    </row>
    <row r="205" spans="1:15" x14ac:dyDescent="0.25">
      <c r="A205" s="6" t="s">
        <v>10181</v>
      </c>
      <c r="B205" s="6" t="s">
        <v>5032</v>
      </c>
      <c r="C205" s="6" t="s">
        <v>436</v>
      </c>
      <c r="E205" s="6" t="s">
        <v>5031</v>
      </c>
      <c r="F205" s="6" t="s">
        <v>5030</v>
      </c>
      <c r="G205" s="6" t="s">
        <v>16</v>
      </c>
      <c r="H205" s="6" t="s">
        <v>15</v>
      </c>
      <c r="I205" s="6" t="s">
        <v>36</v>
      </c>
      <c r="J205" s="6" t="s">
        <v>385</v>
      </c>
      <c r="K205" s="7">
        <v>29.968253000000001</v>
      </c>
      <c r="L205" s="7">
        <v>-93.886802009999997</v>
      </c>
      <c r="M205" s="6" t="s">
        <v>429</v>
      </c>
      <c r="N205" s="6" t="s">
        <v>52</v>
      </c>
      <c r="O205" s="6" t="s">
        <v>24</v>
      </c>
    </row>
    <row r="206" spans="1:15" x14ac:dyDescent="0.25">
      <c r="A206" s="6" t="s">
        <v>10180</v>
      </c>
      <c r="B206" s="6" t="s">
        <v>5032</v>
      </c>
      <c r="C206" s="6" t="s">
        <v>597</v>
      </c>
      <c r="E206" s="6" t="s">
        <v>5031</v>
      </c>
      <c r="F206" s="6" t="s">
        <v>5030</v>
      </c>
      <c r="G206" s="6" t="s">
        <v>16</v>
      </c>
      <c r="H206" s="6" t="s">
        <v>430</v>
      </c>
      <c r="I206" s="6" t="s">
        <v>36</v>
      </c>
      <c r="J206" s="6" t="s">
        <v>385</v>
      </c>
      <c r="K206" s="7">
        <v>29.962204530000001</v>
      </c>
      <c r="L206" s="7">
        <v>-93.882199979999996</v>
      </c>
      <c r="M206" s="6" t="s">
        <v>610</v>
      </c>
      <c r="N206" s="6" t="s">
        <v>383</v>
      </c>
      <c r="O206" s="6" t="s">
        <v>24</v>
      </c>
    </row>
    <row r="207" spans="1:15" x14ac:dyDescent="0.25">
      <c r="A207" s="6" t="s">
        <v>10179</v>
      </c>
      <c r="B207" s="6" t="s">
        <v>5032</v>
      </c>
      <c r="C207" s="6" t="s">
        <v>557</v>
      </c>
      <c r="E207" s="6" t="s">
        <v>5031</v>
      </c>
      <c r="F207" s="6" t="s">
        <v>5030</v>
      </c>
      <c r="G207" s="6" t="s">
        <v>16</v>
      </c>
      <c r="H207" s="6" t="s">
        <v>15</v>
      </c>
      <c r="I207" s="6" t="s">
        <v>36</v>
      </c>
      <c r="J207" s="6" t="s">
        <v>385</v>
      </c>
      <c r="K207" s="7">
        <v>29.972737859999999</v>
      </c>
      <c r="L207" s="7">
        <v>-93.885060769999996</v>
      </c>
      <c r="M207" s="6" t="s">
        <v>429</v>
      </c>
      <c r="N207" s="6" t="s">
        <v>52</v>
      </c>
      <c r="O207" s="6" t="s">
        <v>24</v>
      </c>
    </row>
    <row r="208" spans="1:15" x14ac:dyDescent="0.25">
      <c r="A208" s="6" t="s">
        <v>5035</v>
      </c>
      <c r="B208" s="6" t="s">
        <v>5032</v>
      </c>
      <c r="C208" s="6" t="s">
        <v>433</v>
      </c>
      <c r="E208" s="6" t="s">
        <v>5031</v>
      </c>
      <c r="F208" s="6" t="s">
        <v>5030</v>
      </c>
      <c r="G208" s="6" t="s">
        <v>284</v>
      </c>
      <c r="H208" s="6" t="s">
        <v>430</v>
      </c>
      <c r="I208" s="6" t="s">
        <v>36</v>
      </c>
      <c r="J208" s="6" t="s">
        <v>385</v>
      </c>
      <c r="K208" s="7">
        <v>29.950517770000001</v>
      </c>
      <c r="L208" s="7">
        <v>-93.884392860000005</v>
      </c>
      <c r="M208" s="6" t="s">
        <v>610</v>
      </c>
      <c r="N208" s="6" t="s">
        <v>383</v>
      </c>
      <c r="O208" s="6" t="s">
        <v>24</v>
      </c>
    </row>
    <row r="209" spans="1:15" x14ac:dyDescent="0.25">
      <c r="A209" s="6" t="s">
        <v>5034</v>
      </c>
      <c r="B209" s="6" t="s">
        <v>5032</v>
      </c>
      <c r="C209" s="6" t="s">
        <v>1098</v>
      </c>
      <c r="E209" s="6" t="s">
        <v>5031</v>
      </c>
      <c r="F209" s="6" t="s">
        <v>5030</v>
      </c>
      <c r="G209" s="6" t="s">
        <v>284</v>
      </c>
      <c r="H209" s="6" t="s">
        <v>15</v>
      </c>
      <c r="I209" s="6" t="s">
        <v>36</v>
      </c>
      <c r="J209" s="6" t="s">
        <v>385</v>
      </c>
      <c r="K209" s="7">
        <v>29.965833029999999</v>
      </c>
      <c r="L209" s="7">
        <v>-93.876935660000001</v>
      </c>
      <c r="M209" s="6" t="s">
        <v>429</v>
      </c>
      <c r="N209" s="6" t="s">
        <v>52</v>
      </c>
      <c r="O209" s="6" t="s">
        <v>24</v>
      </c>
    </row>
    <row r="210" spans="1:15" x14ac:dyDescent="0.25">
      <c r="A210" s="6" t="s">
        <v>5033</v>
      </c>
      <c r="B210" s="6" t="s">
        <v>5032</v>
      </c>
      <c r="C210" s="6" t="s">
        <v>1096</v>
      </c>
      <c r="E210" s="6" t="s">
        <v>5031</v>
      </c>
      <c r="F210" s="6" t="s">
        <v>5030</v>
      </c>
      <c r="G210" s="6" t="s">
        <v>284</v>
      </c>
      <c r="H210" s="6" t="s">
        <v>430</v>
      </c>
      <c r="I210" s="6" t="s">
        <v>36</v>
      </c>
      <c r="J210" s="6" t="s">
        <v>385</v>
      </c>
      <c r="K210" s="7">
        <v>29.960480579999999</v>
      </c>
      <c r="L210" s="7">
        <v>-93.895073780000004</v>
      </c>
      <c r="M210" s="6" t="s">
        <v>610</v>
      </c>
      <c r="N210" s="6" t="s">
        <v>383</v>
      </c>
      <c r="O210" s="6" t="s">
        <v>24</v>
      </c>
    </row>
    <row r="211" spans="1:15" x14ac:dyDescent="0.25">
      <c r="A211" s="6" t="s">
        <v>11578</v>
      </c>
      <c r="B211" s="6" t="s">
        <v>11577</v>
      </c>
      <c r="C211" s="6" t="s">
        <v>31</v>
      </c>
      <c r="E211" s="6" t="s">
        <v>11576</v>
      </c>
      <c r="F211" s="6" t="s">
        <v>2474</v>
      </c>
      <c r="G211" s="6" t="s">
        <v>16</v>
      </c>
      <c r="H211" s="6" t="s">
        <v>15</v>
      </c>
      <c r="I211" s="6" t="s">
        <v>27</v>
      </c>
      <c r="J211" s="6" t="s">
        <v>385</v>
      </c>
      <c r="K211" s="7">
        <v>30.070197520000001</v>
      </c>
      <c r="L211" s="7">
        <v>-94.0574522</v>
      </c>
      <c r="M211" s="6" t="s">
        <v>429</v>
      </c>
      <c r="N211" s="6" t="s">
        <v>52</v>
      </c>
      <c r="O211" s="6" t="s">
        <v>24</v>
      </c>
    </row>
    <row r="212" spans="1:15" x14ac:dyDescent="0.25">
      <c r="A212" s="6" t="s">
        <v>8079</v>
      </c>
      <c r="B212" s="6" t="s">
        <v>8076</v>
      </c>
      <c r="C212" s="6" t="s">
        <v>31</v>
      </c>
      <c r="E212" s="6" t="s">
        <v>8075</v>
      </c>
      <c r="F212" s="6" t="s">
        <v>8074</v>
      </c>
      <c r="G212" s="6" t="s">
        <v>16</v>
      </c>
      <c r="H212" s="6" t="s">
        <v>430</v>
      </c>
      <c r="I212" s="6" t="s">
        <v>14</v>
      </c>
      <c r="J212" s="6" t="s">
        <v>35</v>
      </c>
      <c r="K212" s="7">
        <v>29.72972154</v>
      </c>
      <c r="L212" s="7">
        <v>-95.207220730000003</v>
      </c>
      <c r="M212" s="6" t="s">
        <v>866</v>
      </c>
      <c r="N212" s="6" t="s">
        <v>24</v>
      </c>
      <c r="O212" s="6" t="s">
        <v>23</v>
      </c>
    </row>
    <row r="213" spans="1:15" x14ac:dyDescent="0.25">
      <c r="A213" s="6" t="s">
        <v>8078</v>
      </c>
      <c r="B213" s="6" t="s">
        <v>8076</v>
      </c>
      <c r="C213" s="6" t="s">
        <v>19</v>
      </c>
      <c r="E213" s="6" t="s">
        <v>8075</v>
      </c>
      <c r="F213" s="6" t="s">
        <v>8074</v>
      </c>
      <c r="G213" s="6" t="s">
        <v>16</v>
      </c>
      <c r="H213" s="6" t="s">
        <v>430</v>
      </c>
      <c r="I213" s="6" t="s">
        <v>14</v>
      </c>
      <c r="J213" s="6" t="s">
        <v>35</v>
      </c>
      <c r="K213" s="7">
        <v>29.72717913</v>
      </c>
      <c r="L213" s="7">
        <v>-95.208887689999997</v>
      </c>
      <c r="M213" s="6" t="s">
        <v>866</v>
      </c>
      <c r="N213" s="6" t="s">
        <v>24</v>
      </c>
      <c r="O213" s="6" t="s">
        <v>23</v>
      </c>
    </row>
    <row r="214" spans="1:15" x14ac:dyDescent="0.25">
      <c r="A214" s="6" t="s">
        <v>8077</v>
      </c>
      <c r="B214" s="6" t="s">
        <v>8076</v>
      </c>
      <c r="C214" s="6" t="s">
        <v>436</v>
      </c>
      <c r="E214" s="6" t="s">
        <v>8075</v>
      </c>
      <c r="F214" s="6" t="s">
        <v>8074</v>
      </c>
      <c r="G214" s="6" t="s">
        <v>16</v>
      </c>
      <c r="H214" s="6" t="s">
        <v>430</v>
      </c>
      <c r="I214" s="6" t="s">
        <v>14</v>
      </c>
      <c r="J214" s="6" t="s">
        <v>35</v>
      </c>
      <c r="K214" s="7">
        <v>29.711854809999998</v>
      </c>
      <c r="L214" s="7">
        <v>-95.197160260000004</v>
      </c>
      <c r="M214" s="6" t="s">
        <v>866</v>
      </c>
      <c r="N214" s="6" t="s">
        <v>24</v>
      </c>
      <c r="O214" s="6" t="s">
        <v>23</v>
      </c>
    </row>
    <row r="215" spans="1:15" x14ac:dyDescent="0.25">
      <c r="A215" s="6" t="s">
        <v>9725</v>
      </c>
      <c r="B215" s="6" t="s">
        <v>2265</v>
      </c>
      <c r="C215" s="6" t="s">
        <v>31</v>
      </c>
      <c r="E215" s="6" t="s">
        <v>2263</v>
      </c>
      <c r="F215" s="6" t="s">
        <v>2262</v>
      </c>
      <c r="G215" s="6" t="s">
        <v>16</v>
      </c>
      <c r="H215" s="6" t="s">
        <v>15</v>
      </c>
      <c r="I215" s="6" t="s">
        <v>46</v>
      </c>
      <c r="J215" s="6" t="s">
        <v>385</v>
      </c>
      <c r="K215" s="7">
        <v>30.016763000000001</v>
      </c>
      <c r="L215" s="7">
        <v>-94.025408999999996</v>
      </c>
      <c r="M215" s="6" t="s">
        <v>429</v>
      </c>
      <c r="N215" s="6" t="s">
        <v>52</v>
      </c>
      <c r="O215" s="6" t="s">
        <v>24</v>
      </c>
    </row>
    <row r="216" spans="1:15" x14ac:dyDescent="0.25">
      <c r="A216" s="6" t="s">
        <v>9724</v>
      </c>
      <c r="B216" s="6" t="s">
        <v>2265</v>
      </c>
      <c r="C216" s="6" t="s">
        <v>19</v>
      </c>
      <c r="E216" s="6" t="s">
        <v>2263</v>
      </c>
      <c r="F216" s="6" t="s">
        <v>2262</v>
      </c>
      <c r="G216" s="6" t="s">
        <v>16</v>
      </c>
      <c r="H216" s="6" t="s">
        <v>15</v>
      </c>
      <c r="I216" s="6" t="s">
        <v>46</v>
      </c>
      <c r="J216" s="6" t="s">
        <v>385</v>
      </c>
      <c r="K216" s="7">
        <v>30.016763000000001</v>
      </c>
      <c r="L216" s="7">
        <v>-94.025408999999996</v>
      </c>
      <c r="M216" s="6" t="s">
        <v>429</v>
      </c>
      <c r="N216" s="6" t="s">
        <v>52</v>
      </c>
      <c r="O216" s="6" t="s">
        <v>24</v>
      </c>
    </row>
    <row r="217" spans="1:15" x14ac:dyDescent="0.25">
      <c r="A217" s="6" t="s">
        <v>9723</v>
      </c>
      <c r="B217" s="6" t="s">
        <v>2265</v>
      </c>
      <c r="C217" s="6" t="s">
        <v>597</v>
      </c>
      <c r="E217" s="6" t="s">
        <v>2263</v>
      </c>
      <c r="F217" s="6" t="s">
        <v>2262</v>
      </c>
      <c r="G217" s="6" t="s">
        <v>16</v>
      </c>
      <c r="H217" s="6" t="s">
        <v>430</v>
      </c>
      <c r="I217" s="6" t="s">
        <v>46</v>
      </c>
      <c r="J217" s="6" t="s">
        <v>385</v>
      </c>
      <c r="K217" s="7">
        <v>30.020769000000001</v>
      </c>
      <c r="L217" s="7">
        <v>-94.038510000000002</v>
      </c>
      <c r="M217" s="6" t="s">
        <v>429</v>
      </c>
      <c r="N217" s="6" t="s">
        <v>52</v>
      </c>
      <c r="O217" s="6" t="s">
        <v>24</v>
      </c>
    </row>
    <row r="218" spans="1:15" x14ac:dyDescent="0.25">
      <c r="A218" s="6" t="s">
        <v>9722</v>
      </c>
      <c r="B218" s="6" t="s">
        <v>2265</v>
      </c>
      <c r="C218" s="6" t="s">
        <v>557</v>
      </c>
      <c r="E218" s="6" t="s">
        <v>2263</v>
      </c>
      <c r="F218" s="6" t="s">
        <v>2262</v>
      </c>
      <c r="G218" s="6" t="s">
        <v>16</v>
      </c>
      <c r="H218" s="6" t="s">
        <v>430</v>
      </c>
      <c r="I218" s="6" t="s">
        <v>46</v>
      </c>
      <c r="J218" s="6" t="s">
        <v>385</v>
      </c>
      <c r="K218" s="7">
        <v>30.019528000000001</v>
      </c>
      <c r="L218" s="7">
        <v>-94.033314000000004</v>
      </c>
      <c r="M218" s="6" t="s">
        <v>429</v>
      </c>
      <c r="N218" s="6" t="s">
        <v>52</v>
      </c>
      <c r="O218" s="6" t="s">
        <v>24</v>
      </c>
    </row>
    <row r="219" spans="1:15" x14ac:dyDescent="0.25">
      <c r="A219" s="6" t="s">
        <v>9721</v>
      </c>
      <c r="B219" s="6" t="s">
        <v>2265</v>
      </c>
      <c r="C219" s="6" t="s">
        <v>433</v>
      </c>
      <c r="E219" s="6" t="s">
        <v>2263</v>
      </c>
      <c r="F219" s="6" t="s">
        <v>2262</v>
      </c>
      <c r="G219" s="6" t="s">
        <v>16</v>
      </c>
      <c r="H219" s="6" t="s">
        <v>15</v>
      </c>
      <c r="I219" s="6" t="s">
        <v>46</v>
      </c>
      <c r="J219" s="6" t="s">
        <v>385</v>
      </c>
      <c r="K219" s="7">
        <v>30.018511</v>
      </c>
      <c r="L219" s="7">
        <v>-94.024105000000006</v>
      </c>
      <c r="M219" s="6" t="s">
        <v>429</v>
      </c>
      <c r="N219" s="6" t="s">
        <v>52</v>
      </c>
      <c r="O219" s="6" t="s">
        <v>24</v>
      </c>
    </row>
    <row r="220" spans="1:15" x14ac:dyDescent="0.25">
      <c r="A220" s="6" t="s">
        <v>9720</v>
      </c>
      <c r="B220" s="6" t="s">
        <v>2265</v>
      </c>
      <c r="C220" s="6" t="s">
        <v>1096</v>
      </c>
      <c r="E220" s="6" t="s">
        <v>2263</v>
      </c>
      <c r="F220" s="6" t="s">
        <v>2262</v>
      </c>
      <c r="G220" s="6" t="s">
        <v>16</v>
      </c>
      <c r="H220" s="6" t="s">
        <v>15</v>
      </c>
      <c r="I220" s="6" t="s">
        <v>46</v>
      </c>
      <c r="J220" s="6" t="s">
        <v>385</v>
      </c>
      <c r="K220" s="7">
        <v>30.006668000000001</v>
      </c>
      <c r="L220" s="7">
        <v>-94.022200999999995</v>
      </c>
      <c r="M220" s="6" t="s">
        <v>429</v>
      </c>
      <c r="N220" s="6" t="s">
        <v>52</v>
      </c>
      <c r="O220" s="6" t="s">
        <v>24</v>
      </c>
    </row>
    <row r="221" spans="1:15" x14ac:dyDescent="0.25">
      <c r="A221" s="6" t="s">
        <v>9719</v>
      </c>
      <c r="B221" s="6" t="s">
        <v>2265</v>
      </c>
      <c r="C221" s="6" t="s">
        <v>1092</v>
      </c>
      <c r="E221" s="6" t="s">
        <v>2263</v>
      </c>
      <c r="F221" s="6" t="s">
        <v>2262</v>
      </c>
      <c r="G221" s="6" t="s">
        <v>16</v>
      </c>
      <c r="H221" s="6" t="s">
        <v>15</v>
      </c>
      <c r="I221" s="6" t="s">
        <v>46</v>
      </c>
      <c r="J221" s="6" t="s">
        <v>385</v>
      </c>
      <c r="K221" s="7">
        <v>30.017676000000002</v>
      </c>
      <c r="L221" s="7">
        <v>-94.034931</v>
      </c>
      <c r="M221" s="6" t="s">
        <v>429</v>
      </c>
      <c r="N221" s="6" t="s">
        <v>52</v>
      </c>
      <c r="O221" s="6" t="s">
        <v>24</v>
      </c>
    </row>
    <row r="222" spans="1:15" x14ac:dyDescent="0.25">
      <c r="A222" s="6" t="s">
        <v>11507</v>
      </c>
      <c r="B222" s="6" t="s">
        <v>2265</v>
      </c>
      <c r="C222" s="6" t="s">
        <v>1841</v>
      </c>
      <c r="E222" s="6" t="s">
        <v>2263</v>
      </c>
      <c r="F222" s="6" t="s">
        <v>2262</v>
      </c>
      <c r="G222" s="6" t="s">
        <v>16</v>
      </c>
      <c r="H222" s="6" t="s">
        <v>430</v>
      </c>
      <c r="I222" s="6" t="s">
        <v>46</v>
      </c>
      <c r="J222" s="6" t="s">
        <v>385</v>
      </c>
      <c r="K222" s="7">
        <v>30.019607000000001</v>
      </c>
      <c r="L222" s="7">
        <v>-94.029713999999998</v>
      </c>
      <c r="M222" s="6" t="s">
        <v>429</v>
      </c>
      <c r="N222" s="6" t="s">
        <v>52</v>
      </c>
      <c r="O222" s="6" t="s">
        <v>24</v>
      </c>
    </row>
    <row r="223" spans="1:15" x14ac:dyDescent="0.25">
      <c r="A223" s="6" t="s">
        <v>11506</v>
      </c>
      <c r="B223" s="6" t="s">
        <v>2265</v>
      </c>
      <c r="C223" s="6" t="s">
        <v>4803</v>
      </c>
      <c r="E223" s="6" t="s">
        <v>2263</v>
      </c>
      <c r="F223" s="6" t="s">
        <v>2262</v>
      </c>
      <c r="G223" s="6" t="s">
        <v>16</v>
      </c>
      <c r="H223" s="6" t="s">
        <v>430</v>
      </c>
      <c r="I223" s="6" t="s">
        <v>46</v>
      </c>
      <c r="J223" s="6" t="s">
        <v>385</v>
      </c>
      <c r="K223" s="7">
        <v>30.022018379999999</v>
      </c>
      <c r="L223" s="7">
        <v>-94.030954010000002</v>
      </c>
      <c r="M223" s="6" t="s">
        <v>429</v>
      </c>
      <c r="N223" s="6" t="s">
        <v>52</v>
      </c>
      <c r="O223" s="6" t="s">
        <v>24</v>
      </c>
    </row>
    <row r="224" spans="1:15" x14ac:dyDescent="0.25">
      <c r="A224" s="6" t="s">
        <v>2266</v>
      </c>
      <c r="B224" s="6" t="s">
        <v>2265</v>
      </c>
      <c r="C224" s="6" t="s">
        <v>2264</v>
      </c>
      <c r="E224" s="6" t="s">
        <v>2263</v>
      </c>
      <c r="F224" s="6" t="s">
        <v>2262</v>
      </c>
      <c r="G224" s="6" t="s">
        <v>16</v>
      </c>
      <c r="H224" s="6" t="s">
        <v>430</v>
      </c>
      <c r="I224" s="6" t="s">
        <v>46</v>
      </c>
      <c r="J224" s="6" t="s">
        <v>385</v>
      </c>
      <c r="K224" s="7">
        <v>30.02210333</v>
      </c>
      <c r="L224" s="7">
        <v>-94.029994950000003</v>
      </c>
      <c r="M224" s="6" t="s">
        <v>429</v>
      </c>
      <c r="N224" s="6" t="s">
        <v>52</v>
      </c>
      <c r="O224" s="6" t="s">
        <v>24</v>
      </c>
    </row>
    <row r="225" spans="1:15" x14ac:dyDescent="0.25">
      <c r="A225" s="6" t="s">
        <v>2870</v>
      </c>
      <c r="B225" s="6" t="s">
        <v>2265</v>
      </c>
      <c r="C225" s="6" t="s">
        <v>2869</v>
      </c>
      <c r="E225" s="6" t="s">
        <v>2263</v>
      </c>
      <c r="F225" s="6" t="s">
        <v>2262</v>
      </c>
      <c r="G225" s="6" t="s">
        <v>16</v>
      </c>
      <c r="H225" s="6" t="s">
        <v>15</v>
      </c>
      <c r="I225" s="6" t="s">
        <v>46</v>
      </c>
      <c r="J225" s="6" t="s">
        <v>385</v>
      </c>
      <c r="K225" s="7">
        <v>30.019006999999998</v>
      </c>
      <c r="L225" s="7">
        <v>-94.025487999999996</v>
      </c>
      <c r="M225" s="6" t="s">
        <v>429</v>
      </c>
      <c r="N225" s="6" t="s">
        <v>52</v>
      </c>
      <c r="O225" s="6" t="s">
        <v>24</v>
      </c>
    </row>
    <row r="226" spans="1:15" x14ac:dyDescent="0.25">
      <c r="A226" s="6" t="s">
        <v>12103</v>
      </c>
      <c r="B226" s="6" t="s">
        <v>12102</v>
      </c>
      <c r="C226" s="6" t="s">
        <v>31</v>
      </c>
      <c r="E226" s="6" t="s">
        <v>12101</v>
      </c>
      <c r="F226" s="6" t="s">
        <v>12100</v>
      </c>
      <c r="G226" s="6" t="s">
        <v>16</v>
      </c>
      <c r="H226" s="6" t="s">
        <v>15</v>
      </c>
      <c r="I226" s="6" t="s">
        <v>27</v>
      </c>
      <c r="J226" s="6" t="s">
        <v>13</v>
      </c>
      <c r="K226" s="7">
        <v>27.82191873</v>
      </c>
      <c r="L226" s="7">
        <v>-97.436736769999996</v>
      </c>
      <c r="M226" s="6" t="s">
        <v>12</v>
      </c>
      <c r="N226" s="6" t="s">
        <v>11</v>
      </c>
      <c r="O226" s="6" t="s">
        <v>10</v>
      </c>
    </row>
    <row r="227" spans="1:15" x14ac:dyDescent="0.25">
      <c r="A227" s="6" t="s">
        <v>12449</v>
      </c>
      <c r="B227" s="6" t="s">
        <v>12437</v>
      </c>
      <c r="C227" s="6" t="s">
        <v>31</v>
      </c>
      <c r="E227" s="6" t="s">
        <v>12436</v>
      </c>
      <c r="F227" s="6" t="s">
        <v>12435</v>
      </c>
      <c r="G227" s="6" t="s">
        <v>16</v>
      </c>
      <c r="H227" s="6" t="s">
        <v>15</v>
      </c>
      <c r="I227" s="6" t="s">
        <v>60</v>
      </c>
      <c r="J227" s="6" t="s">
        <v>84</v>
      </c>
      <c r="K227" s="7">
        <v>28.652773</v>
      </c>
      <c r="L227" s="7">
        <v>-96.563032000000007</v>
      </c>
      <c r="M227" s="6" t="s">
        <v>1272</v>
      </c>
      <c r="N227" s="6" t="s">
        <v>22</v>
      </c>
      <c r="O227" s="6" t="s">
        <v>10</v>
      </c>
    </row>
    <row r="228" spans="1:15" x14ac:dyDescent="0.25">
      <c r="A228" s="6" t="s">
        <v>12448</v>
      </c>
      <c r="B228" s="6" t="s">
        <v>12437</v>
      </c>
      <c r="C228" s="6" t="s">
        <v>436</v>
      </c>
      <c r="E228" s="6" t="s">
        <v>12436</v>
      </c>
      <c r="F228" s="6" t="s">
        <v>12435</v>
      </c>
      <c r="G228" s="6" t="s">
        <v>16</v>
      </c>
      <c r="H228" s="6" t="s">
        <v>15</v>
      </c>
      <c r="I228" s="6" t="s">
        <v>60</v>
      </c>
      <c r="J228" s="6" t="s">
        <v>84</v>
      </c>
      <c r="K228" s="7">
        <v>28.649718</v>
      </c>
      <c r="L228" s="7">
        <v>-96.562197999999995</v>
      </c>
      <c r="M228" s="6" t="s">
        <v>1272</v>
      </c>
      <c r="N228" s="6" t="s">
        <v>22</v>
      </c>
      <c r="O228" s="6" t="s">
        <v>10</v>
      </c>
    </row>
    <row r="229" spans="1:15" x14ac:dyDescent="0.25">
      <c r="A229" s="6" t="s">
        <v>12447</v>
      </c>
      <c r="B229" s="6" t="s">
        <v>12437</v>
      </c>
      <c r="C229" s="6" t="s">
        <v>557</v>
      </c>
      <c r="E229" s="6" t="s">
        <v>12436</v>
      </c>
      <c r="F229" s="6" t="s">
        <v>12435</v>
      </c>
      <c r="G229" s="6" t="s">
        <v>16</v>
      </c>
      <c r="H229" s="6" t="s">
        <v>15</v>
      </c>
      <c r="I229" s="6" t="s">
        <v>60</v>
      </c>
      <c r="J229" s="6" t="s">
        <v>84</v>
      </c>
      <c r="K229" s="7">
        <v>28.656662000000001</v>
      </c>
      <c r="L229" s="7">
        <v>-96.564976000000001</v>
      </c>
      <c r="M229" s="6" t="s">
        <v>1272</v>
      </c>
      <c r="N229" s="6" t="s">
        <v>22</v>
      </c>
      <c r="O229" s="6" t="s">
        <v>10</v>
      </c>
    </row>
    <row r="230" spans="1:15" x14ac:dyDescent="0.25">
      <c r="A230" s="6" t="s">
        <v>12446</v>
      </c>
      <c r="B230" s="6" t="s">
        <v>12437</v>
      </c>
      <c r="C230" s="6" t="s">
        <v>433</v>
      </c>
      <c r="E230" s="6" t="s">
        <v>12436</v>
      </c>
      <c r="F230" s="6" t="s">
        <v>12435</v>
      </c>
      <c r="G230" s="6" t="s">
        <v>16</v>
      </c>
      <c r="H230" s="6" t="s">
        <v>15</v>
      </c>
      <c r="I230" s="6" t="s">
        <v>60</v>
      </c>
      <c r="J230" s="6" t="s">
        <v>84</v>
      </c>
      <c r="K230" s="7">
        <v>28.658331</v>
      </c>
      <c r="L230" s="7">
        <v>-96.567623999999995</v>
      </c>
      <c r="M230" s="6" t="s">
        <v>1272</v>
      </c>
      <c r="N230" s="6" t="s">
        <v>22</v>
      </c>
      <c r="O230" s="6" t="s">
        <v>10</v>
      </c>
    </row>
    <row r="231" spans="1:15" x14ac:dyDescent="0.25">
      <c r="A231" s="6" t="s">
        <v>12445</v>
      </c>
      <c r="B231" s="6" t="s">
        <v>12437</v>
      </c>
      <c r="C231" s="6" t="s">
        <v>1098</v>
      </c>
      <c r="E231" s="6" t="s">
        <v>12436</v>
      </c>
      <c r="F231" s="6" t="s">
        <v>12435</v>
      </c>
      <c r="G231" s="6" t="s">
        <v>16</v>
      </c>
      <c r="H231" s="6" t="s">
        <v>15</v>
      </c>
      <c r="I231" s="6" t="s">
        <v>60</v>
      </c>
      <c r="J231" s="6" t="s">
        <v>84</v>
      </c>
      <c r="K231" s="7">
        <v>28.660829</v>
      </c>
      <c r="L231" s="7">
        <v>-96.565809999999999</v>
      </c>
      <c r="M231" s="6" t="s">
        <v>1272</v>
      </c>
      <c r="N231" s="6" t="s">
        <v>22</v>
      </c>
      <c r="O231" s="6" t="s">
        <v>10</v>
      </c>
    </row>
    <row r="232" spans="1:15" x14ac:dyDescent="0.25">
      <c r="A232" s="6" t="s">
        <v>12444</v>
      </c>
      <c r="B232" s="6" t="s">
        <v>12437</v>
      </c>
      <c r="C232" s="6" t="s">
        <v>1096</v>
      </c>
      <c r="E232" s="6" t="s">
        <v>12436</v>
      </c>
      <c r="F232" s="6" t="s">
        <v>12435</v>
      </c>
      <c r="G232" s="6" t="s">
        <v>16</v>
      </c>
      <c r="H232" s="6" t="s">
        <v>430</v>
      </c>
      <c r="I232" s="6" t="s">
        <v>60</v>
      </c>
      <c r="J232" s="6" t="s">
        <v>84</v>
      </c>
      <c r="K232" s="7">
        <v>28.64583</v>
      </c>
      <c r="L232" s="7">
        <v>-96.561643000000004</v>
      </c>
      <c r="M232" s="6" t="s">
        <v>1272</v>
      </c>
      <c r="N232" s="6" t="s">
        <v>22</v>
      </c>
      <c r="O232" s="6" t="s">
        <v>10</v>
      </c>
    </row>
    <row r="233" spans="1:15" x14ac:dyDescent="0.25">
      <c r="A233" s="6" t="s">
        <v>12443</v>
      </c>
      <c r="B233" s="6" t="s">
        <v>12437</v>
      </c>
      <c r="C233" s="6" t="s">
        <v>638</v>
      </c>
      <c r="E233" s="6" t="s">
        <v>12436</v>
      </c>
      <c r="F233" s="6" t="s">
        <v>12435</v>
      </c>
      <c r="G233" s="6" t="s">
        <v>16</v>
      </c>
      <c r="H233" s="6" t="s">
        <v>430</v>
      </c>
      <c r="I233" s="6" t="s">
        <v>60</v>
      </c>
      <c r="J233" s="6" t="s">
        <v>84</v>
      </c>
      <c r="K233" s="7">
        <v>28.649718</v>
      </c>
      <c r="L233" s="7">
        <v>-96.562197999999995</v>
      </c>
      <c r="M233" s="6" t="s">
        <v>1272</v>
      </c>
      <c r="N233" s="6" t="s">
        <v>22</v>
      </c>
      <c r="O233" s="6" t="s">
        <v>10</v>
      </c>
    </row>
    <row r="234" spans="1:15" x14ac:dyDescent="0.25">
      <c r="A234" s="6" t="s">
        <v>12442</v>
      </c>
      <c r="B234" s="6" t="s">
        <v>12437</v>
      </c>
      <c r="C234" s="6" t="s">
        <v>635</v>
      </c>
      <c r="E234" s="6" t="s">
        <v>12436</v>
      </c>
      <c r="F234" s="6" t="s">
        <v>12435</v>
      </c>
      <c r="G234" s="6" t="s">
        <v>16</v>
      </c>
      <c r="H234" s="6" t="s">
        <v>430</v>
      </c>
      <c r="I234" s="6" t="s">
        <v>60</v>
      </c>
      <c r="J234" s="6" t="s">
        <v>84</v>
      </c>
      <c r="K234" s="7">
        <v>28.653328999999999</v>
      </c>
      <c r="L234" s="7">
        <v>-96.563310000000001</v>
      </c>
      <c r="M234" s="6" t="s">
        <v>1272</v>
      </c>
      <c r="N234" s="6" t="s">
        <v>22</v>
      </c>
      <c r="O234" s="6" t="s">
        <v>10</v>
      </c>
    </row>
    <row r="235" spans="1:15" x14ac:dyDescent="0.25">
      <c r="A235" s="6" t="s">
        <v>12440</v>
      </c>
      <c r="B235" s="6" t="s">
        <v>12437</v>
      </c>
      <c r="C235" s="6" t="s">
        <v>1844</v>
      </c>
      <c r="E235" s="6" t="s">
        <v>12436</v>
      </c>
      <c r="F235" s="6" t="s">
        <v>12435</v>
      </c>
      <c r="G235" s="6" t="s">
        <v>16</v>
      </c>
      <c r="H235" s="6" t="s">
        <v>430</v>
      </c>
      <c r="I235" s="6" t="s">
        <v>60</v>
      </c>
      <c r="J235" s="6" t="s">
        <v>84</v>
      </c>
      <c r="K235" s="7">
        <v>28.645230999999999</v>
      </c>
      <c r="L235" s="7">
        <v>-96.556601000000001</v>
      </c>
      <c r="M235" s="6" t="s">
        <v>1087</v>
      </c>
      <c r="N235" s="6" t="s">
        <v>22</v>
      </c>
      <c r="O235" s="6" t="s">
        <v>10</v>
      </c>
    </row>
    <row r="236" spans="1:15" x14ac:dyDescent="0.25">
      <c r="A236" s="6" t="s">
        <v>12439</v>
      </c>
      <c r="B236" s="6" t="s">
        <v>12437</v>
      </c>
      <c r="C236" s="6" t="s">
        <v>1189</v>
      </c>
      <c r="E236" s="6" t="s">
        <v>12436</v>
      </c>
      <c r="F236" s="6" t="s">
        <v>12435</v>
      </c>
      <c r="G236" s="6" t="s">
        <v>16</v>
      </c>
      <c r="H236" s="6" t="s">
        <v>430</v>
      </c>
      <c r="I236" s="6" t="s">
        <v>60</v>
      </c>
      <c r="J236" s="6" t="s">
        <v>84</v>
      </c>
      <c r="K236" s="7">
        <v>28.669162</v>
      </c>
      <c r="L236" s="7">
        <v>-96.534696999999994</v>
      </c>
      <c r="M236" s="6" t="s">
        <v>1087</v>
      </c>
      <c r="N236" s="6" t="s">
        <v>22</v>
      </c>
      <c r="O236" s="6" t="s">
        <v>10</v>
      </c>
    </row>
    <row r="237" spans="1:15" x14ac:dyDescent="0.25">
      <c r="A237" s="6" t="s">
        <v>12438</v>
      </c>
      <c r="B237" s="6" t="s">
        <v>12437</v>
      </c>
      <c r="C237" s="6" t="s">
        <v>1841</v>
      </c>
      <c r="E237" s="6" t="s">
        <v>12436</v>
      </c>
      <c r="F237" s="6" t="s">
        <v>12435</v>
      </c>
      <c r="G237" s="6" t="s">
        <v>16</v>
      </c>
      <c r="H237" s="6" t="s">
        <v>430</v>
      </c>
      <c r="I237" s="6" t="s">
        <v>60</v>
      </c>
      <c r="J237" s="6" t="s">
        <v>84</v>
      </c>
      <c r="K237" s="7">
        <v>28.659690999999999</v>
      </c>
      <c r="L237" s="7">
        <v>-96.524495999999999</v>
      </c>
      <c r="M237" s="6" t="s">
        <v>1087</v>
      </c>
      <c r="N237" s="6" t="s">
        <v>22</v>
      </c>
      <c r="O237" s="6" t="s">
        <v>10</v>
      </c>
    </row>
    <row r="238" spans="1:15" x14ac:dyDescent="0.25">
      <c r="A238" s="6" t="s">
        <v>12441</v>
      </c>
      <c r="B238" s="6" t="s">
        <v>12437</v>
      </c>
      <c r="C238" s="6" t="s">
        <v>4806</v>
      </c>
      <c r="E238" s="6" t="s">
        <v>12436</v>
      </c>
      <c r="F238" s="6" t="s">
        <v>12435</v>
      </c>
      <c r="G238" s="6" t="s">
        <v>16</v>
      </c>
      <c r="H238" s="6" t="s">
        <v>15</v>
      </c>
      <c r="I238" s="6" t="s">
        <v>60</v>
      </c>
      <c r="J238" s="6" t="s">
        <v>84</v>
      </c>
      <c r="K238" s="7">
        <v>28.642661</v>
      </c>
      <c r="L238" s="7">
        <v>-96.524919999999995</v>
      </c>
      <c r="M238" s="6" t="s">
        <v>1087</v>
      </c>
      <c r="N238" s="6" t="s">
        <v>22</v>
      </c>
      <c r="O238" s="6" t="s">
        <v>10</v>
      </c>
    </row>
    <row r="239" spans="1:15" x14ac:dyDescent="0.25">
      <c r="A239" s="6" t="s">
        <v>10178</v>
      </c>
      <c r="B239" s="6" t="s">
        <v>10175</v>
      </c>
      <c r="C239" s="6" t="s">
        <v>31</v>
      </c>
      <c r="E239" s="6" t="s">
        <v>10174</v>
      </c>
      <c r="F239" s="6" t="s">
        <v>10173</v>
      </c>
      <c r="G239" s="6" t="s">
        <v>16</v>
      </c>
      <c r="H239" s="6" t="s">
        <v>15</v>
      </c>
      <c r="I239" s="6" t="s">
        <v>14</v>
      </c>
      <c r="J239" s="6" t="s">
        <v>35</v>
      </c>
      <c r="K239" s="7">
        <v>29.742319940000002</v>
      </c>
      <c r="L239" s="7">
        <v>-95.165341789999999</v>
      </c>
      <c r="M239" s="6" t="s">
        <v>34</v>
      </c>
      <c r="N239" s="6" t="s">
        <v>24</v>
      </c>
      <c r="O239" s="6" t="s">
        <v>23</v>
      </c>
    </row>
    <row r="240" spans="1:15" x14ac:dyDescent="0.25">
      <c r="A240" s="6" t="s">
        <v>10177</v>
      </c>
      <c r="B240" s="6" t="s">
        <v>10175</v>
      </c>
      <c r="C240" s="6" t="s">
        <v>436</v>
      </c>
      <c r="E240" s="6" t="s">
        <v>10174</v>
      </c>
      <c r="F240" s="6" t="s">
        <v>10173</v>
      </c>
      <c r="G240" s="6" t="s">
        <v>16</v>
      </c>
      <c r="H240" s="6" t="s">
        <v>15</v>
      </c>
      <c r="I240" s="6" t="s">
        <v>14</v>
      </c>
      <c r="J240" s="6" t="s">
        <v>35</v>
      </c>
      <c r="K240" s="7">
        <v>29.74191227</v>
      </c>
      <c r="L240" s="7">
        <v>-95.167263109999993</v>
      </c>
      <c r="M240" s="6" t="s">
        <v>34</v>
      </c>
      <c r="N240" s="6" t="s">
        <v>24</v>
      </c>
      <c r="O240" s="6" t="s">
        <v>23</v>
      </c>
    </row>
    <row r="241" spans="1:15" x14ac:dyDescent="0.25">
      <c r="A241" s="6" t="s">
        <v>10176</v>
      </c>
      <c r="B241" s="6" t="s">
        <v>10175</v>
      </c>
      <c r="C241" s="6" t="s">
        <v>597</v>
      </c>
      <c r="E241" s="6" t="s">
        <v>10174</v>
      </c>
      <c r="F241" s="6" t="s">
        <v>10173</v>
      </c>
      <c r="G241" s="6" t="s">
        <v>16</v>
      </c>
      <c r="H241" s="6" t="s">
        <v>15</v>
      </c>
      <c r="I241" s="6" t="s">
        <v>14</v>
      </c>
      <c r="J241" s="6" t="s">
        <v>35</v>
      </c>
      <c r="K241" s="7">
        <v>29.745979519999999</v>
      </c>
      <c r="L241" s="7">
        <v>-95.173044399999995</v>
      </c>
      <c r="M241" s="6" t="s">
        <v>34</v>
      </c>
      <c r="N241" s="6" t="s">
        <v>24</v>
      </c>
      <c r="O241" s="6" t="s">
        <v>23</v>
      </c>
    </row>
    <row r="242" spans="1:15" x14ac:dyDescent="0.25">
      <c r="A242" s="6" t="s">
        <v>11544</v>
      </c>
      <c r="B242" s="6" t="s">
        <v>675</v>
      </c>
      <c r="C242" s="6" t="s">
        <v>31</v>
      </c>
      <c r="E242" s="6" t="s">
        <v>674</v>
      </c>
      <c r="F242" s="6" t="s">
        <v>11540</v>
      </c>
      <c r="G242" s="6" t="s">
        <v>16</v>
      </c>
      <c r="H242" s="6" t="s">
        <v>430</v>
      </c>
      <c r="I242" s="6" t="s">
        <v>14</v>
      </c>
      <c r="J242" s="6" t="s">
        <v>215</v>
      </c>
      <c r="K242" s="7">
        <v>29.363605280000002</v>
      </c>
      <c r="L242" s="7">
        <v>-94.908602860000002</v>
      </c>
      <c r="M242" s="6" t="s">
        <v>672</v>
      </c>
      <c r="N242" s="6" t="s">
        <v>160</v>
      </c>
      <c r="O242" s="6" t="s">
        <v>23</v>
      </c>
    </row>
    <row r="243" spans="1:15" x14ac:dyDescent="0.25">
      <c r="A243" s="6" t="s">
        <v>11543</v>
      </c>
      <c r="B243" s="6" t="s">
        <v>675</v>
      </c>
      <c r="C243" s="6" t="s">
        <v>19</v>
      </c>
      <c r="E243" s="6" t="s">
        <v>674</v>
      </c>
      <c r="F243" s="6" t="s">
        <v>11540</v>
      </c>
      <c r="G243" s="6" t="s">
        <v>16</v>
      </c>
      <c r="H243" s="6" t="s">
        <v>430</v>
      </c>
      <c r="I243" s="6" t="s">
        <v>14</v>
      </c>
      <c r="J243" s="6" t="s">
        <v>215</v>
      </c>
      <c r="K243" s="7">
        <v>29.363607729999998</v>
      </c>
      <c r="L243" s="7">
        <v>-94.906944300000006</v>
      </c>
      <c r="M243" s="6" t="s">
        <v>672</v>
      </c>
      <c r="N243" s="6" t="s">
        <v>160</v>
      </c>
      <c r="O243" s="6" t="s">
        <v>23</v>
      </c>
    </row>
    <row r="244" spans="1:15" x14ac:dyDescent="0.25">
      <c r="A244" s="6" t="s">
        <v>11542</v>
      </c>
      <c r="B244" s="6" t="s">
        <v>675</v>
      </c>
      <c r="C244" s="6" t="s">
        <v>436</v>
      </c>
      <c r="E244" s="6" t="s">
        <v>674</v>
      </c>
      <c r="F244" s="6" t="s">
        <v>11540</v>
      </c>
      <c r="G244" s="6" t="s">
        <v>16</v>
      </c>
      <c r="H244" s="6" t="s">
        <v>430</v>
      </c>
      <c r="I244" s="6" t="s">
        <v>14</v>
      </c>
      <c r="J244" s="6" t="s">
        <v>215</v>
      </c>
      <c r="K244" s="7">
        <v>29.363612530000001</v>
      </c>
      <c r="L244" s="7">
        <v>-94.905555710000002</v>
      </c>
      <c r="M244" s="6" t="s">
        <v>672</v>
      </c>
      <c r="N244" s="6" t="s">
        <v>160</v>
      </c>
      <c r="O244" s="6" t="s">
        <v>23</v>
      </c>
    </row>
    <row r="245" spans="1:15" x14ac:dyDescent="0.25">
      <c r="A245" s="6" t="s">
        <v>11541</v>
      </c>
      <c r="B245" s="6" t="s">
        <v>675</v>
      </c>
      <c r="C245" s="6" t="s">
        <v>597</v>
      </c>
      <c r="E245" s="6" t="s">
        <v>674</v>
      </c>
      <c r="F245" s="6" t="s">
        <v>11540</v>
      </c>
      <c r="G245" s="6" t="s">
        <v>16</v>
      </c>
      <c r="H245" s="6" t="s">
        <v>430</v>
      </c>
      <c r="I245" s="6" t="s">
        <v>14</v>
      </c>
      <c r="J245" s="6" t="s">
        <v>215</v>
      </c>
      <c r="K245" s="7">
        <v>29.363613579999999</v>
      </c>
      <c r="L245" s="7">
        <v>-94.903331829999999</v>
      </c>
      <c r="M245" s="6" t="s">
        <v>672</v>
      </c>
      <c r="N245" s="6" t="s">
        <v>160</v>
      </c>
      <c r="O245" s="6" t="s">
        <v>23</v>
      </c>
    </row>
    <row r="246" spans="1:15" x14ac:dyDescent="0.25">
      <c r="A246" s="6" t="s">
        <v>676</v>
      </c>
      <c r="B246" s="6" t="s">
        <v>675</v>
      </c>
      <c r="C246" s="6" t="s">
        <v>557</v>
      </c>
      <c r="E246" s="6" t="s">
        <v>674</v>
      </c>
      <c r="F246" s="6" t="s">
        <v>673</v>
      </c>
      <c r="G246" s="6" t="s">
        <v>16</v>
      </c>
      <c r="H246" s="6" t="s">
        <v>15</v>
      </c>
      <c r="I246" s="6" t="s">
        <v>14</v>
      </c>
      <c r="J246" s="6" t="s">
        <v>215</v>
      </c>
      <c r="K246" s="7">
        <v>29.3639358</v>
      </c>
      <c r="L246" s="7">
        <v>-94.926184860000006</v>
      </c>
      <c r="M246" s="6" t="s">
        <v>672</v>
      </c>
      <c r="N246" s="6" t="s">
        <v>160</v>
      </c>
      <c r="O246" s="6" t="s">
        <v>23</v>
      </c>
    </row>
    <row r="247" spans="1:15" x14ac:dyDescent="0.25">
      <c r="A247" s="6" t="s">
        <v>7085</v>
      </c>
      <c r="B247" s="6" t="s">
        <v>7080</v>
      </c>
      <c r="C247" s="6" t="s">
        <v>31</v>
      </c>
      <c r="E247" s="6" t="s">
        <v>7079</v>
      </c>
      <c r="F247" s="6" t="s">
        <v>7078</v>
      </c>
      <c r="G247" s="6" t="s">
        <v>16</v>
      </c>
      <c r="H247" s="6" t="s">
        <v>15</v>
      </c>
      <c r="I247" s="6" t="s">
        <v>14</v>
      </c>
      <c r="J247" s="6" t="s">
        <v>162</v>
      </c>
      <c r="K247" s="7">
        <v>29.21861582</v>
      </c>
      <c r="L247" s="7">
        <v>-95.210185089999996</v>
      </c>
      <c r="M247" s="6" t="s">
        <v>3071</v>
      </c>
      <c r="N247" s="6" t="s">
        <v>160</v>
      </c>
      <c r="O247" s="6" t="s">
        <v>23</v>
      </c>
    </row>
    <row r="248" spans="1:15" x14ac:dyDescent="0.25">
      <c r="A248" s="6" t="s">
        <v>7084</v>
      </c>
      <c r="B248" s="6" t="s">
        <v>7080</v>
      </c>
      <c r="C248" s="6" t="s">
        <v>19</v>
      </c>
      <c r="E248" s="6" t="s">
        <v>7079</v>
      </c>
      <c r="F248" s="6" t="s">
        <v>7078</v>
      </c>
      <c r="G248" s="6" t="s">
        <v>16</v>
      </c>
      <c r="H248" s="6" t="s">
        <v>15</v>
      </c>
      <c r="I248" s="6" t="s">
        <v>14</v>
      </c>
      <c r="J248" s="6" t="s">
        <v>162</v>
      </c>
      <c r="K248" s="7">
        <v>29.220603180000001</v>
      </c>
      <c r="L248" s="7">
        <v>-95.207270249999993</v>
      </c>
      <c r="M248" s="6" t="s">
        <v>3071</v>
      </c>
      <c r="N248" s="6" t="s">
        <v>160</v>
      </c>
      <c r="O248" s="6" t="s">
        <v>23</v>
      </c>
    </row>
    <row r="249" spans="1:15" x14ac:dyDescent="0.25">
      <c r="A249" s="6" t="s">
        <v>7083</v>
      </c>
      <c r="B249" s="6" t="s">
        <v>7080</v>
      </c>
      <c r="C249" s="6" t="s">
        <v>436</v>
      </c>
      <c r="E249" s="6" t="s">
        <v>7079</v>
      </c>
      <c r="F249" s="6" t="s">
        <v>7078</v>
      </c>
      <c r="G249" s="6" t="s">
        <v>16</v>
      </c>
      <c r="H249" s="6" t="s">
        <v>430</v>
      </c>
      <c r="I249" s="6" t="s">
        <v>14</v>
      </c>
      <c r="J249" s="6" t="s">
        <v>162</v>
      </c>
      <c r="K249" s="7">
        <v>29.231354790000001</v>
      </c>
      <c r="L249" s="7">
        <v>-95.210252699999998</v>
      </c>
      <c r="M249" s="6" t="s">
        <v>3071</v>
      </c>
      <c r="N249" s="6" t="s">
        <v>160</v>
      </c>
      <c r="O249" s="6" t="s">
        <v>23</v>
      </c>
    </row>
    <row r="250" spans="1:15" x14ac:dyDescent="0.25">
      <c r="A250" s="6" t="s">
        <v>7082</v>
      </c>
      <c r="B250" s="6" t="s">
        <v>7080</v>
      </c>
      <c r="C250" s="6" t="s">
        <v>597</v>
      </c>
      <c r="E250" s="6" t="s">
        <v>7079</v>
      </c>
      <c r="F250" s="6" t="s">
        <v>7078</v>
      </c>
      <c r="G250" s="6" t="s">
        <v>16</v>
      </c>
      <c r="H250" s="6" t="s">
        <v>430</v>
      </c>
      <c r="I250" s="6" t="s">
        <v>14</v>
      </c>
      <c r="J250" s="6" t="s">
        <v>162</v>
      </c>
      <c r="K250" s="7">
        <v>29.234266529999999</v>
      </c>
      <c r="L250" s="7">
        <v>-95.208845299999993</v>
      </c>
      <c r="M250" s="6" t="s">
        <v>3071</v>
      </c>
      <c r="N250" s="6" t="s">
        <v>160</v>
      </c>
      <c r="O250" s="6" t="s">
        <v>23</v>
      </c>
    </row>
    <row r="251" spans="1:15" x14ac:dyDescent="0.25">
      <c r="A251" s="6" t="s">
        <v>7081</v>
      </c>
      <c r="B251" s="6" t="s">
        <v>7080</v>
      </c>
      <c r="C251" s="6" t="s">
        <v>557</v>
      </c>
      <c r="E251" s="6" t="s">
        <v>7079</v>
      </c>
      <c r="F251" s="6" t="s">
        <v>7078</v>
      </c>
      <c r="G251" s="6" t="s">
        <v>16</v>
      </c>
      <c r="H251" s="6" t="s">
        <v>430</v>
      </c>
      <c r="I251" s="6" t="s">
        <v>14</v>
      </c>
      <c r="J251" s="6" t="s">
        <v>162</v>
      </c>
      <c r="K251" s="7">
        <v>29.253594400000001</v>
      </c>
      <c r="L251" s="7">
        <v>-95.188556329999997</v>
      </c>
      <c r="M251" s="6" t="s">
        <v>706</v>
      </c>
      <c r="N251" s="6" t="s">
        <v>160</v>
      </c>
      <c r="O251" s="6" t="s">
        <v>23</v>
      </c>
    </row>
    <row r="252" spans="1:15" x14ac:dyDescent="0.25">
      <c r="A252" s="6" t="s">
        <v>12039</v>
      </c>
      <c r="B252" s="6" t="s">
        <v>12038</v>
      </c>
      <c r="C252" s="6" t="s">
        <v>31</v>
      </c>
      <c r="E252" s="6" t="s">
        <v>12037</v>
      </c>
      <c r="F252" s="6" t="s">
        <v>915</v>
      </c>
      <c r="G252" s="6" t="s">
        <v>16</v>
      </c>
      <c r="H252" s="6" t="s">
        <v>15</v>
      </c>
      <c r="I252" s="6" t="s">
        <v>60</v>
      </c>
      <c r="J252" s="6" t="s">
        <v>632</v>
      </c>
      <c r="K252" s="7">
        <v>30.04732276</v>
      </c>
      <c r="L252" s="7">
        <v>-93.776928369999993</v>
      </c>
      <c r="M252" s="6" t="s">
        <v>758</v>
      </c>
      <c r="N252" s="6" t="s">
        <v>65</v>
      </c>
      <c r="O252" s="6" t="s">
        <v>24</v>
      </c>
    </row>
    <row r="253" spans="1:15" x14ac:dyDescent="0.25">
      <c r="A253" s="6" t="s">
        <v>11930</v>
      </c>
      <c r="B253" s="6" t="s">
        <v>8529</v>
      </c>
      <c r="C253" s="6" t="s">
        <v>31</v>
      </c>
      <c r="E253" s="6" t="s">
        <v>8528</v>
      </c>
      <c r="F253" s="6" t="s">
        <v>8527</v>
      </c>
      <c r="G253" s="6" t="s">
        <v>16</v>
      </c>
      <c r="H253" s="6" t="s">
        <v>15</v>
      </c>
      <c r="I253" s="6" t="s">
        <v>14</v>
      </c>
      <c r="J253" s="6" t="s">
        <v>35</v>
      </c>
      <c r="K253" s="7">
        <v>29.719766020000002</v>
      </c>
      <c r="L253" s="7">
        <v>-95.117207120000003</v>
      </c>
      <c r="M253" s="6" t="s">
        <v>34</v>
      </c>
      <c r="N253" s="6" t="s">
        <v>24</v>
      </c>
      <c r="O253" s="6" t="s">
        <v>23</v>
      </c>
    </row>
    <row r="254" spans="1:15" x14ac:dyDescent="0.25">
      <c r="A254" s="6" t="s">
        <v>11732</v>
      </c>
      <c r="B254" s="6" t="s">
        <v>8529</v>
      </c>
      <c r="C254" s="6" t="s">
        <v>19</v>
      </c>
      <c r="E254" s="6" t="s">
        <v>8528</v>
      </c>
      <c r="F254" s="6" t="s">
        <v>8527</v>
      </c>
      <c r="G254" s="6" t="s">
        <v>16</v>
      </c>
      <c r="H254" s="6" t="s">
        <v>430</v>
      </c>
      <c r="I254" s="6" t="s">
        <v>14</v>
      </c>
      <c r="J254" s="6" t="s">
        <v>35</v>
      </c>
      <c r="K254" s="7">
        <v>29.715833759999999</v>
      </c>
      <c r="L254" s="7">
        <v>-95.115555520000001</v>
      </c>
      <c r="M254" s="6" t="s">
        <v>34</v>
      </c>
      <c r="N254" s="6" t="s">
        <v>24</v>
      </c>
      <c r="O254" s="6" t="s">
        <v>23</v>
      </c>
    </row>
    <row r="255" spans="1:15" x14ac:dyDescent="0.25">
      <c r="A255" s="6" t="s">
        <v>11731</v>
      </c>
      <c r="B255" s="6" t="s">
        <v>8529</v>
      </c>
      <c r="C255" s="6" t="s">
        <v>436</v>
      </c>
      <c r="E255" s="6" t="s">
        <v>8528</v>
      </c>
      <c r="F255" s="6" t="s">
        <v>8527</v>
      </c>
      <c r="G255" s="6" t="s">
        <v>16</v>
      </c>
      <c r="H255" s="6" t="s">
        <v>430</v>
      </c>
      <c r="I255" s="6" t="s">
        <v>14</v>
      </c>
      <c r="J255" s="6" t="s">
        <v>35</v>
      </c>
      <c r="K255" s="7">
        <v>29.716940739999998</v>
      </c>
      <c r="L255" s="7">
        <v>-95.116665319999996</v>
      </c>
      <c r="M255" s="6" t="s">
        <v>34</v>
      </c>
      <c r="N255" s="6" t="s">
        <v>24</v>
      </c>
      <c r="O255" s="6" t="s">
        <v>23</v>
      </c>
    </row>
    <row r="256" spans="1:15" x14ac:dyDescent="0.25">
      <c r="A256" s="6" t="s">
        <v>11730</v>
      </c>
      <c r="B256" s="6" t="s">
        <v>8529</v>
      </c>
      <c r="C256" s="6" t="s">
        <v>597</v>
      </c>
      <c r="E256" s="6" t="s">
        <v>8528</v>
      </c>
      <c r="F256" s="6" t="s">
        <v>8527</v>
      </c>
      <c r="G256" s="6" t="s">
        <v>16</v>
      </c>
      <c r="H256" s="6" t="s">
        <v>15</v>
      </c>
      <c r="I256" s="6" t="s">
        <v>14</v>
      </c>
      <c r="J256" s="6" t="s">
        <v>35</v>
      </c>
      <c r="K256" s="7">
        <v>29.733938980000001</v>
      </c>
      <c r="L256" s="7">
        <v>-95.121149239999994</v>
      </c>
      <c r="M256" s="6" t="s">
        <v>34</v>
      </c>
      <c r="N256" s="6" t="s">
        <v>24</v>
      </c>
      <c r="O256" s="6" t="s">
        <v>23</v>
      </c>
    </row>
    <row r="257" spans="1:15" x14ac:dyDescent="0.25">
      <c r="A257" s="6" t="s">
        <v>8530</v>
      </c>
      <c r="B257" s="6" t="s">
        <v>8529</v>
      </c>
      <c r="C257" s="6" t="s">
        <v>557</v>
      </c>
      <c r="E257" s="6" t="s">
        <v>8528</v>
      </c>
      <c r="F257" s="6" t="s">
        <v>8527</v>
      </c>
      <c r="G257" s="6" t="s">
        <v>16</v>
      </c>
      <c r="H257" s="6" t="s">
        <v>430</v>
      </c>
      <c r="I257" s="6" t="s">
        <v>14</v>
      </c>
      <c r="J257" s="6" t="s">
        <v>35</v>
      </c>
      <c r="K257" s="7">
        <v>29.720577420000001</v>
      </c>
      <c r="L257" s="7">
        <v>-95.11706083</v>
      </c>
      <c r="M257" s="6" t="s">
        <v>34</v>
      </c>
      <c r="N257" s="6" t="s">
        <v>24</v>
      </c>
      <c r="O257" s="6" t="s">
        <v>23</v>
      </c>
    </row>
    <row r="258" spans="1:15" x14ac:dyDescent="0.25">
      <c r="A258" s="6" t="s">
        <v>11729</v>
      </c>
      <c r="B258" s="6" t="s">
        <v>6802</v>
      </c>
      <c r="C258" s="6" t="s">
        <v>31</v>
      </c>
      <c r="E258" s="6" t="s">
        <v>6801</v>
      </c>
      <c r="F258" s="6" t="s">
        <v>6800</v>
      </c>
      <c r="G258" s="6" t="s">
        <v>284</v>
      </c>
      <c r="H258" s="6" t="s">
        <v>15</v>
      </c>
      <c r="I258" s="6" t="s">
        <v>14</v>
      </c>
      <c r="J258" s="6" t="s">
        <v>35</v>
      </c>
      <c r="K258" s="7">
        <v>29.72775159</v>
      </c>
      <c r="L258" s="7">
        <v>-95.115236300000007</v>
      </c>
      <c r="M258" s="6" t="s">
        <v>34</v>
      </c>
      <c r="N258" s="6" t="s">
        <v>24</v>
      </c>
      <c r="O258" s="6" t="s">
        <v>23</v>
      </c>
    </row>
    <row r="259" spans="1:15" x14ac:dyDescent="0.25">
      <c r="A259" s="6" t="s">
        <v>11728</v>
      </c>
      <c r="B259" s="6" t="s">
        <v>6802</v>
      </c>
      <c r="C259" s="6" t="s">
        <v>19</v>
      </c>
      <c r="E259" s="6" t="s">
        <v>6801</v>
      </c>
      <c r="F259" s="6" t="s">
        <v>6800</v>
      </c>
      <c r="G259" s="6" t="s">
        <v>16</v>
      </c>
      <c r="H259" s="6" t="s">
        <v>15</v>
      </c>
      <c r="I259" s="6" t="s">
        <v>14</v>
      </c>
      <c r="J259" s="6" t="s">
        <v>35</v>
      </c>
      <c r="K259" s="7">
        <v>29.721108470000001</v>
      </c>
      <c r="L259" s="7">
        <v>-95.116945900000005</v>
      </c>
      <c r="M259" s="6" t="s">
        <v>34</v>
      </c>
      <c r="N259" s="6" t="s">
        <v>24</v>
      </c>
      <c r="O259" s="6" t="s">
        <v>23</v>
      </c>
    </row>
    <row r="260" spans="1:15" x14ac:dyDescent="0.25">
      <c r="A260" s="6" t="s">
        <v>11727</v>
      </c>
      <c r="B260" s="6" t="s">
        <v>6802</v>
      </c>
      <c r="C260" s="6" t="s">
        <v>436</v>
      </c>
      <c r="E260" s="6" t="s">
        <v>6801</v>
      </c>
      <c r="F260" s="6" t="s">
        <v>6800</v>
      </c>
      <c r="G260" s="6" t="s">
        <v>16</v>
      </c>
      <c r="H260" s="6" t="s">
        <v>15</v>
      </c>
      <c r="I260" s="6" t="s">
        <v>14</v>
      </c>
      <c r="J260" s="6" t="s">
        <v>35</v>
      </c>
      <c r="K260" s="7">
        <v>29.726110439999999</v>
      </c>
      <c r="L260" s="7">
        <v>-95.114718760000002</v>
      </c>
      <c r="M260" s="6" t="s">
        <v>34</v>
      </c>
      <c r="N260" s="6" t="s">
        <v>24</v>
      </c>
      <c r="O260" s="6" t="s">
        <v>23</v>
      </c>
    </row>
    <row r="261" spans="1:15" x14ac:dyDescent="0.25">
      <c r="A261" s="6" t="s">
        <v>11726</v>
      </c>
      <c r="B261" s="6" t="s">
        <v>6802</v>
      </c>
      <c r="C261" s="6" t="s">
        <v>597</v>
      </c>
      <c r="E261" s="6" t="s">
        <v>6801</v>
      </c>
      <c r="F261" s="6" t="s">
        <v>6800</v>
      </c>
      <c r="G261" s="6" t="s">
        <v>16</v>
      </c>
      <c r="H261" s="6" t="s">
        <v>430</v>
      </c>
      <c r="I261" s="6" t="s">
        <v>14</v>
      </c>
      <c r="J261" s="6" t="s">
        <v>35</v>
      </c>
      <c r="K261" s="7">
        <v>29.730281699999999</v>
      </c>
      <c r="L261" s="7">
        <v>-95.114896999999999</v>
      </c>
      <c r="M261" s="6" t="s">
        <v>34</v>
      </c>
      <c r="N261" s="6" t="s">
        <v>24</v>
      </c>
      <c r="O261" s="6" t="s">
        <v>23</v>
      </c>
    </row>
    <row r="262" spans="1:15" x14ac:dyDescent="0.25">
      <c r="A262" s="6" t="s">
        <v>11725</v>
      </c>
      <c r="B262" s="6" t="s">
        <v>6802</v>
      </c>
      <c r="C262" s="6" t="s">
        <v>433</v>
      </c>
      <c r="E262" s="6" t="s">
        <v>6801</v>
      </c>
      <c r="F262" s="6" t="s">
        <v>6800</v>
      </c>
      <c r="G262" s="6" t="s">
        <v>16</v>
      </c>
      <c r="H262" s="6" t="s">
        <v>430</v>
      </c>
      <c r="I262" s="6" t="s">
        <v>14</v>
      </c>
      <c r="J262" s="6" t="s">
        <v>35</v>
      </c>
      <c r="K262" s="7">
        <v>29.732315920000001</v>
      </c>
      <c r="L262" s="7">
        <v>-95.124437760000006</v>
      </c>
      <c r="M262" s="6" t="s">
        <v>34</v>
      </c>
      <c r="N262" s="6" t="s">
        <v>24</v>
      </c>
      <c r="O262" s="6" t="s">
        <v>23</v>
      </c>
    </row>
    <row r="263" spans="1:15" x14ac:dyDescent="0.25">
      <c r="A263" s="6" t="s">
        <v>11719</v>
      </c>
      <c r="B263" s="6" t="s">
        <v>6802</v>
      </c>
      <c r="C263" s="6" t="s">
        <v>1098</v>
      </c>
      <c r="E263" s="6" t="s">
        <v>6801</v>
      </c>
      <c r="F263" s="6" t="s">
        <v>6800</v>
      </c>
      <c r="G263" s="6" t="s">
        <v>16</v>
      </c>
      <c r="H263" s="6" t="s">
        <v>15</v>
      </c>
      <c r="I263" s="6" t="s">
        <v>14</v>
      </c>
      <c r="J263" s="6" t="s">
        <v>35</v>
      </c>
      <c r="K263" s="7">
        <v>29.731926600000001</v>
      </c>
      <c r="L263" s="7">
        <v>-95.126839989999993</v>
      </c>
      <c r="M263" s="6" t="s">
        <v>34</v>
      </c>
      <c r="N263" s="6" t="s">
        <v>24</v>
      </c>
      <c r="O263" s="6" t="s">
        <v>23</v>
      </c>
    </row>
    <row r="264" spans="1:15" x14ac:dyDescent="0.25">
      <c r="A264" s="6" t="s">
        <v>11718</v>
      </c>
      <c r="B264" s="6" t="s">
        <v>6802</v>
      </c>
      <c r="C264" s="6" t="s">
        <v>1096</v>
      </c>
      <c r="E264" s="6" t="s">
        <v>6801</v>
      </c>
      <c r="F264" s="6" t="s">
        <v>6800</v>
      </c>
      <c r="G264" s="6" t="s">
        <v>16</v>
      </c>
      <c r="H264" s="6" t="s">
        <v>15</v>
      </c>
      <c r="I264" s="6" t="s">
        <v>14</v>
      </c>
      <c r="J264" s="6" t="s">
        <v>35</v>
      </c>
      <c r="K264" s="7">
        <v>29.7296768</v>
      </c>
      <c r="L264" s="7">
        <v>-95.139732929999994</v>
      </c>
      <c r="M264" s="6" t="s">
        <v>34</v>
      </c>
      <c r="N264" s="6" t="s">
        <v>24</v>
      </c>
      <c r="O264" s="6" t="s">
        <v>23</v>
      </c>
    </row>
    <row r="265" spans="1:15" x14ac:dyDescent="0.25">
      <c r="A265" s="6" t="s">
        <v>11717</v>
      </c>
      <c r="B265" s="6" t="s">
        <v>6802</v>
      </c>
      <c r="C265" s="6" t="s">
        <v>638</v>
      </c>
      <c r="E265" s="6" t="s">
        <v>6801</v>
      </c>
      <c r="F265" s="6" t="s">
        <v>6800</v>
      </c>
      <c r="G265" s="6" t="s">
        <v>16</v>
      </c>
      <c r="H265" s="6" t="s">
        <v>430</v>
      </c>
      <c r="I265" s="6" t="s">
        <v>14</v>
      </c>
      <c r="J265" s="6" t="s">
        <v>35</v>
      </c>
      <c r="K265" s="7">
        <v>29.72872843</v>
      </c>
      <c r="L265" s="7">
        <v>-95.116393000000002</v>
      </c>
      <c r="M265" s="6" t="s">
        <v>34</v>
      </c>
      <c r="N265" s="6" t="s">
        <v>24</v>
      </c>
      <c r="O265" s="6" t="s">
        <v>23</v>
      </c>
    </row>
    <row r="266" spans="1:15" x14ac:dyDescent="0.25">
      <c r="A266" s="6" t="s">
        <v>6803</v>
      </c>
      <c r="B266" s="6" t="s">
        <v>6802</v>
      </c>
      <c r="C266" s="6" t="s">
        <v>635</v>
      </c>
      <c r="E266" s="6" t="s">
        <v>6801</v>
      </c>
      <c r="F266" s="6" t="s">
        <v>6800</v>
      </c>
      <c r="G266" s="6" t="s">
        <v>284</v>
      </c>
      <c r="H266" s="6" t="s">
        <v>15</v>
      </c>
      <c r="I266" s="6" t="s">
        <v>14</v>
      </c>
      <c r="J266" s="6" t="s">
        <v>35</v>
      </c>
      <c r="K266" s="7">
        <v>29.732076509999999</v>
      </c>
      <c r="L266" s="7">
        <v>-95.128656730000003</v>
      </c>
      <c r="M266" s="6" t="s">
        <v>34</v>
      </c>
      <c r="N266" s="6" t="s">
        <v>24</v>
      </c>
      <c r="O266" s="6" t="s">
        <v>23</v>
      </c>
    </row>
    <row r="267" spans="1:15" x14ac:dyDescent="0.25">
      <c r="A267" s="6" t="s">
        <v>7114</v>
      </c>
      <c r="B267" s="6" t="s">
        <v>7113</v>
      </c>
      <c r="C267" s="6" t="s">
        <v>31</v>
      </c>
      <c r="E267" s="6" t="s">
        <v>7112</v>
      </c>
      <c r="F267" s="6" t="s">
        <v>1155</v>
      </c>
      <c r="G267" s="6" t="s">
        <v>16</v>
      </c>
      <c r="H267" s="6" t="s">
        <v>15</v>
      </c>
      <c r="I267" s="6" t="s">
        <v>14</v>
      </c>
      <c r="J267" s="6" t="s">
        <v>35</v>
      </c>
      <c r="K267" s="7">
        <v>29.70202759</v>
      </c>
      <c r="L267" s="7">
        <v>-95.06853212</v>
      </c>
      <c r="M267" s="6" t="s">
        <v>599</v>
      </c>
      <c r="N267" s="6" t="s">
        <v>160</v>
      </c>
      <c r="O267" s="6" t="s">
        <v>23</v>
      </c>
    </row>
    <row r="268" spans="1:15" x14ac:dyDescent="0.25">
      <c r="A268" s="6" t="s">
        <v>12161</v>
      </c>
      <c r="B268" s="6" t="s">
        <v>7113</v>
      </c>
      <c r="C268" s="6" t="s">
        <v>19</v>
      </c>
      <c r="E268" s="6" t="s">
        <v>7112</v>
      </c>
      <c r="F268" s="6" t="s">
        <v>1155</v>
      </c>
      <c r="G268" s="6" t="s">
        <v>16</v>
      </c>
      <c r="H268" s="6" t="s">
        <v>430</v>
      </c>
      <c r="I268" s="6" t="s">
        <v>14</v>
      </c>
      <c r="J268" s="6" t="s">
        <v>35</v>
      </c>
      <c r="K268" s="7">
        <v>29.702027130000001</v>
      </c>
      <c r="L268" s="7">
        <v>-95.06853022</v>
      </c>
      <c r="M268" s="6" t="s">
        <v>599</v>
      </c>
      <c r="N268" s="6" t="s">
        <v>160</v>
      </c>
      <c r="O268" s="6" t="s">
        <v>23</v>
      </c>
    </row>
    <row r="269" spans="1:15" x14ac:dyDescent="0.25">
      <c r="A269" s="6" t="s">
        <v>12160</v>
      </c>
      <c r="B269" s="6" t="s">
        <v>7113</v>
      </c>
      <c r="C269" s="6" t="s">
        <v>436</v>
      </c>
      <c r="E269" s="6" t="s">
        <v>7112</v>
      </c>
      <c r="F269" s="6" t="s">
        <v>1155</v>
      </c>
      <c r="G269" s="6" t="s">
        <v>16</v>
      </c>
      <c r="H269" s="6" t="s">
        <v>430</v>
      </c>
      <c r="I269" s="6" t="s">
        <v>14</v>
      </c>
      <c r="J269" s="6" t="s">
        <v>35</v>
      </c>
      <c r="K269" s="7">
        <v>29.701961829999998</v>
      </c>
      <c r="L269" s="7">
        <v>-95.070537490000007</v>
      </c>
      <c r="M269" s="6" t="s">
        <v>599</v>
      </c>
      <c r="N269" s="6" t="s">
        <v>160</v>
      </c>
      <c r="O269" s="6" t="s">
        <v>23</v>
      </c>
    </row>
    <row r="270" spans="1:15" x14ac:dyDescent="0.25">
      <c r="A270" s="6" t="s">
        <v>12159</v>
      </c>
      <c r="B270" s="6" t="s">
        <v>7113</v>
      </c>
      <c r="C270" s="6" t="s">
        <v>597</v>
      </c>
      <c r="E270" s="6" t="s">
        <v>7112</v>
      </c>
      <c r="F270" s="6" t="s">
        <v>1155</v>
      </c>
      <c r="G270" s="6" t="s">
        <v>16</v>
      </c>
      <c r="H270" s="6" t="s">
        <v>430</v>
      </c>
      <c r="I270" s="6" t="s">
        <v>14</v>
      </c>
      <c r="J270" s="6" t="s">
        <v>35</v>
      </c>
      <c r="K270" s="7">
        <v>29.70197417</v>
      </c>
      <c r="L270" s="7">
        <v>-95.073055969999999</v>
      </c>
      <c r="M270" s="6" t="s">
        <v>599</v>
      </c>
      <c r="N270" s="6" t="s">
        <v>160</v>
      </c>
      <c r="O270" s="6" t="s">
        <v>23</v>
      </c>
    </row>
    <row r="271" spans="1:15" x14ac:dyDescent="0.25">
      <c r="A271" s="6" t="s">
        <v>8062</v>
      </c>
      <c r="B271" s="6" t="s">
        <v>5151</v>
      </c>
      <c r="C271" s="6" t="s">
        <v>31</v>
      </c>
      <c r="E271" s="6" t="s">
        <v>5149</v>
      </c>
      <c r="F271" s="6" t="s">
        <v>5148</v>
      </c>
      <c r="G271" s="6" t="s">
        <v>16</v>
      </c>
      <c r="H271" s="6" t="s">
        <v>15</v>
      </c>
      <c r="I271" s="6" t="s">
        <v>14</v>
      </c>
      <c r="J271" s="6" t="s">
        <v>35</v>
      </c>
      <c r="K271" s="7">
        <v>29.700672999999998</v>
      </c>
      <c r="L271" s="7">
        <v>-95.252244000000005</v>
      </c>
      <c r="M271" s="6" t="s">
        <v>866</v>
      </c>
      <c r="N271" s="6" t="s">
        <v>24</v>
      </c>
      <c r="O271" s="6" t="s">
        <v>23</v>
      </c>
    </row>
    <row r="272" spans="1:15" x14ac:dyDescent="0.25">
      <c r="A272" s="6" t="s">
        <v>8061</v>
      </c>
      <c r="B272" s="6" t="s">
        <v>5151</v>
      </c>
      <c r="C272" s="6" t="s">
        <v>19</v>
      </c>
      <c r="E272" s="6" t="s">
        <v>5149</v>
      </c>
      <c r="F272" s="6" t="s">
        <v>5148</v>
      </c>
      <c r="G272" s="6" t="s">
        <v>16</v>
      </c>
      <c r="H272" s="6" t="s">
        <v>15</v>
      </c>
      <c r="I272" s="6" t="s">
        <v>14</v>
      </c>
      <c r="J272" s="6" t="s">
        <v>35</v>
      </c>
      <c r="K272" s="7">
        <v>29.697783040000001</v>
      </c>
      <c r="L272" s="7">
        <v>-95.261200369999997</v>
      </c>
      <c r="M272" s="6" t="s">
        <v>866</v>
      </c>
      <c r="N272" s="6" t="s">
        <v>24</v>
      </c>
      <c r="O272" s="6" t="s">
        <v>23</v>
      </c>
    </row>
    <row r="273" spans="1:15" x14ac:dyDescent="0.25">
      <c r="A273" s="6" t="s">
        <v>8060</v>
      </c>
      <c r="B273" s="6" t="s">
        <v>5151</v>
      </c>
      <c r="C273" s="6" t="s">
        <v>436</v>
      </c>
      <c r="E273" s="6" t="s">
        <v>5149</v>
      </c>
      <c r="F273" s="6" t="s">
        <v>5148</v>
      </c>
      <c r="G273" s="6" t="s">
        <v>16</v>
      </c>
      <c r="H273" s="6" t="s">
        <v>430</v>
      </c>
      <c r="I273" s="6" t="s">
        <v>14</v>
      </c>
      <c r="J273" s="6" t="s">
        <v>35</v>
      </c>
      <c r="K273" s="7">
        <v>29.69778213</v>
      </c>
      <c r="L273" s="7">
        <v>-95.260996599999999</v>
      </c>
      <c r="M273" s="6" t="s">
        <v>866</v>
      </c>
      <c r="N273" s="6" t="s">
        <v>24</v>
      </c>
      <c r="O273" s="6" t="s">
        <v>23</v>
      </c>
    </row>
    <row r="274" spans="1:15" x14ac:dyDescent="0.25">
      <c r="A274" s="6" t="s">
        <v>6626</v>
      </c>
      <c r="B274" s="6" t="s">
        <v>5151</v>
      </c>
      <c r="C274" s="6" t="s">
        <v>6625</v>
      </c>
      <c r="D274" s="6" t="s">
        <v>907</v>
      </c>
      <c r="E274" s="6" t="s">
        <v>5149</v>
      </c>
      <c r="F274" s="6" t="s">
        <v>5148</v>
      </c>
      <c r="G274" s="6" t="s">
        <v>16</v>
      </c>
      <c r="H274" s="6" t="s">
        <v>430</v>
      </c>
      <c r="I274" s="6" t="s">
        <v>14</v>
      </c>
      <c r="J274" s="6" t="s">
        <v>35</v>
      </c>
      <c r="K274" s="7">
        <v>29.697508110000001</v>
      </c>
      <c r="L274" s="7">
        <v>-95.252608379999998</v>
      </c>
      <c r="M274" s="6" t="s">
        <v>866</v>
      </c>
      <c r="N274" s="6" t="s">
        <v>24</v>
      </c>
      <c r="O274" s="6" t="s">
        <v>23</v>
      </c>
    </row>
    <row r="275" spans="1:15" x14ac:dyDescent="0.25">
      <c r="A275" s="6" t="s">
        <v>6626</v>
      </c>
      <c r="B275" s="6" t="s">
        <v>5151</v>
      </c>
      <c r="C275" s="6" t="s">
        <v>12493</v>
      </c>
      <c r="D275" s="6" t="s">
        <v>619</v>
      </c>
      <c r="E275" s="6" t="s">
        <v>5149</v>
      </c>
      <c r="F275" s="6" t="s">
        <v>5148</v>
      </c>
      <c r="G275" s="6" t="s">
        <v>16</v>
      </c>
      <c r="H275" s="6" t="s">
        <v>430</v>
      </c>
      <c r="I275" s="6" t="s">
        <v>14</v>
      </c>
      <c r="J275" s="6" t="s">
        <v>35</v>
      </c>
      <c r="K275" s="7">
        <v>29.697073</v>
      </c>
      <c r="L275" s="7">
        <v>-95.252475000000004</v>
      </c>
      <c r="M275" s="6" t="s">
        <v>866</v>
      </c>
      <c r="N275" s="6" t="s">
        <v>24</v>
      </c>
      <c r="O275" s="6" t="s">
        <v>23</v>
      </c>
    </row>
    <row r="276" spans="1:15" x14ac:dyDescent="0.25">
      <c r="A276" s="6" t="s">
        <v>12495</v>
      </c>
      <c r="B276" s="6" t="s">
        <v>5151</v>
      </c>
      <c r="C276" s="6" t="s">
        <v>557</v>
      </c>
      <c r="E276" s="6" t="s">
        <v>5149</v>
      </c>
      <c r="F276" s="6" t="s">
        <v>5148</v>
      </c>
      <c r="G276" s="6" t="s">
        <v>16</v>
      </c>
      <c r="H276" s="6" t="s">
        <v>430</v>
      </c>
      <c r="I276" s="6" t="s">
        <v>14</v>
      </c>
      <c r="J276" s="6" t="s">
        <v>35</v>
      </c>
      <c r="K276" s="7">
        <v>29.694948140000001</v>
      </c>
      <c r="L276" s="7">
        <v>-95.253048530000001</v>
      </c>
      <c r="M276" s="6" t="s">
        <v>866</v>
      </c>
      <c r="N276" s="6" t="s">
        <v>24</v>
      </c>
      <c r="O276" s="6" t="s">
        <v>23</v>
      </c>
    </row>
    <row r="277" spans="1:15" x14ac:dyDescent="0.25">
      <c r="A277" s="6" t="s">
        <v>12494</v>
      </c>
      <c r="B277" s="6" t="s">
        <v>5151</v>
      </c>
      <c r="C277" s="6" t="s">
        <v>433</v>
      </c>
      <c r="E277" s="6" t="s">
        <v>5149</v>
      </c>
      <c r="F277" s="6" t="s">
        <v>5148</v>
      </c>
      <c r="G277" s="6" t="s">
        <v>16</v>
      </c>
      <c r="H277" s="6" t="s">
        <v>430</v>
      </c>
      <c r="I277" s="6" t="s">
        <v>14</v>
      </c>
      <c r="J277" s="6" t="s">
        <v>35</v>
      </c>
      <c r="K277" s="7">
        <v>29.697802960000001</v>
      </c>
      <c r="L277" s="7">
        <v>-95.252007809999995</v>
      </c>
      <c r="M277" s="6" t="s">
        <v>866</v>
      </c>
      <c r="N277" s="6" t="s">
        <v>24</v>
      </c>
      <c r="O277" s="6" t="s">
        <v>23</v>
      </c>
    </row>
    <row r="278" spans="1:15" x14ac:dyDescent="0.25">
      <c r="A278" s="6" t="s">
        <v>5152</v>
      </c>
      <c r="B278" s="6" t="s">
        <v>5151</v>
      </c>
      <c r="C278" s="6" t="s">
        <v>1098</v>
      </c>
      <c r="E278" s="6" t="s">
        <v>5149</v>
      </c>
      <c r="F278" s="6" t="s">
        <v>5148</v>
      </c>
      <c r="G278" s="6" t="s">
        <v>16</v>
      </c>
      <c r="H278" s="6" t="s">
        <v>430</v>
      </c>
      <c r="I278" s="6" t="s">
        <v>14</v>
      </c>
      <c r="J278" s="6" t="s">
        <v>35</v>
      </c>
      <c r="K278" s="7">
        <v>29.69745065</v>
      </c>
      <c r="L278" s="7">
        <v>-95.25184634</v>
      </c>
      <c r="M278" s="6" t="s">
        <v>866</v>
      </c>
      <c r="N278" s="6" t="s">
        <v>24</v>
      </c>
      <c r="O278" s="6" t="s">
        <v>23</v>
      </c>
    </row>
    <row r="279" spans="1:15" x14ac:dyDescent="0.25">
      <c r="A279" s="6" t="s">
        <v>5152</v>
      </c>
      <c r="B279" s="6" t="s">
        <v>5151</v>
      </c>
      <c r="C279" s="6" t="s">
        <v>5150</v>
      </c>
      <c r="D279" s="6" t="s">
        <v>907</v>
      </c>
      <c r="E279" s="6" t="s">
        <v>5149</v>
      </c>
      <c r="F279" s="6" t="s">
        <v>5148</v>
      </c>
      <c r="G279" s="6" t="s">
        <v>16</v>
      </c>
      <c r="H279" s="6" t="s">
        <v>430</v>
      </c>
      <c r="I279" s="6" t="s">
        <v>14</v>
      </c>
      <c r="J279" s="6" t="s">
        <v>35</v>
      </c>
      <c r="K279" s="7">
        <v>29.697428469999998</v>
      </c>
      <c r="L279" s="7">
        <v>-95.251842800000006</v>
      </c>
      <c r="M279" s="6" t="s">
        <v>866</v>
      </c>
      <c r="N279" s="6" t="s">
        <v>24</v>
      </c>
      <c r="O279" s="6" t="s">
        <v>23</v>
      </c>
    </row>
    <row r="280" spans="1:15" x14ac:dyDescent="0.25">
      <c r="A280" s="6" t="s">
        <v>5154</v>
      </c>
      <c r="B280" s="6" t="s">
        <v>5151</v>
      </c>
      <c r="C280" s="6" t="s">
        <v>1096</v>
      </c>
      <c r="E280" s="6" t="s">
        <v>5149</v>
      </c>
      <c r="F280" s="6" t="s">
        <v>5148</v>
      </c>
      <c r="G280" s="6" t="s">
        <v>284</v>
      </c>
      <c r="H280" s="6" t="s">
        <v>430</v>
      </c>
      <c r="I280" s="6" t="s">
        <v>14</v>
      </c>
      <c r="J280" s="6" t="s">
        <v>35</v>
      </c>
      <c r="K280" s="7">
        <v>29.701405600000001</v>
      </c>
      <c r="L280" s="7">
        <v>-95.252290270000003</v>
      </c>
      <c r="M280" s="6" t="s">
        <v>866</v>
      </c>
      <c r="N280" s="6" t="s">
        <v>24</v>
      </c>
      <c r="O280" s="6" t="s">
        <v>23</v>
      </c>
    </row>
    <row r="281" spans="1:15" x14ac:dyDescent="0.25">
      <c r="A281" s="6" t="s">
        <v>5154</v>
      </c>
      <c r="B281" s="6" t="s">
        <v>5151</v>
      </c>
      <c r="C281" s="6" t="s">
        <v>5155</v>
      </c>
      <c r="D281" s="6" t="s">
        <v>907</v>
      </c>
      <c r="E281" s="6" t="s">
        <v>5149</v>
      </c>
      <c r="F281" s="6" t="s">
        <v>5148</v>
      </c>
      <c r="G281" s="6" t="s">
        <v>284</v>
      </c>
      <c r="H281" s="6" t="s">
        <v>430</v>
      </c>
      <c r="I281" s="6" t="s">
        <v>14</v>
      </c>
      <c r="J281" s="6" t="s">
        <v>35</v>
      </c>
      <c r="K281" s="7">
        <v>29.70054335</v>
      </c>
      <c r="L281" s="7">
        <v>-95.25224</v>
      </c>
      <c r="M281" s="6" t="s">
        <v>866</v>
      </c>
      <c r="N281" s="6" t="s">
        <v>24</v>
      </c>
      <c r="O281" s="6" t="s">
        <v>23</v>
      </c>
    </row>
    <row r="282" spans="1:15" x14ac:dyDescent="0.25">
      <c r="A282" s="6" t="s">
        <v>5154</v>
      </c>
      <c r="B282" s="6" t="s">
        <v>5151</v>
      </c>
      <c r="C282" s="6" t="s">
        <v>5153</v>
      </c>
      <c r="D282" s="6" t="s">
        <v>619</v>
      </c>
      <c r="E282" s="6" t="s">
        <v>5149</v>
      </c>
      <c r="F282" s="6" t="s">
        <v>5148</v>
      </c>
      <c r="G282" s="6" t="s">
        <v>284</v>
      </c>
      <c r="H282" s="6" t="s">
        <v>430</v>
      </c>
      <c r="I282" s="6" t="s">
        <v>14</v>
      </c>
      <c r="J282" s="6" t="s">
        <v>35</v>
      </c>
      <c r="K282" s="7">
        <v>29.700507559999998</v>
      </c>
      <c r="L282" s="7">
        <v>-95.252241310000002</v>
      </c>
      <c r="M282" s="6" t="s">
        <v>866</v>
      </c>
      <c r="N282" s="6" t="s">
        <v>24</v>
      </c>
      <c r="O282" s="6" t="s">
        <v>23</v>
      </c>
    </row>
    <row r="283" spans="1:15" x14ac:dyDescent="0.25">
      <c r="A283" s="6" t="s">
        <v>10037</v>
      </c>
      <c r="B283" s="6" t="s">
        <v>10036</v>
      </c>
      <c r="C283" s="6" t="s">
        <v>31</v>
      </c>
      <c r="E283" s="6" t="s">
        <v>10035</v>
      </c>
      <c r="F283" s="6" t="s">
        <v>10030</v>
      </c>
      <c r="G283" s="6" t="s">
        <v>16</v>
      </c>
      <c r="H283" s="6" t="s">
        <v>15</v>
      </c>
      <c r="I283" s="6" t="s">
        <v>73</v>
      </c>
      <c r="J283" s="6" t="s">
        <v>385</v>
      </c>
      <c r="K283" s="7">
        <v>29.973807999999998</v>
      </c>
      <c r="L283" s="7">
        <v>-94.219874000000004</v>
      </c>
      <c r="M283" s="6" t="s">
        <v>2473</v>
      </c>
      <c r="N283" s="6" t="s">
        <v>383</v>
      </c>
      <c r="O283" s="6" t="s">
        <v>24</v>
      </c>
    </row>
    <row r="284" spans="1:15" x14ac:dyDescent="0.25">
      <c r="A284" s="6" t="s">
        <v>11639</v>
      </c>
      <c r="B284" s="6" t="s">
        <v>10036</v>
      </c>
      <c r="C284" s="6" t="s">
        <v>436</v>
      </c>
      <c r="E284" s="6" t="s">
        <v>10035</v>
      </c>
      <c r="F284" s="6" t="s">
        <v>10030</v>
      </c>
      <c r="G284" s="6" t="s">
        <v>16</v>
      </c>
      <c r="H284" s="6" t="s">
        <v>430</v>
      </c>
      <c r="I284" s="6" t="s">
        <v>73</v>
      </c>
      <c r="J284" s="6" t="s">
        <v>385</v>
      </c>
      <c r="K284" s="7">
        <v>29.974399999999999</v>
      </c>
      <c r="L284" s="7">
        <v>-94.221041</v>
      </c>
      <c r="M284" s="6" t="s">
        <v>2473</v>
      </c>
      <c r="N284" s="6" t="s">
        <v>383</v>
      </c>
      <c r="O284" s="6" t="s">
        <v>24</v>
      </c>
    </row>
    <row r="285" spans="1:15" x14ac:dyDescent="0.25">
      <c r="A285" s="6" t="s">
        <v>10039</v>
      </c>
      <c r="B285" s="6" t="s">
        <v>3936</v>
      </c>
      <c r="C285" s="6" t="s">
        <v>31</v>
      </c>
      <c r="E285" s="6" t="s">
        <v>3935</v>
      </c>
      <c r="F285" s="6" t="s">
        <v>3934</v>
      </c>
      <c r="G285" s="6" t="s">
        <v>16</v>
      </c>
      <c r="H285" s="6" t="s">
        <v>15</v>
      </c>
      <c r="I285" s="6" t="s">
        <v>36</v>
      </c>
      <c r="J285" s="6" t="s">
        <v>385</v>
      </c>
      <c r="K285" s="7">
        <v>29.9679334</v>
      </c>
      <c r="L285" s="7">
        <v>-93.921759210000005</v>
      </c>
      <c r="M285" s="6" t="s">
        <v>429</v>
      </c>
      <c r="N285" s="6" t="s">
        <v>52</v>
      </c>
      <c r="O285" s="6" t="s">
        <v>24</v>
      </c>
    </row>
    <row r="286" spans="1:15" x14ac:dyDescent="0.25">
      <c r="A286" s="6" t="s">
        <v>10038</v>
      </c>
      <c r="B286" s="6" t="s">
        <v>3936</v>
      </c>
      <c r="C286" s="6" t="s">
        <v>19</v>
      </c>
      <c r="E286" s="6" t="s">
        <v>3935</v>
      </c>
      <c r="F286" s="6" t="s">
        <v>3934</v>
      </c>
      <c r="G286" s="6" t="s">
        <v>16</v>
      </c>
      <c r="H286" s="6" t="s">
        <v>15</v>
      </c>
      <c r="I286" s="6" t="s">
        <v>36</v>
      </c>
      <c r="J286" s="6" t="s">
        <v>385</v>
      </c>
      <c r="K286" s="7">
        <v>29.963965980000001</v>
      </c>
      <c r="L286" s="7">
        <v>-93.925828769999995</v>
      </c>
      <c r="M286" s="6" t="s">
        <v>429</v>
      </c>
      <c r="N286" s="6" t="s">
        <v>52</v>
      </c>
      <c r="O286" s="6" t="s">
        <v>24</v>
      </c>
    </row>
    <row r="287" spans="1:15" x14ac:dyDescent="0.25">
      <c r="A287" s="6" t="s">
        <v>4119</v>
      </c>
      <c r="B287" s="6" t="s">
        <v>3936</v>
      </c>
      <c r="C287" s="6" t="s">
        <v>597</v>
      </c>
      <c r="E287" s="6" t="s">
        <v>3935</v>
      </c>
      <c r="F287" s="6" t="s">
        <v>3934</v>
      </c>
      <c r="G287" s="6" t="s">
        <v>16</v>
      </c>
      <c r="H287" s="6" t="s">
        <v>15</v>
      </c>
      <c r="I287" s="6" t="s">
        <v>36</v>
      </c>
      <c r="J287" s="6" t="s">
        <v>385</v>
      </c>
      <c r="K287" s="7">
        <v>29.983440720000001</v>
      </c>
      <c r="L287" s="7">
        <v>-93.901796759999996</v>
      </c>
      <c r="M287" s="6" t="s">
        <v>429</v>
      </c>
      <c r="N287" s="6" t="s">
        <v>52</v>
      </c>
      <c r="O287" s="6" t="s">
        <v>24</v>
      </c>
    </row>
    <row r="288" spans="1:15" x14ac:dyDescent="0.25">
      <c r="A288" s="6" t="s">
        <v>4113</v>
      </c>
      <c r="B288" s="6" t="s">
        <v>3936</v>
      </c>
      <c r="C288" s="6" t="s">
        <v>433</v>
      </c>
      <c r="E288" s="6" t="s">
        <v>3935</v>
      </c>
      <c r="F288" s="6" t="s">
        <v>3934</v>
      </c>
      <c r="G288" s="6" t="s">
        <v>16</v>
      </c>
      <c r="H288" s="6" t="s">
        <v>15</v>
      </c>
      <c r="I288" s="6" t="s">
        <v>36</v>
      </c>
      <c r="J288" s="6" t="s">
        <v>385</v>
      </c>
      <c r="K288" s="7">
        <v>29.971193400000001</v>
      </c>
      <c r="L288" s="7">
        <v>-93.950680980000001</v>
      </c>
      <c r="M288" s="6" t="s">
        <v>418</v>
      </c>
      <c r="N288" s="6" t="s">
        <v>383</v>
      </c>
      <c r="O288" s="6" t="s">
        <v>24</v>
      </c>
    </row>
    <row r="289" spans="1:15" x14ac:dyDescent="0.25">
      <c r="A289" s="6" t="s">
        <v>4112</v>
      </c>
      <c r="B289" s="6" t="s">
        <v>3936</v>
      </c>
      <c r="C289" s="6" t="s">
        <v>1098</v>
      </c>
      <c r="E289" s="6" t="s">
        <v>3935</v>
      </c>
      <c r="F289" s="6" t="s">
        <v>3934</v>
      </c>
      <c r="G289" s="6" t="s">
        <v>16</v>
      </c>
      <c r="H289" s="6" t="s">
        <v>15</v>
      </c>
      <c r="I289" s="6" t="s">
        <v>36</v>
      </c>
      <c r="J289" s="6" t="s">
        <v>385</v>
      </c>
      <c r="K289" s="7">
        <v>29.95715422</v>
      </c>
      <c r="L289" s="7">
        <v>-93.951167929999997</v>
      </c>
      <c r="M289" s="6" t="s">
        <v>418</v>
      </c>
      <c r="N289" s="6" t="s">
        <v>383</v>
      </c>
      <c r="O289" s="6" t="s">
        <v>24</v>
      </c>
    </row>
    <row r="290" spans="1:15" x14ac:dyDescent="0.25">
      <c r="A290" s="6" t="s">
        <v>3941</v>
      </c>
      <c r="B290" s="6" t="s">
        <v>3936</v>
      </c>
      <c r="C290" s="6" t="s">
        <v>1096</v>
      </c>
      <c r="E290" s="6" t="s">
        <v>3935</v>
      </c>
      <c r="F290" s="6" t="s">
        <v>3934</v>
      </c>
      <c r="G290" s="6" t="s">
        <v>16</v>
      </c>
      <c r="H290" s="6" t="s">
        <v>15</v>
      </c>
      <c r="I290" s="6" t="s">
        <v>36</v>
      </c>
      <c r="J290" s="6" t="s">
        <v>385</v>
      </c>
      <c r="K290" s="7">
        <v>29.954660239999999</v>
      </c>
      <c r="L290" s="7">
        <v>-93.943526520000006</v>
      </c>
      <c r="M290" s="6" t="s">
        <v>418</v>
      </c>
      <c r="N290" s="6" t="s">
        <v>383</v>
      </c>
      <c r="O290" s="6" t="s">
        <v>24</v>
      </c>
    </row>
    <row r="291" spans="1:15" x14ac:dyDescent="0.25">
      <c r="A291" s="6" t="s">
        <v>3939</v>
      </c>
      <c r="B291" s="6" t="s">
        <v>3936</v>
      </c>
      <c r="C291" s="6" t="s">
        <v>638</v>
      </c>
      <c r="E291" s="6" t="s">
        <v>3935</v>
      </c>
      <c r="F291" s="6" t="s">
        <v>3934</v>
      </c>
      <c r="G291" s="6" t="s">
        <v>16</v>
      </c>
      <c r="H291" s="6" t="s">
        <v>15</v>
      </c>
      <c r="I291" s="6" t="s">
        <v>36</v>
      </c>
      <c r="J291" s="6" t="s">
        <v>385</v>
      </c>
      <c r="K291" s="7">
        <v>29.98911197</v>
      </c>
      <c r="L291" s="7">
        <v>-93.929567509999998</v>
      </c>
      <c r="M291" s="6" t="s">
        <v>429</v>
      </c>
      <c r="N291" s="6" t="s">
        <v>52</v>
      </c>
      <c r="O291" s="6" t="s">
        <v>24</v>
      </c>
    </row>
    <row r="292" spans="1:15" x14ac:dyDescent="0.25">
      <c r="A292" s="6" t="s">
        <v>3938</v>
      </c>
      <c r="B292" s="6" t="s">
        <v>3936</v>
      </c>
      <c r="C292" s="6" t="s">
        <v>635</v>
      </c>
      <c r="E292" s="6" t="s">
        <v>3935</v>
      </c>
      <c r="F292" s="6" t="s">
        <v>3934</v>
      </c>
      <c r="G292" s="6" t="s">
        <v>16</v>
      </c>
      <c r="H292" s="6" t="s">
        <v>15</v>
      </c>
      <c r="I292" s="6" t="s">
        <v>36</v>
      </c>
      <c r="J292" s="6" t="s">
        <v>385</v>
      </c>
      <c r="K292" s="7">
        <v>29.989505779999998</v>
      </c>
      <c r="L292" s="7">
        <v>-93.931088599999995</v>
      </c>
      <c r="M292" s="6" t="s">
        <v>429</v>
      </c>
      <c r="N292" s="6" t="s">
        <v>52</v>
      </c>
      <c r="O292" s="6" t="s">
        <v>24</v>
      </c>
    </row>
    <row r="293" spans="1:15" x14ac:dyDescent="0.25">
      <c r="A293" s="6" t="s">
        <v>3937</v>
      </c>
      <c r="B293" s="6" t="s">
        <v>3936</v>
      </c>
      <c r="C293" s="6" t="s">
        <v>869</v>
      </c>
      <c r="E293" s="6" t="s">
        <v>3935</v>
      </c>
      <c r="F293" s="6" t="s">
        <v>3934</v>
      </c>
      <c r="G293" s="6" t="s">
        <v>16</v>
      </c>
      <c r="H293" s="6" t="s">
        <v>15</v>
      </c>
      <c r="I293" s="6" t="s">
        <v>36</v>
      </c>
      <c r="J293" s="6" t="s">
        <v>385</v>
      </c>
      <c r="K293" s="7">
        <v>29.960142690000001</v>
      </c>
      <c r="L293" s="7">
        <v>-93.947003030000005</v>
      </c>
      <c r="M293" s="6" t="s">
        <v>418</v>
      </c>
      <c r="N293" s="6" t="s">
        <v>383</v>
      </c>
      <c r="O293" s="6" t="s">
        <v>24</v>
      </c>
    </row>
    <row r="294" spans="1:15" x14ac:dyDescent="0.25">
      <c r="A294" s="6" t="s">
        <v>1838</v>
      </c>
      <c r="B294" s="6" t="s">
        <v>1837</v>
      </c>
      <c r="C294" s="6" t="s">
        <v>31</v>
      </c>
      <c r="E294" s="6" t="s">
        <v>1836</v>
      </c>
      <c r="F294" s="6" t="s">
        <v>1835</v>
      </c>
      <c r="G294" s="6" t="s">
        <v>16</v>
      </c>
      <c r="H294" s="6" t="s">
        <v>15</v>
      </c>
      <c r="I294" s="6" t="s">
        <v>14</v>
      </c>
      <c r="J294" s="6" t="s">
        <v>1240</v>
      </c>
      <c r="K294" s="7">
        <v>28.89234647</v>
      </c>
      <c r="L294" s="7">
        <v>-97.13590318</v>
      </c>
      <c r="M294" s="6" t="s">
        <v>1739</v>
      </c>
      <c r="N294" s="6" t="s">
        <v>559</v>
      </c>
      <c r="O294" s="6" t="s">
        <v>10</v>
      </c>
    </row>
    <row r="295" spans="1:15" x14ac:dyDescent="0.25">
      <c r="A295" s="6" t="s">
        <v>10504</v>
      </c>
      <c r="B295" s="6" t="s">
        <v>10503</v>
      </c>
      <c r="C295" s="6" t="s">
        <v>31</v>
      </c>
      <c r="E295" s="6" t="s">
        <v>10502</v>
      </c>
      <c r="F295" s="6" t="s">
        <v>10501</v>
      </c>
      <c r="G295" s="6" t="s">
        <v>16</v>
      </c>
      <c r="H295" s="6" t="s">
        <v>15</v>
      </c>
      <c r="I295" s="6" t="s">
        <v>36</v>
      </c>
      <c r="J295" s="6" t="s">
        <v>35</v>
      </c>
      <c r="K295" s="7">
        <v>29.613906679999999</v>
      </c>
      <c r="L295" s="7">
        <v>-95.021605710000003</v>
      </c>
      <c r="M295" s="6" t="s">
        <v>1913</v>
      </c>
      <c r="N295" s="6" t="s">
        <v>160</v>
      </c>
      <c r="O295" s="6" t="s">
        <v>23</v>
      </c>
    </row>
    <row r="296" spans="1:15" x14ac:dyDescent="0.25">
      <c r="A296" s="6" t="s">
        <v>10500</v>
      </c>
      <c r="B296" s="6" t="s">
        <v>10499</v>
      </c>
      <c r="C296" s="6" t="s">
        <v>31</v>
      </c>
      <c r="E296" s="6" t="s">
        <v>10498</v>
      </c>
      <c r="F296" s="6" t="s">
        <v>10497</v>
      </c>
      <c r="G296" s="6" t="s">
        <v>16</v>
      </c>
      <c r="H296" s="6" t="s">
        <v>15</v>
      </c>
      <c r="I296" s="6" t="s">
        <v>36</v>
      </c>
      <c r="J296" s="6" t="s">
        <v>35</v>
      </c>
      <c r="K296" s="7">
        <v>29.66201787</v>
      </c>
      <c r="L296" s="7">
        <v>-95.231647659999993</v>
      </c>
      <c r="M296" s="6" t="s">
        <v>866</v>
      </c>
      <c r="N296" s="6" t="s">
        <v>24</v>
      </c>
      <c r="O296" s="6" t="s">
        <v>23</v>
      </c>
    </row>
    <row r="297" spans="1:15" x14ac:dyDescent="0.25">
      <c r="A297" s="6" t="s">
        <v>6708</v>
      </c>
      <c r="B297" s="6" t="s">
        <v>6707</v>
      </c>
      <c r="C297" s="6" t="s">
        <v>31</v>
      </c>
      <c r="E297" s="6" t="s">
        <v>6706</v>
      </c>
      <c r="F297" s="6" t="s">
        <v>6705</v>
      </c>
      <c r="G297" s="6" t="s">
        <v>16</v>
      </c>
      <c r="H297" s="6" t="s">
        <v>15</v>
      </c>
      <c r="I297" s="6" t="s">
        <v>14</v>
      </c>
      <c r="J297" s="6" t="s">
        <v>35</v>
      </c>
      <c r="K297" s="7">
        <v>29.76638663</v>
      </c>
      <c r="L297" s="7">
        <v>-95.18805442</v>
      </c>
      <c r="M297" s="6" t="s">
        <v>34</v>
      </c>
      <c r="N297" s="6" t="s">
        <v>24</v>
      </c>
      <c r="O297" s="6" t="s">
        <v>23</v>
      </c>
    </row>
    <row r="298" spans="1:15" x14ac:dyDescent="0.25">
      <c r="A298" s="6" t="s">
        <v>11475</v>
      </c>
      <c r="B298" s="6" t="s">
        <v>10190</v>
      </c>
      <c r="C298" s="6" t="s">
        <v>31</v>
      </c>
      <c r="E298" s="6" t="s">
        <v>10189</v>
      </c>
      <c r="F298" s="6" t="s">
        <v>10188</v>
      </c>
      <c r="G298" s="6" t="s">
        <v>16</v>
      </c>
      <c r="H298" s="6" t="s">
        <v>15</v>
      </c>
      <c r="I298" s="6" t="s">
        <v>36</v>
      </c>
      <c r="J298" s="6" t="s">
        <v>35</v>
      </c>
      <c r="K298" s="7">
        <v>29.757983679999999</v>
      </c>
      <c r="L298" s="7">
        <v>-95.179058019999999</v>
      </c>
      <c r="M298" s="6" t="s">
        <v>34</v>
      </c>
      <c r="N298" s="6" t="s">
        <v>24</v>
      </c>
      <c r="O298" s="6" t="s">
        <v>23</v>
      </c>
    </row>
    <row r="299" spans="1:15" x14ac:dyDescent="0.25">
      <c r="A299" s="6" t="s">
        <v>11474</v>
      </c>
      <c r="B299" s="6" t="s">
        <v>10190</v>
      </c>
      <c r="C299" s="6" t="s">
        <v>19</v>
      </c>
      <c r="E299" s="6" t="s">
        <v>10189</v>
      </c>
      <c r="F299" s="6" t="s">
        <v>10188</v>
      </c>
      <c r="G299" s="6" t="s">
        <v>16</v>
      </c>
      <c r="H299" s="6" t="s">
        <v>15</v>
      </c>
      <c r="I299" s="6" t="s">
        <v>36</v>
      </c>
      <c r="J299" s="6" t="s">
        <v>35</v>
      </c>
      <c r="K299" s="7">
        <v>29.758224559999999</v>
      </c>
      <c r="L299" s="7">
        <v>-95.179453460000005</v>
      </c>
      <c r="M299" s="6" t="s">
        <v>34</v>
      </c>
      <c r="N299" s="6" t="s">
        <v>24</v>
      </c>
      <c r="O299" s="6" t="s">
        <v>23</v>
      </c>
    </row>
    <row r="300" spans="1:15" x14ac:dyDescent="0.25">
      <c r="A300" s="6" t="s">
        <v>11473</v>
      </c>
      <c r="B300" s="6" t="s">
        <v>10190</v>
      </c>
      <c r="C300" s="6" t="s">
        <v>436</v>
      </c>
      <c r="E300" s="6" t="s">
        <v>10189</v>
      </c>
      <c r="F300" s="6" t="s">
        <v>10188</v>
      </c>
      <c r="G300" s="6" t="s">
        <v>16</v>
      </c>
      <c r="H300" s="6" t="s">
        <v>15</v>
      </c>
      <c r="I300" s="6" t="s">
        <v>36</v>
      </c>
      <c r="J300" s="6" t="s">
        <v>35</v>
      </c>
      <c r="K300" s="7">
        <v>29.758836670000001</v>
      </c>
      <c r="L300" s="7">
        <v>-95.180107179999993</v>
      </c>
      <c r="M300" s="6" t="s">
        <v>34</v>
      </c>
      <c r="N300" s="6" t="s">
        <v>24</v>
      </c>
      <c r="O300" s="6" t="s">
        <v>23</v>
      </c>
    </row>
    <row r="301" spans="1:15" x14ac:dyDescent="0.25">
      <c r="A301" s="6" t="s">
        <v>11472</v>
      </c>
      <c r="B301" s="6" t="s">
        <v>10190</v>
      </c>
      <c r="C301" s="6" t="s">
        <v>597</v>
      </c>
      <c r="E301" s="6" t="s">
        <v>10189</v>
      </c>
      <c r="F301" s="6" t="s">
        <v>10188</v>
      </c>
      <c r="G301" s="6" t="s">
        <v>16</v>
      </c>
      <c r="H301" s="6" t="s">
        <v>15</v>
      </c>
      <c r="I301" s="6" t="s">
        <v>36</v>
      </c>
      <c r="J301" s="6" t="s">
        <v>35</v>
      </c>
      <c r="K301" s="7">
        <v>29.759537460000001</v>
      </c>
      <c r="L301" s="7">
        <v>-95.180688610000004</v>
      </c>
      <c r="M301" s="6" t="s">
        <v>34</v>
      </c>
      <c r="N301" s="6" t="s">
        <v>24</v>
      </c>
      <c r="O301" s="6" t="s">
        <v>23</v>
      </c>
    </row>
    <row r="302" spans="1:15" x14ac:dyDescent="0.25">
      <c r="A302" s="6" t="s">
        <v>10191</v>
      </c>
      <c r="B302" s="6" t="s">
        <v>10190</v>
      </c>
      <c r="C302" s="6" t="s">
        <v>557</v>
      </c>
      <c r="E302" s="6" t="s">
        <v>10189</v>
      </c>
      <c r="F302" s="6" t="s">
        <v>10188</v>
      </c>
      <c r="G302" s="6" t="s">
        <v>16</v>
      </c>
      <c r="H302" s="6" t="s">
        <v>15</v>
      </c>
      <c r="I302" s="6" t="s">
        <v>36</v>
      </c>
      <c r="J302" s="6" t="s">
        <v>35</v>
      </c>
      <c r="K302" s="7">
        <v>29.757982609999999</v>
      </c>
      <c r="L302" s="7">
        <v>-95.17905743</v>
      </c>
      <c r="M302" s="6" t="s">
        <v>34</v>
      </c>
      <c r="N302" s="6" t="s">
        <v>24</v>
      </c>
      <c r="O302" s="6" t="s">
        <v>23</v>
      </c>
    </row>
    <row r="303" spans="1:15" x14ac:dyDescent="0.25">
      <c r="A303" s="6" t="s">
        <v>8067</v>
      </c>
      <c r="B303" s="6" t="s">
        <v>8065</v>
      </c>
      <c r="C303" s="6" t="s">
        <v>31</v>
      </c>
      <c r="E303" s="6" t="s">
        <v>8064</v>
      </c>
      <c r="F303" s="6" t="s">
        <v>8063</v>
      </c>
      <c r="G303" s="6" t="s">
        <v>16</v>
      </c>
      <c r="H303" s="6" t="s">
        <v>15</v>
      </c>
      <c r="I303" s="6" t="s">
        <v>14</v>
      </c>
      <c r="J303" s="6" t="s">
        <v>26</v>
      </c>
      <c r="K303" s="7">
        <v>30.309509859999999</v>
      </c>
      <c r="L303" s="7">
        <v>-95.38249046</v>
      </c>
      <c r="M303" s="6" t="s">
        <v>1022</v>
      </c>
      <c r="N303" s="6" t="s">
        <v>24</v>
      </c>
      <c r="O303" s="6" t="s">
        <v>23</v>
      </c>
    </row>
    <row r="304" spans="1:15" x14ac:dyDescent="0.25">
      <c r="A304" s="6" t="s">
        <v>8066</v>
      </c>
      <c r="B304" s="6" t="s">
        <v>8065</v>
      </c>
      <c r="C304" s="6" t="s">
        <v>19</v>
      </c>
      <c r="E304" s="6" t="s">
        <v>8064</v>
      </c>
      <c r="F304" s="6" t="s">
        <v>8063</v>
      </c>
      <c r="G304" s="6" t="s">
        <v>16</v>
      </c>
      <c r="H304" s="6" t="s">
        <v>15</v>
      </c>
      <c r="I304" s="6" t="s">
        <v>14</v>
      </c>
      <c r="J304" s="6" t="s">
        <v>26</v>
      </c>
      <c r="K304" s="7">
        <v>30.310455990000001</v>
      </c>
      <c r="L304" s="7">
        <v>-95.38696779</v>
      </c>
      <c r="M304" s="6" t="s">
        <v>1022</v>
      </c>
      <c r="N304" s="6" t="s">
        <v>24</v>
      </c>
      <c r="O304" s="6" t="s">
        <v>23</v>
      </c>
    </row>
    <row r="305" spans="1:15" x14ac:dyDescent="0.25">
      <c r="A305" s="6" t="s">
        <v>10473</v>
      </c>
      <c r="B305" s="6" t="s">
        <v>10472</v>
      </c>
      <c r="C305" s="6" t="s">
        <v>31</v>
      </c>
      <c r="E305" s="6" t="s">
        <v>10471</v>
      </c>
      <c r="F305" s="6" t="s">
        <v>10470</v>
      </c>
      <c r="G305" s="6" t="s">
        <v>16</v>
      </c>
      <c r="H305" s="6" t="s">
        <v>15</v>
      </c>
      <c r="I305" s="6" t="s">
        <v>14</v>
      </c>
      <c r="J305" s="6" t="s">
        <v>385</v>
      </c>
      <c r="K305" s="7">
        <v>30.00829877</v>
      </c>
      <c r="L305" s="7">
        <v>-93.987396790000005</v>
      </c>
      <c r="M305" s="6" t="s">
        <v>429</v>
      </c>
      <c r="N305" s="6" t="s">
        <v>52</v>
      </c>
      <c r="O305" s="6" t="s">
        <v>24</v>
      </c>
    </row>
    <row r="306" spans="1:15" x14ac:dyDescent="0.25">
      <c r="A306" s="6" t="s">
        <v>6665</v>
      </c>
      <c r="B306" s="6" t="s">
        <v>6662</v>
      </c>
      <c r="C306" s="6" t="s">
        <v>31</v>
      </c>
      <c r="E306" s="6" t="s">
        <v>6661</v>
      </c>
      <c r="F306" s="6" t="s">
        <v>6660</v>
      </c>
      <c r="G306" s="6" t="s">
        <v>16</v>
      </c>
      <c r="H306" s="6" t="s">
        <v>28</v>
      </c>
      <c r="I306" s="6" t="s">
        <v>14</v>
      </c>
      <c r="J306" s="6" t="s">
        <v>215</v>
      </c>
      <c r="K306" s="7">
        <v>29.312820890000001</v>
      </c>
      <c r="L306" s="7">
        <v>-94.798674489999996</v>
      </c>
      <c r="M306" s="6" t="s">
        <v>496</v>
      </c>
      <c r="N306" s="6" t="s">
        <v>160</v>
      </c>
      <c r="O306" s="6" t="s">
        <v>23</v>
      </c>
    </row>
    <row r="307" spans="1:15" x14ac:dyDescent="0.25">
      <c r="A307" s="6" t="s">
        <v>6664</v>
      </c>
      <c r="B307" s="6" t="s">
        <v>6662</v>
      </c>
      <c r="C307" s="6" t="s">
        <v>597</v>
      </c>
      <c r="E307" s="6" t="s">
        <v>6661</v>
      </c>
      <c r="F307" s="6" t="s">
        <v>6660</v>
      </c>
      <c r="G307" s="6" t="s">
        <v>16</v>
      </c>
      <c r="H307" s="6" t="s">
        <v>15</v>
      </c>
      <c r="I307" s="6" t="s">
        <v>14</v>
      </c>
      <c r="J307" s="6" t="s">
        <v>215</v>
      </c>
      <c r="K307" s="7">
        <v>29.313560110000001</v>
      </c>
      <c r="L307" s="7">
        <v>-94.797083939999993</v>
      </c>
      <c r="M307" s="6" t="s">
        <v>496</v>
      </c>
      <c r="N307" s="6" t="s">
        <v>160</v>
      </c>
      <c r="O307" s="6" t="s">
        <v>23</v>
      </c>
    </row>
    <row r="308" spans="1:15" x14ac:dyDescent="0.25">
      <c r="A308" s="6" t="s">
        <v>6663</v>
      </c>
      <c r="B308" s="6" t="s">
        <v>6662</v>
      </c>
      <c r="C308" s="6" t="s">
        <v>557</v>
      </c>
      <c r="E308" s="6" t="s">
        <v>6661</v>
      </c>
      <c r="F308" s="6" t="s">
        <v>6660</v>
      </c>
      <c r="G308" s="6" t="s">
        <v>16</v>
      </c>
      <c r="H308" s="6" t="s">
        <v>15</v>
      </c>
      <c r="I308" s="6" t="s">
        <v>14</v>
      </c>
      <c r="J308" s="6" t="s">
        <v>215</v>
      </c>
      <c r="K308" s="7">
        <v>29.312792269999999</v>
      </c>
      <c r="L308" s="7">
        <v>-94.796421809999998</v>
      </c>
      <c r="M308" s="6" t="s">
        <v>496</v>
      </c>
      <c r="N308" s="6" t="s">
        <v>160</v>
      </c>
      <c r="O308" s="6" t="s">
        <v>23</v>
      </c>
    </row>
    <row r="309" spans="1:15" x14ac:dyDescent="0.25">
      <c r="A309" s="6" t="s">
        <v>7069</v>
      </c>
      <c r="B309" s="6" t="s">
        <v>6662</v>
      </c>
      <c r="C309" s="6" t="s">
        <v>433</v>
      </c>
      <c r="E309" s="6" t="s">
        <v>6661</v>
      </c>
      <c r="F309" s="6" t="s">
        <v>6660</v>
      </c>
      <c r="G309" s="6" t="s">
        <v>16</v>
      </c>
      <c r="H309" s="6" t="s">
        <v>15</v>
      </c>
      <c r="I309" s="6" t="s">
        <v>14</v>
      </c>
      <c r="J309" s="6" t="s">
        <v>215</v>
      </c>
      <c r="K309" s="7">
        <v>29.315170559999999</v>
      </c>
      <c r="L309" s="7">
        <v>-94.794128009999994</v>
      </c>
      <c r="M309" s="6" t="s">
        <v>496</v>
      </c>
      <c r="N309" s="6" t="s">
        <v>160</v>
      </c>
      <c r="O309" s="6" t="s">
        <v>23</v>
      </c>
    </row>
    <row r="310" spans="1:15" x14ac:dyDescent="0.25">
      <c r="A310" s="6" t="s">
        <v>8073</v>
      </c>
      <c r="B310" s="6" t="s">
        <v>8071</v>
      </c>
      <c r="C310" s="6" t="s">
        <v>19</v>
      </c>
      <c r="E310" s="6" t="s">
        <v>8070</v>
      </c>
      <c r="F310" s="6" t="s">
        <v>8069</v>
      </c>
      <c r="G310" s="6" t="s">
        <v>16</v>
      </c>
      <c r="H310" s="6" t="s">
        <v>15</v>
      </c>
      <c r="I310" s="6" t="s">
        <v>36</v>
      </c>
      <c r="J310" s="6" t="s">
        <v>215</v>
      </c>
      <c r="K310" s="7">
        <v>29.382174039999999</v>
      </c>
      <c r="L310" s="7">
        <v>-94.889171480000002</v>
      </c>
      <c r="M310" s="6" t="s">
        <v>672</v>
      </c>
      <c r="N310" s="6" t="s">
        <v>160</v>
      </c>
      <c r="O310" s="6" t="s">
        <v>23</v>
      </c>
    </row>
    <row r="311" spans="1:15" x14ac:dyDescent="0.25">
      <c r="A311" s="6" t="s">
        <v>8072</v>
      </c>
      <c r="B311" s="6" t="s">
        <v>8071</v>
      </c>
      <c r="C311" s="6" t="s">
        <v>436</v>
      </c>
      <c r="E311" s="6" t="s">
        <v>8070</v>
      </c>
      <c r="F311" s="6" t="s">
        <v>8069</v>
      </c>
      <c r="G311" s="6" t="s">
        <v>16</v>
      </c>
      <c r="H311" s="6" t="s">
        <v>15</v>
      </c>
      <c r="I311" s="6" t="s">
        <v>36</v>
      </c>
      <c r="J311" s="6" t="s">
        <v>215</v>
      </c>
      <c r="K311" s="7">
        <v>29.379956</v>
      </c>
      <c r="L311" s="7">
        <v>-94.889644000000004</v>
      </c>
      <c r="M311" s="6" t="s">
        <v>672</v>
      </c>
      <c r="N311" s="6" t="s">
        <v>160</v>
      </c>
      <c r="O311" s="6" t="s">
        <v>23</v>
      </c>
    </row>
    <row r="312" spans="1:15" x14ac:dyDescent="0.25">
      <c r="A312" s="6" t="s">
        <v>9763</v>
      </c>
      <c r="B312" s="6" t="s">
        <v>2850</v>
      </c>
      <c r="C312" s="6" t="s">
        <v>31</v>
      </c>
      <c r="E312" s="6" t="s">
        <v>2849</v>
      </c>
      <c r="F312" s="6" t="s">
        <v>2848</v>
      </c>
      <c r="G312" s="6" t="s">
        <v>16</v>
      </c>
      <c r="H312" s="6" t="s">
        <v>15</v>
      </c>
      <c r="I312" s="6" t="s">
        <v>14</v>
      </c>
      <c r="J312" s="6" t="s">
        <v>385</v>
      </c>
      <c r="K312" s="7">
        <v>29.848986920000002</v>
      </c>
      <c r="L312" s="7">
        <v>-93.950910339999993</v>
      </c>
      <c r="M312" s="6" t="s">
        <v>610</v>
      </c>
      <c r="N312" s="6" t="s">
        <v>383</v>
      </c>
      <c r="O312" s="6" t="s">
        <v>24</v>
      </c>
    </row>
    <row r="313" spans="1:15" x14ac:dyDescent="0.25">
      <c r="A313" s="6" t="s">
        <v>2852</v>
      </c>
      <c r="B313" s="6" t="s">
        <v>2850</v>
      </c>
      <c r="C313" s="6" t="s">
        <v>19</v>
      </c>
      <c r="E313" s="6" t="s">
        <v>2849</v>
      </c>
      <c r="F313" s="6" t="s">
        <v>2848</v>
      </c>
      <c r="G313" s="6" t="s">
        <v>16</v>
      </c>
      <c r="H313" s="6" t="s">
        <v>15</v>
      </c>
      <c r="I313" s="6" t="s">
        <v>14</v>
      </c>
      <c r="J313" s="6" t="s">
        <v>385</v>
      </c>
      <c r="K313" s="7">
        <v>29.87844174</v>
      </c>
      <c r="L313" s="7">
        <v>-93.978461960000004</v>
      </c>
      <c r="M313" s="6" t="s">
        <v>418</v>
      </c>
      <c r="N313" s="6" t="s">
        <v>383</v>
      </c>
      <c r="O313" s="6" t="s">
        <v>24</v>
      </c>
    </row>
    <row r="314" spans="1:15" x14ac:dyDescent="0.25">
      <c r="A314" s="6" t="s">
        <v>2851</v>
      </c>
      <c r="B314" s="6" t="s">
        <v>2850</v>
      </c>
      <c r="C314" s="6" t="s">
        <v>436</v>
      </c>
      <c r="E314" s="6" t="s">
        <v>2849</v>
      </c>
      <c r="F314" s="6" t="s">
        <v>2848</v>
      </c>
      <c r="G314" s="6" t="s">
        <v>16</v>
      </c>
      <c r="H314" s="6" t="s">
        <v>15</v>
      </c>
      <c r="I314" s="6" t="s">
        <v>14</v>
      </c>
      <c r="J314" s="6" t="s">
        <v>385</v>
      </c>
      <c r="K314" s="7">
        <v>29.89892691</v>
      </c>
      <c r="L314" s="7">
        <v>-93.951589010000006</v>
      </c>
      <c r="M314" s="6" t="s">
        <v>418</v>
      </c>
      <c r="N314" s="6" t="s">
        <v>383</v>
      </c>
      <c r="O314" s="6" t="s">
        <v>24</v>
      </c>
    </row>
    <row r="315" spans="1:15" x14ac:dyDescent="0.25">
      <c r="A315" s="6" t="s">
        <v>4120</v>
      </c>
      <c r="B315" s="6" t="s">
        <v>2850</v>
      </c>
      <c r="C315" s="6" t="s">
        <v>597</v>
      </c>
      <c r="E315" s="6" t="s">
        <v>2849</v>
      </c>
      <c r="F315" s="6" t="s">
        <v>2848</v>
      </c>
      <c r="G315" s="6" t="s">
        <v>16</v>
      </c>
      <c r="H315" s="6" t="s">
        <v>430</v>
      </c>
      <c r="I315" s="6" t="s">
        <v>14</v>
      </c>
      <c r="J315" s="6" t="s">
        <v>385</v>
      </c>
      <c r="K315" s="7">
        <v>29.872719369999999</v>
      </c>
      <c r="L315" s="7">
        <v>-93.958040330000003</v>
      </c>
      <c r="M315" s="6" t="s">
        <v>610</v>
      </c>
      <c r="N315" s="6" t="s">
        <v>383</v>
      </c>
      <c r="O315" s="6" t="s">
        <v>24</v>
      </c>
    </row>
    <row r="316" spans="1:15" x14ac:dyDescent="0.25">
      <c r="A316" s="6" t="s">
        <v>3940</v>
      </c>
      <c r="B316" s="6" t="s">
        <v>2850</v>
      </c>
      <c r="C316" s="6" t="s">
        <v>557</v>
      </c>
      <c r="D316" s="6" t="s">
        <v>907</v>
      </c>
      <c r="E316" s="6" t="s">
        <v>2849</v>
      </c>
      <c r="F316" s="6" t="s">
        <v>2848</v>
      </c>
      <c r="G316" s="6" t="s">
        <v>16</v>
      </c>
      <c r="H316" s="6" t="s">
        <v>430</v>
      </c>
      <c r="I316" s="6" t="s">
        <v>14</v>
      </c>
      <c r="J316" s="6" t="s">
        <v>385</v>
      </c>
      <c r="K316" s="7">
        <v>29.889659000000002</v>
      </c>
      <c r="L316" s="7">
        <v>-93.943376999999998</v>
      </c>
      <c r="M316" s="6" t="s">
        <v>418</v>
      </c>
      <c r="N316" s="6" t="s">
        <v>383</v>
      </c>
      <c r="O316" s="6" t="s">
        <v>24</v>
      </c>
    </row>
    <row r="317" spans="1:15" x14ac:dyDescent="0.25">
      <c r="A317" s="6" t="s">
        <v>11716</v>
      </c>
      <c r="B317" s="6" t="s">
        <v>2850</v>
      </c>
      <c r="C317" s="6" t="s">
        <v>1092</v>
      </c>
      <c r="E317" s="6" t="s">
        <v>2849</v>
      </c>
      <c r="F317" s="6" t="s">
        <v>2848</v>
      </c>
      <c r="G317" s="6" t="s">
        <v>16</v>
      </c>
      <c r="H317" s="6" t="s">
        <v>430</v>
      </c>
      <c r="I317" s="6" t="s">
        <v>14</v>
      </c>
      <c r="J317" s="6" t="s">
        <v>385</v>
      </c>
      <c r="K317" s="7">
        <v>29.89954071</v>
      </c>
      <c r="L317" s="7">
        <v>-93.951339469999994</v>
      </c>
      <c r="M317" s="6" t="s">
        <v>418</v>
      </c>
      <c r="N317" s="6" t="s">
        <v>383</v>
      </c>
      <c r="O317" s="6" t="s">
        <v>24</v>
      </c>
    </row>
    <row r="318" spans="1:15" x14ac:dyDescent="0.25">
      <c r="A318" s="6" t="s">
        <v>7068</v>
      </c>
      <c r="B318" s="6" t="s">
        <v>7066</v>
      </c>
      <c r="C318" s="6" t="s">
        <v>31</v>
      </c>
      <c r="E318" s="6" t="s">
        <v>7065</v>
      </c>
      <c r="F318" s="6" t="s">
        <v>7064</v>
      </c>
      <c r="G318" s="6" t="s">
        <v>16</v>
      </c>
      <c r="H318" s="6" t="s">
        <v>15</v>
      </c>
      <c r="I318" s="6" t="s">
        <v>36</v>
      </c>
      <c r="J318" s="6" t="s">
        <v>35</v>
      </c>
      <c r="K318" s="7">
        <v>29.731494340000001</v>
      </c>
      <c r="L318" s="7">
        <v>29.731494340000001</v>
      </c>
      <c r="M318" s="6" t="s">
        <v>866</v>
      </c>
      <c r="N318" s="6" t="s">
        <v>24</v>
      </c>
      <c r="O318" s="6" t="s">
        <v>23</v>
      </c>
    </row>
    <row r="319" spans="1:15" x14ac:dyDescent="0.25">
      <c r="A319" s="6" t="s">
        <v>7067</v>
      </c>
      <c r="B319" s="6" t="s">
        <v>7066</v>
      </c>
      <c r="C319" s="6" t="s">
        <v>19</v>
      </c>
      <c r="E319" s="6" t="s">
        <v>7065</v>
      </c>
      <c r="F319" s="6" t="s">
        <v>7064</v>
      </c>
      <c r="G319" s="6" t="s">
        <v>16</v>
      </c>
      <c r="H319" s="6" t="s">
        <v>430</v>
      </c>
      <c r="I319" s="6" t="s">
        <v>36</v>
      </c>
      <c r="J319" s="6" t="s">
        <v>35</v>
      </c>
      <c r="K319" s="7">
        <v>29.730459369999998</v>
      </c>
      <c r="L319" s="7">
        <v>-95.228998649999994</v>
      </c>
      <c r="M319" s="6" t="s">
        <v>866</v>
      </c>
      <c r="N319" s="6" t="s">
        <v>24</v>
      </c>
      <c r="O319" s="6" t="s">
        <v>23</v>
      </c>
    </row>
    <row r="320" spans="1:15" x14ac:dyDescent="0.25">
      <c r="A320" s="6" t="s">
        <v>8474</v>
      </c>
      <c r="B320" s="6" t="s">
        <v>8473</v>
      </c>
      <c r="C320" s="6" t="s">
        <v>19</v>
      </c>
      <c r="E320" s="6" t="s">
        <v>8472</v>
      </c>
      <c r="F320" s="6" t="s">
        <v>8471</v>
      </c>
      <c r="G320" s="6" t="s">
        <v>16</v>
      </c>
      <c r="H320" s="6" t="s">
        <v>430</v>
      </c>
      <c r="I320" s="6" t="s">
        <v>14</v>
      </c>
      <c r="J320" s="6" t="s">
        <v>35</v>
      </c>
      <c r="K320" s="7">
        <v>29.730494050000001</v>
      </c>
      <c r="L320" s="7">
        <v>-95.097560150000007</v>
      </c>
      <c r="M320" s="6" t="s">
        <v>34</v>
      </c>
      <c r="N320" s="6" t="s">
        <v>24</v>
      </c>
      <c r="O320" s="6" t="s">
        <v>23</v>
      </c>
    </row>
    <row r="321" spans="1:15" x14ac:dyDescent="0.25">
      <c r="A321" s="6" t="s">
        <v>12257</v>
      </c>
      <c r="B321" s="6" t="s">
        <v>8473</v>
      </c>
      <c r="C321" s="6" t="s">
        <v>436</v>
      </c>
      <c r="E321" s="6" t="s">
        <v>8472</v>
      </c>
      <c r="F321" s="6" t="s">
        <v>8471</v>
      </c>
      <c r="G321" s="6" t="s">
        <v>16</v>
      </c>
      <c r="H321" s="6" t="s">
        <v>430</v>
      </c>
      <c r="I321" s="6" t="s">
        <v>14</v>
      </c>
      <c r="J321" s="6" t="s">
        <v>35</v>
      </c>
      <c r="K321" s="7">
        <v>29.72650483</v>
      </c>
      <c r="L321" s="7">
        <v>-95.096439520000004</v>
      </c>
      <c r="M321" s="6" t="s">
        <v>34</v>
      </c>
      <c r="N321" s="6" t="s">
        <v>24</v>
      </c>
      <c r="O321" s="6" t="s">
        <v>23</v>
      </c>
    </row>
    <row r="322" spans="1:15" x14ac:dyDescent="0.25">
      <c r="A322" s="6" t="s">
        <v>11743</v>
      </c>
      <c r="B322" s="6" t="s">
        <v>8473</v>
      </c>
      <c r="C322" s="6" t="s">
        <v>597</v>
      </c>
      <c r="E322" s="6" t="s">
        <v>8472</v>
      </c>
      <c r="F322" s="6" t="s">
        <v>8471</v>
      </c>
      <c r="G322" s="6" t="s">
        <v>16</v>
      </c>
      <c r="H322" s="6" t="s">
        <v>15</v>
      </c>
      <c r="I322" s="6" t="s">
        <v>14</v>
      </c>
      <c r="J322" s="6" t="s">
        <v>35</v>
      </c>
      <c r="K322" s="7">
        <v>29.741947209999999</v>
      </c>
      <c r="L322" s="7">
        <v>-95.104573029999997</v>
      </c>
      <c r="M322" s="6" t="s">
        <v>34</v>
      </c>
      <c r="N322" s="6" t="s">
        <v>24</v>
      </c>
      <c r="O322" s="6" t="s">
        <v>23</v>
      </c>
    </row>
    <row r="323" spans="1:15" x14ac:dyDescent="0.25">
      <c r="A323" s="6" t="s">
        <v>12067</v>
      </c>
      <c r="B323" s="6" t="s">
        <v>6445</v>
      </c>
      <c r="C323" s="6" t="s">
        <v>31</v>
      </c>
      <c r="E323" s="6" t="s">
        <v>6444</v>
      </c>
      <c r="F323" s="6" t="s">
        <v>6443</v>
      </c>
      <c r="G323" s="6" t="s">
        <v>16</v>
      </c>
      <c r="H323" s="6" t="s">
        <v>15</v>
      </c>
      <c r="I323" s="6" t="s">
        <v>14</v>
      </c>
      <c r="J323" s="6" t="s">
        <v>385</v>
      </c>
      <c r="K323" s="7">
        <v>29.849222650000002</v>
      </c>
      <c r="L323" s="7">
        <v>-93.985503800000004</v>
      </c>
      <c r="M323" s="6" t="s">
        <v>418</v>
      </c>
      <c r="N323" s="6" t="s">
        <v>383</v>
      </c>
      <c r="O323" s="6" t="s">
        <v>24</v>
      </c>
    </row>
    <row r="324" spans="1:15" x14ac:dyDescent="0.25">
      <c r="A324" s="6" t="s">
        <v>12066</v>
      </c>
      <c r="B324" s="6" t="s">
        <v>6445</v>
      </c>
      <c r="C324" s="6" t="s">
        <v>597</v>
      </c>
      <c r="E324" s="6" t="s">
        <v>6444</v>
      </c>
      <c r="F324" s="6" t="s">
        <v>6443</v>
      </c>
      <c r="G324" s="6" t="s">
        <v>16</v>
      </c>
      <c r="H324" s="6" t="s">
        <v>430</v>
      </c>
      <c r="I324" s="6" t="s">
        <v>14</v>
      </c>
      <c r="J324" s="6" t="s">
        <v>385</v>
      </c>
      <c r="K324" s="7">
        <v>29.84389054</v>
      </c>
      <c r="L324" s="7">
        <v>-93.961967389999998</v>
      </c>
      <c r="M324" s="6" t="s">
        <v>610</v>
      </c>
      <c r="N324" s="6" t="s">
        <v>383</v>
      </c>
      <c r="O324" s="6" t="s">
        <v>24</v>
      </c>
    </row>
    <row r="325" spans="1:15" x14ac:dyDescent="0.25">
      <c r="A325" s="6" t="s">
        <v>12015</v>
      </c>
      <c r="B325" s="6" t="s">
        <v>6445</v>
      </c>
      <c r="C325" s="6" t="s">
        <v>557</v>
      </c>
      <c r="D325" s="6" t="s">
        <v>907</v>
      </c>
      <c r="E325" s="6" t="s">
        <v>6444</v>
      </c>
      <c r="F325" s="6" t="s">
        <v>6443</v>
      </c>
      <c r="G325" s="6" t="s">
        <v>16</v>
      </c>
      <c r="H325" s="6" t="s">
        <v>15</v>
      </c>
      <c r="I325" s="6" t="s">
        <v>14</v>
      </c>
      <c r="J325" s="6" t="s">
        <v>385</v>
      </c>
      <c r="K325" s="7">
        <v>29.86299691</v>
      </c>
      <c r="L325" s="7">
        <v>-93.981297900000001</v>
      </c>
      <c r="M325" s="6" t="s">
        <v>418</v>
      </c>
      <c r="N325" s="6" t="s">
        <v>383</v>
      </c>
      <c r="O325" s="6" t="s">
        <v>24</v>
      </c>
    </row>
    <row r="326" spans="1:15" x14ac:dyDescent="0.25">
      <c r="A326" s="6" t="s">
        <v>12015</v>
      </c>
      <c r="B326" s="6" t="s">
        <v>6445</v>
      </c>
      <c r="C326" s="6" t="s">
        <v>557</v>
      </c>
      <c r="D326" s="6" t="s">
        <v>619</v>
      </c>
      <c r="E326" s="6" t="s">
        <v>6444</v>
      </c>
      <c r="F326" s="6" t="s">
        <v>6443</v>
      </c>
      <c r="G326" s="6" t="s">
        <v>16</v>
      </c>
      <c r="H326" s="6" t="s">
        <v>15</v>
      </c>
      <c r="I326" s="6" t="s">
        <v>14</v>
      </c>
      <c r="J326" s="6" t="s">
        <v>385</v>
      </c>
      <c r="K326" s="7">
        <v>29.861554609999999</v>
      </c>
      <c r="L326" s="7">
        <v>-93.982403899999994</v>
      </c>
      <c r="M326" s="6" t="s">
        <v>418</v>
      </c>
      <c r="N326" s="6" t="s">
        <v>383</v>
      </c>
      <c r="O326" s="6" t="s">
        <v>24</v>
      </c>
    </row>
    <row r="327" spans="1:15" x14ac:dyDescent="0.25">
      <c r="A327" s="6" t="s">
        <v>12015</v>
      </c>
      <c r="B327" s="6" t="s">
        <v>6445</v>
      </c>
      <c r="C327" s="6" t="s">
        <v>557</v>
      </c>
      <c r="D327" s="6" t="s">
        <v>16</v>
      </c>
      <c r="E327" s="6" t="s">
        <v>6444</v>
      </c>
      <c r="F327" s="6" t="s">
        <v>6443</v>
      </c>
      <c r="G327" s="6" t="s">
        <v>16</v>
      </c>
      <c r="H327" s="6" t="s">
        <v>15</v>
      </c>
      <c r="I327" s="6" t="s">
        <v>14</v>
      </c>
      <c r="J327" s="6" t="s">
        <v>385</v>
      </c>
      <c r="K327" s="7">
        <v>29.848702429999999</v>
      </c>
      <c r="L327" s="7">
        <v>-93.984092869999998</v>
      </c>
      <c r="M327" s="6" t="s">
        <v>418</v>
      </c>
      <c r="N327" s="6" t="s">
        <v>383</v>
      </c>
      <c r="O327" s="6" t="s">
        <v>24</v>
      </c>
    </row>
    <row r="328" spans="1:15" x14ac:dyDescent="0.25">
      <c r="A328" s="6" t="s">
        <v>12014</v>
      </c>
      <c r="B328" s="6" t="s">
        <v>6445</v>
      </c>
      <c r="C328" s="6" t="s">
        <v>433</v>
      </c>
      <c r="E328" s="6" t="s">
        <v>6444</v>
      </c>
      <c r="F328" s="6" t="s">
        <v>6443</v>
      </c>
      <c r="G328" s="6" t="s">
        <v>16</v>
      </c>
      <c r="H328" s="6" t="s">
        <v>430</v>
      </c>
      <c r="I328" s="6" t="s">
        <v>14</v>
      </c>
      <c r="J328" s="6" t="s">
        <v>385</v>
      </c>
      <c r="K328" s="7">
        <v>29.839002239999999</v>
      </c>
      <c r="L328" s="7">
        <v>-93.978792729999995</v>
      </c>
      <c r="M328" s="6" t="s">
        <v>418</v>
      </c>
      <c r="N328" s="6" t="s">
        <v>383</v>
      </c>
      <c r="O328" s="6" t="s">
        <v>24</v>
      </c>
    </row>
    <row r="329" spans="1:15" x14ac:dyDescent="0.25">
      <c r="A329" s="6" t="s">
        <v>12065</v>
      </c>
      <c r="B329" s="6" t="s">
        <v>6445</v>
      </c>
      <c r="C329" s="6" t="s">
        <v>1096</v>
      </c>
      <c r="E329" s="6" t="s">
        <v>6444</v>
      </c>
      <c r="F329" s="6" t="s">
        <v>6443</v>
      </c>
      <c r="G329" s="6" t="s">
        <v>16</v>
      </c>
      <c r="H329" s="6" t="s">
        <v>430</v>
      </c>
      <c r="I329" s="6" t="s">
        <v>14</v>
      </c>
      <c r="J329" s="6" t="s">
        <v>385</v>
      </c>
      <c r="K329" s="7">
        <v>29.865995949999999</v>
      </c>
      <c r="L329" s="7">
        <v>-93.973317609999995</v>
      </c>
      <c r="M329" s="6" t="s">
        <v>418</v>
      </c>
      <c r="N329" s="6" t="s">
        <v>383</v>
      </c>
      <c r="O329" s="6" t="s">
        <v>24</v>
      </c>
    </row>
    <row r="330" spans="1:15" x14ac:dyDescent="0.25">
      <c r="A330" s="6" t="s">
        <v>6450</v>
      </c>
      <c r="B330" s="6" t="s">
        <v>6445</v>
      </c>
      <c r="C330" s="6" t="s">
        <v>635</v>
      </c>
      <c r="E330" s="6" t="s">
        <v>6444</v>
      </c>
      <c r="F330" s="6" t="s">
        <v>6443</v>
      </c>
      <c r="G330" s="6" t="s">
        <v>284</v>
      </c>
      <c r="H330" s="6" t="s">
        <v>15</v>
      </c>
      <c r="I330" s="6" t="s">
        <v>14</v>
      </c>
      <c r="J330" s="6" t="s">
        <v>385</v>
      </c>
      <c r="K330" s="7">
        <v>29.866051590000001</v>
      </c>
      <c r="L330" s="7">
        <v>-93.979795469999999</v>
      </c>
      <c r="M330" s="6" t="s">
        <v>418</v>
      </c>
      <c r="N330" s="6" t="s">
        <v>383</v>
      </c>
      <c r="O330" s="6" t="s">
        <v>24</v>
      </c>
    </row>
    <row r="331" spans="1:15" x14ac:dyDescent="0.25">
      <c r="A331" s="6" t="s">
        <v>6449</v>
      </c>
      <c r="B331" s="6" t="s">
        <v>6445</v>
      </c>
      <c r="C331" s="6" t="s">
        <v>1092</v>
      </c>
      <c r="E331" s="6" t="s">
        <v>6444</v>
      </c>
      <c r="F331" s="6" t="s">
        <v>6443</v>
      </c>
      <c r="G331" s="6" t="s">
        <v>284</v>
      </c>
      <c r="H331" s="6" t="s">
        <v>430</v>
      </c>
      <c r="I331" s="6" t="s">
        <v>14</v>
      </c>
      <c r="J331" s="6" t="s">
        <v>385</v>
      </c>
      <c r="K331" s="7">
        <v>29.869078309999999</v>
      </c>
      <c r="L331" s="7">
        <v>-93.973894329999993</v>
      </c>
      <c r="M331" s="6" t="s">
        <v>418</v>
      </c>
      <c r="N331" s="6" t="s">
        <v>383</v>
      </c>
      <c r="O331" s="6" t="s">
        <v>24</v>
      </c>
    </row>
    <row r="332" spans="1:15" x14ac:dyDescent="0.25">
      <c r="A332" s="6" t="s">
        <v>6448</v>
      </c>
      <c r="B332" s="6" t="s">
        <v>6445</v>
      </c>
      <c r="C332" s="6" t="s">
        <v>869</v>
      </c>
      <c r="E332" s="6" t="s">
        <v>6444</v>
      </c>
      <c r="F332" s="6" t="s">
        <v>6443</v>
      </c>
      <c r="G332" s="6" t="s">
        <v>284</v>
      </c>
      <c r="H332" s="6" t="s">
        <v>430</v>
      </c>
      <c r="I332" s="6" t="s">
        <v>14</v>
      </c>
      <c r="J332" s="6" t="s">
        <v>385</v>
      </c>
      <c r="K332" s="7">
        <v>29.870675299999998</v>
      </c>
      <c r="L332" s="7">
        <v>-93.971293979999999</v>
      </c>
      <c r="M332" s="6" t="s">
        <v>418</v>
      </c>
      <c r="N332" s="6" t="s">
        <v>383</v>
      </c>
      <c r="O332" s="6" t="s">
        <v>24</v>
      </c>
    </row>
    <row r="333" spans="1:15" x14ac:dyDescent="0.25">
      <c r="A333" s="6" t="s">
        <v>6447</v>
      </c>
      <c r="B333" s="6" t="s">
        <v>6445</v>
      </c>
      <c r="C333" s="6" t="s">
        <v>1844</v>
      </c>
      <c r="E333" s="6" t="s">
        <v>6444</v>
      </c>
      <c r="F333" s="6" t="s">
        <v>6443</v>
      </c>
      <c r="G333" s="6" t="s">
        <v>284</v>
      </c>
      <c r="H333" s="6" t="s">
        <v>430</v>
      </c>
      <c r="I333" s="6" t="s">
        <v>14</v>
      </c>
      <c r="J333" s="6" t="s">
        <v>385</v>
      </c>
      <c r="K333" s="7">
        <v>29.854507170000002</v>
      </c>
      <c r="L333" s="7">
        <v>-93.951733689999998</v>
      </c>
      <c r="M333" s="6" t="s">
        <v>610</v>
      </c>
      <c r="N333" s="6" t="s">
        <v>383</v>
      </c>
      <c r="O333" s="6" t="s">
        <v>24</v>
      </c>
    </row>
    <row r="334" spans="1:15" x14ac:dyDescent="0.25">
      <c r="A334" s="6" t="s">
        <v>6446</v>
      </c>
      <c r="B334" s="6" t="s">
        <v>6445</v>
      </c>
      <c r="C334" s="6" t="s">
        <v>1189</v>
      </c>
      <c r="E334" s="6" t="s">
        <v>6444</v>
      </c>
      <c r="F334" s="6" t="s">
        <v>6443</v>
      </c>
      <c r="G334" s="6" t="s">
        <v>284</v>
      </c>
      <c r="H334" s="6" t="s">
        <v>430</v>
      </c>
      <c r="I334" s="6" t="s">
        <v>14</v>
      </c>
      <c r="J334" s="6" t="s">
        <v>385</v>
      </c>
      <c r="K334" s="7">
        <v>29.852646230000001</v>
      </c>
      <c r="L334" s="7">
        <v>-93.953461669999996</v>
      </c>
      <c r="M334" s="6" t="s">
        <v>610</v>
      </c>
      <c r="N334" s="6" t="s">
        <v>383</v>
      </c>
      <c r="O334" s="6" t="s">
        <v>24</v>
      </c>
    </row>
    <row r="335" spans="1:15" x14ac:dyDescent="0.25">
      <c r="A335" s="6" t="s">
        <v>11223</v>
      </c>
      <c r="B335" s="6" t="s">
        <v>2256</v>
      </c>
      <c r="C335" s="6" t="s">
        <v>19</v>
      </c>
      <c r="E335" s="6" t="s">
        <v>2255</v>
      </c>
      <c r="F335" s="6" t="s">
        <v>2254</v>
      </c>
      <c r="G335" s="6" t="s">
        <v>16</v>
      </c>
      <c r="H335" s="6" t="s">
        <v>15</v>
      </c>
      <c r="I335" s="6" t="s">
        <v>14</v>
      </c>
      <c r="J335" s="6" t="s">
        <v>215</v>
      </c>
      <c r="K335" s="7">
        <v>29.366296869999999</v>
      </c>
      <c r="L335" s="7">
        <v>-94.903648029999999</v>
      </c>
      <c r="M335" s="6" t="s">
        <v>672</v>
      </c>
      <c r="N335" s="6" t="s">
        <v>160</v>
      </c>
      <c r="O335" s="6" t="s">
        <v>23</v>
      </c>
    </row>
    <row r="336" spans="1:15" x14ac:dyDescent="0.25">
      <c r="A336" s="6" t="s">
        <v>11222</v>
      </c>
      <c r="B336" s="6" t="s">
        <v>2256</v>
      </c>
      <c r="C336" s="6" t="s">
        <v>597</v>
      </c>
      <c r="E336" s="6" t="s">
        <v>2255</v>
      </c>
      <c r="F336" s="6" t="s">
        <v>2254</v>
      </c>
      <c r="G336" s="6" t="s">
        <v>16</v>
      </c>
      <c r="H336" s="6" t="s">
        <v>15</v>
      </c>
      <c r="I336" s="6" t="s">
        <v>14</v>
      </c>
      <c r="J336" s="6" t="s">
        <v>215</v>
      </c>
      <c r="K336" s="7">
        <v>29.370921150000001</v>
      </c>
      <c r="L336" s="7">
        <v>-94.901192710000004</v>
      </c>
      <c r="M336" s="6" t="s">
        <v>672</v>
      </c>
      <c r="N336" s="6" t="s">
        <v>160</v>
      </c>
      <c r="O336" s="6" t="s">
        <v>23</v>
      </c>
    </row>
    <row r="337" spans="1:15" x14ac:dyDescent="0.25">
      <c r="A337" s="6" t="s">
        <v>11221</v>
      </c>
      <c r="B337" s="6" t="s">
        <v>2256</v>
      </c>
      <c r="C337" s="6" t="s">
        <v>557</v>
      </c>
      <c r="E337" s="6" t="s">
        <v>2255</v>
      </c>
      <c r="F337" s="6" t="s">
        <v>2254</v>
      </c>
      <c r="G337" s="6" t="s">
        <v>16</v>
      </c>
      <c r="H337" s="6" t="s">
        <v>430</v>
      </c>
      <c r="I337" s="6" t="s">
        <v>14</v>
      </c>
      <c r="J337" s="6" t="s">
        <v>215</v>
      </c>
      <c r="K337" s="7">
        <v>29.363519</v>
      </c>
      <c r="L337" s="7">
        <v>-94.909623999999994</v>
      </c>
      <c r="M337" s="6" t="s">
        <v>672</v>
      </c>
      <c r="N337" s="6" t="s">
        <v>160</v>
      </c>
      <c r="O337" s="6" t="s">
        <v>23</v>
      </c>
    </row>
    <row r="338" spans="1:15" x14ac:dyDescent="0.25">
      <c r="A338" s="6" t="s">
        <v>11220</v>
      </c>
      <c r="B338" s="6" t="s">
        <v>2256</v>
      </c>
      <c r="C338" s="6" t="s">
        <v>433</v>
      </c>
      <c r="E338" s="6" t="s">
        <v>2255</v>
      </c>
      <c r="F338" s="6" t="s">
        <v>2254</v>
      </c>
      <c r="G338" s="6" t="s">
        <v>16</v>
      </c>
      <c r="H338" s="6" t="s">
        <v>15</v>
      </c>
      <c r="I338" s="6" t="s">
        <v>14</v>
      </c>
      <c r="J338" s="6" t="s">
        <v>215</v>
      </c>
      <c r="K338" s="7">
        <v>29.367709999999999</v>
      </c>
      <c r="L338" s="7">
        <v>-94.913953000000006</v>
      </c>
      <c r="M338" s="6" t="s">
        <v>672</v>
      </c>
      <c r="N338" s="6" t="s">
        <v>160</v>
      </c>
      <c r="O338" s="6" t="s">
        <v>23</v>
      </c>
    </row>
    <row r="339" spans="1:15" x14ac:dyDescent="0.25">
      <c r="A339" s="6" t="s">
        <v>11548</v>
      </c>
      <c r="B339" s="6" t="s">
        <v>2256</v>
      </c>
      <c r="C339" s="6" t="s">
        <v>1098</v>
      </c>
      <c r="E339" s="6" t="s">
        <v>2255</v>
      </c>
      <c r="F339" s="6" t="s">
        <v>2254</v>
      </c>
      <c r="G339" s="6" t="s">
        <v>16</v>
      </c>
      <c r="H339" s="6" t="s">
        <v>15</v>
      </c>
      <c r="I339" s="6" t="s">
        <v>14</v>
      </c>
      <c r="J339" s="6" t="s">
        <v>215</v>
      </c>
      <c r="K339" s="7">
        <v>29.369140999999999</v>
      </c>
      <c r="L339" s="7">
        <v>-94.911748000000003</v>
      </c>
      <c r="M339" s="6" t="s">
        <v>672</v>
      </c>
      <c r="N339" s="6" t="s">
        <v>160</v>
      </c>
      <c r="O339" s="6" t="s">
        <v>23</v>
      </c>
    </row>
    <row r="340" spans="1:15" x14ac:dyDescent="0.25">
      <c r="A340" s="6" t="s">
        <v>2257</v>
      </c>
      <c r="B340" s="6" t="s">
        <v>2256</v>
      </c>
      <c r="C340" s="6" t="s">
        <v>638</v>
      </c>
      <c r="E340" s="6" t="s">
        <v>2255</v>
      </c>
      <c r="F340" s="6" t="s">
        <v>2254</v>
      </c>
      <c r="G340" s="6" t="s">
        <v>16</v>
      </c>
      <c r="H340" s="6" t="s">
        <v>15</v>
      </c>
      <c r="I340" s="6" t="s">
        <v>14</v>
      </c>
      <c r="J340" s="6" t="s">
        <v>215</v>
      </c>
      <c r="K340" s="7">
        <v>29.36359307</v>
      </c>
      <c r="L340" s="7">
        <v>-94.910713700000002</v>
      </c>
      <c r="M340" s="6" t="s">
        <v>672</v>
      </c>
      <c r="N340" s="6" t="s">
        <v>160</v>
      </c>
      <c r="O340" s="6" t="s">
        <v>23</v>
      </c>
    </row>
    <row r="341" spans="1:15" x14ac:dyDescent="0.25">
      <c r="A341" s="6" t="s">
        <v>11714</v>
      </c>
      <c r="B341" s="6" t="s">
        <v>11712</v>
      </c>
      <c r="C341" s="6" t="s">
        <v>31</v>
      </c>
      <c r="E341" s="6" t="s">
        <v>11711</v>
      </c>
      <c r="F341" s="6" t="s">
        <v>11710</v>
      </c>
      <c r="G341" s="6" t="s">
        <v>16</v>
      </c>
      <c r="H341" s="6" t="s">
        <v>15</v>
      </c>
      <c r="I341" s="6" t="s">
        <v>14</v>
      </c>
      <c r="J341" s="6" t="s">
        <v>290</v>
      </c>
      <c r="K341" s="7">
        <v>28.855853270000001</v>
      </c>
      <c r="L341" s="7">
        <v>-96.022075259999994</v>
      </c>
      <c r="M341" s="6" t="s">
        <v>2092</v>
      </c>
      <c r="N341" s="6" t="s">
        <v>10</v>
      </c>
      <c r="O341" s="6" t="s">
        <v>23</v>
      </c>
    </row>
    <row r="342" spans="1:15" x14ac:dyDescent="0.25">
      <c r="A342" s="6" t="s">
        <v>11713</v>
      </c>
      <c r="B342" s="6" t="s">
        <v>11712</v>
      </c>
      <c r="C342" s="6" t="s">
        <v>19</v>
      </c>
      <c r="E342" s="6" t="s">
        <v>11711</v>
      </c>
      <c r="F342" s="6" t="s">
        <v>11710</v>
      </c>
      <c r="G342" s="6" t="s">
        <v>16</v>
      </c>
      <c r="H342" s="6" t="s">
        <v>430</v>
      </c>
      <c r="I342" s="6" t="s">
        <v>14</v>
      </c>
      <c r="J342" s="6" t="s">
        <v>290</v>
      </c>
      <c r="K342" s="7">
        <v>28.85592226</v>
      </c>
      <c r="L342" s="7">
        <v>-96.022092639999997</v>
      </c>
      <c r="M342" s="6" t="s">
        <v>2092</v>
      </c>
      <c r="N342" s="6" t="s">
        <v>10</v>
      </c>
      <c r="O342" s="6" t="s">
        <v>23</v>
      </c>
    </row>
    <row r="343" spans="1:15" x14ac:dyDescent="0.25">
      <c r="A343" s="6" t="s">
        <v>8068</v>
      </c>
      <c r="B343" s="6" t="s">
        <v>3766</v>
      </c>
      <c r="C343" s="6" t="s">
        <v>31</v>
      </c>
      <c r="E343" s="6" t="s">
        <v>3765</v>
      </c>
      <c r="F343" s="6" t="s">
        <v>3764</v>
      </c>
      <c r="G343" s="6" t="s">
        <v>16</v>
      </c>
      <c r="H343" s="6" t="s">
        <v>15</v>
      </c>
      <c r="I343" s="6" t="s">
        <v>36</v>
      </c>
      <c r="J343" s="6" t="s">
        <v>13</v>
      </c>
      <c r="K343" s="7">
        <v>27.55970645</v>
      </c>
      <c r="L343" s="7">
        <v>-97.838171650000007</v>
      </c>
      <c r="M343" s="6" t="s">
        <v>184</v>
      </c>
      <c r="N343" s="6" t="s">
        <v>11</v>
      </c>
      <c r="O343" s="6" t="s">
        <v>10</v>
      </c>
    </row>
    <row r="344" spans="1:15" x14ac:dyDescent="0.25">
      <c r="A344" s="6" t="s">
        <v>3767</v>
      </c>
      <c r="B344" s="6" t="s">
        <v>3766</v>
      </c>
      <c r="C344" s="6" t="s">
        <v>19</v>
      </c>
      <c r="E344" s="6" t="s">
        <v>3765</v>
      </c>
      <c r="F344" s="6" t="s">
        <v>3764</v>
      </c>
      <c r="G344" s="6" t="s">
        <v>16</v>
      </c>
      <c r="H344" s="6" t="s">
        <v>430</v>
      </c>
      <c r="I344" s="6" t="s">
        <v>36</v>
      </c>
      <c r="J344" s="6" t="s">
        <v>13</v>
      </c>
      <c r="K344" s="7">
        <v>27.566397850000001</v>
      </c>
      <c r="L344" s="7">
        <v>-97.828078250000004</v>
      </c>
      <c r="M344" s="6" t="s">
        <v>184</v>
      </c>
      <c r="N344" s="6" t="s">
        <v>11</v>
      </c>
      <c r="O344" s="6" t="s">
        <v>10</v>
      </c>
    </row>
    <row r="345" spans="1:15" x14ac:dyDescent="0.25">
      <c r="A345" s="6" t="s">
        <v>10963</v>
      </c>
      <c r="B345" s="6" t="s">
        <v>10959</v>
      </c>
      <c r="C345" s="6" t="s">
        <v>31</v>
      </c>
      <c r="E345" s="6" t="s">
        <v>10958</v>
      </c>
      <c r="F345" s="6" t="s">
        <v>7078</v>
      </c>
      <c r="G345" s="6" t="s">
        <v>16</v>
      </c>
      <c r="H345" s="6" t="s">
        <v>15</v>
      </c>
      <c r="I345" s="6" t="s">
        <v>14</v>
      </c>
      <c r="J345" s="6" t="s">
        <v>35</v>
      </c>
      <c r="K345" s="7">
        <v>29.719952150000001</v>
      </c>
      <c r="L345" s="7">
        <v>-95.083664290000002</v>
      </c>
      <c r="M345" s="6" t="s">
        <v>701</v>
      </c>
      <c r="N345" s="6" t="s">
        <v>24</v>
      </c>
      <c r="O345" s="6" t="s">
        <v>23</v>
      </c>
    </row>
    <row r="346" spans="1:15" x14ac:dyDescent="0.25">
      <c r="A346" s="6" t="s">
        <v>10962</v>
      </c>
      <c r="B346" s="6" t="s">
        <v>10959</v>
      </c>
      <c r="C346" s="6" t="s">
        <v>19</v>
      </c>
      <c r="E346" s="6" t="s">
        <v>10958</v>
      </c>
      <c r="F346" s="6" t="s">
        <v>7078</v>
      </c>
      <c r="G346" s="6" t="s">
        <v>16</v>
      </c>
      <c r="H346" s="6" t="s">
        <v>15</v>
      </c>
      <c r="I346" s="6" t="s">
        <v>14</v>
      </c>
      <c r="J346" s="6" t="s">
        <v>35</v>
      </c>
      <c r="K346" s="7">
        <v>29.720284719999999</v>
      </c>
      <c r="L346" s="7">
        <v>-95.083491080000002</v>
      </c>
      <c r="M346" s="6" t="s">
        <v>701</v>
      </c>
      <c r="N346" s="6" t="s">
        <v>24</v>
      </c>
      <c r="O346" s="6" t="s">
        <v>23</v>
      </c>
    </row>
    <row r="347" spans="1:15" x14ac:dyDescent="0.25">
      <c r="A347" s="6" t="s">
        <v>10961</v>
      </c>
      <c r="B347" s="6" t="s">
        <v>10959</v>
      </c>
      <c r="C347" s="6" t="s">
        <v>597</v>
      </c>
      <c r="E347" s="6" t="s">
        <v>10958</v>
      </c>
      <c r="F347" s="6" t="s">
        <v>7078</v>
      </c>
      <c r="G347" s="6" t="s">
        <v>16</v>
      </c>
      <c r="H347" s="6" t="s">
        <v>15</v>
      </c>
      <c r="I347" s="6" t="s">
        <v>14</v>
      </c>
      <c r="J347" s="6" t="s">
        <v>35</v>
      </c>
      <c r="K347" s="7">
        <v>29.725823940000001</v>
      </c>
      <c r="L347" s="7">
        <v>-95.081248259999995</v>
      </c>
      <c r="M347" s="6" t="s">
        <v>701</v>
      </c>
      <c r="N347" s="6" t="s">
        <v>24</v>
      </c>
      <c r="O347" s="6" t="s">
        <v>23</v>
      </c>
    </row>
    <row r="348" spans="1:15" x14ac:dyDescent="0.25">
      <c r="A348" s="6" t="s">
        <v>10960</v>
      </c>
      <c r="B348" s="6" t="s">
        <v>10959</v>
      </c>
      <c r="C348" s="6" t="s">
        <v>557</v>
      </c>
      <c r="E348" s="6" t="s">
        <v>10958</v>
      </c>
      <c r="F348" s="6" t="s">
        <v>7078</v>
      </c>
      <c r="G348" s="6" t="s">
        <v>16</v>
      </c>
      <c r="H348" s="6" t="s">
        <v>430</v>
      </c>
      <c r="I348" s="6" t="s">
        <v>14</v>
      </c>
      <c r="J348" s="6" t="s">
        <v>35</v>
      </c>
      <c r="K348" s="7">
        <v>29.719484000000001</v>
      </c>
      <c r="L348" s="7">
        <v>-95.083674389999999</v>
      </c>
      <c r="M348" s="6" t="s">
        <v>701</v>
      </c>
      <c r="N348" s="6" t="s">
        <v>24</v>
      </c>
      <c r="O348" s="6" t="s">
        <v>23</v>
      </c>
    </row>
    <row r="349" spans="1:15" x14ac:dyDescent="0.25">
      <c r="A349" s="6" t="s">
        <v>11479</v>
      </c>
      <c r="B349" s="6" t="s">
        <v>1243</v>
      </c>
      <c r="C349" s="6" t="s">
        <v>31</v>
      </c>
      <c r="E349" s="6" t="s">
        <v>1242</v>
      </c>
      <c r="F349" s="6" t="s">
        <v>1241</v>
      </c>
      <c r="G349" s="6" t="s">
        <v>16</v>
      </c>
      <c r="H349" s="6" t="s">
        <v>15</v>
      </c>
      <c r="I349" s="6" t="s">
        <v>14</v>
      </c>
      <c r="J349" s="6" t="s">
        <v>1240</v>
      </c>
      <c r="K349" s="7">
        <v>28.660311360000001</v>
      </c>
      <c r="L349" s="7">
        <v>-96.964499419999996</v>
      </c>
      <c r="M349" s="6" t="s">
        <v>1739</v>
      </c>
      <c r="N349" s="6" t="s">
        <v>559</v>
      </c>
      <c r="O349" s="6" t="s">
        <v>10</v>
      </c>
    </row>
    <row r="350" spans="1:15" x14ac:dyDescent="0.25">
      <c r="A350" s="6" t="s">
        <v>11478</v>
      </c>
      <c r="B350" s="6" t="s">
        <v>1243</v>
      </c>
      <c r="C350" s="6" t="s">
        <v>19</v>
      </c>
      <c r="E350" s="6" t="s">
        <v>1242</v>
      </c>
      <c r="F350" s="6" t="s">
        <v>1241</v>
      </c>
      <c r="G350" s="6" t="s">
        <v>16</v>
      </c>
      <c r="H350" s="6" t="s">
        <v>430</v>
      </c>
      <c r="I350" s="6" t="s">
        <v>14</v>
      </c>
      <c r="J350" s="6" t="s">
        <v>1240</v>
      </c>
      <c r="K350" s="7">
        <v>28.661688550000001</v>
      </c>
      <c r="L350" s="7">
        <v>-96.962425839999995</v>
      </c>
      <c r="M350" s="6" t="s">
        <v>83</v>
      </c>
      <c r="N350" s="6" t="s">
        <v>82</v>
      </c>
      <c r="O350" s="6" t="s">
        <v>10</v>
      </c>
    </row>
    <row r="351" spans="1:15" x14ac:dyDescent="0.25">
      <c r="A351" s="6" t="s">
        <v>11477</v>
      </c>
      <c r="B351" s="6" t="s">
        <v>1243</v>
      </c>
      <c r="C351" s="6" t="s">
        <v>436</v>
      </c>
      <c r="E351" s="6" t="s">
        <v>1242</v>
      </c>
      <c r="F351" s="6" t="s">
        <v>1241</v>
      </c>
      <c r="G351" s="6" t="s">
        <v>16</v>
      </c>
      <c r="H351" s="6" t="s">
        <v>430</v>
      </c>
      <c r="I351" s="6" t="s">
        <v>14</v>
      </c>
      <c r="J351" s="6" t="s">
        <v>1240</v>
      </c>
      <c r="K351" s="7">
        <v>28.66237439</v>
      </c>
      <c r="L351" s="7">
        <v>-96.956148380000002</v>
      </c>
      <c r="M351" s="6" t="s">
        <v>83</v>
      </c>
      <c r="N351" s="6" t="s">
        <v>82</v>
      </c>
      <c r="O351" s="6" t="s">
        <v>10</v>
      </c>
    </row>
    <row r="352" spans="1:15" x14ac:dyDescent="0.25">
      <c r="A352" s="6" t="s">
        <v>11476</v>
      </c>
      <c r="B352" s="6" t="s">
        <v>1243</v>
      </c>
      <c r="C352" s="6" t="s">
        <v>557</v>
      </c>
      <c r="E352" s="6" t="s">
        <v>1242</v>
      </c>
      <c r="F352" s="6" t="s">
        <v>1241</v>
      </c>
      <c r="G352" s="6" t="s">
        <v>16</v>
      </c>
      <c r="H352" s="6" t="s">
        <v>430</v>
      </c>
      <c r="I352" s="6" t="s">
        <v>14</v>
      </c>
      <c r="J352" s="6" t="s">
        <v>1240</v>
      </c>
      <c r="K352" s="7">
        <v>28.66376361</v>
      </c>
      <c r="L352" s="7">
        <v>-96.962864999999994</v>
      </c>
      <c r="M352" s="6" t="s">
        <v>83</v>
      </c>
      <c r="N352" s="6" t="s">
        <v>82</v>
      </c>
      <c r="O352" s="6" t="s">
        <v>10</v>
      </c>
    </row>
    <row r="353" spans="1:15" x14ac:dyDescent="0.25">
      <c r="A353" s="6" t="s">
        <v>1244</v>
      </c>
      <c r="B353" s="6" t="s">
        <v>1243</v>
      </c>
      <c r="C353" s="6" t="s">
        <v>433</v>
      </c>
      <c r="E353" s="6" t="s">
        <v>1242</v>
      </c>
      <c r="F353" s="6" t="s">
        <v>1241</v>
      </c>
      <c r="G353" s="6" t="s">
        <v>16</v>
      </c>
      <c r="H353" s="6" t="s">
        <v>430</v>
      </c>
      <c r="I353" s="6" t="s">
        <v>14</v>
      </c>
      <c r="J353" s="6" t="s">
        <v>1240</v>
      </c>
      <c r="K353" s="7">
        <v>28.66429527</v>
      </c>
      <c r="L353" s="7">
        <v>-96.963456609999994</v>
      </c>
      <c r="M353" s="6" t="s">
        <v>83</v>
      </c>
      <c r="N353" s="6" t="s">
        <v>82</v>
      </c>
      <c r="O353" s="6" t="s">
        <v>10</v>
      </c>
    </row>
    <row r="354" spans="1:15" x14ac:dyDescent="0.25">
      <c r="A354" s="6" t="s">
        <v>12451</v>
      </c>
      <c r="B354" s="6" t="s">
        <v>8516</v>
      </c>
      <c r="C354" s="6" t="s">
        <v>31</v>
      </c>
      <c r="E354" s="6" t="s">
        <v>8514</v>
      </c>
      <c r="F354" s="6" t="s">
        <v>8513</v>
      </c>
      <c r="G354" s="6" t="s">
        <v>16</v>
      </c>
      <c r="H354" s="6" t="s">
        <v>15</v>
      </c>
      <c r="I354" s="6" t="s">
        <v>60</v>
      </c>
      <c r="J354" s="6" t="s">
        <v>35</v>
      </c>
      <c r="K354" s="7">
        <v>29.704104000000001</v>
      </c>
      <c r="L354" s="7">
        <v>-95.251773</v>
      </c>
      <c r="M354" s="6" t="s">
        <v>866</v>
      </c>
      <c r="N354" s="6" t="s">
        <v>24</v>
      </c>
      <c r="O354" s="6" t="s">
        <v>23</v>
      </c>
    </row>
    <row r="355" spans="1:15" x14ac:dyDescent="0.25">
      <c r="A355" s="6" t="s">
        <v>12450</v>
      </c>
      <c r="B355" s="6" t="s">
        <v>8516</v>
      </c>
      <c r="C355" s="6" t="s">
        <v>19</v>
      </c>
      <c r="E355" s="6" t="s">
        <v>8514</v>
      </c>
      <c r="F355" s="6" t="s">
        <v>8513</v>
      </c>
      <c r="G355" s="6" t="s">
        <v>16</v>
      </c>
      <c r="H355" s="6" t="s">
        <v>15</v>
      </c>
      <c r="I355" s="6" t="s">
        <v>60</v>
      </c>
      <c r="J355" s="6" t="s">
        <v>35</v>
      </c>
      <c r="K355" s="7">
        <v>29.703575000000001</v>
      </c>
      <c r="L355" s="7">
        <v>-95.252125000000007</v>
      </c>
      <c r="M355" s="6" t="s">
        <v>866</v>
      </c>
      <c r="N355" s="6" t="s">
        <v>24</v>
      </c>
      <c r="O355" s="6" t="s">
        <v>23</v>
      </c>
    </row>
    <row r="356" spans="1:15" x14ac:dyDescent="0.25">
      <c r="A356" s="6" t="s">
        <v>8517</v>
      </c>
      <c r="B356" s="6" t="s">
        <v>8516</v>
      </c>
      <c r="C356" s="6" t="s">
        <v>8515</v>
      </c>
      <c r="E356" s="6" t="s">
        <v>8514</v>
      </c>
      <c r="F356" s="6" t="s">
        <v>8513</v>
      </c>
      <c r="G356" s="6" t="s">
        <v>16</v>
      </c>
      <c r="H356" s="6" t="s">
        <v>15</v>
      </c>
      <c r="I356" s="6" t="s">
        <v>60</v>
      </c>
      <c r="J356" s="6" t="s">
        <v>35</v>
      </c>
      <c r="K356" s="7">
        <v>29.703575000000001</v>
      </c>
      <c r="L356" s="7">
        <v>-95.252125000000007</v>
      </c>
      <c r="M356" s="6" t="s">
        <v>866</v>
      </c>
      <c r="N356" s="6" t="s">
        <v>24</v>
      </c>
      <c r="O356" s="6" t="s">
        <v>23</v>
      </c>
    </row>
    <row r="357" spans="1:15" x14ac:dyDescent="0.25">
      <c r="A357" s="6" t="s">
        <v>1823</v>
      </c>
      <c r="B357" s="6" t="s">
        <v>555</v>
      </c>
      <c r="C357" s="6" t="s">
        <v>31</v>
      </c>
      <c r="E357" s="6" t="s">
        <v>554</v>
      </c>
      <c r="F357" s="6" t="s">
        <v>553</v>
      </c>
      <c r="G357" s="6" t="s">
        <v>16</v>
      </c>
      <c r="H357" s="6" t="s">
        <v>15</v>
      </c>
      <c r="I357" s="6" t="s">
        <v>14</v>
      </c>
      <c r="J357" s="6" t="s">
        <v>318</v>
      </c>
      <c r="K357" s="7">
        <v>30.91586036</v>
      </c>
      <c r="L357" s="7">
        <v>-94.738431660000003</v>
      </c>
      <c r="M357" s="6" t="s">
        <v>53</v>
      </c>
      <c r="N357" s="6" t="s">
        <v>52</v>
      </c>
      <c r="O357" s="6" t="s">
        <v>24</v>
      </c>
    </row>
    <row r="358" spans="1:15" x14ac:dyDescent="0.25">
      <c r="A358" s="6" t="s">
        <v>1822</v>
      </c>
      <c r="B358" s="6" t="s">
        <v>555</v>
      </c>
      <c r="C358" s="6" t="s">
        <v>19</v>
      </c>
      <c r="E358" s="6" t="s">
        <v>554</v>
      </c>
      <c r="F358" s="6" t="s">
        <v>553</v>
      </c>
      <c r="G358" s="6" t="s">
        <v>16</v>
      </c>
      <c r="H358" s="6" t="s">
        <v>15</v>
      </c>
      <c r="I358" s="6" t="s">
        <v>14</v>
      </c>
      <c r="J358" s="6" t="s">
        <v>318</v>
      </c>
      <c r="K358" s="7">
        <v>30.913960840000001</v>
      </c>
      <c r="L358" s="7">
        <v>-94.729557830000005</v>
      </c>
      <c r="M358" s="6" t="s">
        <v>53</v>
      </c>
      <c r="N358" s="6" t="s">
        <v>52</v>
      </c>
      <c r="O358" s="6" t="s">
        <v>24</v>
      </c>
    </row>
    <row r="359" spans="1:15" x14ac:dyDescent="0.25">
      <c r="A359" s="6" t="s">
        <v>1821</v>
      </c>
      <c r="B359" s="6" t="s">
        <v>555</v>
      </c>
      <c r="C359" s="6" t="s">
        <v>597</v>
      </c>
      <c r="E359" s="6" t="s">
        <v>554</v>
      </c>
      <c r="F359" s="6" t="s">
        <v>553</v>
      </c>
      <c r="G359" s="6" t="s">
        <v>16</v>
      </c>
      <c r="H359" s="6" t="s">
        <v>15</v>
      </c>
      <c r="I359" s="6" t="s">
        <v>14</v>
      </c>
      <c r="J359" s="6" t="s">
        <v>318</v>
      </c>
      <c r="K359" s="7">
        <v>30.91590188</v>
      </c>
      <c r="L359" s="7">
        <v>-94.737019320000002</v>
      </c>
      <c r="M359" s="6" t="s">
        <v>53</v>
      </c>
      <c r="N359" s="6" t="s">
        <v>52</v>
      </c>
      <c r="O359" s="6" t="s">
        <v>24</v>
      </c>
    </row>
    <row r="360" spans="1:15" x14ac:dyDescent="0.25">
      <c r="A360" s="6" t="s">
        <v>558</v>
      </c>
      <c r="B360" s="6" t="s">
        <v>555</v>
      </c>
      <c r="C360" s="6" t="s">
        <v>557</v>
      </c>
      <c r="E360" s="6" t="s">
        <v>554</v>
      </c>
      <c r="F360" s="6" t="s">
        <v>553</v>
      </c>
      <c r="G360" s="6" t="s">
        <v>16</v>
      </c>
      <c r="H360" s="6" t="s">
        <v>15</v>
      </c>
      <c r="I360" s="6" t="s">
        <v>14</v>
      </c>
      <c r="J360" s="6" t="s">
        <v>318</v>
      </c>
      <c r="K360" s="7">
        <v>30.915700019999999</v>
      </c>
      <c r="L360" s="7">
        <v>-94.736244600000006</v>
      </c>
      <c r="M360" s="6" t="s">
        <v>53</v>
      </c>
      <c r="N360" s="6" t="s">
        <v>52</v>
      </c>
      <c r="O360" s="6" t="s">
        <v>24</v>
      </c>
    </row>
    <row r="361" spans="1:15" x14ac:dyDescent="0.25">
      <c r="A361" s="6" t="s">
        <v>556</v>
      </c>
      <c r="B361" s="6" t="s">
        <v>555</v>
      </c>
      <c r="C361" s="6" t="s">
        <v>433</v>
      </c>
      <c r="E361" s="6" t="s">
        <v>554</v>
      </c>
      <c r="F361" s="6" t="s">
        <v>553</v>
      </c>
      <c r="G361" s="6" t="s">
        <v>16</v>
      </c>
      <c r="H361" s="6" t="s">
        <v>15</v>
      </c>
      <c r="I361" s="6" t="s">
        <v>14</v>
      </c>
      <c r="J361" s="6" t="s">
        <v>318</v>
      </c>
      <c r="K361" s="7">
        <v>30.91595487</v>
      </c>
      <c r="L361" s="7">
        <v>-94.738383110000001</v>
      </c>
      <c r="M361" s="6" t="s">
        <v>53</v>
      </c>
      <c r="N361" s="6" t="s">
        <v>52</v>
      </c>
      <c r="O361" s="6" t="s">
        <v>24</v>
      </c>
    </row>
    <row r="362" spans="1:15" x14ac:dyDescent="0.25">
      <c r="A362" s="6" t="s">
        <v>3590</v>
      </c>
      <c r="B362" s="6" t="s">
        <v>555</v>
      </c>
      <c r="C362" s="6" t="s">
        <v>1098</v>
      </c>
      <c r="E362" s="6" t="s">
        <v>554</v>
      </c>
      <c r="F362" s="6" t="s">
        <v>553</v>
      </c>
      <c r="G362" s="6" t="s">
        <v>16</v>
      </c>
      <c r="H362" s="6" t="s">
        <v>15</v>
      </c>
      <c r="I362" s="6" t="s">
        <v>14</v>
      </c>
      <c r="J362" s="6" t="s">
        <v>318</v>
      </c>
      <c r="K362" s="7">
        <v>30.91488116</v>
      </c>
      <c r="L362" s="7">
        <v>-94.731434519999993</v>
      </c>
      <c r="M362" s="6" t="s">
        <v>53</v>
      </c>
      <c r="N362" s="6" t="s">
        <v>52</v>
      </c>
      <c r="O362" s="6" t="s">
        <v>24</v>
      </c>
    </row>
    <row r="363" spans="1:15" x14ac:dyDescent="0.25">
      <c r="A363" s="6" t="s">
        <v>3589</v>
      </c>
      <c r="B363" s="6" t="s">
        <v>555</v>
      </c>
      <c r="C363" s="6" t="s">
        <v>1096</v>
      </c>
      <c r="E363" s="6" t="s">
        <v>554</v>
      </c>
      <c r="F363" s="6" t="s">
        <v>553</v>
      </c>
      <c r="G363" s="6" t="s">
        <v>16</v>
      </c>
      <c r="H363" s="6" t="s">
        <v>15</v>
      </c>
      <c r="I363" s="6" t="s">
        <v>14</v>
      </c>
      <c r="J363" s="6" t="s">
        <v>318</v>
      </c>
      <c r="K363" s="7">
        <v>30.914032039999999</v>
      </c>
      <c r="L363" s="7">
        <v>-94.729939150000007</v>
      </c>
      <c r="M363" s="6" t="s">
        <v>53</v>
      </c>
      <c r="N363" s="6" t="s">
        <v>52</v>
      </c>
      <c r="O363" s="6" t="s">
        <v>24</v>
      </c>
    </row>
    <row r="364" spans="1:15" x14ac:dyDescent="0.25">
      <c r="A364" s="6" t="s">
        <v>3588</v>
      </c>
      <c r="B364" s="6" t="s">
        <v>555</v>
      </c>
      <c r="C364" s="6" t="s">
        <v>638</v>
      </c>
      <c r="E364" s="6" t="s">
        <v>554</v>
      </c>
      <c r="F364" s="6" t="s">
        <v>553</v>
      </c>
      <c r="G364" s="6" t="s">
        <v>16</v>
      </c>
      <c r="H364" s="6" t="s">
        <v>15</v>
      </c>
      <c r="I364" s="6" t="s">
        <v>14</v>
      </c>
      <c r="J364" s="6" t="s">
        <v>318</v>
      </c>
      <c r="K364" s="7">
        <v>30.91614405</v>
      </c>
      <c r="L364" s="7">
        <v>-94.740080860000006</v>
      </c>
      <c r="M364" s="6" t="s">
        <v>53</v>
      </c>
      <c r="N364" s="6" t="s">
        <v>52</v>
      </c>
      <c r="O364" s="6" t="s">
        <v>24</v>
      </c>
    </row>
    <row r="365" spans="1:15" x14ac:dyDescent="0.25">
      <c r="A365" s="6" t="s">
        <v>3587</v>
      </c>
      <c r="B365" s="6" t="s">
        <v>555</v>
      </c>
      <c r="C365" s="6" t="s">
        <v>635</v>
      </c>
      <c r="E365" s="6" t="s">
        <v>554</v>
      </c>
      <c r="F365" s="6" t="s">
        <v>553</v>
      </c>
      <c r="G365" s="6" t="s">
        <v>16</v>
      </c>
      <c r="H365" s="6" t="s">
        <v>15</v>
      </c>
      <c r="I365" s="6" t="s">
        <v>14</v>
      </c>
      <c r="J365" s="6" t="s">
        <v>318</v>
      </c>
      <c r="K365" s="7">
        <v>30.91613503</v>
      </c>
      <c r="L365" s="7">
        <v>-94.739900509999998</v>
      </c>
      <c r="M365" s="6" t="s">
        <v>53</v>
      </c>
      <c r="N365" s="6" t="s">
        <v>52</v>
      </c>
      <c r="O365" s="6" t="s">
        <v>24</v>
      </c>
    </row>
    <row r="366" spans="1:15" x14ac:dyDescent="0.25">
      <c r="A366" s="6" t="s">
        <v>11929</v>
      </c>
      <c r="B366" s="6" t="s">
        <v>11581</v>
      </c>
      <c r="C366" s="6" t="s">
        <v>31</v>
      </c>
      <c r="E366" s="6" t="s">
        <v>11580</v>
      </c>
      <c r="F366" s="6" t="s">
        <v>11579</v>
      </c>
      <c r="G366" s="6" t="s">
        <v>16</v>
      </c>
      <c r="H366" s="6" t="s">
        <v>15</v>
      </c>
      <c r="I366" s="6" t="s">
        <v>27</v>
      </c>
      <c r="J366" s="6" t="s">
        <v>35</v>
      </c>
      <c r="K366" s="7">
        <v>29.74100481</v>
      </c>
      <c r="L366" s="7">
        <v>-95.106937830000007</v>
      </c>
      <c r="M366" s="6" t="s">
        <v>34</v>
      </c>
      <c r="N366" s="6" t="s">
        <v>24</v>
      </c>
      <c r="O366" s="6" t="s">
        <v>23</v>
      </c>
    </row>
    <row r="367" spans="1:15" x14ac:dyDescent="0.25">
      <c r="A367" s="6" t="s">
        <v>11587</v>
      </c>
      <c r="B367" s="6" t="s">
        <v>11581</v>
      </c>
      <c r="C367" s="6" t="s">
        <v>19</v>
      </c>
      <c r="E367" s="6" t="s">
        <v>11580</v>
      </c>
      <c r="F367" s="6" t="s">
        <v>11579</v>
      </c>
      <c r="G367" s="6" t="s">
        <v>16</v>
      </c>
      <c r="H367" s="6" t="s">
        <v>430</v>
      </c>
      <c r="I367" s="6" t="s">
        <v>27</v>
      </c>
      <c r="J367" s="6" t="s">
        <v>35</v>
      </c>
      <c r="K367" s="7">
        <v>29.730129999999999</v>
      </c>
      <c r="L367" s="7">
        <v>-95.097521999999998</v>
      </c>
      <c r="M367" s="6" t="s">
        <v>34</v>
      </c>
      <c r="N367" s="6" t="s">
        <v>24</v>
      </c>
      <c r="O367" s="6" t="s">
        <v>23</v>
      </c>
    </row>
    <row r="368" spans="1:15" x14ac:dyDescent="0.25">
      <c r="A368" s="6" t="s">
        <v>11586</v>
      </c>
      <c r="B368" s="6" t="s">
        <v>11581</v>
      </c>
      <c r="C368" s="6" t="s">
        <v>436</v>
      </c>
      <c r="E368" s="6" t="s">
        <v>11580</v>
      </c>
      <c r="F368" s="6" t="s">
        <v>11579</v>
      </c>
      <c r="G368" s="6" t="s">
        <v>16</v>
      </c>
      <c r="H368" s="6" t="s">
        <v>430</v>
      </c>
      <c r="I368" s="6" t="s">
        <v>27</v>
      </c>
      <c r="J368" s="6" t="s">
        <v>35</v>
      </c>
      <c r="K368" s="7">
        <v>29.720823029999998</v>
      </c>
      <c r="L368" s="7">
        <v>-95.107911770000001</v>
      </c>
      <c r="M368" s="6" t="s">
        <v>34</v>
      </c>
      <c r="N368" s="6" t="s">
        <v>24</v>
      </c>
      <c r="O368" s="6" t="s">
        <v>23</v>
      </c>
    </row>
    <row r="369" spans="1:15" x14ac:dyDescent="0.25">
      <c r="A369" s="6" t="s">
        <v>11585</v>
      </c>
      <c r="B369" s="6" t="s">
        <v>11581</v>
      </c>
      <c r="C369" s="6" t="s">
        <v>597</v>
      </c>
      <c r="E369" s="6" t="s">
        <v>11580</v>
      </c>
      <c r="F369" s="6" t="s">
        <v>11579</v>
      </c>
      <c r="G369" s="6" t="s">
        <v>16</v>
      </c>
      <c r="H369" s="6" t="s">
        <v>430</v>
      </c>
      <c r="I369" s="6" t="s">
        <v>27</v>
      </c>
      <c r="J369" s="6" t="s">
        <v>35</v>
      </c>
      <c r="K369" s="7">
        <v>29.73956441</v>
      </c>
      <c r="L369" s="7">
        <v>-95.10098558</v>
      </c>
      <c r="M369" s="6" t="s">
        <v>34</v>
      </c>
      <c r="N369" s="6" t="s">
        <v>24</v>
      </c>
      <c r="O369" s="6" t="s">
        <v>23</v>
      </c>
    </row>
    <row r="370" spans="1:15" x14ac:dyDescent="0.25">
      <c r="A370" s="6" t="s">
        <v>11584</v>
      </c>
      <c r="B370" s="6" t="s">
        <v>11581</v>
      </c>
      <c r="C370" s="6" t="s">
        <v>557</v>
      </c>
      <c r="E370" s="6" t="s">
        <v>11580</v>
      </c>
      <c r="F370" s="6" t="s">
        <v>11579</v>
      </c>
      <c r="G370" s="6" t="s">
        <v>16</v>
      </c>
      <c r="H370" s="6" t="s">
        <v>430</v>
      </c>
      <c r="I370" s="6" t="s">
        <v>27</v>
      </c>
      <c r="J370" s="6" t="s">
        <v>35</v>
      </c>
      <c r="K370" s="7">
        <v>29.742014709999999</v>
      </c>
      <c r="L370" s="7">
        <v>-95.100211470000005</v>
      </c>
      <c r="M370" s="6" t="s">
        <v>34</v>
      </c>
      <c r="N370" s="6" t="s">
        <v>24</v>
      </c>
      <c r="O370" s="6" t="s">
        <v>23</v>
      </c>
    </row>
    <row r="371" spans="1:15" x14ac:dyDescent="0.25">
      <c r="A371" s="6" t="s">
        <v>11583</v>
      </c>
      <c r="B371" s="6" t="s">
        <v>11581</v>
      </c>
      <c r="C371" s="6" t="s">
        <v>433</v>
      </c>
      <c r="E371" s="6" t="s">
        <v>11580</v>
      </c>
      <c r="F371" s="6" t="s">
        <v>11579</v>
      </c>
      <c r="G371" s="6" t="s">
        <v>16</v>
      </c>
      <c r="H371" s="6" t="s">
        <v>430</v>
      </c>
      <c r="I371" s="6" t="s">
        <v>27</v>
      </c>
      <c r="J371" s="6" t="s">
        <v>35</v>
      </c>
      <c r="K371" s="7">
        <v>29.741414590000002</v>
      </c>
      <c r="L371" s="7">
        <v>-95.103602870000003</v>
      </c>
      <c r="M371" s="6" t="s">
        <v>34</v>
      </c>
      <c r="N371" s="6" t="s">
        <v>24</v>
      </c>
      <c r="O371" s="6" t="s">
        <v>23</v>
      </c>
    </row>
    <row r="372" spans="1:15" x14ac:dyDescent="0.25">
      <c r="A372" s="6" t="s">
        <v>11698</v>
      </c>
      <c r="B372" s="6" t="s">
        <v>11581</v>
      </c>
      <c r="C372" s="6" t="s">
        <v>638</v>
      </c>
      <c r="E372" s="6" t="s">
        <v>11580</v>
      </c>
      <c r="F372" s="6" t="s">
        <v>11579</v>
      </c>
      <c r="G372" s="6" t="s">
        <v>16</v>
      </c>
      <c r="H372" s="6" t="s">
        <v>15</v>
      </c>
      <c r="I372" s="6" t="s">
        <v>27</v>
      </c>
      <c r="J372" s="6" t="s">
        <v>35</v>
      </c>
      <c r="K372" s="7">
        <v>29.739737559999998</v>
      </c>
      <c r="L372" s="7">
        <v>-95.105760570000001</v>
      </c>
      <c r="M372" s="6" t="s">
        <v>34</v>
      </c>
      <c r="N372" s="6" t="s">
        <v>24</v>
      </c>
      <c r="O372" s="6" t="s">
        <v>23</v>
      </c>
    </row>
    <row r="373" spans="1:15" x14ac:dyDescent="0.25">
      <c r="A373" s="6" t="s">
        <v>11582</v>
      </c>
      <c r="B373" s="6" t="s">
        <v>11581</v>
      </c>
      <c r="C373" s="6" t="s">
        <v>1092</v>
      </c>
      <c r="E373" s="6" t="s">
        <v>11580</v>
      </c>
      <c r="F373" s="6" t="s">
        <v>11579</v>
      </c>
      <c r="G373" s="6" t="s">
        <v>16</v>
      </c>
      <c r="H373" s="6" t="s">
        <v>15</v>
      </c>
      <c r="I373" s="6" t="s">
        <v>27</v>
      </c>
      <c r="J373" s="6" t="s">
        <v>35</v>
      </c>
      <c r="K373" s="7">
        <v>29.743058489999999</v>
      </c>
      <c r="L373" s="7">
        <v>-95.102509609999998</v>
      </c>
      <c r="M373" s="6" t="s">
        <v>34</v>
      </c>
      <c r="N373" s="6" t="s">
        <v>24</v>
      </c>
      <c r="O373" s="6" t="s">
        <v>23</v>
      </c>
    </row>
    <row r="374" spans="1:15" x14ac:dyDescent="0.25">
      <c r="A374" s="6" t="s">
        <v>10496</v>
      </c>
      <c r="B374" s="6" t="s">
        <v>10495</v>
      </c>
      <c r="C374" s="6" t="s">
        <v>31</v>
      </c>
      <c r="E374" s="6" t="s">
        <v>10494</v>
      </c>
      <c r="F374" s="6" t="s">
        <v>10493</v>
      </c>
      <c r="G374" s="6" t="s">
        <v>16</v>
      </c>
      <c r="H374" s="6" t="s">
        <v>15</v>
      </c>
      <c r="I374" s="6" t="s">
        <v>14</v>
      </c>
      <c r="J374" s="6" t="s">
        <v>35</v>
      </c>
      <c r="K374" s="7">
        <v>29.815781000000001</v>
      </c>
      <c r="L374" s="7">
        <v>-95.051873999999998</v>
      </c>
      <c r="M374" s="6" t="s">
        <v>2245</v>
      </c>
      <c r="N374" s="6" t="s">
        <v>120</v>
      </c>
      <c r="O374" s="6" t="s">
        <v>23</v>
      </c>
    </row>
    <row r="375" spans="1:15" x14ac:dyDescent="0.25">
      <c r="A375" s="6" t="s">
        <v>11572</v>
      </c>
      <c r="B375" s="6" t="s">
        <v>1490</v>
      </c>
      <c r="C375" s="6" t="s">
        <v>31</v>
      </c>
      <c r="E375" s="6" t="s">
        <v>1489</v>
      </c>
      <c r="F375" s="6" t="s">
        <v>1488</v>
      </c>
      <c r="G375" s="6" t="s">
        <v>16</v>
      </c>
      <c r="H375" s="6" t="s">
        <v>15</v>
      </c>
      <c r="I375" s="6" t="s">
        <v>14</v>
      </c>
      <c r="J375" s="6" t="s">
        <v>13</v>
      </c>
      <c r="K375" s="7">
        <v>27.81479702</v>
      </c>
      <c r="L375" s="7">
        <v>-97.421656400000003</v>
      </c>
      <c r="M375" s="6" t="s">
        <v>12</v>
      </c>
      <c r="N375" s="6" t="s">
        <v>11</v>
      </c>
      <c r="O375" s="6" t="s">
        <v>10</v>
      </c>
    </row>
    <row r="376" spans="1:15" x14ac:dyDescent="0.25">
      <c r="A376" s="6" t="s">
        <v>11571</v>
      </c>
      <c r="B376" s="6" t="s">
        <v>1490</v>
      </c>
      <c r="C376" s="6" t="s">
        <v>19</v>
      </c>
      <c r="E376" s="6" t="s">
        <v>1489</v>
      </c>
      <c r="F376" s="6" t="s">
        <v>1488</v>
      </c>
      <c r="G376" s="6" t="s">
        <v>16</v>
      </c>
      <c r="H376" s="6" t="s">
        <v>15</v>
      </c>
      <c r="I376" s="6" t="s">
        <v>14</v>
      </c>
      <c r="J376" s="6" t="s">
        <v>13</v>
      </c>
      <c r="K376" s="7">
        <v>27.823852259999999</v>
      </c>
      <c r="L376" s="7">
        <v>-97.490188759999995</v>
      </c>
      <c r="M376" s="6" t="s">
        <v>12</v>
      </c>
      <c r="N376" s="6" t="s">
        <v>11</v>
      </c>
      <c r="O376" s="6" t="s">
        <v>10</v>
      </c>
    </row>
    <row r="377" spans="1:15" x14ac:dyDescent="0.25">
      <c r="A377" s="6" t="s">
        <v>9731</v>
      </c>
      <c r="B377" s="6" t="s">
        <v>1490</v>
      </c>
      <c r="C377" s="6" t="s">
        <v>436</v>
      </c>
      <c r="E377" s="6" t="s">
        <v>1489</v>
      </c>
      <c r="F377" s="6" t="s">
        <v>1488</v>
      </c>
      <c r="G377" s="6" t="s">
        <v>16</v>
      </c>
      <c r="H377" s="6" t="s">
        <v>15</v>
      </c>
      <c r="I377" s="6" t="s">
        <v>14</v>
      </c>
      <c r="J377" s="6" t="s">
        <v>13</v>
      </c>
      <c r="K377" s="7">
        <v>27.813690869999999</v>
      </c>
      <c r="L377" s="7">
        <v>-97.425900229999996</v>
      </c>
      <c r="M377" s="6" t="s">
        <v>12</v>
      </c>
      <c r="N377" s="6" t="s">
        <v>11</v>
      </c>
      <c r="O377" s="6" t="s">
        <v>10</v>
      </c>
    </row>
    <row r="378" spans="1:15" x14ac:dyDescent="0.25">
      <c r="A378" s="6" t="s">
        <v>9730</v>
      </c>
      <c r="B378" s="6" t="s">
        <v>1490</v>
      </c>
      <c r="C378" s="6" t="s">
        <v>597</v>
      </c>
      <c r="E378" s="6" t="s">
        <v>1489</v>
      </c>
      <c r="F378" s="6" t="s">
        <v>1488</v>
      </c>
      <c r="G378" s="6" t="s">
        <v>16</v>
      </c>
      <c r="H378" s="6" t="s">
        <v>430</v>
      </c>
      <c r="I378" s="6" t="s">
        <v>14</v>
      </c>
      <c r="J378" s="6" t="s">
        <v>13</v>
      </c>
      <c r="K378" s="7">
        <v>27.813428250000001</v>
      </c>
      <c r="L378" s="7">
        <v>-97.425964410000006</v>
      </c>
      <c r="M378" s="6" t="s">
        <v>12</v>
      </c>
      <c r="N378" s="6" t="s">
        <v>11</v>
      </c>
      <c r="O378" s="6" t="s">
        <v>10</v>
      </c>
    </row>
    <row r="379" spans="1:15" x14ac:dyDescent="0.25">
      <c r="A379" s="6" t="s">
        <v>9729</v>
      </c>
      <c r="B379" s="6" t="s">
        <v>1490</v>
      </c>
      <c r="C379" s="6" t="s">
        <v>557</v>
      </c>
      <c r="E379" s="6" t="s">
        <v>1489</v>
      </c>
      <c r="F379" s="6" t="s">
        <v>1488</v>
      </c>
      <c r="G379" s="6" t="s">
        <v>16</v>
      </c>
      <c r="H379" s="6" t="s">
        <v>430</v>
      </c>
      <c r="I379" s="6" t="s">
        <v>14</v>
      </c>
      <c r="J379" s="6" t="s">
        <v>13</v>
      </c>
      <c r="K379" s="7">
        <v>27.815182650000001</v>
      </c>
      <c r="L379" s="7">
        <v>-97.48830916</v>
      </c>
      <c r="M379" s="6" t="s">
        <v>12</v>
      </c>
      <c r="N379" s="6" t="s">
        <v>11</v>
      </c>
      <c r="O379" s="6" t="s">
        <v>10</v>
      </c>
    </row>
    <row r="380" spans="1:15" x14ac:dyDescent="0.25">
      <c r="A380" s="6" t="s">
        <v>1491</v>
      </c>
      <c r="B380" s="6" t="s">
        <v>1490</v>
      </c>
      <c r="C380" s="6" t="s">
        <v>433</v>
      </c>
      <c r="E380" s="6" t="s">
        <v>1489</v>
      </c>
      <c r="F380" s="6" t="s">
        <v>1488</v>
      </c>
      <c r="G380" s="6" t="s">
        <v>16</v>
      </c>
      <c r="H380" s="6" t="s">
        <v>430</v>
      </c>
      <c r="I380" s="6" t="s">
        <v>14</v>
      </c>
      <c r="J380" s="6" t="s">
        <v>13</v>
      </c>
      <c r="K380" s="7">
        <v>27.81671631</v>
      </c>
      <c r="L380" s="7">
        <v>-97.502182390000002</v>
      </c>
      <c r="M380" s="6" t="s">
        <v>12</v>
      </c>
      <c r="N380" s="6" t="s">
        <v>11</v>
      </c>
      <c r="O380" s="6" t="s">
        <v>10</v>
      </c>
    </row>
    <row r="381" spans="1:15" x14ac:dyDescent="0.25">
      <c r="A381" s="6" t="s">
        <v>9728</v>
      </c>
      <c r="B381" s="6" t="s">
        <v>1490</v>
      </c>
      <c r="C381" s="6" t="s">
        <v>1098</v>
      </c>
      <c r="E381" s="6" t="s">
        <v>1489</v>
      </c>
      <c r="F381" s="6" t="s">
        <v>1488</v>
      </c>
      <c r="G381" s="6" t="s">
        <v>16</v>
      </c>
      <c r="H381" s="6" t="s">
        <v>430</v>
      </c>
      <c r="I381" s="6" t="s">
        <v>14</v>
      </c>
      <c r="J381" s="6" t="s">
        <v>13</v>
      </c>
      <c r="K381" s="7">
        <v>27.814545030000001</v>
      </c>
      <c r="L381" s="7">
        <v>-97.475166329999993</v>
      </c>
      <c r="M381" s="6" t="s">
        <v>12</v>
      </c>
      <c r="N381" s="6" t="s">
        <v>11</v>
      </c>
      <c r="O381" s="6" t="s">
        <v>10</v>
      </c>
    </row>
    <row r="382" spans="1:15" x14ac:dyDescent="0.25">
      <c r="A382" s="6" t="s">
        <v>4850</v>
      </c>
      <c r="B382" s="6" t="s">
        <v>1490</v>
      </c>
      <c r="C382" s="6" t="s">
        <v>1096</v>
      </c>
      <c r="E382" s="6" t="s">
        <v>1489</v>
      </c>
      <c r="F382" s="6" t="s">
        <v>1488</v>
      </c>
      <c r="G382" s="6" t="s">
        <v>16</v>
      </c>
      <c r="H382" s="6" t="s">
        <v>430</v>
      </c>
      <c r="I382" s="6" t="s">
        <v>14</v>
      </c>
      <c r="J382" s="6" t="s">
        <v>13</v>
      </c>
      <c r="K382" s="7">
        <v>27.81502055</v>
      </c>
      <c r="L382" s="7">
        <v>-97.422186109999998</v>
      </c>
      <c r="M382" s="6" t="s">
        <v>12</v>
      </c>
      <c r="N382" s="6" t="s">
        <v>11</v>
      </c>
      <c r="O382" s="6" t="s">
        <v>10</v>
      </c>
    </row>
    <row r="383" spans="1:15" x14ac:dyDescent="0.25">
      <c r="A383" s="6" t="s">
        <v>8059</v>
      </c>
      <c r="B383" s="6" t="s">
        <v>4955</v>
      </c>
      <c r="C383" s="6" t="s">
        <v>31</v>
      </c>
      <c r="E383" s="6" t="s">
        <v>4954</v>
      </c>
      <c r="F383" s="6" t="s">
        <v>2739</v>
      </c>
      <c r="G383" s="6" t="s">
        <v>16</v>
      </c>
      <c r="H383" s="6" t="s">
        <v>15</v>
      </c>
      <c r="I383" s="6" t="s">
        <v>14</v>
      </c>
      <c r="J383" s="6" t="s">
        <v>35</v>
      </c>
      <c r="K383" s="7">
        <v>29.704935979999998</v>
      </c>
      <c r="L383" s="7">
        <v>-95.015922520000004</v>
      </c>
      <c r="M383" s="6" t="s">
        <v>701</v>
      </c>
      <c r="N383" s="6" t="s">
        <v>24</v>
      </c>
      <c r="O383" s="6" t="s">
        <v>23</v>
      </c>
    </row>
    <row r="384" spans="1:15" x14ac:dyDescent="0.25">
      <c r="A384" s="6" t="s">
        <v>8058</v>
      </c>
      <c r="B384" s="6" t="s">
        <v>4955</v>
      </c>
      <c r="C384" s="6" t="s">
        <v>19</v>
      </c>
      <c r="E384" s="6" t="s">
        <v>4954</v>
      </c>
      <c r="F384" s="6" t="s">
        <v>2739</v>
      </c>
      <c r="G384" s="6" t="s">
        <v>16</v>
      </c>
      <c r="H384" s="6" t="s">
        <v>15</v>
      </c>
      <c r="I384" s="6" t="s">
        <v>14</v>
      </c>
      <c r="J384" s="6" t="s">
        <v>35</v>
      </c>
      <c r="K384" s="7">
        <v>29.720303009999999</v>
      </c>
      <c r="L384" s="7">
        <v>-95.01858369</v>
      </c>
      <c r="M384" s="6" t="s">
        <v>701</v>
      </c>
      <c r="N384" s="6" t="s">
        <v>24</v>
      </c>
      <c r="O384" s="6" t="s">
        <v>23</v>
      </c>
    </row>
    <row r="385" spans="1:15" x14ac:dyDescent="0.25">
      <c r="A385" s="6" t="s">
        <v>8057</v>
      </c>
      <c r="B385" s="6" t="s">
        <v>4955</v>
      </c>
      <c r="C385" s="6" t="s">
        <v>436</v>
      </c>
      <c r="E385" s="6" t="s">
        <v>4954</v>
      </c>
      <c r="F385" s="6" t="s">
        <v>2739</v>
      </c>
      <c r="G385" s="6" t="s">
        <v>16</v>
      </c>
      <c r="H385" s="6" t="s">
        <v>15</v>
      </c>
      <c r="I385" s="6" t="s">
        <v>14</v>
      </c>
      <c r="J385" s="6" t="s">
        <v>35</v>
      </c>
      <c r="K385" s="7">
        <v>29.728895290000001</v>
      </c>
      <c r="L385" s="7">
        <v>-95.019729990000002</v>
      </c>
      <c r="M385" s="6" t="s">
        <v>701</v>
      </c>
      <c r="N385" s="6" t="s">
        <v>24</v>
      </c>
      <c r="O385" s="6" t="s">
        <v>23</v>
      </c>
    </row>
    <row r="386" spans="1:15" x14ac:dyDescent="0.25">
      <c r="A386" s="6" t="s">
        <v>4956</v>
      </c>
      <c r="B386" s="6" t="s">
        <v>4955</v>
      </c>
      <c r="C386" s="6" t="s">
        <v>597</v>
      </c>
      <c r="E386" s="6" t="s">
        <v>4954</v>
      </c>
      <c r="F386" s="6" t="s">
        <v>2739</v>
      </c>
      <c r="G386" s="6" t="s">
        <v>284</v>
      </c>
      <c r="H386" s="6" t="s">
        <v>430</v>
      </c>
      <c r="I386" s="6" t="s">
        <v>14</v>
      </c>
      <c r="J386" s="6" t="s">
        <v>35</v>
      </c>
      <c r="K386" s="7">
        <v>29.75605268</v>
      </c>
      <c r="L386" s="7">
        <v>-94.996520140000001</v>
      </c>
      <c r="M386" s="6" t="s">
        <v>2565</v>
      </c>
      <c r="N386" s="6" t="s">
        <v>120</v>
      </c>
      <c r="O386" s="6" t="s">
        <v>23</v>
      </c>
    </row>
    <row r="387" spans="1:15" x14ac:dyDescent="0.25">
      <c r="A387" s="6" t="s">
        <v>10029</v>
      </c>
      <c r="B387" s="6" t="s">
        <v>2809</v>
      </c>
      <c r="C387" s="6" t="s">
        <v>31</v>
      </c>
      <c r="E387" s="6" t="s">
        <v>2808</v>
      </c>
      <c r="F387" s="6" t="s">
        <v>2807</v>
      </c>
      <c r="G387" s="6" t="s">
        <v>16</v>
      </c>
      <c r="H387" s="6" t="s">
        <v>15</v>
      </c>
      <c r="I387" s="6" t="s">
        <v>46</v>
      </c>
      <c r="J387" s="6" t="s">
        <v>13</v>
      </c>
      <c r="K387" s="7">
        <v>27.841949620000001</v>
      </c>
      <c r="L387" s="7">
        <v>-97.520201009999994</v>
      </c>
      <c r="M387" s="6" t="s">
        <v>12</v>
      </c>
      <c r="N387" s="6" t="s">
        <v>11</v>
      </c>
      <c r="O387" s="6" t="s">
        <v>10</v>
      </c>
    </row>
    <row r="388" spans="1:15" x14ac:dyDescent="0.25">
      <c r="A388" s="6" t="s">
        <v>10028</v>
      </c>
      <c r="B388" s="6" t="s">
        <v>2809</v>
      </c>
      <c r="C388" s="6" t="s">
        <v>19</v>
      </c>
      <c r="E388" s="6" t="s">
        <v>2808</v>
      </c>
      <c r="F388" s="6" t="s">
        <v>2807</v>
      </c>
      <c r="G388" s="6" t="s">
        <v>16</v>
      </c>
      <c r="H388" s="6" t="s">
        <v>15</v>
      </c>
      <c r="I388" s="6" t="s">
        <v>46</v>
      </c>
      <c r="J388" s="6" t="s">
        <v>13</v>
      </c>
      <c r="K388" s="7">
        <v>27.832740999999999</v>
      </c>
      <c r="L388" s="7">
        <v>-97.517751000000004</v>
      </c>
      <c r="M388" s="6" t="s">
        <v>12</v>
      </c>
      <c r="N388" s="6" t="s">
        <v>11</v>
      </c>
      <c r="O388" s="6" t="s">
        <v>10</v>
      </c>
    </row>
    <row r="389" spans="1:15" x14ac:dyDescent="0.25">
      <c r="A389" s="6" t="s">
        <v>10023</v>
      </c>
      <c r="B389" s="6" t="s">
        <v>2809</v>
      </c>
      <c r="C389" s="6" t="s">
        <v>436</v>
      </c>
      <c r="E389" s="6" t="s">
        <v>2808</v>
      </c>
      <c r="F389" s="6" t="s">
        <v>2807</v>
      </c>
      <c r="G389" s="6" t="s">
        <v>16</v>
      </c>
      <c r="H389" s="6" t="s">
        <v>15</v>
      </c>
      <c r="I389" s="6" t="s">
        <v>46</v>
      </c>
      <c r="J389" s="6" t="s">
        <v>13</v>
      </c>
      <c r="K389" s="7">
        <v>27.809107999999998</v>
      </c>
      <c r="L389" s="7">
        <v>-97.443580999999995</v>
      </c>
      <c r="M389" s="6" t="s">
        <v>12</v>
      </c>
      <c r="N389" s="6" t="s">
        <v>11</v>
      </c>
      <c r="O389" s="6" t="s">
        <v>10</v>
      </c>
    </row>
    <row r="390" spans="1:15" x14ac:dyDescent="0.25">
      <c r="A390" s="6" t="s">
        <v>10022</v>
      </c>
      <c r="B390" s="6" t="s">
        <v>2809</v>
      </c>
      <c r="C390" s="6" t="s">
        <v>597</v>
      </c>
      <c r="E390" s="6" t="s">
        <v>2808</v>
      </c>
      <c r="F390" s="6" t="s">
        <v>2807</v>
      </c>
      <c r="G390" s="6" t="s">
        <v>16</v>
      </c>
      <c r="H390" s="6" t="s">
        <v>15</v>
      </c>
      <c r="I390" s="6" t="s">
        <v>46</v>
      </c>
      <c r="J390" s="6" t="s">
        <v>13</v>
      </c>
      <c r="K390" s="7">
        <v>27.836599</v>
      </c>
      <c r="L390" s="7">
        <v>-97.517049999999998</v>
      </c>
      <c r="M390" s="6" t="s">
        <v>12</v>
      </c>
      <c r="N390" s="6" t="s">
        <v>11</v>
      </c>
      <c r="O390" s="6" t="s">
        <v>10</v>
      </c>
    </row>
    <row r="391" spans="1:15" x14ac:dyDescent="0.25">
      <c r="A391" s="6" t="s">
        <v>10021</v>
      </c>
      <c r="B391" s="6" t="s">
        <v>2809</v>
      </c>
      <c r="C391" s="6" t="s">
        <v>557</v>
      </c>
      <c r="E391" s="6" t="s">
        <v>2808</v>
      </c>
      <c r="F391" s="6" t="s">
        <v>2807</v>
      </c>
      <c r="G391" s="6" t="s">
        <v>16</v>
      </c>
      <c r="H391" s="6" t="s">
        <v>15</v>
      </c>
      <c r="I391" s="6" t="s">
        <v>46</v>
      </c>
      <c r="J391" s="6" t="s">
        <v>13</v>
      </c>
      <c r="K391" s="7">
        <v>27.839443469999999</v>
      </c>
      <c r="L391" s="7">
        <v>-97.541388560000001</v>
      </c>
      <c r="M391" s="6" t="s">
        <v>8126</v>
      </c>
      <c r="N391" s="6" t="s">
        <v>524</v>
      </c>
      <c r="O391" s="6" t="s">
        <v>10</v>
      </c>
    </row>
    <row r="392" spans="1:15" x14ac:dyDescent="0.25">
      <c r="A392" s="6" t="s">
        <v>10020</v>
      </c>
      <c r="B392" s="6" t="s">
        <v>2809</v>
      </c>
      <c r="C392" s="6" t="s">
        <v>433</v>
      </c>
      <c r="E392" s="6" t="s">
        <v>2808</v>
      </c>
      <c r="F392" s="6" t="s">
        <v>2807</v>
      </c>
      <c r="G392" s="6" t="s">
        <v>16</v>
      </c>
      <c r="H392" s="6" t="s">
        <v>15</v>
      </c>
      <c r="I392" s="6" t="s">
        <v>46</v>
      </c>
      <c r="J392" s="6" t="s">
        <v>13</v>
      </c>
      <c r="K392" s="7">
        <v>27.844559</v>
      </c>
      <c r="L392" s="7">
        <v>-97.530998999999994</v>
      </c>
      <c r="M392" s="6" t="s">
        <v>12</v>
      </c>
      <c r="N392" s="6" t="s">
        <v>11</v>
      </c>
      <c r="O392" s="6" t="s">
        <v>10</v>
      </c>
    </row>
    <row r="393" spans="1:15" x14ac:dyDescent="0.25">
      <c r="A393" s="6" t="s">
        <v>10019</v>
      </c>
      <c r="B393" s="6" t="s">
        <v>2809</v>
      </c>
      <c r="C393" s="6" t="s">
        <v>1098</v>
      </c>
      <c r="E393" s="6" t="s">
        <v>2808</v>
      </c>
      <c r="F393" s="6" t="s">
        <v>2807</v>
      </c>
      <c r="G393" s="6" t="s">
        <v>16</v>
      </c>
      <c r="H393" s="6" t="s">
        <v>15</v>
      </c>
      <c r="I393" s="6" t="s">
        <v>46</v>
      </c>
      <c r="J393" s="6" t="s">
        <v>13</v>
      </c>
      <c r="K393" s="7">
        <v>27.840053000000001</v>
      </c>
      <c r="L393" s="7">
        <v>-97.520394999999994</v>
      </c>
      <c r="M393" s="6" t="s">
        <v>12</v>
      </c>
      <c r="N393" s="6" t="s">
        <v>11</v>
      </c>
      <c r="O393" s="6" t="s">
        <v>10</v>
      </c>
    </row>
    <row r="394" spans="1:15" x14ac:dyDescent="0.25">
      <c r="A394" s="6" t="s">
        <v>10018</v>
      </c>
      <c r="B394" s="6" t="s">
        <v>2809</v>
      </c>
      <c r="C394" s="6" t="s">
        <v>1096</v>
      </c>
      <c r="E394" s="6" t="s">
        <v>2808</v>
      </c>
      <c r="F394" s="6" t="s">
        <v>2807</v>
      </c>
      <c r="G394" s="6" t="s">
        <v>16</v>
      </c>
      <c r="H394" s="6" t="s">
        <v>15</v>
      </c>
      <c r="I394" s="6" t="s">
        <v>46</v>
      </c>
      <c r="J394" s="6" t="s">
        <v>13</v>
      </c>
      <c r="K394" s="7">
        <v>27.840553320000001</v>
      </c>
      <c r="L394" s="7">
        <v>-97.53305881</v>
      </c>
      <c r="M394" s="6" t="s">
        <v>8126</v>
      </c>
      <c r="N394" s="6" t="s">
        <v>524</v>
      </c>
      <c r="O394" s="6" t="s">
        <v>10</v>
      </c>
    </row>
    <row r="395" spans="1:15" x14ac:dyDescent="0.25">
      <c r="A395" s="6" t="s">
        <v>10017</v>
      </c>
      <c r="B395" s="6" t="s">
        <v>2809</v>
      </c>
      <c r="C395" s="6" t="s">
        <v>638</v>
      </c>
      <c r="E395" s="6" t="s">
        <v>2808</v>
      </c>
      <c r="F395" s="6" t="s">
        <v>2807</v>
      </c>
      <c r="G395" s="6" t="s">
        <v>16</v>
      </c>
      <c r="H395" s="6" t="s">
        <v>15</v>
      </c>
      <c r="I395" s="6" t="s">
        <v>46</v>
      </c>
      <c r="J395" s="6" t="s">
        <v>13</v>
      </c>
      <c r="K395" s="7">
        <v>27.830691000000002</v>
      </c>
      <c r="L395" s="7">
        <v>-97.517723000000004</v>
      </c>
      <c r="M395" s="6" t="s">
        <v>12</v>
      </c>
      <c r="N395" s="6" t="s">
        <v>11</v>
      </c>
      <c r="O395" s="6" t="s">
        <v>10</v>
      </c>
    </row>
    <row r="396" spans="1:15" x14ac:dyDescent="0.25">
      <c r="A396" s="6" t="s">
        <v>10016</v>
      </c>
      <c r="B396" s="6" t="s">
        <v>2809</v>
      </c>
      <c r="C396" s="6" t="s">
        <v>635</v>
      </c>
      <c r="E396" s="6" t="s">
        <v>2808</v>
      </c>
      <c r="F396" s="6" t="s">
        <v>2807</v>
      </c>
      <c r="G396" s="6" t="s">
        <v>16</v>
      </c>
      <c r="H396" s="6" t="s">
        <v>15</v>
      </c>
      <c r="I396" s="6" t="s">
        <v>46</v>
      </c>
      <c r="J396" s="6" t="s">
        <v>13</v>
      </c>
      <c r="K396" s="7">
        <v>27.839036</v>
      </c>
      <c r="L396" s="7">
        <v>-97.536293000000001</v>
      </c>
      <c r="M396" s="6" t="s">
        <v>8126</v>
      </c>
      <c r="N396" s="6" t="s">
        <v>11</v>
      </c>
      <c r="O396" s="6" t="s">
        <v>10</v>
      </c>
    </row>
    <row r="397" spans="1:15" x14ac:dyDescent="0.25">
      <c r="A397" s="6" t="s">
        <v>9743</v>
      </c>
      <c r="B397" s="6" t="s">
        <v>2809</v>
      </c>
      <c r="C397" s="6" t="s">
        <v>1092</v>
      </c>
      <c r="E397" s="6" t="s">
        <v>2808</v>
      </c>
      <c r="F397" s="6" t="s">
        <v>2807</v>
      </c>
      <c r="G397" s="6" t="s">
        <v>16</v>
      </c>
      <c r="H397" s="6" t="s">
        <v>15</v>
      </c>
      <c r="I397" s="6" t="s">
        <v>46</v>
      </c>
      <c r="J397" s="6" t="s">
        <v>13</v>
      </c>
      <c r="K397" s="7">
        <v>27.842210390000002</v>
      </c>
      <c r="L397" s="7">
        <v>-97.522511530000003</v>
      </c>
      <c r="M397" s="6" t="s">
        <v>12</v>
      </c>
      <c r="N397" s="6" t="s">
        <v>11</v>
      </c>
      <c r="O397" s="6" t="s">
        <v>10</v>
      </c>
    </row>
    <row r="398" spans="1:15" x14ac:dyDescent="0.25">
      <c r="A398" s="6" t="s">
        <v>2810</v>
      </c>
      <c r="B398" s="6" t="s">
        <v>2809</v>
      </c>
      <c r="C398" s="6" t="s">
        <v>869</v>
      </c>
      <c r="E398" s="6" t="s">
        <v>2808</v>
      </c>
      <c r="F398" s="6" t="s">
        <v>2807</v>
      </c>
      <c r="G398" s="6" t="s">
        <v>16</v>
      </c>
      <c r="H398" s="6" t="s">
        <v>15</v>
      </c>
      <c r="I398" s="6" t="s">
        <v>46</v>
      </c>
      <c r="J398" s="6" t="s">
        <v>13</v>
      </c>
      <c r="K398" s="7">
        <v>27.836248999999999</v>
      </c>
      <c r="L398" s="7">
        <v>-97.516779999999997</v>
      </c>
      <c r="M398" s="6" t="s">
        <v>12</v>
      </c>
      <c r="N398" s="6" t="s">
        <v>11</v>
      </c>
      <c r="O398" s="6" t="s">
        <v>10</v>
      </c>
    </row>
    <row r="399" spans="1:15" x14ac:dyDescent="0.25">
      <c r="A399" s="6" t="s">
        <v>11685</v>
      </c>
      <c r="B399" s="6" t="s">
        <v>2809</v>
      </c>
      <c r="C399" s="6" t="s">
        <v>1844</v>
      </c>
      <c r="E399" s="6" t="s">
        <v>2808</v>
      </c>
      <c r="F399" s="6" t="s">
        <v>2807</v>
      </c>
      <c r="G399" s="6" t="s">
        <v>16</v>
      </c>
      <c r="H399" s="6" t="s">
        <v>430</v>
      </c>
      <c r="I399" s="6" t="s">
        <v>46</v>
      </c>
      <c r="J399" s="6" t="s">
        <v>13</v>
      </c>
      <c r="K399" s="7">
        <v>27.843335849999999</v>
      </c>
      <c r="L399" s="7">
        <v>-97.525383469999994</v>
      </c>
      <c r="M399" s="6" t="s">
        <v>12</v>
      </c>
      <c r="N399" s="6" t="s">
        <v>11</v>
      </c>
      <c r="O399" s="6" t="s">
        <v>10</v>
      </c>
    </row>
    <row r="400" spans="1:15" x14ac:dyDescent="0.25">
      <c r="A400" s="6" t="s">
        <v>11483</v>
      </c>
      <c r="B400" s="6" t="s">
        <v>11482</v>
      </c>
      <c r="C400" s="6" t="s">
        <v>31</v>
      </c>
      <c r="E400" s="6" t="s">
        <v>11481</v>
      </c>
      <c r="F400" s="6" t="s">
        <v>11480</v>
      </c>
      <c r="G400" s="6" t="s">
        <v>16</v>
      </c>
      <c r="H400" s="6" t="s">
        <v>15</v>
      </c>
      <c r="I400" s="6" t="s">
        <v>36</v>
      </c>
      <c r="J400" s="6" t="s">
        <v>632</v>
      </c>
      <c r="K400" s="7">
        <v>30.037852359999999</v>
      </c>
      <c r="L400" s="7">
        <v>-93.739354539999994</v>
      </c>
      <c r="M400" s="6" t="s">
        <v>631</v>
      </c>
      <c r="N400" s="6" t="s">
        <v>65</v>
      </c>
      <c r="O400" s="6" t="s">
        <v>24</v>
      </c>
    </row>
    <row r="401" spans="1:15" x14ac:dyDescent="0.25">
      <c r="A401" s="6" t="s">
        <v>12082</v>
      </c>
      <c r="B401" s="6" t="s">
        <v>12081</v>
      </c>
      <c r="C401" s="6" t="s">
        <v>31</v>
      </c>
      <c r="E401" s="6" t="s">
        <v>12080</v>
      </c>
      <c r="F401" s="6" t="s">
        <v>1142</v>
      </c>
      <c r="G401" s="6" t="s">
        <v>16</v>
      </c>
      <c r="H401" s="6" t="s">
        <v>15</v>
      </c>
      <c r="I401" s="6" t="s">
        <v>14</v>
      </c>
      <c r="J401" s="6" t="s">
        <v>35</v>
      </c>
      <c r="K401" s="7">
        <v>29.73442798</v>
      </c>
      <c r="L401" s="7">
        <v>-95.150436459999995</v>
      </c>
      <c r="M401" s="6" t="s">
        <v>34</v>
      </c>
      <c r="N401" s="6" t="s">
        <v>24</v>
      </c>
      <c r="O401" s="6" t="s">
        <v>23</v>
      </c>
    </row>
    <row r="402" spans="1:15" x14ac:dyDescent="0.25">
      <c r="A402" s="6" t="s">
        <v>3291</v>
      </c>
      <c r="B402" s="6" t="s">
        <v>3290</v>
      </c>
      <c r="C402" s="6" t="s">
        <v>31</v>
      </c>
      <c r="E402" s="6" t="s">
        <v>3289</v>
      </c>
      <c r="F402" s="6" t="s">
        <v>3288</v>
      </c>
      <c r="G402" s="6" t="s">
        <v>16</v>
      </c>
      <c r="H402" s="6" t="s">
        <v>15</v>
      </c>
      <c r="I402" s="6" t="s">
        <v>46</v>
      </c>
      <c r="J402" s="6" t="s">
        <v>2287</v>
      </c>
      <c r="K402" s="7">
        <v>30.910319999999999</v>
      </c>
      <c r="L402" s="7">
        <v>-93.978041000000005</v>
      </c>
      <c r="M402" s="6" t="s">
        <v>3287</v>
      </c>
      <c r="N402" s="6" t="s">
        <v>52</v>
      </c>
      <c r="O402" s="6" t="s">
        <v>24</v>
      </c>
    </row>
    <row r="403" spans="1:15" x14ac:dyDescent="0.25">
      <c r="A403" s="6" t="s">
        <v>11308</v>
      </c>
      <c r="B403" s="6" t="s">
        <v>11307</v>
      </c>
      <c r="C403" s="6" t="s">
        <v>31</v>
      </c>
      <c r="E403" s="6" t="s">
        <v>11306</v>
      </c>
      <c r="F403" s="6" t="s">
        <v>1276</v>
      </c>
      <c r="G403" s="6" t="s">
        <v>16</v>
      </c>
      <c r="H403" s="6" t="s">
        <v>15</v>
      </c>
      <c r="I403" s="6" t="s">
        <v>14</v>
      </c>
      <c r="J403" s="6" t="s">
        <v>35</v>
      </c>
      <c r="K403" s="7">
        <v>29.725839310000001</v>
      </c>
      <c r="L403" s="7">
        <v>-95.056134159999999</v>
      </c>
      <c r="M403" s="6" t="s">
        <v>599</v>
      </c>
      <c r="N403" s="6" t="s">
        <v>24</v>
      </c>
      <c r="O403" s="6" t="s">
        <v>23</v>
      </c>
    </row>
    <row r="404" spans="1:15" x14ac:dyDescent="0.25">
      <c r="A404" s="6" t="s">
        <v>11305</v>
      </c>
      <c r="B404" s="6" t="s">
        <v>10775</v>
      </c>
      <c r="C404" s="6" t="s">
        <v>31</v>
      </c>
      <c r="E404" s="6" t="s">
        <v>10774</v>
      </c>
      <c r="F404" s="6" t="s">
        <v>1276</v>
      </c>
      <c r="G404" s="6" t="s">
        <v>16</v>
      </c>
      <c r="H404" s="6" t="s">
        <v>15</v>
      </c>
      <c r="I404" s="6" t="s">
        <v>799</v>
      </c>
      <c r="J404" s="6" t="s">
        <v>35</v>
      </c>
      <c r="K404" s="7">
        <v>29.822379999999999</v>
      </c>
      <c r="L404" s="7">
        <v>-95.214348999999999</v>
      </c>
      <c r="M404" s="6" t="s">
        <v>34</v>
      </c>
      <c r="N404" s="6" t="s">
        <v>24</v>
      </c>
      <c r="O404" s="6" t="s">
        <v>23</v>
      </c>
    </row>
    <row r="405" spans="1:15" x14ac:dyDescent="0.25">
      <c r="A405" s="6" t="s">
        <v>10776</v>
      </c>
      <c r="B405" s="6" t="s">
        <v>10775</v>
      </c>
      <c r="C405" s="6" t="s">
        <v>19</v>
      </c>
      <c r="E405" s="6" t="s">
        <v>10774</v>
      </c>
      <c r="F405" s="6" t="s">
        <v>1276</v>
      </c>
      <c r="G405" s="6" t="s">
        <v>16</v>
      </c>
      <c r="H405" s="6" t="s">
        <v>15</v>
      </c>
      <c r="I405" s="6" t="s">
        <v>799</v>
      </c>
      <c r="J405" s="6" t="s">
        <v>35</v>
      </c>
      <c r="K405" s="7">
        <v>29.814591</v>
      </c>
      <c r="L405" s="7">
        <v>-95.225416999999993</v>
      </c>
      <c r="M405" s="6" t="s">
        <v>34</v>
      </c>
      <c r="N405" s="6" t="s">
        <v>24</v>
      </c>
      <c r="O405" s="6" t="s">
        <v>23</v>
      </c>
    </row>
    <row r="406" spans="1:15" x14ac:dyDescent="0.25">
      <c r="A406" s="6" t="s">
        <v>10773</v>
      </c>
      <c r="B406" s="6" t="s">
        <v>10509</v>
      </c>
      <c r="C406" s="6" t="s">
        <v>31</v>
      </c>
      <c r="E406" s="6" t="s">
        <v>10508</v>
      </c>
      <c r="F406" s="6" t="s">
        <v>1276</v>
      </c>
      <c r="G406" s="6" t="s">
        <v>16</v>
      </c>
      <c r="H406" s="6" t="s">
        <v>1872</v>
      </c>
      <c r="I406" s="6" t="s">
        <v>27</v>
      </c>
      <c r="J406" s="6" t="s">
        <v>132</v>
      </c>
      <c r="K406" s="7">
        <v>29.488345939999999</v>
      </c>
      <c r="L406" s="7">
        <v>-95.624419660000001</v>
      </c>
      <c r="M406" s="6" t="s">
        <v>355</v>
      </c>
      <c r="N406" s="6" t="s">
        <v>23</v>
      </c>
      <c r="O406" s="6" t="s">
        <v>23</v>
      </c>
    </row>
    <row r="407" spans="1:15" x14ac:dyDescent="0.25">
      <c r="A407" s="6" t="s">
        <v>10772</v>
      </c>
      <c r="B407" s="6" t="s">
        <v>10509</v>
      </c>
      <c r="C407" s="6" t="s">
        <v>19</v>
      </c>
      <c r="E407" s="6" t="s">
        <v>10508</v>
      </c>
      <c r="F407" s="6" t="s">
        <v>1276</v>
      </c>
      <c r="G407" s="6" t="s">
        <v>16</v>
      </c>
      <c r="H407" s="6" t="s">
        <v>15</v>
      </c>
      <c r="I407" s="6" t="s">
        <v>27</v>
      </c>
      <c r="J407" s="6" t="s">
        <v>132</v>
      </c>
      <c r="K407" s="7">
        <v>29.471099429999999</v>
      </c>
      <c r="L407" s="7">
        <v>-95.634648380000002</v>
      </c>
      <c r="M407" s="6" t="s">
        <v>355</v>
      </c>
      <c r="N407" s="6" t="s">
        <v>23</v>
      </c>
      <c r="O407" s="6" t="s">
        <v>23</v>
      </c>
    </row>
    <row r="408" spans="1:15" x14ac:dyDescent="0.25">
      <c r="A408" s="6" t="s">
        <v>10771</v>
      </c>
      <c r="B408" s="6" t="s">
        <v>10509</v>
      </c>
      <c r="C408" s="6" t="s">
        <v>436</v>
      </c>
      <c r="E408" s="6" t="s">
        <v>10508</v>
      </c>
      <c r="F408" s="6" t="s">
        <v>1276</v>
      </c>
      <c r="G408" s="6" t="s">
        <v>16</v>
      </c>
      <c r="H408" s="6" t="s">
        <v>15</v>
      </c>
      <c r="I408" s="6" t="s">
        <v>27</v>
      </c>
      <c r="J408" s="6" t="s">
        <v>132</v>
      </c>
      <c r="K408" s="7">
        <v>29.48006092</v>
      </c>
      <c r="L408" s="7">
        <v>-95.638244470000004</v>
      </c>
      <c r="M408" s="6" t="s">
        <v>355</v>
      </c>
      <c r="N408" s="6" t="s">
        <v>23</v>
      </c>
      <c r="O408" s="6" t="s">
        <v>23</v>
      </c>
    </row>
    <row r="409" spans="1:15" x14ac:dyDescent="0.25">
      <c r="A409" s="6" t="s">
        <v>10770</v>
      </c>
      <c r="B409" s="6" t="s">
        <v>10509</v>
      </c>
      <c r="C409" s="6" t="s">
        <v>597</v>
      </c>
      <c r="E409" s="6" t="s">
        <v>10508</v>
      </c>
      <c r="F409" s="6" t="s">
        <v>1276</v>
      </c>
      <c r="G409" s="6" t="s">
        <v>16</v>
      </c>
      <c r="H409" s="6" t="s">
        <v>430</v>
      </c>
      <c r="I409" s="6" t="s">
        <v>27</v>
      </c>
      <c r="J409" s="6" t="s">
        <v>132</v>
      </c>
      <c r="K409" s="7">
        <v>29.495823619999999</v>
      </c>
      <c r="L409" s="7">
        <v>-95.633333230000005</v>
      </c>
      <c r="M409" s="6" t="s">
        <v>355</v>
      </c>
      <c r="N409" s="6" t="s">
        <v>23</v>
      </c>
      <c r="O409" s="6" t="s">
        <v>23</v>
      </c>
    </row>
    <row r="410" spans="1:15" x14ac:dyDescent="0.25">
      <c r="A410" s="6" t="s">
        <v>10765</v>
      </c>
      <c r="B410" s="6" t="s">
        <v>10509</v>
      </c>
      <c r="C410" s="6" t="s">
        <v>557</v>
      </c>
      <c r="E410" s="6" t="s">
        <v>10508</v>
      </c>
      <c r="F410" s="6" t="s">
        <v>1276</v>
      </c>
      <c r="G410" s="6" t="s">
        <v>16</v>
      </c>
      <c r="H410" s="6" t="s">
        <v>15</v>
      </c>
      <c r="I410" s="6" t="s">
        <v>27</v>
      </c>
      <c r="J410" s="6" t="s">
        <v>132</v>
      </c>
      <c r="K410" s="7">
        <v>29.48601262</v>
      </c>
      <c r="L410" s="7">
        <v>-95.630930789999994</v>
      </c>
      <c r="M410" s="6" t="s">
        <v>355</v>
      </c>
      <c r="N410" s="6" t="s">
        <v>23</v>
      </c>
      <c r="O410" s="6" t="s">
        <v>23</v>
      </c>
    </row>
    <row r="411" spans="1:15" x14ac:dyDescent="0.25">
      <c r="A411" s="6" t="s">
        <v>10510</v>
      </c>
      <c r="B411" s="6" t="s">
        <v>10509</v>
      </c>
      <c r="C411" s="6" t="s">
        <v>433</v>
      </c>
      <c r="E411" s="6" t="s">
        <v>10508</v>
      </c>
      <c r="F411" s="6" t="s">
        <v>1276</v>
      </c>
      <c r="G411" s="6" t="s">
        <v>16</v>
      </c>
      <c r="H411" s="6" t="s">
        <v>15</v>
      </c>
      <c r="I411" s="6" t="s">
        <v>27</v>
      </c>
      <c r="J411" s="6" t="s">
        <v>132</v>
      </c>
      <c r="K411" s="7">
        <v>29.485468050000001</v>
      </c>
      <c r="L411" s="7">
        <v>-95.632172100000005</v>
      </c>
      <c r="M411" s="6" t="s">
        <v>355</v>
      </c>
      <c r="N411" s="6" t="s">
        <v>23</v>
      </c>
      <c r="O411" s="6" t="s">
        <v>23</v>
      </c>
    </row>
    <row r="412" spans="1:15" x14ac:dyDescent="0.25">
      <c r="A412" s="6" t="s">
        <v>10507</v>
      </c>
      <c r="B412" s="6" t="s">
        <v>10506</v>
      </c>
      <c r="C412" s="6" t="s">
        <v>31</v>
      </c>
      <c r="E412" s="6" t="s">
        <v>10505</v>
      </c>
      <c r="F412" s="6" t="s">
        <v>1276</v>
      </c>
      <c r="G412" s="6" t="s">
        <v>16</v>
      </c>
      <c r="H412" s="6" t="s">
        <v>15</v>
      </c>
      <c r="I412" s="6" t="s">
        <v>60</v>
      </c>
      <c r="J412" s="6" t="s">
        <v>35</v>
      </c>
      <c r="K412" s="7">
        <v>29.947681500000002</v>
      </c>
      <c r="L412" s="7">
        <v>-95.536927820000002</v>
      </c>
      <c r="M412" s="6" t="s">
        <v>198</v>
      </c>
      <c r="N412" s="6" t="s">
        <v>24</v>
      </c>
      <c r="O412" s="6" t="s">
        <v>23</v>
      </c>
    </row>
    <row r="413" spans="1:15" x14ac:dyDescent="0.25">
      <c r="A413" s="6" t="s">
        <v>8151</v>
      </c>
      <c r="B413" s="6" t="s">
        <v>6058</v>
      </c>
      <c r="C413" s="6" t="s">
        <v>31</v>
      </c>
      <c r="E413" s="6" t="s">
        <v>6057</v>
      </c>
      <c r="F413" s="6" t="s">
        <v>1276</v>
      </c>
      <c r="G413" s="6" t="s">
        <v>16</v>
      </c>
      <c r="H413" s="6" t="s">
        <v>15</v>
      </c>
      <c r="I413" s="6" t="s">
        <v>27</v>
      </c>
      <c r="J413" s="6" t="s">
        <v>853</v>
      </c>
      <c r="K413" s="7">
        <v>29.755846030000001</v>
      </c>
      <c r="L413" s="7">
        <v>-94.817792490000002</v>
      </c>
      <c r="M413" s="6" t="s">
        <v>894</v>
      </c>
      <c r="N413" s="6" t="s">
        <v>120</v>
      </c>
      <c r="O413" s="6" t="s">
        <v>23</v>
      </c>
    </row>
    <row r="414" spans="1:15" x14ac:dyDescent="0.25">
      <c r="A414" s="6" t="s">
        <v>8150</v>
      </c>
      <c r="B414" s="6" t="s">
        <v>6058</v>
      </c>
      <c r="C414" s="6" t="s">
        <v>19</v>
      </c>
      <c r="E414" s="6" t="s">
        <v>6057</v>
      </c>
      <c r="F414" s="6" t="s">
        <v>1276</v>
      </c>
      <c r="G414" s="6" t="s">
        <v>16</v>
      </c>
      <c r="H414" s="6" t="s">
        <v>15</v>
      </c>
      <c r="I414" s="6" t="s">
        <v>27</v>
      </c>
      <c r="J414" s="6" t="s">
        <v>853</v>
      </c>
      <c r="K414" s="7">
        <v>29.755057000000001</v>
      </c>
      <c r="L414" s="7">
        <v>-94.922832999999997</v>
      </c>
      <c r="M414" s="6" t="s">
        <v>1445</v>
      </c>
      <c r="N414" s="6" t="s">
        <v>120</v>
      </c>
      <c r="O414" s="6" t="s">
        <v>23</v>
      </c>
    </row>
    <row r="415" spans="1:15" x14ac:dyDescent="0.25">
      <c r="A415" s="6" t="s">
        <v>8149</v>
      </c>
      <c r="B415" s="6" t="s">
        <v>6058</v>
      </c>
      <c r="C415" s="6" t="s">
        <v>436</v>
      </c>
      <c r="E415" s="6" t="s">
        <v>6057</v>
      </c>
      <c r="F415" s="6" t="s">
        <v>1276</v>
      </c>
      <c r="G415" s="6" t="s">
        <v>16</v>
      </c>
      <c r="H415" s="6" t="s">
        <v>15</v>
      </c>
      <c r="I415" s="6" t="s">
        <v>27</v>
      </c>
      <c r="J415" s="6" t="s">
        <v>853</v>
      </c>
      <c r="K415" s="7">
        <v>29.75305157</v>
      </c>
      <c r="L415" s="7">
        <v>-94.92471716</v>
      </c>
      <c r="M415" s="6" t="s">
        <v>1445</v>
      </c>
      <c r="N415" s="6" t="s">
        <v>120</v>
      </c>
      <c r="O415" s="6" t="s">
        <v>23</v>
      </c>
    </row>
    <row r="416" spans="1:15" x14ac:dyDescent="0.25">
      <c r="A416" s="6" t="s">
        <v>8148</v>
      </c>
      <c r="B416" s="6" t="s">
        <v>6058</v>
      </c>
      <c r="C416" s="6" t="s">
        <v>597</v>
      </c>
      <c r="E416" s="6" t="s">
        <v>6057</v>
      </c>
      <c r="F416" s="6" t="s">
        <v>1276</v>
      </c>
      <c r="G416" s="6" t="s">
        <v>16</v>
      </c>
      <c r="H416" s="6" t="s">
        <v>15</v>
      </c>
      <c r="I416" s="6" t="s">
        <v>27</v>
      </c>
      <c r="J416" s="6" t="s">
        <v>853</v>
      </c>
      <c r="K416" s="7">
        <v>29.749728449999999</v>
      </c>
      <c r="L416" s="7">
        <v>-94.929452299999994</v>
      </c>
      <c r="M416" s="6" t="s">
        <v>1445</v>
      </c>
      <c r="N416" s="6" t="s">
        <v>120</v>
      </c>
      <c r="O416" s="6" t="s">
        <v>23</v>
      </c>
    </row>
    <row r="417" spans="1:15" x14ac:dyDescent="0.25">
      <c r="A417" s="6" t="s">
        <v>8147</v>
      </c>
      <c r="B417" s="6" t="s">
        <v>6058</v>
      </c>
      <c r="C417" s="6" t="s">
        <v>557</v>
      </c>
      <c r="E417" s="6" t="s">
        <v>6057</v>
      </c>
      <c r="F417" s="6" t="s">
        <v>1276</v>
      </c>
      <c r="G417" s="6" t="s">
        <v>16</v>
      </c>
      <c r="H417" s="6" t="s">
        <v>28</v>
      </c>
      <c r="I417" s="6" t="s">
        <v>27</v>
      </c>
      <c r="J417" s="6" t="s">
        <v>853</v>
      </c>
      <c r="K417" s="7">
        <v>29.748839</v>
      </c>
      <c r="L417" s="7">
        <v>-94.929405000000003</v>
      </c>
      <c r="M417" s="6" t="s">
        <v>1445</v>
      </c>
      <c r="N417" s="6" t="s">
        <v>120</v>
      </c>
      <c r="O417" s="6" t="s">
        <v>23</v>
      </c>
    </row>
    <row r="418" spans="1:15" x14ac:dyDescent="0.25">
      <c r="A418" s="6" t="s">
        <v>6059</v>
      </c>
      <c r="B418" s="6" t="s">
        <v>6058</v>
      </c>
      <c r="C418" s="6" t="s">
        <v>433</v>
      </c>
      <c r="E418" s="6" t="s">
        <v>6057</v>
      </c>
      <c r="F418" s="6" t="s">
        <v>1276</v>
      </c>
      <c r="G418" s="6" t="s">
        <v>284</v>
      </c>
      <c r="H418" s="6" t="s">
        <v>15</v>
      </c>
      <c r="I418" s="6" t="s">
        <v>27</v>
      </c>
      <c r="J418" s="6" t="s">
        <v>853</v>
      </c>
      <c r="K418" s="7">
        <v>29.75305539</v>
      </c>
      <c r="L418" s="7">
        <v>-94.924718080000005</v>
      </c>
      <c r="M418" s="6" t="s">
        <v>1445</v>
      </c>
      <c r="N418" s="6" t="s">
        <v>120</v>
      </c>
      <c r="O418" s="6" t="s">
        <v>23</v>
      </c>
    </row>
    <row r="419" spans="1:15" x14ac:dyDescent="0.25">
      <c r="A419" s="6" t="s">
        <v>12079</v>
      </c>
      <c r="B419" s="6" t="s">
        <v>3191</v>
      </c>
      <c r="C419" s="6" t="s">
        <v>31</v>
      </c>
      <c r="E419" s="6" t="s">
        <v>3190</v>
      </c>
      <c r="F419" s="6" t="s">
        <v>3189</v>
      </c>
      <c r="G419" s="6" t="s">
        <v>16</v>
      </c>
      <c r="H419" s="6" t="s">
        <v>15</v>
      </c>
      <c r="I419" s="6" t="s">
        <v>46</v>
      </c>
      <c r="J419" s="6" t="s">
        <v>162</v>
      </c>
      <c r="K419" s="7">
        <v>28.980117459999999</v>
      </c>
      <c r="L419" s="7">
        <v>-95.385559920000006</v>
      </c>
      <c r="M419" s="6" t="s">
        <v>244</v>
      </c>
      <c r="N419" s="6" t="s">
        <v>23</v>
      </c>
      <c r="O419" s="6" t="s">
        <v>23</v>
      </c>
    </row>
    <row r="420" spans="1:15" x14ac:dyDescent="0.25">
      <c r="A420" s="6" t="s">
        <v>12078</v>
      </c>
      <c r="B420" s="6" t="s">
        <v>3191</v>
      </c>
      <c r="C420" s="6" t="s">
        <v>19</v>
      </c>
      <c r="E420" s="6" t="s">
        <v>3190</v>
      </c>
      <c r="F420" s="6" t="s">
        <v>3189</v>
      </c>
      <c r="G420" s="6" t="s">
        <v>16</v>
      </c>
      <c r="H420" s="6" t="s">
        <v>15</v>
      </c>
      <c r="I420" s="6" t="s">
        <v>46</v>
      </c>
      <c r="J420" s="6" t="s">
        <v>162</v>
      </c>
      <c r="K420" s="7">
        <v>28.983676729999999</v>
      </c>
      <c r="L420" s="7">
        <v>-95.394894019999995</v>
      </c>
      <c r="M420" s="6" t="s">
        <v>244</v>
      </c>
      <c r="N420" s="6" t="s">
        <v>23</v>
      </c>
      <c r="O420" s="6" t="s">
        <v>23</v>
      </c>
    </row>
    <row r="421" spans="1:15" x14ac:dyDescent="0.25">
      <c r="A421" s="6" t="s">
        <v>12077</v>
      </c>
      <c r="B421" s="6" t="s">
        <v>3191</v>
      </c>
      <c r="C421" s="6" t="s">
        <v>436</v>
      </c>
      <c r="E421" s="6" t="s">
        <v>3190</v>
      </c>
      <c r="F421" s="6" t="s">
        <v>3189</v>
      </c>
      <c r="G421" s="6" t="s">
        <v>16</v>
      </c>
      <c r="H421" s="6" t="s">
        <v>15</v>
      </c>
      <c r="I421" s="6" t="s">
        <v>46</v>
      </c>
      <c r="J421" s="6" t="s">
        <v>162</v>
      </c>
      <c r="K421" s="7">
        <v>28.983178410000001</v>
      </c>
      <c r="L421" s="7">
        <v>-95.395350829999998</v>
      </c>
      <c r="M421" s="6" t="s">
        <v>244</v>
      </c>
      <c r="N421" s="6" t="s">
        <v>23</v>
      </c>
      <c r="O421" s="6" t="s">
        <v>23</v>
      </c>
    </row>
    <row r="422" spans="1:15" x14ac:dyDescent="0.25">
      <c r="A422" s="6" t="s">
        <v>3192</v>
      </c>
      <c r="B422" s="6" t="s">
        <v>3191</v>
      </c>
      <c r="C422" s="6" t="s">
        <v>597</v>
      </c>
      <c r="E422" s="6" t="s">
        <v>3190</v>
      </c>
      <c r="F422" s="6" t="s">
        <v>3189</v>
      </c>
      <c r="G422" s="6" t="s">
        <v>16</v>
      </c>
      <c r="H422" s="6" t="s">
        <v>430</v>
      </c>
      <c r="I422" s="6" t="s">
        <v>46</v>
      </c>
      <c r="J422" s="6" t="s">
        <v>162</v>
      </c>
      <c r="K422" s="7">
        <v>28.987599079999999</v>
      </c>
      <c r="L422" s="7">
        <v>-95.355883500000004</v>
      </c>
      <c r="M422" s="6" t="s">
        <v>244</v>
      </c>
      <c r="N422" s="6" t="s">
        <v>23</v>
      </c>
      <c r="O422" s="6" t="s">
        <v>23</v>
      </c>
    </row>
    <row r="423" spans="1:15" x14ac:dyDescent="0.25">
      <c r="A423" s="6" t="s">
        <v>7835</v>
      </c>
      <c r="B423" s="6" t="s">
        <v>7834</v>
      </c>
      <c r="C423" s="6" t="s">
        <v>31</v>
      </c>
      <c r="E423" s="6" t="s">
        <v>7833</v>
      </c>
      <c r="F423" s="6" t="s">
        <v>771</v>
      </c>
      <c r="G423" s="6" t="s">
        <v>16</v>
      </c>
      <c r="H423" s="6" t="s">
        <v>28</v>
      </c>
      <c r="I423" s="6" t="s">
        <v>73</v>
      </c>
      <c r="J423" s="6" t="s">
        <v>90</v>
      </c>
      <c r="K423" s="7">
        <v>25.972957999999998</v>
      </c>
      <c r="L423" s="7">
        <v>-97.355373999999998</v>
      </c>
      <c r="M423" s="6" t="s">
        <v>770</v>
      </c>
      <c r="N423" s="6" t="s">
        <v>11</v>
      </c>
      <c r="O423" s="6" t="s">
        <v>22</v>
      </c>
    </row>
    <row r="424" spans="1:15" x14ac:dyDescent="0.25">
      <c r="A424" s="6" t="s">
        <v>11709</v>
      </c>
      <c r="B424" s="6" t="s">
        <v>11700</v>
      </c>
      <c r="C424" s="6" t="s">
        <v>31</v>
      </c>
      <c r="E424" s="6" t="s">
        <v>11699</v>
      </c>
      <c r="F424" s="6" t="s">
        <v>2807</v>
      </c>
      <c r="G424" s="6" t="s">
        <v>16</v>
      </c>
      <c r="H424" s="6" t="s">
        <v>15</v>
      </c>
      <c r="I424" s="6" t="s">
        <v>14</v>
      </c>
      <c r="J424" s="6" t="s">
        <v>13</v>
      </c>
      <c r="K424" s="7">
        <v>27.813913150000001</v>
      </c>
      <c r="L424" s="7">
        <v>-97.418408240000005</v>
      </c>
      <c r="M424" s="6" t="s">
        <v>12</v>
      </c>
      <c r="N424" s="6" t="s">
        <v>11</v>
      </c>
      <c r="O424" s="6" t="s">
        <v>10</v>
      </c>
    </row>
    <row r="425" spans="1:15" x14ac:dyDescent="0.25">
      <c r="A425" s="6" t="s">
        <v>11708</v>
      </c>
      <c r="B425" s="6" t="s">
        <v>11700</v>
      </c>
      <c r="C425" s="6" t="s">
        <v>436</v>
      </c>
      <c r="E425" s="6" t="s">
        <v>11699</v>
      </c>
      <c r="F425" s="6" t="s">
        <v>2807</v>
      </c>
      <c r="G425" s="6" t="s">
        <v>16</v>
      </c>
      <c r="H425" s="6" t="s">
        <v>15</v>
      </c>
      <c r="I425" s="6" t="s">
        <v>46</v>
      </c>
      <c r="J425" s="6" t="s">
        <v>13</v>
      </c>
      <c r="K425" s="7">
        <v>27.80184423</v>
      </c>
      <c r="L425" s="7">
        <v>-97.423856740000005</v>
      </c>
      <c r="M425" s="6" t="s">
        <v>12</v>
      </c>
      <c r="N425" s="6" t="s">
        <v>11</v>
      </c>
      <c r="O425" s="6" t="s">
        <v>10</v>
      </c>
    </row>
    <row r="426" spans="1:15" x14ac:dyDescent="0.25">
      <c r="A426" s="6" t="s">
        <v>11707</v>
      </c>
      <c r="B426" s="6" t="s">
        <v>11700</v>
      </c>
      <c r="C426" s="6" t="s">
        <v>597</v>
      </c>
      <c r="E426" s="6" t="s">
        <v>11699</v>
      </c>
      <c r="F426" s="6" t="s">
        <v>2807</v>
      </c>
      <c r="G426" s="6" t="s">
        <v>16</v>
      </c>
      <c r="H426" s="6" t="s">
        <v>15</v>
      </c>
      <c r="I426" s="6" t="s">
        <v>46</v>
      </c>
      <c r="J426" s="6" t="s">
        <v>13</v>
      </c>
      <c r="K426" s="7">
        <v>27.810669220000001</v>
      </c>
      <c r="L426" s="7">
        <v>-97.41812573</v>
      </c>
      <c r="M426" s="6" t="s">
        <v>12</v>
      </c>
      <c r="N426" s="6" t="s">
        <v>11</v>
      </c>
      <c r="O426" s="6" t="s">
        <v>10</v>
      </c>
    </row>
    <row r="427" spans="1:15" x14ac:dyDescent="0.25">
      <c r="A427" s="6" t="s">
        <v>11706</v>
      </c>
      <c r="B427" s="6" t="s">
        <v>11700</v>
      </c>
      <c r="C427" s="6" t="s">
        <v>433</v>
      </c>
      <c r="E427" s="6" t="s">
        <v>11699</v>
      </c>
      <c r="F427" s="6" t="s">
        <v>2807</v>
      </c>
      <c r="G427" s="6" t="s">
        <v>16</v>
      </c>
      <c r="H427" s="6" t="s">
        <v>15</v>
      </c>
      <c r="I427" s="6" t="s">
        <v>46</v>
      </c>
      <c r="J427" s="6" t="s">
        <v>13</v>
      </c>
      <c r="K427" s="7">
        <v>27.804479229999998</v>
      </c>
      <c r="L427" s="7">
        <v>-97.422366740000001</v>
      </c>
      <c r="M427" s="6" t="s">
        <v>12</v>
      </c>
      <c r="N427" s="6" t="s">
        <v>11</v>
      </c>
      <c r="O427" s="6" t="s">
        <v>10</v>
      </c>
    </row>
    <row r="428" spans="1:15" x14ac:dyDescent="0.25">
      <c r="A428" s="6" t="s">
        <v>11701</v>
      </c>
      <c r="B428" s="6" t="s">
        <v>11700</v>
      </c>
      <c r="C428" s="6" t="s">
        <v>1098</v>
      </c>
      <c r="E428" s="6" t="s">
        <v>11699</v>
      </c>
      <c r="F428" s="6" t="s">
        <v>2807</v>
      </c>
      <c r="G428" s="6" t="s">
        <v>16</v>
      </c>
      <c r="H428" s="6" t="s">
        <v>15</v>
      </c>
      <c r="I428" s="6" t="s">
        <v>46</v>
      </c>
      <c r="J428" s="6" t="s">
        <v>13</v>
      </c>
      <c r="K428" s="7">
        <v>27.805887219999999</v>
      </c>
      <c r="L428" s="7">
        <v>-97.421140730000005</v>
      </c>
      <c r="M428" s="6" t="s">
        <v>12</v>
      </c>
      <c r="N428" s="6" t="s">
        <v>11</v>
      </c>
      <c r="O428" s="6" t="s">
        <v>10</v>
      </c>
    </row>
    <row r="429" spans="1:15" x14ac:dyDescent="0.25">
      <c r="A429" s="6" t="s">
        <v>12090</v>
      </c>
      <c r="B429" s="6" t="s">
        <v>11700</v>
      </c>
      <c r="C429" s="6" t="s">
        <v>638</v>
      </c>
      <c r="E429" s="6" t="s">
        <v>11699</v>
      </c>
      <c r="F429" s="6" t="s">
        <v>2807</v>
      </c>
      <c r="G429" s="6" t="s">
        <v>16</v>
      </c>
      <c r="H429" s="6" t="s">
        <v>430</v>
      </c>
      <c r="I429" s="6" t="s">
        <v>46</v>
      </c>
      <c r="J429" s="6" t="s">
        <v>13</v>
      </c>
      <c r="K429" s="7">
        <v>27.814058459999998</v>
      </c>
      <c r="L429" s="7">
        <v>-97.419596049999996</v>
      </c>
      <c r="M429" s="6" t="s">
        <v>12</v>
      </c>
      <c r="N429" s="6" t="s">
        <v>11</v>
      </c>
      <c r="O429" s="6" t="s">
        <v>10</v>
      </c>
    </row>
    <row r="430" spans="1:15" x14ac:dyDescent="0.25">
      <c r="A430" s="6" t="s">
        <v>12089</v>
      </c>
      <c r="B430" s="6" t="s">
        <v>11700</v>
      </c>
      <c r="C430" s="6" t="s">
        <v>1092</v>
      </c>
      <c r="E430" s="6" t="s">
        <v>11699</v>
      </c>
      <c r="F430" s="6" t="s">
        <v>2807</v>
      </c>
      <c r="G430" s="6" t="s">
        <v>16</v>
      </c>
      <c r="H430" s="6" t="s">
        <v>15</v>
      </c>
      <c r="I430" s="6" t="s">
        <v>46</v>
      </c>
      <c r="J430" s="6" t="s">
        <v>13</v>
      </c>
      <c r="K430" s="7">
        <v>27.808684169999999</v>
      </c>
      <c r="L430" s="7">
        <v>-97.419055909999997</v>
      </c>
      <c r="M430" s="6" t="s">
        <v>12</v>
      </c>
      <c r="N430" s="6" t="s">
        <v>11</v>
      </c>
      <c r="O430" s="6" t="s">
        <v>10</v>
      </c>
    </row>
    <row r="431" spans="1:15" x14ac:dyDescent="0.25">
      <c r="A431" s="6" t="s">
        <v>10052</v>
      </c>
      <c r="B431" s="6" t="s">
        <v>10051</v>
      </c>
      <c r="C431" s="6" t="s">
        <v>31</v>
      </c>
      <c r="E431" s="6" t="s">
        <v>10050</v>
      </c>
      <c r="F431" s="6" t="s">
        <v>10049</v>
      </c>
      <c r="G431" s="6" t="s">
        <v>16</v>
      </c>
      <c r="H431" s="6" t="s">
        <v>15</v>
      </c>
      <c r="I431" s="6" t="s">
        <v>14</v>
      </c>
      <c r="J431" s="6" t="s">
        <v>35</v>
      </c>
      <c r="K431" s="7">
        <v>29.71278122</v>
      </c>
      <c r="L431" s="7">
        <v>-95.08694242</v>
      </c>
      <c r="M431" s="6" t="s">
        <v>701</v>
      </c>
      <c r="N431" s="6" t="s">
        <v>24</v>
      </c>
      <c r="O431" s="6" t="s">
        <v>23</v>
      </c>
    </row>
    <row r="432" spans="1:15" x14ac:dyDescent="0.25">
      <c r="A432" s="6" t="s">
        <v>12057</v>
      </c>
      <c r="B432" s="6" t="s">
        <v>12056</v>
      </c>
      <c r="C432" s="6" t="s">
        <v>31</v>
      </c>
      <c r="E432" s="6" t="s">
        <v>12055</v>
      </c>
      <c r="F432" s="6" t="s">
        <v>6402</v>
      </c>
      <c r="G432" s="6" t="s">
        <v>16</v>
      </c>
      <c r="H432" s="6" t="s">
        <v>15</v>
      </c>
      <c r="I432" s="6" t="s">
        <v>14</v>
      </c>
      <c r="J432" s="6" t="s">
        <v>632</v>
      </c>
      <c r="K432" s="7">
        <v>30.019914199999999</v>
      </c>
      <c r="L432" s="7">
        <v>-93.88019783</v>
      </c>
      <c r="M432" s="6" t="s">
        <v>429</v>
      </c>
      <c r="N432" s="6" t="s">
        <v>52</v>
      </c>
      <c r="O432" s="6" t="s">
        <v>24</v>
      </c>
    </row>
    <row r="433" spans="1:15" x14ac:dyDescent="0.25">
      <c r="A433" s="6" t="s">
        <v>6714</v>
      </c>
      <c r="B433" s="6" t="s">
        <v>6713</v>
      </c>
      <c r="C433" s="6" t="s">
        <v>31</v>
      </c>
      <c r="E433" s="6" t="s">
        <v>6712</v>
      </c>
      <c r="F433" s="6" t="s">
        <v>6711</v>
      </c>
      <c r="G433" s="6" t="s">
        <v>16</v>
      </c>
      <c r="H433" s="6" t="s">
        <v>430</v>
      </c>
      <c r="I433" s="6" t="s">
        <v>46</v>
      </c>
      <c r="J433" s="6" t="s">
        <v>385</v>
      </c>
      <c r="K433" s="7">
        <v>30.046697040000002</v>
      </c>
      <c r="L433" s="7">
        <v>-94.069469789999999</v>
      </c>
      <c r="M433" s="6" t="s">
        <v>429</v>
      </c>
      <c r="N433" s="6" t="s">
        <v>52</v>
      </c>
      <c r="O433" s="6" t="s">
        <v>24</v>
      </c>
    </row>
    <row r="434" spans="1:15" x14ac:dyDescent="0.25">
      <c r="A434" s="6" t="s">
        <v>12138</v>
      </c>
      <c r="B434" s="6" t="s">
        <v>714</v>
      </c>
      <c r="C434" s="6" t="s">
        <v>31</v>
      </c>
      <c r="E434" s="6" t="s">
        <v>713</v>
      </c>
      <c r="F434" s="6" t="s">
        <v>712</v>
      </c>
      <c r="G434" s="6" t="s">
        <v>16</v>
      </c>
      <c r="H434" s="6" t="s">
        <v>15</v>
      </c>
      <c r="I434" s="6" t="s">
        <v>14</v>
      </c>
      <c r="J434" s="6" t="s">
        <v>13</v>
      </c>
      <c r="K434" s="7">
        <v>27.816828189999999</v>
      </c>
      <c r="L434" s="7">
        <v>-97.45395182</v>
      </c>
      <c r="M434" s="6" t="s">
        <v>12</v>
      </c>
      <c r="N434" s="6" t="s">
        <v>11</v>
      </c>
      <c r="O434" s="6" t="s">
        <v>10</v>
      </c>
    </row>
    <row r="435" spans="1:15" x14ac:dyDescent="0.25">
      <c r="A435" s="6" t="s">
        <v>11575</v>
      </c>
      <c r="B435" s="6" t="s">
        <v>714</v>
      </c>
      <c r="C435" s="6" t="s">
        <v>19</v>
      </c>
      <c r="E435" s="6" t="s">
        <v>713</v>
      </c>
      <c r="F435" s="6" t="s">
        <v>712</v>
      </c>
      <c r="G435" s="6" t="s">
        <v>16</v>
      </c>
      <c r="H435" s="6" t="s">
        <v>430</v>
      </c>
      <c r="I435" s="6" t="s">
        <v>14</v>
      </c>
      <c r="J435" s="6" t="s">
        <v>13</v>
      </c>
      <c r="K435" s="7">
        <v>27.812708659999998</v>
      </c>
      <c r="L435" s="7">
        <v>-97.441900959999998</v>
      </c>
      <c r="M435" s="6" t="s">
        <v>12</v>
      </c>
      <c r="N435" s="6" t="s">
        <v>11</v>
      </c>
      <c r="O435" s="6" t="s">
        <v>10</v>
      </c>
    </row>
    <row r="436" spans="1:15" x14ac:dyDescent="0.25">
      <c r="A436" s="6" t="s">
        <v>11574</v>
      </c>
      <c r="B436" s="6" t="s">
        <v>714</v>
      </c>
      <c r="C436" s="6" t="s">
        <v>436</v>
      </c>
      <c r="E436" s="6" t="s">
        <v>713</v>
      </c>
      <c r="F436" s="6" t="s">
        <v>712</v>
      </c>
      <c r="G436" s="6" t="s">
        <v>16</v>
      </c>
      <c r="H436" s="6" t="s">
        <v>430</v>
      </c>
      <c r="I436" s="6" t="s">
        <v>14</v>
      </c>
      <c r="J436" s="6" t="s">
        <v>13</v>
      </c>
      <c r="K436" s="7">
        <v>27.810397340000002</v>
      </c>
      <c r="L436" s="7">
        <v>-97.451823160000004</v>
      </c>
      <c r="M436" s="6" t="s">
        <v>12</v>
      </c>
      <c r="N436" s="6" t="s">
        <v>11</v>
      </c>
      <c r="O436" s="6" t="s">
        <v>10</v>
      </c>
    </row>
    <row r="437" spans="1:15" x14ac:dyDescent="0.25">
      <c r="A437" s="6" t="s">
        <v>11573</v>
      </c>
      <c r="B437" s="6" t="s">
        <v>714</v>
      </c>
      <c r="C437" s="6" t="s">
        <v>597</v>
      </c>
      <c r="E437" s="6" t="s">
        <v>713</v>
      </c>
      <c r="F437" s="6" t="s">
        <v>712</v>
      </c>
      <c r="G437" s="6" t="s">
        <v>16</v>
      </c>
      <c r="H437" s="6" t="s">
        <v>15</v>
      </c>
      <c r="I437" s="6" t="s">
        <v>14</v>
      </c>
      <c r="J437" s="6" t="s">
        <v>13</v>
      </c>
      <c r="K437" s="7">
        <v>27.81091052</v>
      </c>
      <c r="L437" s="7">
        <v>-97.456748340000004</v>
      </c>
      <c r="M437" s="6" t="s">
        <v>12</v>
      </c>
      <c r="N437" s="6" t="s">
        <v>11</v>
      </c>
      <c r="O437" s="6" t="s">
        <v>10</v>
      </c>
    </row>
    <row r="438" spans="1:15" x14ac:dyDescent="0.25">
      <c r="A438" s="6" t="s">
        <v>715</v>
      </c>
      <c r="B438" s="6" t="s">
        <v>714</v>
      </c>
      <c r="C438" s="6" t="s">
        <v>557</v>
      </c>
      <c r="E438" s="6" t="s">
        <v>713</v>
      </c>
      <c r="F438" s="6" t="s">
        <v>712</v>
      </c>
      <c r="G438" s="6" t="s">
        <v>16</v>
      </c>
      <c r="H438" s="6" t="s">
        <v>430</v>
      </c>
      <c r="I438" s="6" t="s">
        <v>14</v>
      </c>
      <c r="J438" s="6" t="s">
        <v>13</v>
      </c>
      <c r="K438" s="7">
        <v>27.81472883</v>
      </c>
      <c r="L438" s="7">
        <v>-97.439124190000001</v>
      </c>
      <c r="M438" s="6" t="s">
        <v>12</v>
      </c>
      <c r="N438" s="6" t="s">
        <v>711</v>
      </c>
      <c r="O438" s="6" t="s">
        <v>10</v>
      </c>
    </row>
    <row r="439" spans="1:15" x14ac:dyDescent="0.25">
      <c r="A439" s="6" t="s">
        <v>8153</v>
      </c>
      <c r="B439" s="6" t="s">
        <v>5957</v>
      </c>
      <c r="C439" s="6" t="s">
        <v>436</v>
      </c>
      <c r="E439" s="6" t="s">
        <v>5956</v>
      </c>
      <c r="F439" s="6" t="s">
        <v>2739</v>
      </c>
      <c r="G439" s="6" t="s">
        <v>16</v>
      </c>
      <c r="H439" s="6" t="s">
        <v>15</v>
      </c>
      <c r="I439" s="6" t="s">
        <v>14</v>
      </c>
      <c r="J439" s="6" t="s">
        <v>35</v>
      </c>
      <c r="K439" s="7">
        <v>29.742054889999999</v>
      </c>
      <c r="L439" s="7">
        <v>-95.027288130000002</v>
      </c>
      <c r="M439" s="6" t="s">
        <v>8152</v>
      </c>
      <c r="N439" s="6" t="s">
        <v>120</v>
      </c>
      <c r="O439" s="6" t="s">
        <v>23</v>
      </c>
    </row>
    <row r="440" spans="1:15" x14ac:dyDescent="0.25">
      <c r="A440" s="6" t="s">
        <v>5958</v>
      </c>
      <c r="B440" s="6" t="s">
        <v>5957</v>
      </c>
      <c r="C440" s="6" t="s">
        <v>1098</v>
      </c>
      <c r="E440" s="6" t="s">
        <v>5956</v>
      </c>
      <c r="F440" s="6" t="s">
        <v>2739</v>
      </c>
      <c r="G440" s="6" t="s">
        <v>284</v>
      </c>
      <c r="H440" s="6" t="s">
        <v>15</v>
      </c>
      <c r="I440" s="6" t="s">
        <v>14</v>
      </c>
      <c r="J440" s="6" t="s">
        <v>35</v>
      </c>
      <c r="K440" s="7">
        <v>29.76243096</v>
      </c>
      <c r="L440" s="7">
        <v>-95.019264390000004</v>
      </c>
      <c r="M440" s="6" t="s">
        <v>2565</v>
      </c>
      <c r="N440" s="6" t="s">
        <v>120</v>
      </c>
      <c r="O440" s="6" t="s">
        <v>23</v>
      </c>
    </row>
    <row r="441" spans="1:15" x14ac:dyDescent="0.25">
      <c r="A441" s="6" t="s">
        <v>8056</v>
      </c>
      <c r="B441" s="6" t="s">
        <v>5090</v>
      </c>
      <c r="C441" s="6" t="s">
        <v>31</v>
      </c>
      <c r="E441" s="6" t="s">
        <v>5089</v>
      </c>
      <c r="F441" s="6" t="s">
        <v>5088</v>
      </c>
      <c r="G441" s="6" t="s">
        <v>16</v>
      </c>
      <c r="H441" s="6" t="s">
        <v>15</v>
      </c>
      <c r="I441" s="6" t="s">
        <v>14</v>
      </c>
      <c r="J441" s="6" t="s">
        <v>35</v>
      </c>
      <c r="K441" s="7">
        <v>29.712937449999998</v>
      </c>
      <c r="L441" s="7">
        <v>-95.115028170000002</v>
      </c>
      <c r="M441" s="6" t="s">
        <v>34</v>
      </c>
      <c r="N441" s="6" t="s">
        <v>24</v>
      </c>
      <c r="O441" s="6" t="s">
        <v>23</v>
      </c>
    </row>
    <row r="442" spans="1:15" x14ac:dyDescent="0.25">
      <c r="A442" s="6" t="s">
        <v>8055</v>
      </c>
      <c r="B442" s="6" t="s">
        <v>5090</v>
      </c>
      <c r="C442" s="6" t="s">
        <v>19</v>
      </c>
      <c r="E442" s="6" t="s">
        <v>5089</v>
      </c>
      <c r="F442" s="6" t="s">
        <v>5088</v>
      </c>
      <c r="G442" s="6" t="s">
        <v>16</v>
      </c>
      <c r="H442" s="6" t="s">
        <v>430</v>
      </c>
      <c r="I442" s="6" t="s">
        <v>14</v>
      </c>
      <c r="J442" s="6" t="s">
        <v>35</v>
      </c>
      <c r="K442" s="7">
        <v>29.714959319999998</v>
      </c>
      <c r="L442" s="7">
        <v>-95.115352430000002</v>
      </c>
      <c r="M442" s="6" t="s">
        <v>34</v>
      </c>
      <c r="N442" s="6" t="s">
        <v>24</v>
      </c>
      <c r="O442" s="6" t="s">
        <v>23</v>
      </c>
    </row>
    <row r="443" spans="1:15" x14ac:dyDescent="0.25">
      <c r="A443" s="6" t="s">
        <v>8054</v>
      </c>
      <c r="B443" s="6" t="s">
        <v>5090</v>
      </c>
      <c r="C443" s="6" t="s">
        <v>436</v>
      </c>
      <c r="E443" s="6" t="s">
        <v>5089</v>
      </c>
      <c r="F443" s="6" t="s">
        <v>5088</v>
      </c>
      <c r="G443" s="6" t="s">
        <v>16</v>
      </c>
      <c r="H443" s="6" t="s">
        <v>430</v>
      </c>
      <c r="I443" s="6" t="s">
        <v>14</v>
      </c>
      <c r="J443" s="6" t="s">
        <v>35</v>
      </c>
      <c r="K443" s="7">
        <v>29.71699834</v>
      </c>
      <c r="L443" s="7">
        <v>-95.116132320000006</v>
      </c>
      <c r="M443" s="6" t="s">
        <v>34</v>
      </c>
      <c r="N443" s="6" t="s">
        <v>24</v>
      </c>
      <c r="O443" s="6" t="s">
        <v>23</v>
      </c>
    </row>
    <row r="444" spans="1:15" x14ac:dyDescent="0.25">
      <c r="A444" s="6" t="s">
        <v>8053</v>
      </c>
      <c r="B444" s="6" t="s">
        <v>5090</v>
      </c>
      <c r="C444" s="6" t="s">
        <v>597</v>
      </c>
      <c r="E444" s="6" t="s">
        <v>5089</v>
      </c>
      <c r="F444" s="6" t="s">
        <v>5088</v>
      </c>
      <c r="G444" s="6" t="s">
        <v>16</v>
      </c>
      <c r="H444" s="6" t="s">
        <v>430</v>
      </c>
      <c r="I444" s="6" t="s">
        <v>14</v>
      </c>
      <c r="J444" s="6" t="s">
        <v>35</v>
      </c>
      <c r="K444" s="7">
        <v>29.719776270000001</v>
      </c>
      <c r="L444" s="7">
        <v>-95.117125200000004</v>
      </c>
      <c r="M444" s="6" t="s">
        <v>34</v>
      </c>
      <c r="N444" s="6" t="s">
        <v>24</v>
      </c>
      <c r="O444" s="6" t="s">
        <v>23</v>
      </c>
    </row>
    <row r="445" spans="1:15" x14ac:dyDescent="0.25">
      <c r="A445" s="6" t="s">
        <v>8052</v>
      </c>
      <c r="B445" s="6" t="s">
        <v>5090</v>
      </c>
      <c r="C445" s="6" t="s">
        <v>557</v>
      </c>
      <c r="E445" s="6" t="s">
        <v>5089</v>
      </c>
      <c r="F445" s="6" t="s">
        <v>5088</v>
      </c>
      <c r="G445" s="6" t="s">
        <v>16</v>
      </c>
      <c r="H445" s="6" t="s">
        <v>430</v>
      </c>
      <c r="I445" s="6" t="s">
        <v>14</v>
      </c>
      <c r="J445" s="6" t="s">
        <v>35</v>
      </c>
      <c r="K445" s="7">
        <v>29.719916990000002</v>
      </c>
      <c r="L445" s="7">
        <v>-95.117027800000002</v>
      </c>
      <c r="M445" s="6" t="s">
        <v>34</v>
      </c>
      <c r="N445" s="6" t="s">
        <v>24</v>
      </c>
      <c r="O445" s="6" t="s">
        <v>23</v>
      </c>
    </row>
    <row r="446" spans="1:15" x14ac:dyDescent="0.25">
      <c r="A446" s="6" t="s">
        <v>6716</v>
      </c>
      <c r="B446" s="6" t="s">
        <v>5090</v>
      </c>
      <c r="C446" s="6" t="s">
        <v>433</v>
      </c>
      <c r="E446" s="6" t="s">
        <v>5089</v>
      </c>
      <c r="F446" s="6" t="s">
        <v>5088</v>
      </c>
      <c r="G446" s="6" t="s">
        <v>16</v>
      </c>
      <c r="H446" s="6" t="s">
        <v>430</v>
      </c>
      <c r="I446" s="6" t="s">
        <v>14</v>
      </c>
      <c r="J446" s="6" t="s">
        <v>35</v>
      </c>
      <c r="K446" s="7">
        <v>29.713013650000001</v>
      </c>
      <c r="L446" s="7">
        <v>-95.115042950000003</v>
      </c>
      <c r="M446" s="6" t="s">
        <v>34</v>
      </c>
      <c r="N446" s="6" t="s">
        <v>24</v>
      </c>
      <c r="O446" s="6" t="s">
        <v>23</v>
      </c>
    </row>
    <row r="447" spans="1:15" x14ac:dyDescent="0.25">
      <c r="A447" s="6" t="s">
        <v>6715</v>
      </c>
      <c r="B447" s="6" t="s">
        <v>5090</v>
      </c>
      <c r="C447" s="6" t="s">
        <v>1098</v>
      </c>
      <c r="E447" s="6" t="s">
        <v>5089</v>
      </c>
      <c r="F447" s="6" t="s">
        <v>5088</v>
      </c>
      <c r="G447" s="6" t="s">
        <v>16</v>
      </c>
      <c r="H447" s="6" t="s">
        <v>15</v>
      </c>
      <c r="I447" s="6" t="s">
        <v>14</v>
      </c>
      <c r="J447" s="6" t="s">
        <v>35</v>
      </c>
      <c r="K447" s="7">
        <v>29.719394999999999</v>
      </c>
      <c r="L447" s="7">
        <v>-95.107709</v>
      </c>
      <c r="M447" s="6" t="s">
        <v>34</v>
      </c>
      <c r="N447" s="6" t="s">
        <v>24</v>
      </c>
      <c r="O447" s="6" t="s">
        <v>23</v>
      </c>
    </row>
    <row r="448" spans="1:15" x14ac:dyDescent="0.25">
      <c r="A448" s="6" t="s">
        <v>5091</v>
      </c>
      <c r="B448" s="6" t="s">
        <v>5090</v>
      </c>
      <c r="C448" s="6" t="s">
        <v>1096</v>
      </c>
      <c r="E448" s="6" t="s">
        <v>5089</v>
      </c>
      <c r="F448" s="6" t="s">
        <v>5088</v>
      </c>
      <c r="G448" s="6" t="s">
        <v>16</v>
      </c>
      <c r="H448" s="6" t="s">
        <v>15</v>
      </c>
      <c r="I448" s="6" t="s">
        <v>36</v>
      </c>
      <c r="J448" s="6" t="s">
        <v>35</v>
      </c>
      <c r="K448" s="7">
        <v>29.739959469999999</v>
      </c>
      <c r="L448" s="7">
        <v>-95.109552870000002</v>
      </c>
      <c r="M448" s="6" t="s">
        <v>34</v>
      </c>
      <c r="N448" s="6" t="s">
        <v>24</v>
      </c>
      <c r="O448" s="6" t="s">
        <v>23</v>
      </c>
    </row>
    <row r="449" spans="1:15" x14ac:dyDescent="0.25">
      <c r="A449" s="6" t="s">
        <v>12043</v>
      </c>
      <c r="B449" s="6" t="s">
        <v>12042</v>
      </c>
      <c r="C449" s="6" t="s">
        <v>31</v>
      </c>
      <c r="E449" s="6" t="s">
        <v>12041</v>
      </c>
      <c r="F449" s="6" t="s">
        <v>12040</v>
      </c>
      <c r="G449" s="6" t="s">
        <v>16</v>
      </c>
      <c r="H449" s="6" t="s">
        <v>15</v>
      </c>
      <c r="I449" s="6" t="s">
        <v>36</v>
      </c>
      <c r="J449" s="6" t="s">
        <v>35</v>
      </c>
      <c r="K449" s="7">
        <v>29.7204278</v>
      </c>
      <c r="L449" s="7">
        <v>-95.241313880000007</v>
      </c>
      <c r="M449" s="6" t="s">
        <v>866</v>
      </c>
      <c r="N449" s="6" t="s">
        <v>24</v>
      </c>
      <c r="O449" s="6" t="s">
        <v>23</v>
      </c>
    </row>
    <row r="450" spans="1:15" x14ac:dyDescent="0.25">
      <c r="A450" s="6" t="s">
        <v>11247</v>
      </c>
      <c r="B450" s="6" t="s">
        <v>989</v>
      </c>
      <c r="C450" s="6" t="s">
        <v>31</v>
      </c>
      <c r="E450" s="6" t="s">
        <v>988</v>
      </c>
      <c r="F450" s="6" t="s">
        <v>987</v>
      </c>
      <c r="G450" s="6" t="s">
        <v>16</v>
      </c>
      <c r="H450" s="6" t="s">
        <v>15</v>
      </c>
      <c r="I450" s="6" t="s">
        <v>14</v>
      </c>
      <c r="J450" s="6" t="s">
        <v>35</v>
      </c>
      <c r="K450" s="7">
        <v>29.758027139999999</v>
      </c>
      <c r="L450" s="7">
        <v>-95.17897988</v>
      </c>
      <c r="M450" s="6" t="s">
        <v>34</v>
      </c>
      <c r="N450" s="6" t="s">
        <v>24</v>
      </c>
      <c r="O450" s="6" t="s">
        <v>23</v>
      </c>
    </row>
    <row r="451" spans="1:15" x14ac:dyDescent="0.25">
      <c r="A451" s="6" t="s">
        <v>11246</v>
      </c>
      <c r="B451" s="6" t="s">
        <v>989</v>
      </c>
      <c r="C451" s="6" t="s">
        <v>19</v>
      </c>
      <c r="E451" s="6" t="s">
        <v>988</v>
      </c>
      <c r="F451" s="6" t="s">
        <v>987</v>
      </c>
      <c r="G451" s="6" t="s">
        <v>16</v>
      </c>
      <c r="H451" s="6" t="s">
        <v>15</v>
      </c>
      <c r="I451" s="6" t="s">
        <v>14</v>
      </c>
      <c r="J451" s="6" t="s">
        <v>35</v>
      </c>
      <c r="K451" s="7">
        <v>29.758025910000001</v>
      </c>
      <c r="L451" s="7">
        <v>-95.178978549999997</v>
      </c>
      <c r="M451" s="6" t="s">
        <v>34</v>
      </c>
      <c r="N451" s="6" t="s">
        <v>24</v>
      </c>
      <c r="O451" s="6" t="s">
        <v>23</v>
      </c>
    </row>
    <row r="452" spans="1:15" x14ac:dyDescent="0.25">
      <c r="A452" s="6" t="s">
        <v>12179</v>
      </c>
      <c r="B452" s="6" t="s">
        <v>989</v>
      </c>
      <c r="C452" s="6" t="s">
        <v>436</v>
      </c>
      <c r="E452" s="6" t="s">
        <v>988</v>
      </c>
      <c r="F452" s="6" t="s">
        <v>987</v>
      </c>
      <c r="G452" s="6" t="s">
        <v>16</v>
      </c>
      <c r="H452" s="6" t="s">
        <v>430</v>
      </c>
      <c r="I452" s="6" t="s">
        <v>14</v>
      </c>
      <c r="J452" s="6" t="s">
        <v>35</v>
      </c>
      <c r="K452" s="7">
        <v>29.757119979999999</v>
      </c>
      <c r="L452" s="7">
        <v>-95.178137230000004</v>
      </c>
      <c r="M452" s="6" t="s">
        <v>34</v>
      </c>
      <c r="N452" s="6" t="s">
        <v>24</v>
      </c>
      <c r="O452" s="6" t="s">
        <v>23</v>
      </c>
    </row>
    <row r="453" spans="1:15" x14ac:dyDescent="0.25">
      <c r="A453" s="6" t="s">
        <v>990</v>
      </c>
      <c r="B453" s="6" t="s">
        <v>989</v>
      </c>
      <c r="C453" s="6" t="s">
        <v>597</v>
      </c>
      <c r="E453" s="6" t="s">
        <v>988</v>
      </c>
      <c r="F453" s="6" t="s">
        <v>987</v>
      </c>
      <c r="G453" s="6" t="s">
        <v>16</v>
      </c>
      <c r="H453" s="6" t="s">
        <v>430</v>
      </c>
      <c r="I453" s="6" t="s">
        <v>14</v>
      </c>
      <c r="J453" s="6" t="s">
        <v>35</v>
      </c>
      <c r="K453" s="7">
        <v>29.758023640000001</v>
      </c>
      <c r="L453" s="7">
        <v>-95.178982739999995</v>
      </c>
      <c r="M453" s="6" t="s">
        <v>34</v>
      </c>
      <c r="N453" s="6" t="s">
        <v>24</v>
      </c>
      <c r="O453" s="6" t="s">
        <v>23</v>
      </c>
    </row>
    <row r="454" spans="1:15" x14ac:dyDescent="0.25">
      <c r="A454" s="6" t="s">
        <v>12178</v>
      </c>
      <c r="B454" s="6" t="s">
        <v>989</v>
      </c>
      <c r="C454" s="6" t="s">
        <v>557</v>
      </c>
      <c r="E454" s="6" t="s">
        <v>988</v>
      </c>
      <c r="F454" s="6" t="s">
        <v>987</v>
      </c>
      <c r="G454" s="6" t="s">
        <v>16</v>
      </c>
      <c r="H454" s="6" t="s">
        <v>430</v>
      </c>
      <c r="I454" s="6" t="s">
        <v>14</v>
      </c>
      <c r="J454" s="6" t="s">
        <v>35</v>
      </c>
      <c r="K454" s="7">
        <v>29.760237579999998</v>
      </c>
      <c r="L454" s="7">
        <v>-95.172638689999999</v>
      </c>
      <c r="M454" s="6" t="s">
        <v>34</v>
      </c>
      <c r="N454" s="6" t="s">
        <v>24</v>
      </c>
      <c r="O454" s="6" t="s">
        <v>23</v>
      </c>
    </row>
    <row r="455" spans="1:15" x14ac:dyDescent="0.25">
      <c r="A455" s="6" t="s">
        <v>10964</v>
      </c>
      <c r="B455" s="6" t="s">
        <v>5972</v>
      </c>
      <c r="C455" s="6" t="s">
        <v>31</v>
      </c>
      <c r="E455" s="6" t="s">
        <v>5971</v>
      </c>
      <c r="F455" s="6" t="s">
        <v>5970</v>
      </c>
      <c r="G455" s="6" t="s">
        <v>16</v>
      </c>
      <c r="H455" s="6" t="s">
        <v>15</v>
      </c>
      <c r="I455" s="6" t="s">
        <v>14</v>
      </c>
      <c r="J455" s="6" t="s">
        <v>35</v>
      </c>
      <c r="K455" s="7">
        <v>29.723136090000001</v>
      </c>
      <c r="L455" s="7">
        <v>-95.270825189999996</v>
      </c>
      <c r="M455" s="6" t="s">
        <v>866</v>
      </c>
      <c r="N455" s="6" t="s">
        <v>24</v>
      </c>
      <c r="O455" s="6" t="s">
        <v>23</v>
      </c>
    </row>
    <row r="456" spans="1:15" x14ac:dyDescent="0.25">
      <c r="A456" s="6" t="s">
        <v>5973</v>
      </c>
      <c r="B456" s="6" t="s">
        <v>5972</v>
      </c>
      <c r="C456" s="6" t="s">
        <v>19</v>
      </c>
      <c r="E456" s="6" t="s">
        <v>5971</v>
      </c>
      <c r="F456" s="6" t="s">
        <v>5970</v>
      </c>
      <c r="G456" s="6" t="s">
        <v>16</v>
      </c>
      <c r="H456" s="6" t="s">
        <v>15</v>
      </c>
      <c r="I456" s="6" t="s">
        <v>14</v>
      </c>
      <c r="J456" s="6" t="s">
        <v>35</v>
      </c>
      <c r="K456" s="7">
        <v>29.720664249999999</v>
      </c>
      <c r="L456" s="7">
        <v>-95.273902980000003</v>
      </c>
      <c r="M456" s="6" t="s">
        <v>866</v>
      </c>
      <c r="N456" s="6" t="s">
        <v>24</v>
      </c>
      <c r="O456" s="6" t="s">
        <v>23</v>
      </c>
    </row>
    <row r="457" spans="1:15" x14ac:dyDescent="0.25">
      <c r="A457" s="6" t="s">
        <v>12048</v>
      </c>
      <c r="B457" s="6" t="s">
        <v>1967</v>
      </c>
      <c r="C457" s="6" t="s">
        <v>19</v>
      </c>
      <c r="E457" s="6" t="s">
        <v>1966</v>
      </c>
      <c r="F457" s="6" t="s">
        <v>1965</v>
      </c>
      <c r="G457" s="6" t="s">
        <v>16</v>
      </c>
      <c r="H457" s="6" t="s">
        <v>430</v>
      </c>
      <c r="I457" s="6" t="s">
        <v>14</v>
      </c>
      <c r="J457" s="6" t="s">
        <v>385</v>
      </c>
      <c r="K457" s="7">
        <v>29.846306909999999</v>
      </c>
      <c r="L457" s="7">
        <v>-93.952192150000002</v>
      </c>
      <c r="M457" s="6" t="s">
        <v>610</v>
      </c>
      <c r="N457" s="6" t="s">
        <v>383</v>
      </c>
      <c r="O457" s="6" t="s">
        <v>24</v>
      </c>
    </row>
    <row r="458" spans="1:15" x14ac:dyDescent="0.25">
      <c r="A458" s="6" t="s">
        <v>12047</v>
      </c>
      <c r="B458" s="6" t="s">
        <v>1967</v>
      </c>
      <c r="C458" s="6" t="s">
        <v>597</v>
      </c>
      <c r="E458" s="6" t="s">
        <v>1966</v>
      </c>
      <c r="F458" s="6" t="s">
        <v>1965</v>
      </c>
      <c r="G458" s="6" t="s">
        <v>16</v>
      </c>
      <c r="H458" s="6" t="s">
        <v>430</v>
      </c>
      <c r="I458" s="6" t="s">
        <v>14</v>
      </c>
      <c r="J458" s="6" t="s">
        <v>385</v>
      </c>
      <c r="K458" s="7">
        <v>29.846298449999999</v>
      </c>
      <c r="L458" s="7">
        <v>-93.952170640000006</v>
      </c>
      <c r="M458" s="6" t="s">
        <v>610</v>
      </c>
      <c r="N458" s="6" t="s">
        <v>383</v>
      </c>
      <c r="O458" s="6" t="s">
        <v>24</v>
      </c>
    </row>
    <row r="459" spans="1:15" x14ac:dyDescent="0.25">
      <c r="A459" s="6" t="s">
        <v>1968</v>
      </c>
      <c r="B459" s="6" t="s">
        <v>1967</v>
      </c>
      <c r="C459" s="6" t="s">
        <v>557</v>
      </c>
      <c r="E459" s="6" t="s">
        <v>1966</v>
      </c>
      <c r="F459" s="6" t="s">
        <v>1965</v>
      </c>
      <c r="G459" s="6" t="s">
        <v>16</v>
      </c>
      <c r="H459" s="6" t="s">
        <v>430</v>
      </c>
      <c r="I459" s="6" t="s">
        <v>14</v>
      </c>
      <c r="J459" s="6" t="s">
        <v>385</v>
      </c>
      <c r="K459" s="7">
        <v>29.862733410000001</v>
      </c>
      <c r="L459" s="7">
        <v>-93.957370019999999</v>
      </c>
      <c r="M459" s="6" t="s">
        <v>610</v>
      </c>
      <c r="N459" s="6" t="s">
        <v>383</v>
      </c>
      <c r="O459" s="6" t="s">
        <v>24</v>
      </c>
    </row>
    <row r="460" spans="1:15" x14ac:dyDescent="0.25">
      <c r="A460" s="6" t="s">
        <v>6694</v>
      </c>
      <c r="B460" s="6" t="s">
        <v>6691</v>
      </c>
      <c r="C460" s="6" t="s">
        <v>31</v>
      </c>
      <c r="E460" s="6" t="s">
        <v>6690</v>
      </c>
      <c r="F460" s="6" t="s">
        <v>6689</v>
      </c>
      <c r="G460" s="6" t="s">
        <v>16</v>
      </c>
      <c r="H460" s="6" t="s">
        <v>15</v>
      </c>
      <c r="I460" s="6" t="s">
        <v>36</v>
      </c>
      <c r="J460" s="6" t="s">
        <v>35</v>
      </c>
      <c r="K460" s="7">
        <v>29.7455666</v>
      </c>
      <c r="L460" s="7">
        <v>-95.196471549999998</v>
      </c>
      <c r="M460" s="6" t="s">
        <v>866</v>
      </c>
      <c r="N460" s="6" t="s">
        <v>24</v>
      </c>
      <c r="O460" s="6" t="s">
        <v>23</v>
      </c>
    </row>
    <row r="461" spans="1:15" x14ac:dyDescent="0.25">
      <c r="A461" s="6" t="s">
        <v>6693</v>
      </c>
      <c r="B461" s="6" t="s">
        <v>6691</v>
      </c>
      <c r="C461" s="6" t="s">
        <v>19</v>
      </c>
      <c r="E461" s="6" t="s">
        <v>6690</v>
      </c>
      <c r="F461" s="6" t="s">
        <v>6689</v>
      </c>
      <c r="G461" s="6" t="s">
        <v>16</v>
      </c>
      <c r="H461" s="6" t="s">
        <v>430</v>
      </c>
      <c r="I461" s="6" t="s">
        <v>36</v>
      </c>
      <c r="J461" s="6" t="s">
        <v>35</v>
      </c>
      <c r="K461" s="7">
        <v>29.745388819999999</v>
      </c>
      <c r="L461" s="7">
        <v>-95.196253540000001</v>
      </c>
      <c r="M461" s="6" t="s">
        <v>866</v>
      </c>
      <c r="N461" s="6" t="s">
        <v>24</v>
      </c>
      <c r="O461" s="6" t="s">
        <v>23</v>
      </c>
    </row>
    <row r="462" spans="1:15" x14ac:dyDescent="0.25">
      <c r="A462" s="6" t="s">
        <v>6692</v>
      </c>
      <c r="B462" s="6" t="s">
        <v>6691</v>
      </c>
      <c r="C462" s="6" t="s">
        <v>436</v>
      </c>
      <c r="E462" s="6" t="s">
        <v>6690</v>
      </c>
      <c r="F462" s="6" t="s">
        <v>6689</v>
      </c>
      <c r="G462" s="6" t="s">
        <v>16</v>
      </c>
      <c r="H462" s="6" t="s">
        <v>430</v>
      </c>
      <c r="I462" s="6" t="s">
        <v>36</v>
      </c>
      <c r="J462" s="6" t="s">
        <v>35</v>
      </c>
      <c r="K462" s="7">
        <v>29.744824000000001</v>
      </c>
      <c r="L462" s="7">
        <v>-95.202842000000004</v>
      </c>
      <c r="M462" s="6" t="s">
        <v>866</v>
      </c>
      <c r="N462" s="6" t="s">
        <v>24</v>
      </c>
      <c r="O462" s="6" t="s">
        <v>23</v>
      </c>
    </row>
    <row r="463" spans="1:15" x14ac:dyDescent="0.25">
      <c r="A463" s="6" t="s">
        <v>700</v>
      </c>
      <c r="B463" s="6" t="s">
        <v>699</v>
      </c>
      <c r="C463" s="6" t="s">
        <v>19</v>
      </c>
      <c r="E463" s="6" t="s">
        <v>698</v>
      </c>
      <c r="F463" s="6" t="s">
        <v>697</v>
      </c>
      <c r="G463" s="6" t="s">
        <v>16</v>
      </c>
      <c r="H463" s="6" t="s">
        <v>15</v>
      </c>
      <c r="I463" s="6" t="s">
        <v>46</v>
      </c>
      <c r="J463" s="6" t="s">
        <v>385</v>
      </c>
      <c r="K463" s="7">
        <v>30.02696693</v>
      </c>
      <c r="L463" s="7">
        <v>-94.029510360000003</v>
      </c>
      <c r="M463" s="6" t="s">
        <v>429</v>
      </c>
      <c r="N463" s="6" t="s">
        <v>52</v>
      </c>
      <c r="O463" s="6" t="s">
        <v>24</v>
      </c>
    </row>
    <row r="464" spans="1:15" x14ac:dyDescent="0.25">
      <c r="A464" s="6" t="s">
        <v>6710</v>
      </c>
      <c r="B464" s="6" t="s">
        <v>5721</v>
      </c>
      <c r="C464" s="6" t="s">
        <v>31</v>
      </c>
      <c r="E464" s="6" t="s">
        <v>5720</v>
      </c>
      <c r="F464" s="6" t="s">
        <v>5719</v>
      </c>
      <c r="G464" s="6" t="s">
        <v>16</v>
      </c>
      <c r="H464" s="6" t="s">
        <v>15</v>
      </c>
      <c r="I464" s="6" t="s">
        <v>36</v>
      </c>
      <c r="J464" s="6" t="s">
        <v>35</v>
      </c>
      <c r="K464" s="7">
        <v>29.739816569999999</v>
      </c>
      <c r="L464" s="7">
        <v>-95.199387200000004</v>
      </c>
      <c r="M464" s="6" t="s">
        <v>866</v>
      </c>
      <c r="N464" s="6" t="s">
        <v>24</v>
      </c>
      <c r="O464" s="6" t="s">
        <v>23</v>
      </c>
    </row>
    <row r="465" spans="1:15" x14ac:dyDescent="0.25">
      <c r="A465" s="6" t="s">
        <v>6709</v>
      </c>
      <c r="B465" s="6" t="s">
        <v>5721</v>
      </c>
      <c r="C465" s="6" t="s">
        <v>19</v>
      </c>
      <c r="E465" s="6" t="s">
        <v>5720</v>
      </c>
      <c r="F465" s="6" t="s">
        <v>5719</v>
      </c>
      <c r="G465" s="6" t="s">
        <v>16</v>
      </c>
      <c r="H465" s="6" t="s">
        <v>430</v>
      </c>
      <c r="I465" s="6" t="s">
        <v>36</v>
      </c>
      <c r="J465" s="6" t="s">
        <v>35</v>
      </c>
      <c r="K465" s="7">
        <v>29.740317000000001</v>
      </c>
      <c r="L465" s="7">
        <v>-95.198465769999999</v>
      </c>
      <c r="M465" s="6" t="s">
        <v>866</v>
      </c>
      <c r="N465" s="6" t="s">
        <v>24</v>
      </c>
      <c r="O465" s="6" t="s">
        <v>23</v>
      </c>
    </row>
    <row r="466" spans="1:15" x14ac:dyDescent="0.25">
      <c r="A466" s="6" t="s">
        <v>5722</v>
      </c>
      <c r="B466" s="6" t="s">
        <v>5721</v>
      </c>
      <c r="C466" s="6" t="s">
        <v>436</v>
      </c>
      <c r="E466" s="6" t="s">
        <v>5720</v>
      </c>
      <c r="F466" s="6" t="s">
        <v>5719</v>
      </c>
      <c r="G466" s="6" t="s">
        <v>16</v>
      </c>
      <c r="H466" s="6" t="s">
        <v>430</v>
      </c>
      <c r="I466" s="6" t="s">
        <v>36</v>
      </c>
      <c r="J466" s="6" t="s">
        <v>35</v>
      </c>
      <c r="K466" s="7">
        <v>29.74235929</v>
      </c>
      <c r="L466" s="7">
        <v>-95.192807380000005</v>
      </c>
      <c r="M466" s="6" t="s">
        <v>866</v>
      </c>
      <c r="N466" s="6" t="s">
        <v>24</v>
      </c>
      <c r="O466" s="6" t="s">
        <v>23</v>
      </c>
    </row>
    <row r="467" spans="1:15" x14ac:dyDescent="0.25">
      <c r="A467" s="6" t="s">
        <v>11505</v>
      </c>
      <c r="B467" s="6" t="s">
        <v>11504</v>
      </c>
      <c r="C467" s="6" t="s">
        <v>31</v>
      </c>
      <c r="E467" s="6" t="s">
        <v>11503</v>
      </c>
      <c r="F467" s="6" t="s">
        <v>11502</v>
      </c>
      <c r="G467" s="6" t="s">
        <v>16</v>
      </c>
      <c r="H467" s="6" t="s">
        <v>15</v>
      </c>
      <c r="I467" s="6" t="s">
        <v>36</v>
      </c>
      <c r="J467" s="6" t="s">
        <v>35</v>
      </c>
      <c r="K467" s="7">
        <v>29.700703270000002</v>
      </c>
      <c r="L467" s="7">
        <v>-95.030025879999997</v>
      </c>
      <c r="M467" s="6" t="s">
        <v>599</v>
      </c>
      <c r="N467" s="6" t="s">
        <v>160</v>
      </c>
      <c r="O467" s="6" t="s">
        <v>23</v>
      </c>
    </row>
    <row r="468" spans="1:15" x14ac:dyDescent="0.25">
      <c r="A468" s="6" t="s">
        <v>8125</v>
      </c>
      <c r="B468" s="6" t="s">
        <v>8123</v>
      </c>
      <c r="C468" s="6" t="s">
        <v>31</v>
      </c>
      <c r="E468" s="6" t="s">
        <v>8122</v>
      </c>
      <c r="F468" s="6" t="s">
        <v>8121</v>
      </c>
      <c r="G468" s="6" t="s">
        <v>16</v>
      </c>
      <c r="H468" s="6" t="s">
        <v>15</v>
      </c>
      <c r="I468" s="6" t="s">
        <v>14</v>
      </c>
      <c r="J468" s="6" t="s">
        <v>215</v>
      </c>
      <c r="K468" s="7">
        <v>29.423155640000001</v>
      </c>
      <c r="L468" s="7">
        <v>-94.969484210000005</v>
      </c>
      <c r="M468" s="6" t="s">
        <v>7148</v>
      </c>
      <c r="N468" s="6" t="s">
        <v>160</v>
      </c>
      <c r="O468" s="6" t="s">
        <v>23</v>
      </c>
    </row>
    <row r="469" spans="1:15" x14ac:dyDescent="0.25">
      <c r="A469" s="6" t="s">
        <v>8124</v>
      </c>
      <c r="B469" s="6" t="s">
        <v>8123</v>
      </c>
      <c r="C469" s="6" t="s">
        <v>436</v>
      </c>
      <c r="E469" s="6" t="s">
        <v>8122</v>
      </c>
      <c r="F469" s="6" t="s">
        <v>8121</v>
      </c>
      <c r="G469" s="6" t="s">
        <v>16</v>
      </c>
      <c r="H469" s="6" t="s">
        <v>430</v>
      </c>
      <c r="I469" s="6" t="s">
        <v>14</v>
      </c>
      <c r="J469" s="6" t="s">
        <v>215</v>
      </c>
      <c r="K469" s="7">
        <v>29.42434562</v>
      </c>
      <c r="L469" s="7">
        <v>-94.964209690000004</v>
      </c>
      <c r="M469" s="6" t="s">
        <v>7148</v>
      </c>
      <c r="N469" s="6" t="s">
        <v>160</v>
      </c>
      <c r="O469" s="6" t="s">
        <v>23</v>
      </c>
    </row>
    <row r="470" spans="1:15" x14ac:dyDescent="0.25">
      <c r="A470" s="6" t="s">
        <v>12072</v>
      </c>
      <c r="B470" s="6" t="s">
        <v>5137</v>
      </c>
      <c r="C470" s="6" t="s">
        <v>31</v>
      </c>
      <c r="E470" s="6" t="s">
        <v>5136</v>
      </c>
      <c r="F470" s="6" t="s">
        <v>1142</v>
      </c>
      <c r="G470" s="6" t="s">
        <v>16</v>
      </c>
      <c r="H470" s="6" t="s">
        <v>430</v>
      </c>
      <c r="I470" s="6" t="s">
        <v>60</v>
      </c>
      <c r="J470" s="6" t="s">
        <v>35</v>
      </c>
      <c r="K470" s="7">
        <v>29.728026</v>
      </c>
      <c r="L470" s="7">
        <v>-95.113607000000002</v>
      </c>
      <c r="M470" s="6" t="s">
        <v>34</v>
      </c>
      <c r="N470" s="6" t="s">
        <v>24</v>
      </c>
      <c r="O470" s="6" t="s">
        <v>23</v>
      </c>
    </row>
    <row r="471" spans="1:15" x14ac:dyDescent="0.25">
      <c r="A471" s="6" t="s">
        <v>12071</v>
      </c>
      <c r="B471" s="6" t="s">
        <v>5137</v>
      </c>
      <c r="C471" s="6" t="s">
        <v>19</v>
      </c>
      <c r="E471" s="6" t="s">
        <v>5136</v>
      </c>
      <c r="F471" s="6" t="s">
        <v>1142</v>
      </c>
      <c r="G471" s="6" t="s">
        <v>16</v>
      </c>
      <c r="H471" s="6" t="s">
        <v>15</v>
      </c>
      <c r="I471" s="6" t="s">
        <v>60</v>
      </c>
      <c r="J471" s="6" t="s">
        <v>35</v>
      </c>
      <c r="K471" s="7">
        <v>29.729610999999998</v>
      </c>
      <c r="L471" s="7">
        <v>-95.113478000000001</v>
      </c>
      <c r="M471" s="6" t="s">
        <v>34</v>
      </c>
      <c r="N471" s="6" t="s">
        <v>24</v>
      </c>
      <c r="O471" s="6" t="s">
        <v>23</v>
      </c>
    </row>
    <row r="472" spans="1:15" x14ac:dyDescent="0.25">
      <c r="A472" s="6" t="s">
        <v>12070</v>
      </c>
      <c r="B472" s="6" t="s">
        <v>5137</v>
      </c>
      <c r="C472" s="6" t="s">
        <v>436</v>
      </c>
      <c r="E472" s="6" t="s">
        <v>5136</v>
      </c>
      <c r="F472" s="6" t="s">
        <v>1142</v>
      </c>
      <c r="G472" s="6" t="s">
        <v>16</v>
      </c>
      <c r="H472" s="6" t="s">
        <v>15</v>
      </c>
      <c r="I472" s="6" t="s">
        <v>60</v>
      </c>
      <c r="J472" s="6" t="s">
        <v>35</v>
      </c>
      <c r="K472" s="7">
        <v>29.731583000000001</v>
      </c>
      <c r="L472" s="7">
        <v>-95.113994000000005</v>
      </c>
      <c r="M472" s="6" t="s">
        <v>34</v>
      </c>
      <c r="N472" s="6" t="s">
        <v>24</v>
      </c>
      <c r="O472" s="6" t="s">
        <v>23</v>
      </c>
    </row>
    <row r="473" spans="1:15" x14ac:dyDescent="0.25">
      <c r="A473" s="6" t="s">
        <v>12069</v>
      </c>
      <c r="B473" s="6" t="s">
        <v>5137</v>
      </c>
      <c r="C473" s="6" t="s">
        <v>597</v>
      </c>
      <c r="E473" s="6" t="s">
        <v>5136</v>
      </c>
      <c r="F473" s="6" t="s">
        <v>1142</v>
      </c>
      <c r="G473" s="6" t="s">
        <v>16</v>
      </c>
      <c r="H473" s="6" t="s">
        <v>430</v>
      </c>
      <c r="I473" s="6" t="s">
        <v>60</v>
      </c>
      <c r="J473" s="6" t="s">
        <v>35</v>
      </c>
      <c r="K473" s="7">
        <v>29.734649999999998</v>
      </c>
      <c r="L473" s="7">
        <v>-95.108593999999997</v>
      </c>
      <c r="M473" s="6" t="s">
        <v>34</v>
      </c>
      <c r="N473" s="6" t="s">
        <v>24</v>
      </c>
      <c r="O473" s="6" t="s">
        <v>23</v>
      </c>
    </row>
    <row r="474" spans="1:15" x14ac:dyDescent="0.25">
      <c r="A474" s="6" t="s">
        <v>12068</v>
      </c>
      <c r="B474" s="6" t="s">
        <v>5137</v>
      </c>
      <c r="C474" s="6" t="s">
        <v>557</v>
      </c>
      <c r="D474" s="6" t="s">
        <v>16</v>
      </c>
      <c r="E474" s="6" t="s">
        <v>5136</v>
      </c>
      <c r="F474" s="6" t="s">
        <v>1142</v>
      </c>
      <c r="G474" s="6" t="s">
        <v>16</v>
      </c>
      <c r="H474" s="6" t="s">
        <v>15</v>
      </c>
      <c r="I474" s="6" t="s">
        <v>60</v>
      </c>
      <c r="J474" s="6" t="s">
        <v>35</v>
      </c>
      <c r="K474" s="7">
        <v>29.735254999999999</v>
      </c>
      <c r="L474" s="7">
        <v>-95.108607000000006</v>
      </c>
      <c r="M474" s="6" t="s">
        <v>34</v>
      </c>
      <c r="N474" s="6" t="s">
        <v>24</v>
      </c>
      <c r="O474" s="6" t="s">
        <v>23</v>
      </c>
    </row>
    <row r="475" spans="1:15" x14ac:dyDescent="0.25">
      <c r="A475" s="6" t="s">
        <v>5138</v>
      </c>
      <c r="B475" s="6" t="s">
        <v>5137</v>
      </c>
      <c r="C475" s="6" t="s">
        <v>557</v>
      </c>
      <c r="D475" s="6" t="s">
        <v>284</v>
      </c>
      <c r="E475" s="6" t="s">
        <v>5136</v>
      </c>
      <c r="F475" s="6" t="s">
        <v>1142</v>
      </c>
      <c r="G475" s="6" t="s">
        <v>16</v>
      </c>
      <c r="H475" s="6" t="s">
        <v>15</v>
      </c>
      <c r="I475" s="6" t="s">
        <v>36</v>
      </c>
      <c r="J475" s="6" t="s">
        <v>35</v>
      </c>
      <c r="K475" s="7">
        <v>29.738537310000002</v>
      </c>
      <c r="L475" s="7">
        <v>-95.108583010000004</v>
      </c>
      <c r="M475" s="6" t="s">
        <v>34</v>
      </c>
      <c r="N475" s="6" t="s">
        <v>24</v>
      </c>
      <c r="O475" s="6" t="s">
        <v>23</v>
      </c>
    </row>
    <row r="476" spans="1:15" x14ac:dyDescent="0.25">
      <c r="A476" s="6" t="s">
        <v>10529</v>
      </c>
      <c r="B476" s="6" t="s">
        <v>10527</v>
      </c>
      <c r="C476" s="6" t="s">
        <v>31</v>
      </c>
      <c r="E476" s="6" t="s">
        <v>10526</v>
      </c>
      <c r="F476" s="6" t="s">
        <v>5030</v>
      </c>
      <c r="G476" s="6" t="s">
        <v>16</v>
      </c>
      <c r="H476" s="6" t="s">
        <v>15</v>
      </c>
      <c r="I476" s="6" t="s">
        <v>14</v>
      </c>
      <c r="J476" s="6" t="s">
        <v>35</v>
      </c>
      <c r="K476" s="7">
        <v>29.726576609999999</v>
      </c>
      <c r="L476" s="7">
        <v>-95.080315729999995</v>
      </c>
      <c r="M476" s="6" t="s">
        <v>701</v>
      </c>
      <c r="N476" s="6" t="s">
        <v>24</v>
      </c>
      <c r="O476" s="6" t="s">
        <v>23</v>
      </c>
    </row>
    <row r="477" spans="1:15" x14ac:dyDescent="0.25">
      <c r="A477" s="6" t="s">
        <v>10528</v>
      </c>
      <c r="B477" s="6" t="s">
        <v>10527</v>
      </c>
      <c r="C477" s="6" t="s">
        <v>19</v>
      </c>
      <c r="E477" s="6" t="s">
        <v>10526</v>
      </c>
      <c r="F477" s="6" t="s">
        <v>5030</v>
      </c>
      <c r="G477" s="6" t="s">
        <v>16</v>
      </c>
      <c r="H477" s="6" t="s">
        <v>430</v>
      </c>
      <c r="I477" s="6" t="s">
        <v>14</v>
      </c>
      <c r="J477" s="6" t="s">
        <v>35</v>
      </c>
      <c r="K477" s="7">
        <v>29.727344850000001</v>
      </c>
      <c r="L477" s="7">
        <v>-95.079882420000004</v>
      </c>
      <c r="M477" s="6" t="s">
        <v>701</v>
      </c>
      <c r="N477" s="6" t="s">
        <v>24</v>
      </c>
      <c r="O477" s="6" t="s">
        <v>23</v>
      </c>
    </row>
    <row r="478" spans="1:15" x14ac:dyDescent="0.25">
      <c r="A478" s="6" t="s">
        <v>6669</v>
      </c>
      <c r="B478" s="6" t="s">
        <v>6668</v>
      </c>
      <c r="C478" s="6" t="s">
        <v>31</v>
      </c>
      <c r="E478" s="6" t="s">
        <v>6667</v>
      </c>
      <c r="F478" s="6" t="s">
        <v>6666</v>
      </c>
      <c r="G478" s="6" t="s">
        <v>16</v>
      </c>
      <c r="H478" s="6" t="s">
        <v>15</v>
      </c>
      <c r="I478" s="6" t="s">
        <v>36</v>
      </c>
      <c r="J478" s="6" t="s">
        <v>35</v>
      </c>
      <c r="K478" s="7">
        <v>29.763464720000002</v>
      </c>
      <c r="L478" s="7">
        <v>-95.168877269999996</v>
      </c>
      <c r="M478" s="6" t="s">
        <v>34</v>
      </c>
      <c r="N478" s="6" t="s">
        <v>24</v>
      </c>
      <c r="O478" s="6" t="s">
        <v>23</v>
      </c>
    </row>
    <row r="479" spans="1:15" x14ac:dyDescent="0.25">
      <c r="A479" s="6" t="s">
        <v>12108</v>
      </c>
      <c r="B479" s="6" t="s">
        <v>6668</v>
      </c>
      <c r="C479" s="6" t="s">
        <v>19</v>
      </c>
      <c r="E479" s="6" t="s">
        <v>6667</v>
      </c>
      <c r="F479" s="6" t="s">
        <v>6666</v>
      </c>
      <c r="G479" s="6" t="s">
        <v>16</v>
      </c>
      <c r="H479" s="6" t="s">
        <v>430</v>
      </c>
      <c r="I479" s="6" t="s">
        <v>36</v>
      </c>
      <c r="J479" s="6" t="s">
        <v>35</v>
      </c>
      <c r="K479" s="7">
        <v>29.756116370000001</v>
      </c>
      <c r="L479" s="7">
        <v>-95.171096790000007</v>
      </c>
      <c r="M479" s="6" t="s">
        <v>34</v>
      </c>
      <c r="N479" s="6" t="s">
        <v>24</v>
      </c>
      <c r="O479" s="6" t="s">
        <v>23</v>
      </c>
    </row>
    <row r="480" spans="1:15" x14ac:dyDescent="0.25">
      <c r="A480" s="6" t="s">
        <v>12107</v>
      </c>
      <c r="B480" s="6" t="s">
        <v>6668</v>
      </c>
      <c r="C480" s="6" t="s">
        <v>436</v>
      </c>
      <c r="E480" s="6" t="s">
        <v>6667</v>
      </c>
      <c r="F480" s="6" t="s">
        <v>6666</v>
      </c>
      <c r="G480" s="6" t="s">
        <v>16</v>
      </c>
      <c r="H480" s="6" t="s">
        <v>430</v>
      </c>
      <c r="I480" s="6" t="s">
        <v>36</v>
      </c>
      <c r="J480" s="6" t="s">
        <v>35</v>
      </c>
      <c r="K480" s="7">
        <v>29.76020767</v>
      </c>
      <c r="L480" s="7">
        <v>-95.171072890000005</v>
      </c>
      <c r="M480" s="6" t="s">
        <v>34</v>
      </c>
      <c r="N480" s="6" t="s">
        <v>24</v>
      </c>
      <c r="O480" s="6" t="s">
        <v>23</v>
      </c>
    </row>
    <row r="481" spans="1:15" x14ac:dyDescent="0.25">
      <c r="A481" s="6" t="s">
        <v>12106</v>
      </c>
      <c r="B481" s="6" t="s">
        <v>6668</v>
      </c>
      <c r="C481" s="6" t="s">
        <v>597</v>
      </c>
      <c r="E481" s="6" t="s">
        <v>6667</v>
      </c>
      <c r="F481" s="6" t="s">
        <v>6666</v>
      </c>
      <c r="G481" s="6" t="s">
        <v>16</v>
      </c>
      <c r="H481" s="6" t="s">
        <v>430</v>
      </c>
      <c r="I481" s="6" t="s">
        <v>36</v>
      </c>
      <c r="J481" s="6" t="s">
        <v>35</v>
      </c>
      <c r="K481" s="7">
        <v>29.76617723</v>
      </c>
      <c r="L481" s="7">
        <v>-95.169092190000001</v>
      </c>
      <c r="M481" s="6" t="s">
        <v>34</v>
      </c>
      <c r="N481" s="6" t="s">
        <v>24</v>
      </c>
      <c r="O481" s="6" t="s">
        <v>23</v>
      </c>
    </row>
    <row r="482" spans="1:15" x14ac:dyDescent="0.25">
      <c r="A482" s="6" t="s">
        <v>12104</v>
      </c>
      <c r="B482" s="6" t="s">
        <v>6668</v>
      </c>
      <c r="C482" s="6" t="s">
        <v>557</v>
      </c>
      <c r="E482" s="6" t="s">
        <v>6667</v>
      </c>
      <c r="F482" s="6" t="s">
        <v>6666</v>
      </c>
      <c r="G482" s="6" t="s">
        <v>16</v>
      </c>
      <c r="H482" s="6" t="s">
        <v>430</v>
      </c>
      <c r="I482" s="6" t="s">
        <v>36</v>
      </c>
      <c r="J482" s="6" t="s">
        <v>35</v>
      </c>
      <c r="K482" s="7">
        <v>29.762359539999999</v>
      </c>
      <c r="L482" s="7">
        <v>-95.168640109999998</v>
      </c>
      <c r="M482" s="6" t="s">
        <v>34</v>
      </c>
      <c r="N482" s="6" t="s">
        <v>24</v>
      </c>
      <c r="O482" s="6" t="s">
        <v>23</v>
      </c>
    </row>
    <row r="483" spans="1:15" x14ac:dyDescent="0.25">
      <c r="A483" s="6" t="s">
        <v>12105</v>
      </c>
      <c r="B483" s="6" t="s">
        <v>6668</v>
      </c>
      <c r="C483" s="6" t="s">
        <v>433</v>
      </c>
      <c r="E483" s="6" t="s">
        <v>6667</v>
      </c>
      <c r="F483" s="6" t="s">
        <v>6666</v>
      </c>
      <c r="G483" s="6" t="s">
        <v>16</v>
      </c>
      <c r="H483" s="6" t="s">
        <v>430</v>
      </c>
      <c r="I483" s="6" t="s">
        <v>36</v>
      </c>
      <c r="J483" s="6" t="s">
        <v>35</v>
      </c>
      <c r="K483" s="7">
        <v>29.762727000000002</v>
      </c>
      <c r="L483" s="7">
        <v>-95.168791049999996</v>
      </c>
      <c r="M483" s="6" t="s">
        <v>34</v>
      </c>
      <c r="N483" s="6" t="s">
        <v>24</v>
      </c>
      <c r="O483" s="6" t="s">
        <v>23</v>
      </c>
    </row>
    <row r="484" spans="1:15" x14ac:dyDescent="0.25">
      <c r="A484" s="6" t="s">
        <v>9342</v>
      </c>
      <c r="B484" s="6" t="s">
        <v>9338</v>
      </c>
      <c r="C484" s="6" t="s">
        <v>31</v>
      </c>
      <c r="E484" s="6" t="s">
        <v>9337</v>
      </c>
      <c r="F484" s="6" t="s">
        <v>992</v>
      </c>
      <c r="G484" s="6" t="s">
        <v>16</v>
      </c>
      <c r="H484" s="6" t="s">
        <v>430</v>
      </c>
      <c r="I484" s="6" t="s">
        <v>14</v>
      </c>
      <c r="J484" s="6" t="s">
        <v>162</v>
      </c>
      <c r="K484" s="7">
        <v>28.9336606</v>
      </c>
      <c r="L484" s="7">
        <v>-95.341175559999996</v>
      </c>
      <c r="M484" s="6" t="s">
        <v>1606</v>
      </c>
      <c r="N484" s="6" t="s">
        <v>160</v>
      </c>
      <c r="O484" s="6" t="s">
        <v>23</v>
      </c>
    </row>
    <row r="485" spans="1:15" x14ac:dyDescent="0.25">
      <c r="A485" s="6" t="s">
        <v>9341</v>
      </c>
      <c r="B485" s="6" t="s">
        <v>9338</v>
      </c>
      <c r="C485" s="6" t="s">
        <v>597</v>
      </c>
      <c r="E485" s="6" t="s">
        <v>9337</v>
      </c>
      <c r="F485" s="6" t="s">
        <v>992</v>
      </c>
      <c r="G485" s="6" t="s">
        <v>16</v>
      </c>
      <c r="H485" s="6" t="s">
        <v>430</v>
      </c>
      <c r="I485" s="6" t="s">
        <v>14</v>
      </c>
      <c r="J485" s="6" t="s">
        <v>162</v>
      </c>
      <c r="K485" s="7">
        <v>28.93111962</v>
      </c>
      <c r="L485" s="7">
        <v>-95.334454640000004</v>
      </c>
      <c r="M485" s="6" t="s">
        <v>1606</v>
      </c>
      <c r="N485" s="6" t="s">
        <v>160</v>
      </c>
      <c r="O485" s="6" t="s">
        <v>23</v>
      </c>
    </row>
    <row r="486" spans="1:15" x14ac:dyDescent="0.25">
      <c r="A486" s="6" t="s">
        <v>9340</v>
      </c>
      <c r="B486" s="6" t="s">
        <v>9338</v>
      </c>
      <c r="C486" s="6" t="s">
        <v>557</v>
      </c>
      <c r="E486" s="6" t="s">
        <v>9337</v>
      </c>
      <c r="F486" s="6" t="s">
        <v>992</v>
      </c>
      <c r="G486" s="6" t="s">
        <v>16</v>
      </c>
      <c r="H486" s="6" t="s">
        <v>430</v>
      </c>
      <c r="I486" s="6" t="s">
        <v>14</v>
      </c>
      <c r="J486" s="6" t="s">
        <v>162</v>
      </c>
      <c r="K486" s="7">
        <v>28.931375840000001</v>
      </c>
      <c r="L486" s="7">
        <v>-95.336501900000002</v>
      </c>
      <c r="M486" s="6" t="s">
        <v>1606</v>
      </c>
      <c r="N486" s="6" t="s">
        <v>160</v>
      </c>
      <c r="O486" s="6" t="s">
        <v>23</v>
      </c>
    </row>
    <row r="487" spans="1:15" x14ac:dyDescent="0.25">
      <c r="A487" s="6" t="s">
        <v>9339</v>
      </c>
      <c r="B487" s="6" t="s">
        <v>9338</v>
      </c>
      <c r="C487" s="6" t="s">
        <v>638</v>
      </c>
      <c r="E487" s="6" t="s">
        <v>9337</v>
      </c>
      <c r="F487" s="6" t="s">
        <v>992</v>
      </c>
      <c r="G487" s="6" t="s">
        <v>16</v>
      </c>
      <c r="H487" s="6" t="s">
        <v>430</v>
      </c>
      <c r="I487" s="6" t="s">
        <v>14</v>
      </c>
      <c r="J487" s="6" t="s">
        <v>162</v>
      </c>
      <c r="K487" s="7">
        <v>28.950301620000001</v>
      </c>
      <c r="L487" s="7">
        <v>-95.42916117</v>
      </c>
      <c r="M487" s="6" t="s">
        <v>262</v>
      </c>
      <c r="N487" s="6" t="s">
        <v>231</v>
      </c>
      <c r="O487" s="6" t="s">
        <v>23</v>
      </c>
    </row>
    <row r="488" spans="1:15" x14ac:dyDescent="0.25">
      <c r="A488" s="6" t="s">
        <v>6684</v>
      </c>
      <c r="B488" s="6" t="s">
        <v>994</v>
      </c>
      <c r="C488" s="6" t="s">
        <v>19</v>
      </c>
      <c r="E488" s="6" t="s">
        <v>993</v>
      </c>
      <c r="F488" s="6" t="s">
        <v>992</v>
      </c>
      <c r="G488" s="6" t="s">
        <v>16</v>
      </c>
      <c r="H488" s="6" t="s">
        <v>15</v>
      </c>
      <c r="I488" s="6" t="s">
        <v>14</v>
      </c>
      <c r="J488" s="6" t="s">
        <v>162</v>
      </c>
      <c r="K488" s="7">
        <v>29.065694400000002</v>
      </c>
      <c r="L488" s="7">
        <v>-95.755514689999998</v>
      </c>
      <c r="M488" s="6" t="s">
        <v>6113</v>
      </c>
      <c r="N488" s="6" t="s">
        <v>231</v>
      </c>
      <c r="O488" s="6" t="s">
        <v>23</v>
      </c>
    </row>
    <row r="489" spans="1:15" x14ac:dyDescent="0.25">
      <c r="A489" s="6" t="s">
        <v>6683</v>
      </c>
      <c r="B489" s="6" t="s">
        <v>994</v>
      </c>
      <c r="C489" s="6" t="s">
        <v>436</v>
      </c>
      <c r="E489" s="6" t="s">
        <v>993</v>
      </c>
      <c r="F489" s="6" t="s">
        <v>992</v>
      </c>
      <c r="G489" s="6" t="s">
        <v>16</v>
      </c>
      <c r="H489" s="6" t="s">
        <v>15</v>
      </c>
      <c r="I489" s="6" t="s">
        <v>14</v>
      </c>
      <c r="J489" s="6" t="s">
        <v>162</v>
      </c>
      <c r="K489" s="7">
        <v>29.06419</v>
      </c>
      <c r="L489" s="7">
        <v>-95.742707999999993</v>
      </c>
      <c r="M489" s="6" t="s">
        <v>991</v>
      </c>
      <c r="N489" s="6" t="s">
        <v>231</v>
      </c>
      <c r="O489" s="6" t="s">
        <v>23</v>
      </c>
    </row>
    <row r="490" spans="1:15" x14ac:dyDescent="0.25">
      <c r="A490" s="6" t="s">
        <v>6682</v>
      </c>
      <c r="B490" s="6" t="s">
        <v>994</v>
      </c>
      <c r="C490" s="6" t="s">
        <v>557</v>
      </c>
      <c r="E490" s="6" t="s">
        <v>993</v>
      </c>
      <c r="F490" s="6" t="s">
        <v>992</v>
      </c>
      <c r="G490" s="6" t="s">
        <v>16</v>
      </c>
      <c r="H490" s="6" t="s">
        <v>430</v>
      </c>
      <c r="I490" s="6" t="s">
        <v>14</v>
      </c>
      <c r="J490" s="6" t="s">
        <v>162</v>
      </c>
      <c r="K490" s="7">
        <v>29.06082348</v>
      </c>
      <c r="L490" s="7">
        <v>-95.672357199999993</v>
      </c>
      <c r="M490" s="6" t="s">
        <v>262</v>
      </c>
      <c r="N490" s="6" t="s">
        <v>231</v>
      </c>
      <c r="O490" s="6" t="s">
        <v>23</v>
      </c>
    </row>
    <row r="491" spans="1:15" x14ac:dyDescent="0.25">
      <c r="A491" s="6" t="s">
        <v>6681</v>
      </c>
      <c r="B491" s="6" t="s">
        <v>994</v>
      </c>
      <c r="C491" s="6" t="s">
        <v>433</v>
      </c>
      <c r="E491" s="6" t="s">
        <v>993</v>
      </c>
      <c r="F491" s="6" t="s">
        <v>992</v>
      </c>
      <c r="G491" s="6" t="s">
        <v>16</v>
      </c>
      <c r="H491" s="6" t="s">
        <v>15</v>
      </c>
      <c r="I491" s="6" t="s">
        <v>14</v>
      </c>
      <c r="J491" s="6" t="s">
        <v>162</v>
      </c>
      <c r="K491" s="7">
        <v>29.069368000000001</v>
      </c>
      <c r="L491" s="7">
        <v>-95.758818000000005</v>
      </c>
      <c r="M491" s="6" t="s">
        <v>6113</v>
      </c>
      <c r="N491" s="6" t="s">
        <v>231</v>
      </c>
      <c r="O491" s="6" t="s">
        <v>23</v>
      </c>
    </row>
    <row r="492" spans="1:15" x14ac:dyDescent="0.25">
      <c r="A492" s="6" t="s">
        <v>6680</v>
      </c>
      <c r="B492" s="6" t="s">
        <v>994</v>
      </c>
      <c r="C492" s="6" t="s">
        <v>638</v>
      </c>
      <c r="E492" s="6" t="s">
        <v>993</v>
      </c>
      <c r="F492" s="6" t="s">
        <v>992</v>
      </c>
      <c r="G492" s="6" t="s">
        <v>16</v>
      </c>
      <c r="H492" s="6" t="s">
        <v>15</v>
      </c>
      <c r="I492" s="6" t="s">
        <v>14</v>
      </c>
      <c r="J492" s="6" t="s">
        <v>162</v>
      </c>
      <c r="K492" s="7">
        <v>29.062745</v>
      </c>
      <c r="L492" s="7">
        <v>-95.748175000000003</v>
      </c>
      <c r="M492" s="6" t="s">
        <v>991</v>
      </c>
      <c r="N492" s="6" t="s">
        <v>231</v>
      </c>
      <c r="O492" s="6" t="s">
        <v>23</v>
      </c>
    </row>
    <row r="493" spans="1:15" x14ac:dyDescent="0.25">
      <c r="A493" s="6" t="s">
        <v>6679</v>
      </c>
      <c r="B493" s="6" t="s">
        <v>994</v>
      </c>
      <c r="C493" s="6" t="s">
        <v>635</v>
      </c>
      <c r="E493" s="6" t="s">
        <v>993</v>
      </c>
      <c r="F493" s="6" t="s">
        <v>992</v>
      </c>
      <c r="G493" s="6" t="s">
        <v>16</v>
      </c>
      <c r="H493" s="6" t="s">
        <v>15</v>
      </c>
      <c r="I493" s="6" t="s">
        <v>14</v>
      </c>
      <c r="J493" s="6" t="s">
        <v>162</v>
      </c>
      <c r="K493" s="7">
        <v>29.07244</v>
      </c>
      <c r="L493" s="7">
        <v>-95.764742999999996</v>
      </c>
      <c r="M493" s="6" t="s">
        <v>6113</v>
      </c>
      <c r="N493" s="6" t="s">
        <v>231</v>
      </c>
      <c r="O493" s="6" t="s">
        <v>23</v>
      </c>
    </row>
    <row r="494" spans="1:15" x14ac:dyDescent="0.25">
      <c r="A494" s="6" t="s">
        <v>6678</v>
      </c>
      <c r="B494" s="6" t="s">
        <v>994</v>
      </c>
      <c r="C494" s="6" t="s">
        <v>1092</v>
      </c>
      <c r="E494" s="6" t="s">
        <v>993</v>
      </c>
      <c r="F494" s="6" t="s">
        <v>992</v>
      </c>
      <c r="G494" s="6" t="s">
        <v>16</v>
      </c>
      <c r="H494" s="6" t="s">
        <v>15</v>
      </c>
      <c r="I494" s="6" t="s">
        <v>14</v>
      </c>
      <c r="J494" s="6" t="s">
        <v>162</v>
      </c>
      <c r="K494" s="7">
        <v>28.94179995</v>
      </c>
      <c r="L494" s="7">
        <v>-95.382061989999997</v>
      </c>
      <c r="M494" s="6" t="s">
        <v>244</v>
      </c>
      <c r="N494" s="6" t="s">
        <v>23</v>
      </c>
      <c r="O494" s="6" t="s">
        <v>23</v>
      </c>
    </row>
    <row r="495" spans="1:15" x14ac:dyDescent="0.25">
      <c r="A495" s="6" t="s">
        <v>995</v>
      </c>
      <c r="B495" s="6" t="s">
        <v>994</v>
      </c>
      <c r="C495" s="6" t="s">
        <v>869</v>
      </c>
      <c r="E495" s="6" t="s">
        <v>993</v>
      </c>
      <c r="F495" s="6" t="s">
        <v>992</v>
      </c>
      <c r="G495" s="6" t="s">
        <v>16</v>
      </c>
      <c r="H495" s="6" t="s">
        <v>15</v>
      </c>
      <c r="I495" s="6" t="s">
        <v>14</v>
      </c>
      <c r="J495" s="6" t="s">
        <v>162</v>
      </c>
      <c r="K495" s="7">
        <v>29.071396</v>
      </c>
      <c r="L495" s="7">
        <v>-95.742879000000002</v>
      </c>
      <c r="M495" s="6" t="s">
        <v>991</v>
      </c>
      <c r="N495" s="6" t="s">
        <v>231</v>
      </c>
      <c r="O495" s="6" t="s">
        <v>23</v>
      </c>
    </row>
    <row r="496" spans="1:15" x14ac:dyDescent="0.25">
      <c r="A496" s="6" t="s">
        <v>6784</v>
      </c>
      <c r="B496" s="6" t="s">
        <v>994</v>
      </c>
      <c r="C496" s="6" t="s">
        <v>1844</v>
      </c>
      <c r="E496" s="6" t="s">
        <v>993</v>
      </c>
      <c r="F496" s="6" t="s">
        <v>992</v>
      </c>
      <c r="G496" s="6" t="s">
        <v>284</v>
      </c>
      <c r="H496" s="6" t="s">
        <v>15</v>
      </c>
      <c r="I496" s="6" t="s">
        <v>14</v>
      </c>
      <c r="J496" s="6" t="s">
        <v>162</v>
      </c>
      <c r="K496" s="7">
        <v>29.05734631</v>
      </c>
      <c r="L496" s="7">
        <v>-95.758906390000007</v>
      </c>
      <c r="M496" s="6" t="s">
        <v>6113</v>
      </c>
      <c r="N496" s="6" t="s">
        <v>231</v>
      </c>
      <c r="O496" s="6" t="s">
        <v>23</v>
      </c>
    </row>
    <row r="497" spans="1:15" x14ac:dyDescent="0.25">
      <c r="A497" s="6" t="s">
        <v>7063</v>
      </c>
      <c r="B497" s="6" t="s">
        <v>7062</v>
      </c>
      <c r="C497" s="6" t="s">
        <v>31</v>
      </c>
      <c r="E497" s="6" t="s">
        <v>7061</v>
      </c>
      <c r="F497" s="6" t="s">
        <v>693</v>
      </c>
      <c r="G497" s="6" t="s">
        <v>16</v>
      </c>
      <c r="H497" s="6" t="s">
        <v>15</v>
      </c>
      <c r="I497" s="6" t="s">
        <v>46</v>
      </c>
      <c r="J497" s="6" t="s">
        <v>632</v>
      </c>
      <c r="K497" s="7">
        <v>30.153768790000001</v>
      </c>
      <c r="L497" s="7">
        <v>-93.721542139999997</v>
      </c>
      <c r="M497" s="6" t="s">
        <v>631</v>
      </c>
      <c r="N497" s="6" t="s">
        <v>65</v>
      </c>
      <c r="O497" s="6" t="s">
        <v>24</v>
      </c>
    </row>
    <row r="498" spans="1:15" x14ac:dyDescent="0.25">
      <c r="A498" s="6" t="s">
        <v>7060</v>
      </c>
      <c r="B498" s="6" t="s">
        <v>5259</v>
      </c>
      <c r="C498" s="6" t="s">
        <v>31</v>
      </c>
      <c r="E498" s="6" t="s">
        <v>5258</v>
      </c>
      <c r="F498" s="6" t="s">
        <v>915</v>
      </c>
      <c r="G498" s="6" t="s">
        <v>16</v>
      </c>
      <c r="H498" s="6" t="s">
        <v>15</v>
      </c>
      <c r="I498" s="6" t="s">
        <v>14</v>
      </c>
      <c r="J498" s="6" t="s">
        <v>35</v>
      </c>
      <c r="K498" s="7">
        <v>29.738870049999999</v>
      </c>
      <c r="L498" s="7">
        <v>-95.180047380000005</v>
      </c>
      <c r="M498" s="6" t="s">
        <v>866</v>
      </c>
      <c r="N498" s="6" t="s">
        <v>24</v>
      </c>
      <c r="O498" s="6" t="s">
        <v>23</v>
      </c>
    </row>
    <row r="499" spans="1:15" x14ac:dyDescent="0.25">
      <c r="A499" s="6" t="s">
        <v>6910</v>
      </c>
      <c r="B499" s="6" t="s">
        <v>5259</v>
      </c>
      <c r="C499" s="6" t="s">
        <v>19</v>
      </c>
      <c r="E499" s="6" t="s">
        <v>5258</v>
      </c>
      <c r="F499" s="6" t="s">
        <v>915</v>
      </c>
      <c r="G499" s="6" t="s">
        <v>16</v>
      </c>
      <c r="H499" s="6" t="s">
        <v>15</v>
      </c>
      <c r="I499" s="6" t="s">
        <v>14</v>
      </c>
      <c r="J499" s="6" t="s">
        <v>35</v>
      </c>
      <c r="K499" s="7">
        <v>29.738225140000001</v>
      </c>
      <c r="L499" s="7">
        <v>-95.181672789999993</v>
      </c>
      <c r="M499" s="6" t="s">
        <v>866</v>
      </c>
      <c r="N499" s="6" t="s">
        <v>24</v>
      </c>
      <c r="O499" s="6" t="s">
        <v>23</v>
      </c>
    </row>
    <row r="500" spans="1:15" x14ac:dyDescent="0.25">
      <c r="A500" s="6" t="s">
        <v>5261</v>
      </c>
      <c r="B500" s="6" t="s">
        <v>5259</v>
      </c>
      <c r="C500" s="6" t="s">
        <v>436</v>
      </c>
      <c r="E500" s="6" t="s">
        <v>5258</v>
      </c>
      <c r="F500" s="6" t="s">
        <v>915</v>
      </c>
      <c r="G500" s="6" t="s">
        <v>16</v>
      </c>
      <c r="H500" s="6" t="s">
        <v>430</v>
      </c>
      <c r="I500" s="6" t="s">
        <v>14</v>
      </c>
      <c r="J500" s="6" t="s">
        <v>35</v>
      </c>
      <c r="K500" s="7">
        <v>29.740994430000001</v>
      </c>
      <c r="L500" s="7">
        <v>-95.173891060000003</v>
      </c>
      <c r="M500" s="6" t="s">
        <v>866</v>
      </c>
      <c r="N500" s="6" t="s">
        <v>24</v>
      </c>
      <c r="O500" s="6" t="s">
        <v>23</v>
      </c>
    </row>
    <row r="501" spans="1:15" x14ac:dyDescent="0.25">
      <c r="A501" s="6" t="s">
        <v>5260</v>
      </c>
      <c r="B501" s="6" t="s">
        <v>5259</v>
      </c>
      <c r="C501" s="6" t="s">
        <v>597</v>
      </c>
      <c r="E501" s="6" t="s">
        <v>5258</v>
      </c>
      <c r="F501" s="6" t="s">
        <v>915</v>
      </c>
      <c r="G501" s="6" t="s">
        <v>16</v>
      </c>
      <c r="H501" s="6" t="s">
        <v>430</v>
      </c>
      <c r="I501" s="6" t="s">
        <v>14</v>
      </c>
      <c r="J501" s="6" t="s">
        <v>35</v>
      </c>
      <c r="K501" s="7">
        <v>29.741796399999998</v>
      </c>
      <c r="L501" s="7">
        <v>-95.178018980000004</v>
      </c>
      <c r="M501" s="6" t="s">
        <v>866</v>
      </c>
      <c r="N501" s="6" t="s">
        <v>24</v>
      </c>
      <c r="O501" s="6" t="s">
        <v>23</v>
      </c>
    </row>
    <row r="502" spans="1:15" x14ac:dyDescent="0.25">
      <c r="A502" s="6" t="s">
        <v>7089</v>
      </c>
      <c r="B502" s="6" t="s">
        <v>7088</v>
      </c>
      <c r="C502" s="6" t="s">
        <v>31</v>
      </c>
      <c r="E502" s="6" t="s">
        <v>7087</v>
      </c>
      <c r="F502" s="6" t="s">
        <v>7086</v>
      </c>
      <c r="G502" s="6" t="s">
        <v>16</v>
      </c>
      <c r="H502" s="6" t="s">
        <v>15</v>
      </c>
      <c r="I502" s="6" t="s">
        <v>14</v>
      </c>
      <c r="J502" s="6" t="s">
        <v>853</v>
      </c>
      <c r="K502" s="7">
        <v>29.70148223</v>
      </c>
      <c r="L502" s="7">
        <v>-94.903128690000003</v>
      </c>
      <c r="M502" s="6" t="s">
        <v>1445</v>
      </c>
      <c r="N502" s="6" t="s">
        <v>120</v>
      </c>
      <c r="O502" s="6" t="s">
        <v>23</v>
      </c>
    </row>
    <row r="503" spans="1:15" x14ac:dyDescent="0.25">
      <c r="A503" s="6" t="s">
        <v>1172</v>
      </c>
      <c r="B503" s="6" t="s">
        <v>1171</v>
      </c>
      <c r="C503" s="6" t="s">
        <v>31</v>
      </c>
      <c r="E503" s="6" t="s">
        <v>1170</v>
      </c>
      <c r="F503" s="6" t="s">
        <v>1169</v>
      </c>
      <c r="G503" s="6" t="s">
        <v>16</v>
      </c>
      <c r="H503" s="6" t="s">
        <v>15</v>
      </c>
      <c r="I503" s="6" t="s">
        <v>14</v>
      </c>
      <c r="J503" s="6" t="s">
        <v>13</v>
      </c>
      <c r="K503" s="7">
        <v>27.705080420000002</v>
      </c>
      <c r="L503" s="7">
        <v>-97.284720500000006</v>
      </c>
      <c r="M503" s="6" t="s">
        <v>1168</v>
      </c>
      <c r="N503" s="6" t="s">
        <v>11</v>
      </c>
      <c r="O503" s="6" t="s">
        <v>10</v>
      </c>
    </row>
    <row r="504" spans="1:15" x14ac:dyDescent="0.25">
      <c r="A504" s="6" t="s">
        <v>6699</v>
      </c>
      <c r="B504" s="6" t="s">
        <v>6697</v>
      </c>
      <c r="C504" s="6" t="s">
        <v>31</v>
      </c>
      <c r="E504" s="6" t="s">
        <v>6696</v>
      </c>
      <c r="F504" s="6" t="s">
        <v>6695</v>
      </c>
      <c r="G504" s="6" t="s">
        <v>16</v>
      </c>
      <c r="H504" s="6" t="s">
        <v>15</v>
      </c>
      <c r="I504" s="6" t="s">
        <v>60</v>
      </c>
      <c r="J504" s="6" t="s">
        <v>632</v>
      </c>
      <c r="K504" s="7">
        <v>30.037368000000001</v>
      </c>
      <c r="L504" s="7">
        <v>-93.757176000000001</v>
      </c>
      <c r="M504" s="6" t="s">
        <v>758</v>
      </c>
      <c r="N504" s="6" t="s">
        <v>65</v>
      </c>
      <c r="O504" s="6" t="s">
        <v>24</v>
      </c>
    </row>
    <row r="505" spans="1:15" x14ac:dyDescent="0.25">
      <c r="A505" s="6" t="s">
        <v>6698</v>
      </c>
      <c r="B505" s="6" t="s">
        <v>6697</v>
      </c>
      <c r="C505" s="6" t="s">
        <v>19</v>
      </c>
      <c r="E505" s="6" t="s">
        <v>6696</v>
      </c>
      <c r="F505" s="6" t="s">
        <v>6695</v>
      </c>
      <c r="G505" s="6" t="s">
        <v>16</v>
      </c>
      <c r="H505" s="6" t="s">
        <v>430</v>
      </c>
      <c r="I505" s="6" t="s">
        <v>60</v>
      </c>
      <c r="J505" s="6" t="s">
        <v>632</v>
      </c>
      <c r="K505" s="7">
        <v>30.037368000000001</v>
      </c>
      <c r="L505" s="7">
        <v>-93.757176000000001</v>
      </c>
      <c r="M505" s="6" t="s">
        <v>758</v>
      </c>
      <c r="N505" s="6" t="s">
        <v>65</v>
      </c>
      <c r="O505" s="6" t="s">
        <v>24</v>
      </c>
    </row>
    <row r="506" spans="1:15" x14ac:dyDescent="0.25">
      <c r="A506" s="6" t="s">
        <v>9265</v>
      </c>
      <c r="B506" s="6" t="s">
        <v>9264</v>
      </c>
      <c r="C506" s="6" t="s">
        <v>31</v>
      </c>
      <c r="E506" s="6" t="s">
        <v>9263</v>
      </c>
      <c r="F506" s="6" t="s">
        <v>9262</v>
      </c>
      <c r="G506" s="6" t="s">
        <v>16</v>
      </c>
      <c r="H506" s="6" t="s">
        <v>28</v>
      </c>
      <c r="I506" s="6" t="s">
        <v>60</v>
      </c>
      <c r="J506" s="6" t="s">
        <v>35</v>
      </c>
      <c r="K506" s="7">
        <v>29.702128999999999</v>
      </c>
      <c r="L506" s="7">
        <v>-95.064527999999996</v>
      </c>
      <c r="M506" s="6" t="s">
        <v>599</v>
      </c>
      <c r="N506" s="6" t="s">
        <v>160</v>
      </c>
      <c r="O506" s="6" t="s">
        <v>23</v>
      </c>
    </row>
    <row r="507" spans="1:15" x14ac:dyDescent="0.25">
      <c r="A507" s="6" t="s">
        <v>1829</v>
      </c>
      <c r="B507" s="6" t="s">
        <v>1827</v>
      </c>
      <c r="C507" s="6" t="s">
        <v>31</v>
      </c>
      <c r="E507" s="6" t="s">
        <v>1826</v>
      </c>
      <c r="F507" s="6" t="s">
        <v>1142</v>
      </c>
      <c r="G507" s="6" t="s">
        <v>16</v>
      </c>
      <c r="H507" s="6" t="s">
        <v>15</v>
      </c>
      <c r="I507" s="6" t="s">
        <v>60</v>
      </c>
      <c r="J507" s="6" t="s">
        <v>35</v>
      </c>
      <c r="K507" s="7">
        <v>29.73602314</v>
      </c>
      <c r="L507" s="7">
        <v>-95.080733039999998</v>
      </c>
      <c r="M507" s="6" t="s">
        <v>701</v>
      </c>
      <c r="N507" s="6" t="s">
        <v>24</v>
      </c>
      <c r="O507" s="6" t="s">
        <v>23</v>
      </c>
    </row>
    <row r="508" spans="1:15" x14ac:dyDescent="0.25">
      <c r="A508" s="6" t="s">
        <v>1828</v>
      </c>
      <c r="B508" s="6" t="s">
        <v>1827</v>
      </c>
      <c r="C508" s="6" t="s">
        <v>19</v>
      </c>
      <c r="E508" s="6" t="s">
        <v>1826</v>
      </c>
      <c r="F508" s="6" t="s">
        <v>1142</v>
      </c>
      <c r="G508" s="6" t="s">
        <v>16</v>
      </c>
      <c r="H508" s="6" t="s">
        <v>15</v>
      </c>
      <c r="I508" s="6" t="s">
        <v>60</v>
      </c>
      <c r="J508" s="6" t="s">
        <v>35</v>
      </c>
      <c r="K508" s="7">
        <v>29.734957860000002</v>
      </c>
      <c r="L508" s="7">
        <v>-95.0803236</v>
      </c>
      <c r="M508" s="6" t="s">
        <v>701</v>
      </c>
      <c r="N508" s="6" t="s">
        <v>24</v>
      </c>
      <c r="O508" s="6" t="s">
        <v>23</v>
      </c>
    </row>
    <row r="509" spans="1:15" x14ac:dyDescent="0.25">
      <c r="A509" s="6" t="s">
        <v>7096</v>
      </c>
      <c r="B509" s="6" t="s">
        <v>7095</v>
      </c>
      <c r="C509" s="6" t="s">
        <v>31</v>
      </c>
      <c r="E509" s="6" t="s">
        <v>7094</v>
      </c>
      <c r="F509" s="6" t="s">
        <v>7093</v>
      </c>
      <c r="G509" s="6" t="s">
        <v>16</v>
      </c>
      <c r="H509" s="6" t="s">
        <v>15</v>
      </c>
      <c r="I509" s="6" t="s">
        <v>14</v>
      </c>
      <c r="J509" s="6" t="s">
        <v>35</v>
      </c>
      <c r="K509" s="7">
        <v>29.68874143</v>
      </c>
      <c r="L509" s="7">
        <v>-95.038369869999997</v>
      </c>
      <c r="M509" s="6" t="s">
        <v>599</v>
      </c>
      <c r="N509" s="6" t="s">
        <v>24</v>
      </c>
      <c r="O509" s="6" t="s">
        <v>23</v>
      </c>
    </row>
    <row r="510" spans="1:15" x14ac:dyDescent="0.25">
      <c r="A510" s="6" t="s">
        <v>8158</v>
      </c>
      <c r="B510" s="6" t="s">
        <v>8157</v>
      </c>
      <c r="C510" s="6" t="s">
        <v>31</v>
      </c>
      <c r="E510" s="6" t="s">
        <v>8156</v>
      </c>
      <c r="F510" s="6" t="s">
        <v>8155</v>
      </c>
      <c r="G510" s="6" t="s">
        <v>16</v>
      </c>
      <c r="H510" s="6" t="s">
        <v>15</v>
      </c>
      <c r="I510" s="6" t="s">
        <v>14</v>
      </c>
      <c r="J510" s="6" t="s">
        <v>385</v>
      </c>
      <c r="K510" s="7">
        <v>29.987140069999999</v>
      </c>
      <c r="L510" s="7">
        <v>-94.202568310000004</v>
      </c>
      <c r="M510" s="6" t="s">
        <v>2473</v>
      </c>
      <c r="N510" s="6" t="s">
        <v>383</v>
      </c>
      <c r="O510" s="6" t="s">
        <v>24</v>
      </c>
    </row>
    <row r="511" spans="1:15" x14ac:dyDescent="0.25">
      <c r="A511" s="6" t="s">
        <v>10167</v>
      </c>
      <c r="B511" s="6" t="s">
        <v>870</v>
      </c>
      <c r="C511" s="6" t="s">
        <v>436</v>
      </c>
      <c r="E511" s="6" t="s">
        <v>868</v>
      </c>
      <c r="F511" s="6" t="s">
        <v>867</v>
      </c>
      <c r="G511" s="6" t="s">
        <v>16</v>
      </c>
      <c r="H511" s="6" t="s">
        <v>28</v>
      </c>
      <c r="I511" s="6" t="s">
        <v>36</v>
      </c>
      <c r="J511" s="6" t="s">
        <v>35</v>
      </c>
      <c r="K511" s="7">
        <v>29.74493</v>
      </c>
      <c r="L511" s="7">
        <v>-95.191874999999996</v>
      </c>
      <c r="M511" s="6" t="s">
        <v>866</v>
      </c>
      <c r="N511" s="6" t="s">
        <v>24</v>
      </c>
      <c r="O511" s="6" t="s">
        <v>23</v>
      </c>
    </row>
    <row r="512" spans="1:15" x14ac:dyDescent="0.25">
      <c r="A512" s="6" t="s">
        <v>10166</v>
      </c>
      <c r="B512" s="6" t="s">
        <v>870</v>
      </c>
      <c r="C512" s="6" t="s">
        <v>638</v>
      </c>
      <c r="E512" s="6" t="s">
        <v>868</v>
      </c>
      <c r="F512" s="6" t="s">
        <v>867</v>
      </c>
      <c r="G512" s="6" t="s">
        <v>16</v>
      </c>
      <c r="H512" s="6" t="s">
        <v>430</v>
      </c>
      <c r="I512" s="6" t="s">
        <v>36</v>
      </c>
      <c r="J512" s="6" t="s">
        <v>35</v>
      </c>
      <c r="K512" s="7">
        <v>29.746656999999999</v>
      </c>
      <c r="L512" s="7">
        <v>-95.187383999999994</v>
      </c>
      <c r="M512" s="6" t="s">
        <v>866</v>
      </c>
      <c r="N512" s="6" t="s">
        <v>24</v>
      </c>
      <c r="O512" s="6" t="s">
        <v>23</v>
      </c>
    </row>
    <row r="513" spans="1:15" x14ac:dyDescent="0.25">
      <c r="A513" s="6" t="s">
        <v>871</v>
      </c>
      <c r="B513" s="6" t="s">
        <v>870</v>
      </c>
      <c r="C513" s="6" t="s">
        <v>869</v>
      </c>
      <c r="E513" s="6" t="s">
        <v>868</v>
      </c>
      <c r="F513" s="6" t="s">
        <v>867</v>
      </c>
      <c r="G513" s="6" t="s">
        <v>16</v>
      </c>
      <c r="H513" s="6" t="s">
        <v>15</v>
      </c>
      <c r="I513" s="6" t="s">
        <v>36</v>
      </c>
      <c r="J513" s="6" t="s">
        <v>35</v>
      </c>
      <c r="K513" s="7">
        <v>29.746029140000001</v>
      </c>
      <c r="L513" s="7">
        <v>-95.190951549999994</v>
      </c>
      <c r="M513" s="6" t="s">
        <v>866</v>
      </c>
      <c r="N513" s="6" t="s">
        <v>24</v>
      </c>
      <c r="O513" s="6" t="s">
        <v>23</v>
      </c>
    </row>
    <row r="514" spans="1:15" x14ac:dyDescent="0.25">
      <c r="A514" s="6" t="s">
        <v>9354</v>
      </c>
      <c r="B514" s="6" t="s">
        <v>9352</v>
      </c>
      <c r="C514" s="6" t="s">
        <v>31</v>
      </c>
      <c r="E514" s="6" t="s">
        <v>9351</v>
      </c>
      <c r="F514" s="6" t="s">
        <v>9350</v>
      </c>
      <c r="G514" s="6" t="s">
        <v>16</v>
      </c>
      <c r="H514" s="6" t="s">
        <v>15</v>
      </c>
      <c r="I514" s="6" t="s">
        <v>14</v>
      </c>
      <c r="J514" s="6" t="s">
        <v>162</v>
      </c>
      <c r="K514" s="7">
        <v>28.986688480000002</v>
      </c>
      <c r="L514" s="7">
        <v>-95.365247589999996</v>
      </c>
      <c r="M514" s="6" t="s">
        <v>244</v>
      </c>
      <c r="N514" s="6" t="s">
        <v>23</v>
      </c>
      <c r="O514" s="6" t="s">
        <v>23</v>
      </c>
    </row>
    <row r="515" spans="1:15" x14ac:dyDescent="0.25">
      <c r="A515" s="6" t="s">
        <v>9353</v>
      </c>
      <c r="B515" s="6" t="s">
        <v>9352</v>
      </c>
      <c r="C515" s="6" t="s">
        <v>19</v>
      </c>
      <c r="E515" s="6" t="s">
        <v>9351</v>
      </c>
      <c r="F515" s="6" t="s">
        <v>9350</v>
      </c>
      <c r="G515" s="6" t="s">
        <v>16</v>
      </c>
      <c r="H515" s="6" t="s">
        <v>430</v>
      </c>
      <c r="I515" s="6" t="s">
        <v>14</v>
      </c>
      <c r="J515" s="6" t="s">
        <v>162</v>
      </c>
      <c r="K515" s="7">
        <v>28.986688239999999</v>
      </c>
      <c r="L515" s="7">
        <v>-95.365247600000004</v>
      </c>
      <c r="M515" s="6" t="s">
        <v>244</v>
      </c>
      <c r="N515" s="6" t="s">
        <v>23</v>
      </c>
      <c r="O515" s="6" t="s">
        <v>23</v>
      </c>
    </row>
    <row r="516" spans="1:15" x14ac:dyDescent="0.25">
      <c r="A516" s="6" t="s">
        <v>9972</v>
      </c>
      <c r="B516" s="6" t="s">
        <v>3932</v>
      </c>
      <c r="C516" s="6" t="s">
        <v>31</v>
      </c>
      <c r="E516" s="6" t="s">
        <v>3931</v>
      </c>
      <c r="F516" s="6" t="s">
        <v>3930</v>
      </c>
      <c r="G516" s="6" t="s">
        <v>16</v>
      </c>
      <c r="H516" s="6" t="s">
        <v>15</v>
      </c>
      <c r="I516" s="6" t="s">
        <v>14</v>
      </c>
      <c r="J516" s="6" t="s">
        <v>162</v>
      </c>
      <c r="K516" s="7">
        <v>28.960012880000001</v>
      </c>
      <c r="L516" s="7">
        <v>-95.335085359999994</v>
      </c>
      <c r="M516" s="6" t="s">
        <v>244</v>
      </c>
      <c r="N516" s="6" t="s">
        <v>23</v>
      </c>
      <c r="O516" s="6" t="s">
        <v>23</v>
      </c>
    </row>
    <row r="517" spans="1:15" x14ac:dyDescent="0.25">
      <c r="A517" s="6" t="s">
        <v>9971</v>
      </c>
      <c r="B517" s="6" t="s">
        <v>3932</v>
      </c>
      <c r="C517" s="6" t="s">
        <v>19</v>
      </c>
      <c r="E517" s="6" t="s">
        <v>3931</v>
      </c>
      <c r="F517" s="6" t="s">
        <v>3930</v>
      </c>
      <c r="G517" s="6" t="s">
        <v>16</v>
      </c>
      <c r="H517" s="6" t="s">
        <v>430</v>
      </c>
      <c r="I517" s="6" t="s">
        <v>14</v>
      </c>
      <c r="J517" s="6" t="s">
        <v>162</v>
      </c>
      <c r="K517" s="7">
        <v>28.95829123</v>
      </c>
      <c r="L517" s="7">
        <v>-95.336599090000007</v>
      </c>
      <c r="M517" s="6" t="s">
        <v>1606</v>
      </c>
      <c r="N517" s="6" t="s">
        <v>160</v>
      </c>
      <c r="O517" s="6" t="s">
        <v>23</v>
      </c>
    </row>
    <row r="518" spans="1:15" x14ac:dyDescent="0.25">
      <c r="A518" s="6" t="s">
        <v>9970</v>
      </c>
      <c r="B518" s="6" t="s">
        <v>3932</v>
      </c>
      <c r="C518" s="6" t="s">
        <v>436</v>
      </c>
      <c r="E518" s="6" t="s">
        <v>3931</v>
      </c>
      <c r="F518" s="6" t="s">
        <v>3930</v>
      </c>
      <c r="G518" s="6" t="s">
        <v>16</v>
      </c>
      <c r="H518" s="6" t="s">
        <v>430</v>
      </c>
      <c r="I518" s="6" t="s">
        <v>14</v>
      </c>
      <c r="J518" s="6" t="s">
        <v>162</v>
      </c>
      <c r="K518" s="7">
        <v>28.960273000000001</v>
      </c>
      <c r="L518" s="7">
        <v>-95.338596999999993</v>
      </c>
      <c r="M518" s="6" t="s">
        <v>1606</v>
      </c>
      <c r="N518" s="6" t="s">
        <v>160</v>
      </c>
      <c r="O518" s="6" t="s">
        <v>23</v>
      </c>
    </row>
    <row r="519" spans="1:15" x14ac:dyDescent="0.25">
      <c r="A519" s="6" t="s">
        <v>9969</v>
      </c>
      <c r="B519" s="6" t="s">
        <v>3932</v>
      </c>
      <c r="C519" s="6" t="s">
        <v>597</v>
      </c>
      <c r="E519" s="6" t="s">
        <v>3931</v>
      </c>
      <c r="F519" s="6" t="s">
        <v>3930</v>
      </c>
      <c r="G519" s="6" t="s">
        <v>16</v>
      </c>
      <c r="H519" s="6" t="s">
        <v>430</v>
      </c>
      <c r="I519" s="6" t="s">
        <v>14</v>
      </c>
      <c r="J519" s="6" t="s">
        <v>162</v>
      </c>
      <c r="K519" s="7">
        <v>28.960844999999999</v>
      </c>
      <c r="L519" s="7">
        <v>-95.338712000000001</v>
      </c>
      <c r="M519" s="6" t="s">
        <v>1606</v>
      </c>
      <c r="N519" s="6" t="s">
        <v>160</v>
      </c>
      <c r="O519" s="6" t="s">
        <v>23</v>
      </c>
    </row>
    <row r="520" spans="1:15" x14ac:dyDescent="0.25">
      <c r="A520" s="6" t="s">
        <v>3933</v>
      </c>
      <c r="B520" s="6" t="s">
        <v>3932</v>
      </c>
      <c r="C520" s="6" t="s">
        <v>557</v>
      </c>
      <c r="E520" s="6" t="s">
        <v>3931</v>
      </c>
      <c r="F520" s="6" t="s">
        <v>3930</v>
      </c>
      <c r="G520" s="6" t="s">
        <v>16</v>
      </c>
      <c r="H520" s="6" t="s">
        <v>430</v>
      </c>
      <c r="I520" s="6" t="s">
        <v>14</v>
      </c>
      <c r="J520" s="6" t="s">
        <v>162</v>
      </c>
      <c r="K520" s="7">
        <v>28.958304800000001</v>
      </c>
      <c r="L520" s="7">
        <v>-95.332541689999999</v>
      </c>
      <c r="M520" s="6" t="s">
        <v>244</v>
      </c>
      <c r="N520" s="6" t="s">
        <v>23</v>
      </c>
      <c r="O520" s="6" t="s">
        <v>23</v>
      </c>
    </row>
    <row r="521" spans="1:15" x14ac:dyDescent="0.25">
      <c r="A521" s="6" t="s">
        <v>12492</v>
      </c>
      <c r="B521" s="6" t="s">
        <v>12485</v>
      </c>
      <c r="C521" s="6" t="s">
        <v>31</v>
      </c>
      <c r="E521" s="6" t="s">
        <v>12484</v>
      </c>
      <c r="F521" s="6" t="s">
        <v>3950</v>
      </c>
      <c r="G521" s="6" t="s">
        <v>16</v>
      </c>
      <c r="H521" s="6" t="s">
        <v>15</v>
      </c>
      <c r="I521" s="6" t="s">
        <v>14</v>
      </c>
      <c r="J521" s="6" t="s">
        <v>162</v>
      </c>
      <c r="K521" s="7">
        <v>28.98586817</v>
      </c>
      <c r="L521" s="7">
        <v>-95.408247750000001</v>
      </c>
      <c r="M521" s="6" t="s">
        <v>244</v>
      </c>
      <c r="N521" s="6" t="s">
        <v>23</v>
      </c>
      <c r="O521" s="6" t="s">
        <v>23</v>
      </c>
    </row>
    <row r="522" spans="1:15" x14ac:dyDescent="0.25">
      <c r="A522" s="6" t="s">
        <v>12491</v>
      </c>
      <c r="B522" s="6" t="s">
        <v>12485</v>
      </c>
      <c r="C522" s="6" t="s">
        <v>19</v>
      </c>
      <c r="E522" s="6" t="s">
        <v>12484</v>
      </c>
      <c r="F522" s="6" t="s">
        <v>3950</v>
      </c>
      <c r="G522" s="6" t="s">
        <v>16</v>
      </c>
      <c r="H522" s="6" t="s">
        <v>15</v>
      </c>
      <c r="I522" s="6" t="s">
        <v>14</v>
      </c>
      <c r="J522" s="6" t="s">
        <v>162</v>
      </c>
      <c r="K522" s="7">
        <v>28.98586822</v>
      </c>
      <c r="L522" s="7">
        <v>-95.408247860000003</v>
      </c>
      <c r="M522" s="6" t="s">
        <v>244</v>
      </c>
      <c r="N522" s="6" t="s">
        <v>23</v>
      </c>
      <c r="O522" s="6" t="s">
        <v>23</v>
      </c>
    </row>
    <row r="523" spans="1:15" x14ac:dyDescent="0.25">
      <c r="A523" s="6" t="s">
        <v>12490</v>
      </c>
      <c r="B523" s="6" t="s">
        <v>12485</v>
      </c>
      <c r="C523" s="6" t="s">
        <v>436</v>
      </c>
      <c r="E523" s="6" t="s">
        <v>12484</v>
      </c>
      <c r="F523" s="6" t="s">
        <v>3950</v>
      </c>
      <c r="G523" s="6" t="s">
        <v>16</v>
      </c>
      <c r="H523" s="6" t="s">
        <v>15</v>
      </c>
      <c r="I523" s="6" t="s">
        <v>14</v>
      </c>
      <c r="J523" s="6" t="s">
        <v>162</v>
      </c>
      <c r="K523" s="7">
        <v>29.006214839999998</v>
      </c>
      <c r="L523" s="7">
        <v>-95.403572299999993</v>
      </c>
      <c r="M523" s="6" t="s">
        <v>1606</v>
      </c>
      <c r="N523" s="6" t="s">
        <v>160</v>
      </c>
      <c r="O523" s="6" t="s">
        <v>23</v>
      </c>
    </row>
    <row r="524" spans="1:15" x14ac:dyDescent="0.25">
      <c r="A524" s="6" t="s">
        <v>12489</v>
      </c>
      <c r="B524" s="6" t="s">
        <v>12485</v>
      </c>
      <c r="C524" s="6" t="s">
        <v>597</v>
      </c>
      <c r="E524" s="6" t="s">
        <v>12484</v>
      </c>
      <c r="F524" s="6" t="s">
        <v>3950</v>
      </c>
      <c r="G524" s="6" t="s">
        <v>16</v>
      </c>
      <c r="H524" s="6" t="s">
        <v>15</v>
      </c>
      <c r="I524" s="6" t="s">
        <v>14</v>
      </c>
      <c r="J524" s="6" t="s">
        <v>162</v>
      </c>
      <c r="K524" s="7">
        <v>29.006531379999998</v>
      </c>
      <c r="L524" s="7">
        <v>-95.408564240000004</v>
      </c>
      <c r="M524" s="6" t="s">
        <v>1606</v>
      </c>
      <c r="N524" s="6" t="s">
        <v>160</v>
      </c>
      <c r="O524" s="6" t="s">
        <v>23</v>
      </c>
    </row>
    <row r="525" spans="1:15" x14ac:dyDescent="0.25">
      <c r="A525" s="6" t="s">
        <v>12488</v>
      </c>
      <c r="B525" s="6" t="s">
        <v>12485</v>
      </c>
      <c r="C525" s="6" t="s">
        <v>557</v>
      </c>
      <c r="E525" s="6" t="s">
        <v>12484</v>
      </c>
      <c r="F525" s="6" t="s">
        <v>3950</v>
      </c>
      <c r="G525" s="6" t="s">
        <v>16</v>
      </c>
      <c r="H525" s="6" t="s">
        <v>15</v>
      </c>
      <c r="I525" s="6" t="s">
        <v>14</v>
      </c>
      <c r="J525" s="6" t="s">
        <v>162</v>
      </c>
      <c r="K525" s="7">
        <v>29.007261750000001</v>
      </c>
      <c r="L525" s="7">
        <v>-95.402715790000002</v>
      </c>
      <c r="M525" s="6" t="s">
        <v>1606</v>
      </c>
      <c r="N525" s="6" t="s">
        <v>160</v>
      </c>
      <c r="O525" s="6" t="s">
        <v>23</v>
      </c>
    </row>
    <row r="526" spans="1:15" x14ac:dyDescent="0.25">
      <c r="A526" s="6" t="s">
        <v>12487</v>
      </c>
      <c r="B526" s="6" t="s">
        <v>12485</v>
      </c>
      <c r="C526" s="6" t="s">
        <v>433</v>
      </c>
      <c r="E526" s="6" t="s">
        <v>12484</v>
      </c>
      <c r="F526" s="6" t="s">
        <v>3950</v>
      </c>
      <c r="G526" s="6" t="s">
        <v>16</v>
      </c>
      <c r="H526" s="6" t="s">
        <v>15</v>
      </c>
      <c r="I526" s="6" t="s">
        <v>14</v>
      </c>
      <c r="J526" s="6" t="s">
        <v>162</v>
      </c>
      <c r="K526" s="7">
        <v>29.00549513</v>
      </c>
      <c r="L526" s="7">
        <v>-95.398141420000002</v>
      </c>
      <c r="M526" s="6" t="s">
        <v>1606</v>
      </c>
      <c r="N526" s="6" t="s">
        <v>160</v>
      </c>
      <c r="O526" s="6" t="s">
        <v>23</v>
      </c>
    </row>
    <row r="527" spans="1:15" x14ac:dyDescent="0.25">
      <c r="A527" s="6" t="s">
        <v>12486</v>
      </c>
      <c r="B527" s="6" t="s">
        <v>12485</v>
      </c>
      <c r="C527" s="6" t="s">
        <v>1098</v>
      </c>
      <c r="E527" s="6" t="s">
        <v>12484</v>
      </c>
      <c r="F527" s="6" t="s">
        <v>3950</v>
      </c>
      <c r="G527" s="6" t="s">
        <v>16</v>
      </c>
      <c r="H527" s="6" t="s">
        <v>15</v>
      </c>
      <c r="I527" s="6" t="s">
        <v>14</v>
      </c>
      <c r="J527" s="6" t="s">
        <v>162</v>
      </c>
      <c r="K527" s="7">
        <v>29.00184595</v>
      </c>
      <c r="L527" s="7">
        <v>-95.391732090000005</v>
      </c>
      <c r="M527" s="6" t="s">
        <v>1606</v>
      </c>
      <c r="N527" s="6" t="s">
        <v>160</v>
      </c>
      <c r="O527" s="6" t="s">
        <v>23</v>
      </c>
    </row>
    <row r="528" spans="1:15" x14ac:dyDescent="0.25">
      <c r="A528" s="6" t="s">
        <v>8491</v>
      </c>
      <c r="B528" s="6" t="s">
        <v>8490</v>
      </c>
      <c r="C528" s="6" t="s">
        <v>31</v>
      </c>
      <c r="E528" s="6" t="s">
        <v>8489</v>
      </c>
      <c r="F528" s="6" t="s">
        <v>8488</v>
      </c>
      <c r="G528" s="6" t="s">
        <v>16</v>
      </c>
      <c r="H528" s="6" t="s">
        <v>15</v>
      </c>
      <c r="I528" s="6" t="s">
        <v>14</v>
      </c>
      <c r="J528" s="6" t="s">
        <v>13</v>
      </c>
      <c r="K528" s="7">
        <v>27.627909429999999</v>
      </c>
      <c r="L528" s="7">
        <v>-97.346592680000001</v>
      </c>
      <c r="M528" s="6" t="s">
        <v>1309</v>
      </c>
      <c r="N528" s="6" t="s">
        <v>11</v>
      </c>
      <c r="O528" s="6" t="s">
        <v>10</v>
      </c>
    </row>
    <row r="529" spans="1:15" x14ac:dyDescent="0.25">
      <c r="A529" s="6" t="s">
        <v>1575</v>
      </c>
      <c r="B529" s="6" t="s">
        <v>1574</v>
      </c>
      <c r="C529" s="6" t="s">
        <v>31</v>
      </c>
      <c r="E529" s="6" t="s">
        <v>1573</v>
      </c>
      <c r="F529" s="6" t="s">
        <v>1572</v>
      </c>
      <c r="G529" s="6" t="s">
        <v>16</v>
      </c>
      <c r="H529" s="6" t="s">
        <v>15</v>
      </c>
      <c r="I529" s="6" t="s">
        <v>14</v>
      </c>
      <c r="J529" s="6" t="s">
        <v>385</v>
      </c>
      <c r="K529" s="7">
        <v>29.929546989999999</v>
      </c>
      <c r="L529" s="7">
        <v>-93.876899460000004</v>
      </c>
      <c r="M529" s="6" t="s">
        <v>610</v>
      </c>
      <c r="N529" s="6" t="s">
        <v>383</v>
      </c>
      <c r="O529" s="6" t="s">
        <v>24</v>
      </c>
    </row>
    <row r="530" spans="1:15" x14ac:dyDescent="0.25">
      <c r="A530" s="6" t="s">
        <v>7111</v>
      </c>
      <c r="B530" s="6" t="s">
        <v>7110</v>
      </c>
      <c r="C530" s="6" t="s">
        <v>31</v>
      </c>
      <c r="E530" s="6" t="s">
        <v>7109</v>
      </c>
      <c r="F530" s="6" t="s">
        <v>7108</v>
      </c>
      <c r="G530" s="6" t="s">
        <v>16</v>
      </c>
      <c r="H530" s="6" t="s">
        <v>15</v>
      </c>
      <c r="I530" s="6" t="s">
        <v>36</v>
      </c>
      <c r="J530" s="6" t="s">
        <v>35</v>
      </c>
      <c r="K530" s="7">
        <v>29.702869710000002</v>
      </c>
      <c r="L530" s="7">
        <v>-95.399148179999997</v>
      </c>
      <c r="M530" s="6" t="s">
        <v>866</v>
      </c>
      <c r="N530" s="6" t="s">
        <v>24</v>
      </c>
      <c r="O530" s="6" t="s">
        <v>23</v>
      </c>
    </row>
    <row r="531" spans="1:15" x14ac:dyDescent="0.25">
      <c r="A531" s="6" t="s">
        <v>1598</v>
      </c>
      <c r="B531" s="6" t="s">
        <v>1596</v>
      </c>
      <c r="C531" s="6" t="s">
        <v>31</v>
      </c>
      <c r="E531" s="6" t="s">
        <v>1595</v>
      </c>
      <c r="F531" s="6" t="s">
        <v>1594</v>
      </c>
      <c r="G531" s="6" t="s">
        <v>16</v>
      </c>
      <c r="H531" s="6" t="s">
        <v>15</v>
      </c>
      <c r="I531" s="6" t="s">
        <v>14</v>
      </c>
      <c r="J531" s="6" t="s">
        <v>139</v>
      </c>
      <c r="K531" s="7">
        <v>27.871967609999999</v>
      </c>
      <c r="L531" s="7">
        <v>-97.245930439999995</v>
      </c>
      <c r="M531" s="6" t="s">
        <v>1168</v>
      </c>
      <c r="N531" s="6" t="s">
        <v>137</v>
      </c>
      <c r="O531" s="6" t="s">
        <v>10</v>
      </c>
    </row>
    <row r="532" spans="1:15" x14ac:dyDescent="0.25">
      <c r="A532" s="6" t="s">
        <v>1597</v>
      </c>
      <c r="B532" s="6" t="s">
        <v>1596</v>
      </c>
      <c r="C532" s="6" t="s">
        <v>19</v>
      </c>
      <c r="E532" s="6" t="s">
        <v>1595</v>
      </c>
      <c r="F532" s="6" t="s">
        <v>1594</v>
      </c>
      <c r="G532" s="6" t="s">
        <v>16</v>
      </c>
      <c r="H532" s="6" t="s">
        <v>430</v>
      </c>
      <c r="I532" s="6" t="s">
        <v>14</v>
      </c>
      <c r="J532" s="6" t="s">
        <v>139</v>
      </c>
      <c r="K532" s="7">
        <v>27.871830599999999</v>
      </c>
      <c r="L532" s="7">
        <v>-97.245524040000006</v>
      </c>
      <c r="M532" s="6" t="s">
        <v>1168</v>
      </c>
      <c r="N532" s="6" t="s">
        <v>137</v>
      </c>
      <c r="O532" s="6" t="s">
        <v>10</v>
      </c>
    </row>
    <row r="533" spans="1:15" x14ac:dyDescent="0.25">
      <c r="A533" s="6" t="s">
        <v>10515</v>
      </c>
      <c r="B533" s="6" t="s">
        <v>10514</v>
      </c>
      <c r="C533" s="6" t="s">
        <v>31</v>
      </c>
      <c r="E533" s="6" t="s">
        <v>10513</v>
      </c>
      <c r="F533" s="6" t="s">
        <v>10512</v>
      </c>
      <c r="G533" s="6" t="s">
        <v>16</v>
      </c>
      <c r="H533" s="6" t="s">
        <v>15</v>
      </c>
      <c r="I533" s="6" t="s">
        <v>27</v>
      </c>
      <c r="J533" s="6" t="s">
        <v>97</v>
      </c>
      <c r="K533" s="7">
        <v>33.718069</v>
      </c>
      <c r="L533" s="7">
        <v>-95.568248999999994</v>
      </c>
      <c r="M533" s="6" t="s">
        <v>44</v>
      </c>
      <c r="N533" s="6" t="s">
        <v>43</v>
      </c>
      <c r="O533" s="6" t="s">
        <v>65</v>
      </c>
    </row>
    <row r="534" spans="1:15" x14ac:dyDescent="0.25">
      <c r="A534" s="6" t="s">
        <v>6903</v>
      </c>
      <c r="B534" s="6" t="s">
        <v>1478</v>
      </c>
      <c r="C534" s="6" t="s">
        <v>31</v>
      </c>
      <c r="E534" s="6" t="s">
        <v>1477</v>
      </c>
      <c r="F534" s="6" t="s">
        <v>269</v>
      </c>
      <c r="G534" s="6" t="s">
        <v>16</v>
      </c>
      <c r="H534" s="6" t="s">
        <v>16</v>
      </c>
      <c r="I534" s="6" t="s">
        <v>27</v>
      </c>
      <c r="J534" s="6" t="s">
        <v>45</v>
      </c>
      <c r="K534" s="7">
        <v>33.62805522</v>
      </c>
      <c r="L534" s="7">
        <v>-96.376939429999993</v>
      </c>
      <c r="M534" s="6" t="s">
        <v>44</v>
      </c>
      <c r="N534" s="6" t="s">
        <v>43</v>
      </c>
      <c r="O534" s="6" t="s">
        <v>42</v>
      </c>
    </row>
    <row r="535" spans="1:15" x14ac:dyDescent="0.25">
      <c r="A535" s="6" t="s">
        <v>1479</v>
      </c>
      <c r="B535" s="6" t="s">
        <v>1478</v>
      </c>
      <c r="C535" s="6" t="s">
        <v>19</v>
      </c>
      <c r="E535" s="6" t="s">
        <v>1477</v>
      </c>
      <c r="F535" s="6" t="s">
        <v>269</v>
      </c>
      <c r="G535" s="6" t="s">
        <v>16</v>
      </c>
      <c r="H535" s="6" t="s">
        <v>15</v>
      </c>
      <c r="I535" s="6" t="s">
        <v>27</v>
      </c>
      <c r="J535" s="6" t="s">
        <v>45</v>
      </c>
      <c r="K535" s="7">
        <v>33.631470999999998</v>
      </c>
      <c r="L535" s="7">
        <v>-96.368571000000003</v>
      </c>
      <c r="M535" s="6" t="s">
        <v>44</v>
      </c>
      <c r="N535" s="6" t="s">
        <v>43</v>
      </c>
      <c r="O535" s="6" t="s">
        <v>42</v>
      </c>
    </row>
    <row r="536" spans="1:15" x14ac:dyDescent="0.25">
      <c r="A536" s="6" t="s">
        <v>10492</v>
      </c>
      <c r="B536" s="6" t="s">
        <v>10476</v>
      </c>
      <c r="C536" s="6" t="s">
        <v>31</v>
      </c>
      <c r="E536" s="6" t="s">
        <v>10475</v>
      </c>
      <c r="F536" s="6" t="s">
        <v>10474</v>
      </c>
      <c r="G536" s="6" t="s">
        <v>16</v>
      </c>
      <c r="H536" s="6" t="s">
        <v>15</v>
      </c>
      <c r="I536" s="6" t="s">
        <v>60</v>
      </c>
      <c r="J536" s="6" t="s">
        <v>692</v>
      </c>
      <c r="K536" s="7">
        <v>35.702459670000003</v>
      </c>
      <c r="L536" s="7">
        <v>-101.34279463</v>
      </c>
      <c r="M536" s="6" t="s">
        <v>691</v>
      </c>
      <c r="N536" s="6" t="s">
        <v>535</v>
      </c>
      <c r="O536" s="6" t="s">
        <v>535</v>
      </c>
    </row>
    <row r="537" spans="1:15" x14ac:dyDescent="0.25">
      <c r="A537" s="6" t="s">
        <v>10491</v>
      </c>
      <c r="B537" s="6" t="s">
        <v>10476</v>
      </c>
      <c r="C537" s="6" t="s">
        <v>19</v>
      </c>
      <c r="D537" s="6" t="s">
        <v>907</v>
      </c>
      <c r="E537" s="6" t="s">
        <v>10475</v>
      </c>
      <c r="F537" s="6" t="s">
        <v>10474</v>
      </c>
      <c r="G537" s="6" t="s">
        <v>16</v>
      </c>
      <c r="H537" s="6" t="s">
        <v>15</v>
      </c>
      <c r="I537" s="6" t="s">
        <v>60</v>
      </c>
      <c r="J537" s="6" t="s">
        <v>692</v>
      </c>
      <c r="K537" s="7">
        <v>35.689832989999999</v>
      </c>
      <c r="L537" s="7">
        <v>-101.37567507</v>
      </c>
      <c r="M537" s="6" t="s">
        <v>691</v>
      </c>
      <c r="N537" s="6" t="s">
        <v>535</v>
      </c>
      <c r="O537" s="6" t="s">
        <v>535</v>
      </c>
    </row>
    <row r="538" spans="1:15" x14ac:dyDescent="0.25">
      <c r="A538" s="6" t="s">
        <v>10491</v>
      </c>
      <c r="B538" s="6" t="s">
        <v>10476</v>
      </c>
      <c r="C538" s="6" t="s">
        <v>19</v>
      </c>
      <c r="E538" s="6" t="s">
        <v>10475</v>
      </c>
      <c r="F538" s="6" t="s">
        <v>10474</v>
      </c>
      <c r="G538" s="6" t="s">
        <v>16</v>
      </c>
      <c r="H538" s="6" t="s">
        <v>15</v>
      </c>
      <c r="I538" s="6" t="s">
        <v>60</v>
      </c>
      <c r="J538" s="6" t="s">
        <v>692</v>
      </c>
      <c r="K538" s="7">
        <v>35.688831499999999</v>
      </c>
      <c r="L538" s="7">
        <v>-101.37599267</v>
      </c>
      <c r="M538" s="6" t="s">
        <v>691</v>
      </c>
      <c r="N538" s="6" t="s">
        <v>535</v>
      </c>
      <c r="O538" s="6" t="s">
        <v>535</v>
      </c>
    </row>
    <row r="539" spans="1:15" x14ac:dyDescent="0.25">
      <c r="A539" s="6" t="s">
        <v>10490</v>
      </c>
      <c r="B539" s="6" t="s">
        <v>10476</v>
      </c>
      <c r="C539" s="6" t="s">
        <v>436</v>
      </c>
      <c r="D539" s="6" t="s">
        <v>907</v>
      </c>
      <c r="E539" s="6" t="s">
        <v>10475</v>
      </c>
      <c r="F539" s="6" t="s">
        <v>10474</v>
      </c>
      <c r="G539" s="6" t="s">
        <v>16</v>
      </c>
      <c r="H539" s="6" t="s">
        <v>15</v>
      </c>
      <c r="I539" s="6" t="s">
        <v>60</v>
      </c>
      <c r="J539" s="6" t="s">
        <v>692</v>
      </c>
      <c r="K539" s="7">
        <v>35.695902429999997</v>
      </c>
      <c r="L539" s="7">
        <v>-101.37441662000001</v>
      </c>
      <c r="M539" s="6" t="s">
        <v>691</v>
      </c>
      <c r="N539" s="6" t="s">
        <v>535</v>
      </c>
      <c r="O539" s="6" t="s">
        <v>535</v>
      </c>
    </row>
    <row r="540" spans="1:15" x14ac:dyDescent="0.25">
      <c r="A540" s="6" t="s">
        <v>10490</v>
      </c>
      <c r="B540" s="6" t="s">
        <v>10476</v>
      </c>
      <c r="C540" s="6" t="s">
        <v>436</v>
      </c>
      <c r="E540" s="6" t="s">
        <v>10475</v>
      </c>
      <c r="F540" s="6" t="s">
        <v>10474</v>
      </c>
      <c r="G540" s="6" t="s">
        <v>16</v>
      </c>
      <c r="H540" s="6" t="s">
        <v>15</v>
      </c>
      <c r="I540" s="6" t="s">
        <v>60</v>
      </c>
      <c r="J540" s="6" t="s">
        <v>692</v>
      </c>
      <c r="K540" s="7">
        <v>35.696003380000001</v>
      </c>
      <c r="L540" s="7">
        <v>-101.37365749</v>
      </c>
      <c r="M540" s="6" t="s">
        <v>691</v>
      </c>
      <c r="N540" s="6" t="s">
        <v>535</v>
      </c>
      <c r="O540" s="6" t="s">
        <v>535</v>
      </c>
    </row>
    <row r="541" spans="1:15" x14ac:dyDescent="0.25">
      <c r="A541" s="6" t="s">
        <v>10489</v>
      </c>
      <c r="B541" s="6" t="s">
        <v>10476</v>
      </c>
      <c r="C541" s="6" t="s">
        <v>597</v>
      </c>
      <c r="E541" s="6" t="s">
        <v>10475</v>
      </c>
      <c r="F541" s="6" t="s">
        <v>10474</v>
      </c>
      <c r="G541" s="6" t="s">
        <v>16</v>
      </c>
      <c r="H541" s="6" t="s">
        <v>15</v>
      </c>
      <c r="I541" s="6" t="s">
        <v>60</v>
      </c>
      <c r="J541" s="6" t="s">
        <v>692</v>
      </c>
      <c r="K541" s="7">
        <v>35.708360030000001</v>
      </c>
      <c r="L541" s="7">
        <v>-101.36259318</v>
      </c>
      <c r="M541" s="6" t="s">
        <v>691</v>
      </c>
      <c r="N541" s="6" t="s">
        <v>535</v>
      </c>
      <c r="O541" s="6" t="s">
        <v>535</v>
      </c>
    </row>
    <row r="542" spans="1:15" x14ac:dyDescent="0.25">
      <c r="A542" s="6" t="s">
        <v>10488</v>
      </c>
      <c r="B542" s="6" t="s">
        <v>10476</v>
      </c>
      <c r="C542" s="6" t="s">
        <v>557</v>
      </c>
      <c r="E542" s="6" t="s">
        <v>10475</v>
      </c>
      <c r="F542" s="6" t="s">
        <v>10474</v>
      </c>
      <c r="G542" s="6" t="s">
        <v>16</v>
      </c>
      <c r="H542" s="6" t="s">
        <v>15</v>
      </c>
      <c r="I542" s="6" t="s">
        <v>60</v>
      </c>
      <c r="J542" s="6" t="s">
        <v>692</v>
      </c>
      <c r="K542" s="7">
        <v>35.706914070000003</v>
      </c>
      <c r="L542" s="7">
        <v>-101.37416841</v>
      </c>
      <c r="M542" s="6" t="s">
        <v>691</v>
      </c>
      <c r="N542" s="6" t="s">
        <v>535</v>
      </c>
      <c r="O542" s="6" t="s">
        <v>535</v>
      </c>
    </row>
    <row r="543" spans="1:15" x14ac:dyDescent="0.25">
      <c r="A543" s="6" t="s">
        <v>10487</v>
      </c>
      <c r="B543" s="6" t="s">
        <v>10476</v>
      </c>
      <c r="C543" s="6" t="s">
        <v>433</v>
      </c>
      <c r="E543" s="6" t="s">
        <v>10475</v>
      </c>
      <c r="F543" s="6" t="s">
        <v>10474</v>
      </c>
      <c r="G543" s="6" t="s">
        <v>16</v>
      </c>
      <c r="H543" s="6" t="s">
        <v>15</v>
      </c>
      <c r="I543" s="6" t="s">
        <v>60</v>
      </c>
      <c r="J543" s="6" t="s">
        <v>692</v>
      </c>
      <c r="K543" s="7">
        <v>35.712606209999997</v>
      </c>
      <c r="L543" s="7">
        <v>-101.34979002999999</v>
      </c>
      <c r="M543" s="6" t="s">
        <v>691</v>
      </c>
      <c r="N543" s="6" t="s">
        <v>535</v>
      </c>
      <c r="O543" s="6" t="s">
        <v>535</v>
      </c>
    </row>
    <row r="544" spans="1:15" x14ac:dyDescent="0.25">
      <c r="A544" s="6" t="s">
        <v>10486</v>
      </c>
      <c r="B544" s="6" t="s">
        <v>10476</v>
      </c>
      <c r="C544" s="6" t="s">
        <v>1098</v>
      </c>
      <c r="E544" s="6" t="s">
        <v>10475</v>
      </c>
      <c r="F544" s="6" t="s">
        <v>10474</v>
      </c>
      <c r="G544" s="6" t="s">
        <v>16</v>
      </c>
      <c r="H544" s="6" t="s">
        <v>15</v>
      </c>
      <c r="I544" s="6" t="s">
        <v>60</v>
      </c>
      <c r="J544" s="6" t="s">
        <v>692</v>
      </c>
      <c r="K544" s="7">
        <v>35.704920659999999</v>
      </c>
      <c r="L544" s="7">
        <v>-101.38081450999999</v>
      </c>
      <c r="M544" s="6" t="s">
        <v>691</v>
      </c>
      <c r="N544" s="6" t="s">
        <v>535</v>
      </c>
      <c r="O544" s="6" t="s">
        <v>535</v>
      </c>
    </row>
    <row r="545" spans="1:15" x14ac:dyDescent="0.25">
      <c r="A545" s="6" t="s">
        <v>10485</v>
      </c>
      <c r="B545" s="6" t="s">
        <v>10476</v>
      </c>
      <c r="C545" s="6" t="s">
        <v>1096</v>
      </c>
      <c r="E545" s="6" t="s">
        <v>10475</v>
      </c>
      <c r="F545" s="6" t="s">
        <v>10474</v>
      </c>
      <c r="G545" s="6" t="s">
        <v>16</v>
      </c>
      <c r="H545" s="6" t="s">
        <v>15</v>
      </c>
      <c r="I545" s="6" t="s">
        <v>60</v>
      </c>
      <c r="J545" s="6" t="s">
        <v>692</v>
      </c>
      <c r="K545" s="7">
        <v>35.702371960000001</v>
      </c>
      <c r="L545" s="7">
        <v>-101.34356406000001</v>
      </c>
      <c r="M545" s="6" t="s">
        <v>691</v>
      </c>
      <c r="N545" s="6" t="s">
        <v>535</v>
      </c>
      <c r="O545" s="6" t="s">
        <v>535</v>
      </c>
    </row>
    <row r="546" spans="1:15" x14ac:dyDescent="0.25">
      <c r="A546" s="6" t="s">
        <v>10484</v>
      </c>
      <c r="B546" s="6" t="s">
        <v>10476</v>
      </c>
      <c r="C546" s="6" t="s">
        <v>638</v>
      </c>
      <c r="E546" s="6" t="s">
        <v>10475</v>
      </c>
      <c r="F546" s="6" t="s">
        <v>10474</v>
      </c>
      <c r="G546" s="6" t="s">
        <v>16</v>
      </c>
      <c r="H546" s="6" t="s">
        <v>15</v>
      </c>
      <c r="I546" s="6" t="s">
        <v>60</v>
      </c>
      <c r="J546" s="6" t="s">
        <v>692</v>
      </c>
      <c r="K546" s="7">
        <v>35.688726920000001</v>
      </c>
      <c r="L546" s="7">
        <v>-101.37484459</v>
      </c>
      <c r="M546" s="6" t="s">
        <v>691</v>
      </c>
      <c r="N546" s="6" t="s">
        <v>535</v>
      </c>
      <c r="O546" s="6" t="s">
        <v>535</v>
      </c>
    </row>
    <row r="547" spans="1:15" x14ac:dyDescent="0.25">
      <c r="A547" s="6" t="s">
        <v>10483</v>
      </c>
      <c r="B547" s="6" t="s">
        <v>10476</v>
      </c>
      <c r="C547" s="6" t="s">
        <v>635</v>
      </c>
      <c r="E547" s="6" t="s">
        <v>10475</v>
      </c>
      <c r="F547" s="6" t="s">
        <v>10474</v>
      </c>
      <c r="G547" s="6" t="s">
        <v>16</v>
      </c>
      <c r="H547" s="6" t="s">
        <v>15</v>
      </c>
      <c r="I547" s="6" t="s">
        <v>60</v>
      </c>
      <c r="J547" s="6" t="s">
        <v>692</v>
      </c>
      <c r="K547" s="7">
        <v>35.681982910000002</v>
      </c>
      <c r="L547" s="7">
        <v>-101.37113033</v>
      </c>
      <c r="M547" s="6" t="s">
        <v>691</v>
      </c>
      <c r="N547" s="6" t="s">
        <v>535</v>
      </c>
      <c r="O547" s="6" t="s">
        <v>535</v>
      </c>
    </row>
    <row r="548" spans="1:15" x14ac:dyDescent="0.25">
      <c r="A548" s="6" t="s">
        <v>10482</v>
      </c>
      <c r="B548" s="6" t="s">
        <v>10476</v>
      </c>
      <c r="C548" s="6" t="s">
        <v>1092</v>
      </c>
      <c r="E548" s="6" t="s">
        <v>10475</v>
      </c>
      <c r="F548" s="6" t="s">
        <v>10474</v>
      </c>
      <c r="G548" s="6" t="s">
        <v>16</v>
      </c>
      <c r="H548" s="6" t="s">
        <v>430</v>
      </c>
      <c r="I548" s="6" t="s">
        <v>60</v>
      </c>
      <c r="J548" s="6" t="s">
        <v>692</v>
      </c>
      <c r="K548" s="7">
        <v>35.680618719999998</v>
      </c>
      <c r="L548" s="7">
        <v>-101.36988279000001</v>
      </c>
      <c r="M548" s="6" t="s">
        <v>691</v>
      </c>
      <c r="N548" s="6" t="s">
        <v>535</v>
      </c>
      <c r="O548" s="6" t="s">
        <v>535</v>
      </c>
    </row>
    <row r="549" spans="1:15" x14ac:dyDescent="0.25">
      <c r="A549" s="6" t="s">
        <v>10481</v>
      </c>
      <c r="B549" s="6" t="s">
        <v>10476</v>
      </c>
      <c r="C549" s="6" t="s">
        <v>869</v>
      </c>
      <c r="E549" s="6" t="s">
        <v>10475</v>
      </c>
      <c r="F549" s="6" t="s">
        <v>10474</v>
      </c>
      <c r="G549" s="6" t="s">
        <v>16</v>
      </c>
      <c r="H549" s="6" t="s">
        <v>430</v>
      </c>
      <c r="I549" s="6" t="s">
        <v>60</v>
      </c>
      <c r="J549" s="6" t="s">
        <v>692</v>
      </c>
      <c r="K549" s="7">
        <v>35.680552710000001</v>
      </c>
      <c r="L549" s="7">
        <v>-101.36881691000001</v>
      </c>
      <c r="M549" s="6" t="s">
        <v>691</v>
      </c>
      <c r="N549" s="6" t="s">
        <v>535</v>
      </c>
      <c r="O549" s="6" t="s">
        <v>535</v>
      </c>
    </row>
    <row r="550" spans="1:15" x14ac:dyDescent="0.25">
      <c r="A550" s="6" t="s">
        <v>10480</v>
      </c>
      <c r="B550" s="6" t="s">
        <v>10476</v>
      </c>
      <c r="C550" s="6" t="s">
        <v>1844</v>
      </c>
      <c r="E550" s="6" t="s">
        <v>10475</v>
      </c>
      <c r="F550" s="6" t="s">
        <v>10474</v>
      </c>
      <c r="G550" s="6" t="s">
        <v>16</v>
      </c>
      <c r="H550" s="6" t="s">
        <v>430</v>
      </c>
      <c r="I550" s="6" t="s">
        <v>60</v>
      </c>
      <c r="J550" s="6" t="s">
        <v>692</v>
      </c>
      <c r="K550" s="7">
        <v>35.680098039999997</v>
      </c>
      <c r="L550" s="7">
        <v>-101.37130267000001</v>
      </c>
      <c r="M550" s="6" t="s">
        <v>691</v>
      </c>
      <c r="N550" s="6" t="s">
        <v>535</v>
      </c>
      <c r="O550" s="6" t="s">
        <v>535</v>
      </c>
    </row>
    <row r="551" spans="1:15" x14ac:dyDescent="0.25">
      <c r="A551" s="6" t="s">
        <v>10479</v>
      </c>
      <c r="B551" s="6" t="s">
        <v>10476</v>
      </c>
      <c r="C551" s="6" t="s">
        <v>1189</v>
      </c>
      <c r="E551" s="6" t="s">
        <v>10475</v>
      </c>
      <c r="F551" s="6" t="s">
        <v>10474</v>
      </c>
      <c r="G551" s="6" t="s">
        <v>16</v>
      </c>
      <c r="H551" s="6" t="s">
        <v>430</v>
      </c>
      <c r="I551" s="6" t="s">
        <v>60</v>
      </c>
      <c r="J551" s="6" t="s">
        <v>692</v>
      </c>
      <c r="K551" s="7">
        <v>35.722227250000003</v>
      </c>
      <c r="L551" s="7">
        <v>-101.42188849</v>
      </c>
      <c r="M551" s="6" t="s">
        <v>691</v>
      </c>
      <c r="N551" s="6" t="s">
        <v>535</v>
      </c>
      <c r="O551" s="6" t="s">
        <v>535</v>
      </c>
    </row>
    <row r="552" spans="1:15" x14ac:dyDescent="0.25">
      <c r="A552" s="6" t="s">
        <v>10478</v>
      </c>
      <c r="B552" s="6" t="s">
        <v>10476</v>
      </c>
      <c r="C552" s="6" t="s">
        <v>1841</v>
      </c>
      <c r="E552" s="6" t="s">
        <v>10475</v>
      </c>
      <c r="F552" s="6" t="s">
        <v>10474</v>
      </c>
      <c r="G552" s="6" t="s">
        <v>16</v>
      </c>
      <c r="H552" s="6" t="s">
        <v>430</v>
      </c>
      <c r="I552" s="6" t="s">
        <v>60</v>
      </c>
      <c r="J552" s="6" t="s">
        <v>692</v>
      </c>
      <c r="K552" s="7">
        <v>35.717097150000001</v>
      </c>
      <c r="L552" s="7">
        <v>-101.41507352000001</v>
      </c>
      <c r="M552" s="6" t="s">
        <v>691</v>
      </c>
      <c r="N552" s="6" t="s">
        <v>535</v>
      </c>
      <c r="O552" s="6" t="s">
        <v>535</v>
      </c>
    </row>
    <row r="553" spans="1:15" x14ac:dyDescent="0.25">
      <c r="A553" s="6" t="s">
        <v>10477</v>
      </c>
      <c r="B553" s="6" t="s">
        <v>10476</v>
      </c>
      <c r="C553" s="6" t="s">
        <v>4806</v>
      </c>
      <c r="E553" s="6" t="s">
        <v>10475</v>
      </c>
      <c r="F553" s="6" t="s">
        <v>10474</v>
      </c>
      <c r="G553" s="6" t="s">
        <v>16</v>
      </c>
      <c r="H553" s="6" t="s">
        <v>430</v>
      </c>
      <c r="I553" s="6" t="s">
        <v>60</v>
      </c>
      <c r="J553" s="6" t="s">
        <v>692</v>
      </c>
      <c r="K553" s="7">
        <v>35.723681409999998</v>
      </c>
      <c r="L553" s="7">
        <v>-101.35974469999999</v>
      </c>
      <c r="M553" s="6" t="s">
        <v>691</v>
      </c>
      <c r="N553" s="6" t="s">
        <v>535</v>
      </c>
      <c r="O553" s="6" t="s">
        <v>535</v>
      </c>
    </row>
    <row r="554" spans="1:15" x14ac:dyDescent="0.25">
      <c r="A554" s="6" t="s">
        <v>11987</v>
      </c>
      <c r="B554" s="6" t="s">
        <v>10476</v>
      </c>
      <c r="C554" s="6" t="s">
        <v>3463</v>
      </c>
      <c r="E554" s="6" t="s">
        <v>10475</v>
      </c>
      <c r="F554" s="6" t="s">
        <v>10474</v>
      </c>
      <c r="G554" s="6" t="s">
        <v>16</v>
      </c>
      <c r="H554" s="6" t="s">
        <v>430</v>
      </c>
      <c r="I554" s="6" t="s">
        <v>60</v>
      </c>
      <c r="J554" s="6" t="s">
        <v>692</v>
      </c>
      <c r="K554" s="7">
        <v>35.708348039999997</v>
      </c>
      <c r="L554" s="7">
        <v>-101.34211101</v>
      </c>
      <c r="M554" s="6" t="s">
        <v>691</v>
      </c>
      <c r="N554" s="6" t="s">
        <v>535</v>
      </c>
      <c r="O554" s="6" t="s">
        <v>535</v>
      </c>
    </row>
    <row r="555" spans="1:15" x14ac:dyDescent="0.25">
      <c r="A555" s="6" t="s">
        <v>11986</v>
      </c>
      <c r="B555" s="6" t="s">
        <v>10476</v>
      </c>
      <c r="C555" s="6" t="s">
        <v>4803</v>
      </c>
      <c r="E555" s="6" t="s">
        <v>10475</v>
      </c>
      <c r="F555" s="6" t="s">
        <v>10474</v>
      </c>
      <c r="G555" s="6" t="s">
        <v>16</v>
      </c>
      <c r="H555" s="6" t="s">
        <v>430</v>
      </c>
      <c r="I555" s="6" t="s">
        <v>60</v>
      </c>
      <c r="J555" s="6" t="s">
        <v>692</v>
      </c>
      <c r="K555" s="7">
        <v>35.690455319999998</v>
      </c>
      <c r="L555" s="7">
        <v>-101.35073199999999</v>
      </c>
      <c r="M555" s="6" t="s">
        <v>691</v>
      </c>
      <c r="N555" s="6" t="s">
        <v>535</v>
      </c>
      <c r="O555" s="6" t="s">
        <v>535</v>
      </c>
    </row>
    <row r="556" spans="1:15" x14ac:dyDescent="0.25">
      <c r="A556" s="6" t="s">
        <v>11985</v>
      </c>
      <c r="B556" s="6" t="s">
        <v>10476</v>
      </c>
      <c r="C556" s="6" t="s">
        <v>4792</v>
      </c>
      <c r="E556" s="6" t="s">
        <v>10475</v>
      </c>
      <c r="F556" s="6" t="s">
        <v>10474</v>
      </c>
      <c r="G556" s="6" t="s">
        <v>16</v>
      </c>
      <c r="H556" s="6" t="s">
        <v>430</v>
      </c>
      <c r="I556" s="6" t="s">
        <v>60</v>
      </c>
      <c r="J556" s="6" t="s">
        <v>692</v>
      </c>
      <c r="K556" s="7">
        <v>35.689994210000002</v>
      </c>
      <c r="L556" s="7">
        <v>-101.35803276</v>
      </c>
      <c r="M556" s="6" t="s">
        <v>691</v>
      </c>
      <c r="N556" s="6" t="s">
        <v>535</v>
      </c>
      <c r="O556" s="6" t="s">
        <v>535</v>
      </c>
    </row>
    <row r="557" spans="1:15" x14ac:dyDescent="0.25">
      <c r="A557" s="6" t="s">
        <v>11984</v>
      </c>
      <c r="B557" s="6" t="s">
        <v>10476</v>
      </c>
      <c r="C557" s="6" t="s">
        <v>2264</v>
      </c>
      <c r="E557" s="6" t="s">
        <v>10475</v>
      </c>
      <c r="F557" s="6" t="s">
        <v>10474</v>
      </c>
      <c r="G557" s="6" t="s">
        <v>16</v>
      </c>
      <c r="H557" s="6" t="s">
        <v>430</v>
      </c>
      <c r="I557" s="6" t="s">
        <v>60</v>
      </c>
      <c r="J557" s="6" t="s">
        <v>692</v>
      </c>
      <c r="K557" s="7">
        <v>35.685651200000002</v>
      </c>
      <c r="L557" s="7">
        <v>-101.36506153000001</v>
      </c>
      <c r="M557" s="6" t="s">
        <v>691</v>
      </c>
      <c r="N557" s="6" t="s">
        <v>535</v>
      </c>
      <c r="O557" s="6" t="s">
        <v>535</v>
      </c>
    </row>
    <row r="558" spans="1:15" x14ac:dyDescent="0.25">
      <c r="A558" s="6" t="s">
        <v>11983</v>
      </c>
      <c r="B558" s="6" t="s">
        <v>10476</v>
      </c>
      <c r="C558" s="6" t="s">
        <v>2869</v>
      </c>
      <c r="E558" s="6" t="s">
        <v>10475</v>
      </c>
      <c r="F558" s="6" t="s">
        <v>10474</v>
      </c>
      <c r="G558" s="6" t="s">
        <v>16</v>
      </c>
      <c r="H558" s="6" t="s">
        <v>430</v>
      </c>
      <c r="I558" s="6" t="s">
        <v>60</v>
      </c>
      <c r="J558" s="6" t="s">
        <v>692</v>
      </c>
      <c r="K558" s="7">
        <v>35.687302989999999</v>
      </c>
      <c r="L558" s="7">
        <v>-101.36919134</v>
      </c>
      <c r="M558" s="6" t="s">
        <v>691</v>
      </c>
      <c r="N558" s="6" t="s">
        <v>535</v>
      </c>
      <c r="O558" s="6" t="s">
        <v>535</v>
      </c>
    </row>
    <row r="559" spans="1:15" x14ac:dyDescent="0.25">
      <c r="A559" s="6" t="s">
        <v>11760</v>
      </c>
      <c r="B559" s="6" t="s">
        <v>10476</v>
      </c>
      <c r="C559" s="6" t="s">
        <v>11759</v>
      </c>
      <c r="E559" s="6" t="s">
        <v>10475</v>
      </c>
      <c r="F559" s="6" t="s">
        <v>10474</v>
      </c>
      <c r="G559" s="6" t="s">
        <v>16</v>
      </c>
      <c r="H559" s="6" t="s">
        <v>430</v>
      </c>
      <c r="I559" s="6" t="s">
        <v>60</v>
      </c>
      <c r="J559" s="6" t="s">
        <v>692</v>
      </c>
      <c r="K559" s="7">
        <v>35.68950006</v>
      </c>
      <c r="L559" s="7">
        <v>-101.36674212</v>
      </c>
      <c r="M559" s="6" t="s">
        <v>691</v>
      </c>
      <c r="N559" s="6" t="s">
        <v>535</v>
      </c>
      <c r="O559" s="6" t="s">
        <v>535</v>
      </c>
    </row>
    <row r="560" spans="1:15" x14ac:dyDescent="0.25">
      <c r="A560" s="6" t="s">
        <v>12124</v>
      </c>
      <c r="B560" s="6" t="s">
        <v>10476</v>
      </c>
      <c r="C560" s="6" t="s">
        <v>12123</v>
      </c>
      <c r="E560" s="6" t="s">
        <v>10475</v>
      </c>
      <c r="F560" s="6" t="s">
        <v>10474</v>
      </c>
      <c r="G560" s="6" t="s">
        <v>16</v>
      </c>
      <c r="H560" s="6" t="s">
        <v>15</v>
      </c>
      <c r="I560" s="6" t="s">
        <v>60</v>
      </c>
      <c r="J560" s="6" t="s">
        <v>692</v>
      </c>
      <c r="K560" s="7">
        <v>35.68239758</v>
      </c>
      <c r="L560" s="7">
        <v>-101.36934167</v>
      </c>
      <c r="M560" s="6" t="s">
        <v>691</v>
      </c>
      <c r="N560" s="6" t="s">
        <v>535</v>
      </c>
      <c r="O560" s="6" t="s">
        <v>535</v>
      </c>
    </row>
    <row r="561" spans="1:15" x14ac:dyDescent="0.25">
      <c r="A561" s="6" t="s">
        <v>12126</v>
      </c>
      <c r="B561" s="6" t="s">
        <v>10476</v>
      </c>
      <c r="C561" s="6" t="s">
        <v>12125</v>
      </c>
      <c r="E561" s="6" t="s">
        <v>10475</v>
      </c>
      <c r="F561" s="6" t="s">
        <v>10474</v>
      </c>
      <c r="G561" s="6" t="s">
        <v>16</v>
      </c>
      <c r="H561" s="6" t="s">
        <v>15</v>
      </c>
      <c r="I561" s="6" t="s">
        <v>60</v>
      </c>
      <c r="J561" s="6" t="s">
        <v>692</v>
      </c>
      <c r="K561" s="7">
        <v>35.70299267</v>
      </c>
      <c r="L561" s="7">
        <v>-101.38266169000001</v>
      </c>
      <c r="M561" s="6" t="s">
        <v>691</v>
      </c>
      <c r="N561" s="6" t="s">
        <v>535</v>
      </c>
      <c r="O561" s="6" t="s">
        <v>535</v>
      </c>
    </row>
    <row r="562" spans="1:15" x14ac:dyDescent="0.25">
      <c r="A562" s="6" t="s">
        <v>530</v>
      </c>
      <c r="B562" s="6" t="s">
        <v>529</v>
      </c>
      <c r="C562" s="6" t="s">
        <v>31</v>
      </c>
      <c r="E562" s="6" t="s">
        <v>528</v>
      </c>
      <c r="F562" s="6" t="s">
        <v>527</v>
      </c>
      <c r="G562" s="6" t="s">
        <v>284</v>
      </c>
      <c r="H562" s="6" t="s">
        <v>28</v>
      </c>
      <c r="I562" s="6" t="s">
        <v>14</v>
      </c>
      <c r="J562" s="6" t="s">
        <v>526</v>
      </c>
      <c r="K562" s="7">
        <v>29.666638549999998</v>
      </c>
      <c r="L562" s="7">
        <v>-99.232082629999994</v>
      </c>
      <c r="M562" s="6" t="s">
        <v>525</v>
      </c>
      <c r="N562" s="6" t="s">
        <v>524</v>
      </c>
      <c r="O562" s="6" t="s">
        <v>231</v>
      </c>
    </row>
    <row r="563" spans="1:15" x14ac:dyDescent="0.25">
      <c r="A563" s="6" t="s">
        <v>7139</v>
      </c>
      <c r="B563" s="6" t="s">
        <v>7138</v>
      </c>
      <c r="C563" s="6" t="s">
        <v>31</v>
      </c>
      <c r="E563" s="6" t="s">
        <v>7137</v>
      </c>
      <c r="F563" s="6" t="s">
        <v>7136</v>
      </c>
      <c r="G563" s="6" t="s">
        <v>16</v>
      </c>
      <c r="H563" s="6" t="s">
        <v>28</v>
      </c>
      <c r="I563" s="6" t="s">
        <v>73</v>
      </c>
      <c r="J563" s="6" t="s">
        <v>781</v>
      </c>
      <c r="K563" s="7">
        <v>32.451174000000002</v>
      </c>
      <c r="L563" s="7">
        <v>-94.053486000000007</v>
      </c>
      <c r="M563" s="6" t="s">
        <v>7135</v>
      </c>
      <c r="N563" s="6" t="s">
        <v>42</v>
      </c>
      <c r="O563" s="6" t="s">
        <v>65</v>
      </c>
    </row>
    <row r="564" spans="1:15" x14ac:dyDescent="0.25">
      <c r="A564" s="6" t="s">
        <v>5551</v>
      </c>
      <c r="B564" s="6" t="s">
        <v>5550</v>
      </c>
      <c r="C564" s="6" t="s">
        <v>31</v>
      </c>
      <c r="E564" s="6" t="s">
        <v>5549</v>
      </c>
      <c r="F564" s="6" t="s">
        <v>5548</v>
      </c>
      <c r="G564" s="6" t="s">
        <v>16</v>
      </c>
      <c r="H564" s="6" t="s">
        <v>28</v>
      </c>
      <c r="I564" s="6" t="s">
        <v>73</v>
      </c>
      <c r="J564" s="6" t="s">
        <v>35</v>
      </c>
      <c r="K564" s="7">
        <v>29.630906</v>
      </c>
      <c r="L564" s="7">
        <v>-95.515410000000003</v>
      </c>
      <c r="M564" s="6" t="s">
        <v>866</v>
      </c>
      <c r="N564" s="6" t="s">
        <v>24</v>
      </c>
      <c r="O564" s="6" t="s">
        <v>23</v>
      </c>
    </row>
    <row r="565" spans="1:15" x14ac:dyDescent="0.25">
      <c r="A565" s="6" t="s">
        <v>6140</v>
      </c>
      <c r="B565" s="6" t="s">
        <v>6139</v>
      </c>
      <c r="C565" s="6" t="s">
        <v>31</v>
      </c>
      <c r="E565" s="6" t="s">
        <v>6138</v>
      </c>
      <c r="F565" s="6" t="s">
        <v>6137</v>
      </c>
      <c r="G565" s="6" t="s">
        <v>16</v>
      </c>
      <c r="H565" s="6" t="s">
        <v>28</v>
      </c>
      <c r="I565" s="6" t="s">
        <v>73</v>
      </c>
      <c r="J565" s="6" t="s">
        <v>215</v>
      </c>
      <c r="K565" s="7">
        <v>29.200610000000001</v>
      </c>
      <c r="L565" s="7">
        <v>-94.989294999999998</v>
      </c>
      <c r="M565" s="6" t="s">
        <v>214</v>
      </c>
      <c r="N565" s="6" t="s">
        <v>160</v>
      </c>
      <c r="O565" s="6" t="s">
        <v>23</v>
      </c>
    </row>
    <row r="566" spans="1:15" x14ac:dyDescent="0.25">
      <c r="A566" s="6" t="s">
        <v>261</v>
      </c>
      <c r="B566" s="6" t="s">
        <v>260</v>
      </c>
      <c r="C566" s="6" t="s">
        <v>31</v>
      </c>
      <c r="E566" s="6" t="s">
        <v>259</v>
      </c>
      <c r="F566" s="6" t="s">
        <v>258</v>
      </c>
      <c r="G566" s="6" t="s">
        <v>16</v>
      </c>
      <c r="H566" s="6" t="s">
        <v>28</v>
      </c>
      <c r="I566" s="6" t="s">
        <v>27</v>
      </c>
      <c r="J566" s="6" t="s">
        <v>215</v>
      </c>
      <c r="K566" s="7">
        <v>29.300926</v>
      </c>
      <c r="L566" s="7">
        <v>-94.905270999999999</v>
      </c>
      <c r="M566" s="6" t="s">
        <v>214</v>
      </c>
      <c r="N566" s="6" t="s">
        <v>160</v>
      </c>
      <c r="O566" s="6" t="s">
        <v>23</v>
      </c>
    </row>
    <row r="567" spans="1:15" x14ac:dyDescent="0.25">
      <c r="A567" s="6" t="s">
        <v>2281</v>
      </c>
      <c r="B567" s="6" t="s">
        <v>2280</v>
      </c>
      <c r="C567" s="6" t="s">
        <v>31</v>
      </c>
      <c r="E567" s="6" t="s">
        <v>2279</v>
      </c>
      <c r="F567" s="6" t="s">
        <v>2278</v>
      </c>
      <c r="G567" s="6" t="s">
        <v>16</v>
      </c>
      <c r="H567" s="6" t="s">
        <v>28</v>
      </c>
      <c r="I567" s="6" t="s">
        <v>27</v>
      </c>
      <c r="J567" s="6" t="s">
        <v>35</v>
      </c>
      <c r="K567" s="7">
        <v>29.884682000000002</v>
      </c>
      <c r="L567" s="7">
        <v>-95.461100000000002</v>
      </c>
      <c r="M567" s="6" t="s">
        <v>77</v>
      </c>
      <c r="N567" s="6" t="s">
        <v>24</v>
      </c>
      <c r="O567" s="6" t="s">
        <v>23</v>
      </c>
    </row>
    <row r="568" spans="1:15" x14ac:dyDescent="0.25">
      <c r="A568" s="6" t="s">
        <v>9703</v>
      </c>
      <c r="B568" s="6" t="s">
        <v>9702</v>
      </c>
      <c r="C568" s="6" t="s">
        <v>31</v>
      </c>
      <c r="E568" s="6" t="s">
        <v>9701</v>
      </c>
      <c r="F568" s="6" t="s">
        <v>9691</v>
      </c>
      <c r="G568" s="6" t="s">
        <v>16</v>
      </c>
      <c r="H568" s="6" t="s">
        <v>15</v>
      </c>
      <c r="I568" s="6" t="s">
        <v>14</v>
      </c>
      <c r="J568" s="6" t="s">
        <v>35</v>
      </c>
      <c r="K568" s="7">
        <v>29.72149757</v>
      </c>
      <c r="L568" s="7">
        <v>-94.988702869999997</v>
      </c>
      <c r="M568" s="6" t="s">
        <v>2565</v>
      </c>
      <c r="N568" s="6" t="s">
        <v>120</v>
      </c>
      <c r="O568" s="6" t="s">
        <v>23</v>
      </c>
    </row>
    <row r="569" spans="1:15" x14ac:dyDescent="0.25">
      <c r="A569" s="6" t="s">
        <v>9700</v>
      </c>
      <c r="B569" s="6" t="s">
        <v>9699</v>
      </c>
      <c r="C569" s="6" t="s">
        <v>31</v>
      </c>
      <c r="E569" s="6" t="s">
        <v>9698</v>
      </c>
      <c r="F569" s="6" t="s">
        <v>9691</v>
      </c>
      <c r="G569" s="6" t="s">
        <v>16</v>
      </c>
      <c r="H569" s="6" t="s">
        <v>15</v>
      </c>
      <c r="I569" s="6" t="s">
        <v>14</v>
      </c>
      <c r="J569" s="6" t="s">
        <v>35</v>
      </c>
      <c r="K569" s="7">
        <v>29.758796459999999</v>
      </c>
      <c r="L569" s="7">
        <v>-94.919156020000003</v>
      </c>
      <c r="M569" s="6" t="s">
        <v>1445</v>
      </c>
      <c r="N569" s="6" t="s">
        <v>120</v>
      </c>
      <c r="O569" s="6" t="s">
        <v>23</v>
      </c>
    </row>
    <row r="570" spans="1:15" x14ac:dyDescent="0.25">
      <c r="A570" s="6" t="s">
        <v>4487</v>
      </c>
      <c r="B570" s="6" t="s">
        <v>4486</v>
      </c>
      <c r="C570" s="6" t="s">
        <v>31</v>
      </c>
      <c r="E570" s="6" t="s">
        <v>4485</v>
      </c>
      <c r="F570" s="6" t="s">
        <v>4484</v>
      </c>
      <c r="G570" s="6" t="s">
        <v>16</v>
      </c>
      <c r="H570" s="6" t="s">
        <v>28</v>
      </c>
      <c r="I570" s="6" t="s">
        <v>60</v>
      </c>
      <c r="J570" s="6" t="s">
        <v>4483</v>
      </c>
      <c r="K570" s="7">
        <v>33.434073249999997</v>
      </c>
      <c r="L570" s="7">
        <v>-95.849253680000004</v>
      </c>
      <c r="M570" s="6" t="s">
        <v>4482</v>
      </c>
      <c r="N570" s="6" t="s">
        <v>95</v>
      </c>
      <c r="O570" s="6" t="s">
        <v>65</v>
      </c>
    </row>
    <row r="571" spans="1:15" x14ac:dyDescent="0.25">
      <c r="A571" s="6" t="s">
        <v>4721</v>
      </c>
      <c r="B571" s="6" t="s">
        <v>4720</v>
      </c>
      <c r="C571" s="6" t="s">
        <v>31</v>
      </c>
      <c r="E571" s="6" t="s">
        <v>4719</v>
      </c>
      <c r="F571" s="6" t="s">
        <v>4718</v>
      </c>
      <c r="G571" s="6" t="s">
        <v>16</v>
      </c>
      <c r="H571" s="6" t="s">
        <v>28</v>
      </c>
      <c r="I571" s="6" t="s">
        <v>27</v>
      </c>
      <c r="J571" s="6" t="s">
        <v>26</v>
      </c>
      <c r="K571" s="7">
        <v>30.369592999999998</v>
      </c>
      <c r="L571" s="7">
        <v>-95.496227000000005</v>
      </c>
      <c r="M571" s="6" t="s">
        <v>1022</v>
      </c>
      <c r="N571" s="6" t="s">
        <v>24</v>
      </c>
      <c r="O571" s="6" t="s">
        <v>23</v>
      </c>
    </row>
    <row r="572" spans="1:15" x14ac:dyDescent="0.25">
      <c r="A572" s="6" t="s">
        <v>4733</v>
      </c>
      <c r="B572" s="6" t="s">
        <v>4732</v>
      </c>
      <c r="C572" s="6" t="s">
        <v>31</v>
      </c>
      <c r="E572" s="6" t="s">
        <v>4731</v>
      </c>
      <c r="F572" s="6" t="s">
        <v>4727</v>
      </c>
      <c r="G572" s="6" t="s">
        <v>16</v>
      </c>
      <c r="H572" s="6" t="s">
        <v>28</v>
      </c>
      <c r="I572" s="6" t="s">
        <v>36</v>
      </c>
      <c r="J572" s="6" t="s">
        <v>253</v>
      </c>
      <c r="K572" s="7">
        <v>30.971647470000001</v>
      </c>
      <c r="L572" s="7">
        <v>-97.342698659999996</v>
      </c>
      <c r="M572" s="6" t="s">
        <v>252</v>
      </c>
      <c r="N572" s="6" t="s">
        <v>23</v>
      </c>
      <c r="O572" s="6" t="s">
        <v>120</v>
      </c>
    </row>
    <row r="573" spans="1:15" x14ac:dyDescent="0.25">
      <c r="A573" s="6" t="s">
        <v>4730</v>
      </c>
      <c r="B573" s="6" t="s">
        <v>4729</v>
      </c>
      <c r="C573" s="6" t="s">
        <v>31</v>
      </c>
      <c r="E573" s="6" t="s">
        <v>4728</v>
      </c>
      <c r="F573" s="6" t="s">
        <v>4727</v>
      </c>
      <c r="G573" s="6" t="s">
        <v>16</v>
      </c>
      <c r="H573" s="6" t="s">
        <v>28</v>
      </c>
      <c r="I573" s="6" t="s">
        <v>60</v>
      </c>
      <c r="J573" s="6" t="s">
        <v>253</v>
      </c>
      <c r="K573" s="7">
        <v>30.98088199</v>
      </c>
      <c r="L573" s="7">
        <v>-97.366423089999998</v>
      </c>
      <c r="M573" s="6" t="s">
        <v>252</v>
      </c>
      <c r="N573" s="6" t="s">
        <v>23</v>
      </c>
      <c r="O573" s="6" t="s">
        <v>120</v>
      </c>
    </row>
    <row r="574" spans="1:15" x14ac:dyDescent="0.25">
      <c r="A574" s="6" t="s">
        <v>9455</v>
      </c>
      <c r="B574" s="6" t="s">
        <v>9453</v>
      </c>
      <c r="C574" s="6" t="s">
        <v>31</v>
      </c>
      <c r="E574" s="6" t="s">
        <v>9452</v>
      </c>
      <c r="F574" s="6" t="s">
        <v>9451</v>
      </c>
      <c r="G574" s="6" t="s">
        <v>16</v>
      </c>
      <c r="H574" s="6" t="s">
        <v>28</v>
      </c>
      <c r="I574" s="6" t="s">
        <v>27</v>
      </c>
      <c r="J574" s="6" t="s">
        <v>1288</v>
      </c>
      <c r="K574" s="7">
        <v>32.128413999999999</v>
      </c>
      <c r="L574" s="7">
        <v>-96.938270000000003</v>
      </c>
      <c r="M574" s="6" t="s">
        <v>2048</v>
      </c>
      <c r="N574" s="6" t="s">
        <v>102</v>
      </c>
      <c r="O574" s="6" t="s">
        <v>42</v>
      </c>
    </row>
    <row r="575" spans="1:15" x14ac:dyDescent="0.25">
      <c r="A575" s="6" t="s">
        <v>9454</v>
      </c>
      <c r="B575" s="6" t="s">
        <v>9453</v>
      </c>
      <c r="C575" s="6" t="s">
        <v>19</v>
      </c>
      <c r="E575" s="6" t="s">
        <v>9452</v>
      </c>
      <c r="F575" s="6" t="s">
        <v>9451</v>
      </c>
      <c r="G575" s="6" t="s">
        <v>16</v>
      </c>
      <c r="H575" s="6" t="s">
        <v>28</v>
      </c>
      <c r="I575" s="6" t="s">
        <v>27</v>
      </c>
      <c r="J575" s="6" t="s">
        <v>1288</v>
      </c>
      <c r="K575" s="7">
        <v>32.128537999999999</v>
      </c>
      <c r="L575" s="7">
        <v>-96.938648999999998</v>
      </c>
      <c r="M575" s="6" t="s">
        <v>2048</v>
      </c>
      <c r="N575" s="6" t="s">
        <v>102</v>
      </c>
      <c r="O575" s="6" t="s">
        <v>42</v>
      </c>
    </row>
    <row r="576" spans="1:15" x14ac:dyDescent="0.25">
      <c r="A576" s="6" t="s">
        <v>3032</v>
      </c>
      <c r="B576" s="6" t="s">
        <v>3031</v>
      </c>
      <c r="C576" s="6" t="s">
        <v>31</v>
      </c>
      <c r="E576" s="6" t="s">
        <v>3030</v>
      </c>
      <c r="F576" s="6" t="s">
        <v>3029</v>
      </c>
      <c r="G576" s="6" t="s">
        <v>16</v>
      </c>
      <c r="H576" s="6" t="s">
        <v>28</v>
      </c>
      <c r="I576" s="6" t="s">
        <v>60</v>
      </c>
      <c r="J576" s="6" t="s">
        <v>1451</v>
      </c>
      <c r="K576" s="7">
        <v>31.909047000000001</v>
      </c>
      <c r="L576" s="7">
        <v>-96.888329999999996</v>
      </c>
      <c r="M576" s="6" t="s">
        <v>1904</v>
      </c>
      <c r="N576" s="6" t="s">
        <v>102</v>
      </c>
      <c r="O576" s="6" t="s">
        <v>120</v>
      </c>
    </row>
    <row r="577" spans="1:15" x14ac:dyDescent="0.25">
      <c r="A577" s="6" t="s">
        <v>8626</v>
      </c>
      <c r="B577" s="6" t="s">
        <v>8625</v>
      </c>
      <c r="C577" s="6" t="s">
        <v>31</v>
      </c>
      <c r="E577" s="6" t="s">
        <v>8624</v>
      </c>
      <c r="F577" s="6" t="s">
        <v>8623</v>
      </c>
      <c r="G577" s="6" t="s">
        <v>16</v>
      </c>
      <c r="H577" s="6" t="s">
        <v>28</v>
      </c>
      <c r="I577" s="6" t="s">
        <v>27</v>
      </c>
      <c r="J577" s="6" t="s">
        <v>215</v>
      </c>
      <c r="K577" s="7">
        <v>29.329214</v>
      </c>
      <c r="L577" s="7">
        <v>-94.936051000000006</v>
      </c>
      <c r="M577" s="6" t="s">
        <v>214</v>
      </c>
      <c r="N577" s="6" t="s">
        <v>160</v>
      </c>
      <c r="O577" s="6" t="s">
        <v>23</v>
      </c>
    </row>
    <row r="578" spans="1:15" x14ac:dyDescent="0.25">
      <c r="A578" s="6" t="s">
        <v>1738</v>
      </c>
      <c r="B578" s="6" t="s">
        <v>1737</v>
      </c>
      <c r="C578" s="6" t="s">
        <v>31</v>
      </c>
      <c r="E578" s="6" t="s">
        <v>1736</v>
      </c>
      <c r="F578" s="6" t="s">
        <v>1735</v>
      </c>
      <c r="G578" s="6" t="s">
        <v>16</v>
      </c>
      <c r="H578" s="6" t="s">
        <v>28</v>
      </c>
      <c r="I578" s="6" t="s">
        <v>1200</v>
      </c>
      <c r="J578" s="6" t="s">
        <v>35</v>
      </c>
      <c r="K578" s="7">
        <v>29.953600999999999</v>
      </c>
      <c r="L578" s="7">
        <v>-95.260052000000002</v>
      </c>
      <c r="M578" s="6" t="s">
        <v>198</v>
      </c>
      <c r="N578" s="6" t="s">
        <v>24</v>
      </c>
      <c r="O578" s="6" t="s">
        <v>23</v>
      </c>
    </row>
    <row r="579" spans="1:15" x14ac:dyDescent="0.25">
      <c r="A579" s="6" t="s">
        <v>2244</v>
      </c>
      <c r="B579" s="6" t="s">
        <v>2243</v>
      </c>
      <c r="C579" s="6" t="s">
        <v>31</v>
      </c>
      <c r="E579" s="6" t="s">
        <v>2242</v>
      </c>
      <c r="F579" s="6" t="s">
        <v>2241</v>
      </c>
      <c r="G579" s="6" t="s">
        <v>16</v>
      </c>
      <c r="H579" s="6" t="s">
        <v>28</v>
      </c>
      <c r="I579" s="6" t="s">
        <v>799</v>
      </c>
      <c r="J579" s="6" t="s">
        <v>1787</v>
      </c>
      <c r="K579" s="7">
        <v>32.690204999999999</v>
      </c>
      <c r="L579" s="7">
        <v>-96.016367000000002</v>
      </c>
      <c r="M579" s="6" t="s">
        <v>193</v>
      </c>
      <c r="N579" s="6" t="s">
        <v>102</v>
      </c>
      <c r="O579" s="6" t="s">
        <v>65</v>
      </c>
    </row>
    <row r="580" spans="1:15" x14ac:dyDescent="0.25">
      <c r="A580" s="6" t="s">
        <v>178</v>
      </c>
      <c r="B580" s="6" t="s">
        <v>177</v>
      </c>
      <c r="C580" s="6" t="s">
        <v>31</v>
      </c>
      <c r="E580" s="6" t="s">
        <v>176</v>
      </c>
      <c r="F580" s="6" t="s">
        <v>169</v>
      </c>
      <c r="G580" s="6" t="s">
        <v>16</v>
      </c>
      <c r="H580" s="6" t="s">
        <v>15</v>
      </c>
      <c r="I580" s="6" t="s">
        <v>46</v>
      </c>
      <c r="J580" s="6" t="s">
        <v>168</v>
      </c>
      <c r="K580" s="7">
        <v>33.138582059999997</v>
      </c>
      <c r="L580" s="7">
        <v>-97.01387665</v>
      </c>
      <c r="M580" s="6" t="s">
        <v>167</v>
      </c>
      <c r="N580" s="6" t="s">
        <v>102</v>
      </c>
      <c r="O580" s="6" t="s">
        <v>42</v>
      </c>
    </row>
    <row r="581" spans="1:15" x14ac:dyDescent="0.25">
      <c r="A581" s="6" t="s">
        <v>7569</v>
      </c>
      <c r="B581" s="6" t="s">
        <v>7568</v>
      </c>
      <c r="C581" s="6" t="s">
        <v>31</v>
      </c>
      <c r="E581" s="6" t="s">
        <v>7567</v>
      </c>
      <c r="F581" s="6" t="s">
        <v>7566</v>
      </c>
      <c r="G581" s="6" t="s">
        <v>16</v>
      </c>
      <c r="H581" s="6" t="s">
        <v>15</v>
      </c>
      <c r="I581" s="6" t="s">
        <v>27</v>
      </c>
      <c r="J581" s="6" t="s">
        <v>13</v>
      </c>
      <c r="K581" s="7">
        <v>27.799686049999998</v>
      </c>
      <c r="L581" s="7">
        <v>-97.649770590000003</v>
      </c>
      <c r="M581" s="6" t="s">
        <v>1309</v>
      </c>
      <c r="N581" s="6" t="s">
        <v>11</v>
      </c>
      <c r="O581" s="6" t="s">
        <v>10</v>
      </c>
    </row>
    <row r="582" spans="1:15" x14ac:dyDescent="0.25">
      <c r="A582" s="6" t="s">
        <v>3234</v>
      </c>
      <c r="B582" s="6" t="s">
        <v>3233</v>
      </c>
      <c r="C582" s="6" t="s">
        <v>31</v>
      </c>
      <c r="E582" s="6" t="s">
        <v>3232</v>
      </c>
      <c r="F582" s="6" t="s">
        <v>3231</v>
      </c>
      <c r="G582" s="6" t="s">
        <v>16</v>
      </c>
      <c r="H582" s="6" t="s">
        <v>28</v>
      </c>
      <c r="I582" s="6" t="s">
        <v>73</v>
      </c>
      <c r="J582" s="6" t="s">
        <v>3230</v>
      </c>
      <c r="K582" s="7">
        <v>27.942609000000001</v>
      </c>
      <c r="L582" s="7">
        <v>-97.935631000000001</v>
      </c>
      <c r="M582" s="6" t="s">
        <v>792</v>
      </c>
      <c r="N582" s="6" t="s">
        <v>11</v>
      </c>
      <c r="O582" s="6" t="s">
        <v>10</v>
      </c>
    </row>
    <row r="583" spans="1:15" x14ac:dyDescent="0.25">
      <c r="A583" s="6" t="s">
        <v>8776</v>
      </c>
      <c r="B583" s="6" t="s">
        <v>8775</v>
      </c>
      <c r="C583" s="6" t="s">
        <v>31</v>
      </c>
      <c r="E583" s="6" t="s">
        <v>8774</v>
      </c>
      <c r="F583" s="6" t="s">
        <v>8773</v>
      </c>
      <c r="G583" s="6" t="s">
        <v>16</v>
      </c>
      <c r="H583" s="6" t="s">
        <v>15</v>
      </c>
      <c r="I583" s="6" t="s">
        <v>14</v>
      </c>
      <c r="J583" s="6" t="s">
        <v>139</v>
      </c>
      <c r="K583" s="7">
        <v>27.867415149999999</v>
      </c>
      <c r="L583" s="7">
        <v>-97.218475889999993</v>
      </c>
      <c r="M583" s="6" t="s">
        <v>1168</v>
      </c>
      <c r="N583" s="6" t="s">
        <v>137</v>
      </c>
      <c r="O583" s="6" t="s">
        <v>10</v>
      </c>
    </row>
    <row r="584" spans="1:15" x14ac:dyDescent="0.25">
      <c r="A584" s="6" t="s">
        <v>10630</v>
      </c>
      <c r="B584" s="6" t="s">
        <v>10629</v>
      </c>
      <c r="C584" s="6" t="s">
        <v>31</v>
      </c>
      <c r="E584" s="6" t="s">
        <v>10628</v>
      </c>
      <c r="F584" s="6" t="s">
        <v>10627</v>
      </c>
      <c r="G584" s="6" t="s">
        <v>16</v>
      </c>
      <c r="H584" s="6" t="s">
        <v>28</v>
      </c>
      <c r="I584" s="6" t="s">
        <v>73</v>
      </c>
      <c r="J584" s="6" t="s">
        <v>139</v>
      </c>
      <c r="K584" s="7">
        <v>28.104902490000001</v>
      </c>
      <c r="L584" s="7">
        <v>-97.843803170000001</v>
      </c>
      <c r="M584" s="6" t="s">
        <v>10274</v>
      </c>
      <c r="N584" s="6" t="s">
        <v>524</v>
      </c>
      <c r="O584" s="6" t="s">
        <v>10</v>
      </c>
    </row>
    <row r="585" spans="1:15" x14ac:dyDescent="0.25">
      <c r="A585" s="6" t="s">
        <v>7894</v>
      </c>
      <c r="B585" s="6" t="s">
        <v>7893</v>
      </c>
      <c r="C585" s="6" t="s">
        <v>31</v>
      </c>
      <c r="E585" s="6" t="s">
        <v>7892</v>
      </c>
      <c r="F585" s="6" t="s">
        <v>7891</v>
      </c>
      <c r="G585" s="6" t="s">
        <v>16</v>
      </c>
      <c r="H585" s="6" t="s">
        <v>15</v>
      </c>
      <c r="I585" s="6" t="s">
        <v>14</v>
      </c>
      <c r="J585" s="6" t="s">
        <v>221</v>
      </c>
      <c r="K585" s="7">
        <v>30.557670989999998</v>
      </c>
      <c r="L585" s="7">
        <v>-97.387360790000002</v>
      </c>
      <c r="M585" s="6" t="s">
        <v>3908</v>
      </c>
      <c r="N585" s="6" t="s">
        <v>23</v>
      </c>
      <c r="O585" s="6" t="s">
        <v>160</v>
      </c>
    </row>
    <row r="586" spans="1:15" x14ac:dyDescent="0.25">
      <c r="A586" s="6" t="s">
        <v>5671</v>
      </c>
      <c r="B586" s="6" t="s">
        <v>5670</v>
      </c>
      <c r="C586" s="6" t="s">
        <v>31</v>
      </c>
      <c r="E586" s="6" t="s">
        <v>5669</v>
      </c>
      <c r="F586" s="6" t="s">
        <v>5668</v>
      </c>
      <c r="G586" s="6" t="s">
        <v>16</v>
      </c>
      <c r="H586" s="6" t="s">
        <v>28</v>
      </c>
      <c r="I586" s="6" t="s">
        <v>799</v>
      </c>
      <c r="J586" s="6" t="s">
        <v>122</v>
      </c>
      <c r="K586" s="7">
        <v>31.802382999999999</v>
      </c>
      <c r="L586" s="7">
        <v>-97.080001999999993</v>
      </c>
      <c r="M586" s="6" t="s">
        <v>121</v>
      </c>
      <c r="N586" s="6" t="s">
        <v>23</v>
      </c>
      <c r="O586" s="6" t="s">
        <v>120</v>
      </c>
    </row>
    <row r="587" spans="1:15" x14ac:dyDescent="0.25">
      <c r="A587" s="6" t="s">
        <v>2424</v>
      </c>
      <c r="B587" s="6" t="s">
        <v>2423</v>
      </c>
      <c r="C587" s="6" t="s">
        <v>31</v>
      </c>
      <c r="E587" s="6" t="s">
        <v>2422</v>
      </c>
      <c r="F587" s="6" t="s">
        <v>1370</v>
      </c>
      <c r="G587" s="6" t="s">
        <v>16</v>
      </c>
      <c r="H587" s="6" t="s">
        <v>15</v>
      </c>
      <c r="I587" s="6" t="s">
        <v>14</v>
      </c>
      <c r="J587" s="6" t="s">
        <v>853</v>
      </c>
      <c r="K587" s="7">
        <v>29.802764549999999</v>
      </c>
      <c r="L587" s="7">
        <v>-94.362178209999996</v>
      </c>
      <c r="M587" s="6" t="s">
        <v>384</v>
      </c>
      <c r="N587" s="6" t="s">
        <v>383</v>
      </c>
      <c r="O587" s="6" t="s">
        <v>23</v>
      </c>
    </row>
    <row r="588" spans="1:15" x14ac:dyDescent="0.25">
      <c r="A588" s="6" t="s">
        <v>8805</v>
      </c>
      <c r="B588" s="6" t="s">
        <v>8804</v>
      </c>
      <c r="C588" s="6" t="s">
        <v>31</v>
      </c>
      <c r="E588" s="6" t="s">
        <v>8803</v>
      </c>
      <c r="F588" s="6" t="s">
        <v>5708</v>
      </c>
      <c r="G588" s="6" t="s">
        <v>16</v>
      </c>
      <c r="H588" s="6" t="s">
        <v>15</v>
      </c>
      <c r="I588" s="6" t="s">
        <v>36</v>
      </c>
      <c r="J588" s="6" t="s">
        <v>35</v>
      </c>
      <c r="K588" s="7">
        <v>29.926615999999999</v>
      </c>
      <c r="L588" s="7">
        <v>-95.393968999999998</v>
      </c>
      <c r="M588" s="6" t="s">
        <v>198</v>
      </c>
      <c r="N588" s="6" t="s">
        <v>24</v>
      </c>
      <c r="O588" s="6" t="s">
        <v>42</v>
      </c>
    </row>
    <row r="589" spans="1:15" x14ac:dyDescent="0.25">
      <c r="A589" s="6" t="s">
        <v>8574</v>
      </c>
      <c r="B589" s="6" t="s">
        <v>8573</v>
      </c>
      <c r="C589" s="6" t="s">
        <v>31</v>
      </c>
      <c r="E589" s="6" t="s">
        <v>8572</v>
      </c>
      <c r="F589" s="6" t="s">
        <v>8568</v>
      </c>
      <c r="G589" s="6" t="s">
        <v>16</v>
      </c>
      <c r="H589" s="6" t="s">
        <v>28</v>
      </c>
      <c r="I589" s="6" t="s">
        <v>27</v>
      </c>
      <c r="J589" s="6" t="s">
        <v>590</v>
      </c>
      <c r="K589" s="7">
        <v>30.194562000000001</v>
      </c>
      <c r="L589" s="7">
        <v>-96.950649999999996</v>
      </c>
      <c r="M589" s="6" t="s">
        <v>589</v>
      </c>
      <c r="N589" s="6" t="s">
        <v>23</v>
      </c>
      <c r="O589" s="6" t="s">
        <v>160</v>
      </c>
    </row>
    <row r="590" spans="1:15" x14ac:dyDescent="0.25">
      <c r="A590" s="6" t="s">
        <v>8571</v>
      </c>
      <c r="B590" s="6" t="s">
        <v>8570</v>
      </c>
      <c r="C590" s="6" t="s">
        <v>31</v>
      </c>
      <c r="E590" s="6" t="s">
        <v>8569</v>
      </c>
      <c r="F590" s="6" t="s">
        <v>8568</v>
      </c>
      <c r="G590" s="6" t="s">
        <v>16</v>
      </c>
      <c r="H590" s="6" t="s">
        <v>28</v>
      </c>
      <c r="I590" s="6" t="s">
        <v>60</v>
      </c>
      <c r="J590" s="6" t="s">
        <v>590</v>
      </c>
      <c r="K590" s="7">
        <v>30.160578000000001</v>
      </c>
      <c r="L590" s="7">
        <v>-96.936959000000002</v>
      </c>
      <c r="M590" s="6" t="s">
        <v>455</v>
      </c>
      <c r="N590" s="6" t="s">
        <v>10</v>
      </c>
      <c r="O590" s="6" t="s">
        <v>160</v>
      </c>
    </row>
    <row r="591" spans="1:15" x14ac:dyDescent="0.25">
      <c r="A591" s="6" t="s">
        <v>2997</v>
      </c>
      <c r="B591" s="6" t="s">
        <v>2996</v>
      </c>
      <c r="C591" s="6" t="s">
        <v>31</v>
      </c>
      <c r="E591" s="6" t="s">
        <v>2995</v>
      </c>
      <c r="F591" s="6" t="s">
        <v>2994</v>
      </c>
      <c r="G591" s="6" t="s">
        <v>16</v>
      </c>
      <c r="H591" s="6" t="s">
        <v>28</v>
      </c>
      <c r="I591" s="6" t="s">
        <v>60</v>
      </c>
      <c r="J591" s="6" t="s">
        <v>2267</v>
      </c>
      <c r="K591" s="7">
        <v>32.162376999999999</v>
      </c>
      <c r="L591" s="7">
        <v>-96.029471000000001</v>
      </c>
      <c r="M591" s="6" t="s">
        <v>1031</v>
      </c>
      <c r="N591" s="6" t="s">
        <v>102</v>
      </c>
      <c r="O591" s="6" t="s">
        <v>65</v>
      </c>
    </row>
    <row r="592" spans="1:15" x14ac:dyDescent="0.25">
      <c r="A592" s="6" t="s">
        <v>9216</v>
      </c>
      <c r="B592" s="6" t="s">
        <v>9215</v>
      </c>
      <c r="C592" s="6" t="s">
        <v>31</v>
      </c>
      <c r="E592" s="6" t="s">
        <v>9214</v>
      </c>
      <c r="F592" s="6" t="s">
        <v>9213</v>
      </c>
      <c r="G592" s="6" t="s">
        <v>16</v>
      </c>
      <c r="H592" s="6" t="s">
        <v>28</v>
      </c>
      <c r="I592" s="6" t="s">
        <v>799</v>
      </c>
      <c r="J592" s="6" t="s">
        <v>1288</v>
      </c>
      <c r="K592" s="7">
        <v>32.199799179999999</v>
      </c>
      <c r="L592" s="7">
        <v>-96.792480459999993</v>
      </c>
      <c r="M592" s="6" t="s">
        <v>2048</v>
      </c>
      <c r="N592" s="6" t="s">
        <v>102</v>
      </c>
      <c r="O592" s="6" t="s">
        <v>42</v>
      </c>
    </row>
    <row r="593" spans="1:15" x14ac:dyDescent="0.25">
      <c r="A593" s="6" t="s">
        <v>5646</v>
      </c>
      <c r="B593" s="6" t="s">
        <v>5645</v>
      </c>
      <c r="C593" s="6" t="s">
        <v>31</v>
      </c>
      <c r="E593" s="6" t="s">
        <v>5644</v>
      </c>
      <c r="F593" s="6" t="s">
        <v>5643</v>
      </c>
      <c r="G593" s="6" t="s">
        <v>16</v>
      </c>
      <c r="H593" s="6" t="s">
        <v>15</v>
      </c>
      <c r="I593" s="6" t="s">
        <v>46</v>
      </c>
      <c r="J593" s="6" t="s">
        <v>461</v>
      </c>
      <c r="K593" s="7">
        <v>33.214744459999999</v>
      </c>
      <c r="L593" s="7">
        <v>-95.888184229999993</v>
      </c>
      <c r="M593" s="6" t="s">
        <v>5642</v>
      </c>
      <c r="N593" s="6" t="s">
        <v>95</v>
      </c>
      <c r="O593" s="6" t="s">
        <v>42</v>
      </c>
    </row>
    <row r="594" spans="1:15" x14ac:dyDescent="0.25">
      <c r="A594" s="6" t="s">
        <v>5654</v>
      </c>
      <c r="B594" s="6" t="s">
        <v>5653</v>
      </c>
      <c r="C594" s="6" t="s">
        <v>31</v>
      </c>
      <c r="E594" s="6" t="s">
        <v>5652</v>
      </c>
      <c r="F594" s="6" t="s">
        <v>5651</v>
      </c>
      <c r="G594" s="6" t="s">
        <v>16</v>
      </c>
      <c r="H594" s="6" t="s">
        <v>15</v>
      </c>
      <c r="I594" s="6" t="s">
        <v>36</v>
      </c>
      <c r="J594" s="6" t="s">
        <v>35</v>
      </c>
      <c r="K594" s="7">
        <v>29.68962037</v>
      </c>
      <c r="L594" s="7">
        <v>-95.450627130000001</v>
      </c>
      <c r="M594" s="6" t="s">
        <v>866</v>
      </c>
      <c r="N594" s="6" t="s">
        <v>24</v>
      </c>
      <c r="O594" s="6" t="s">
        <v>23</v>
      </c>
    </row>
    <row r="595" spans="1:15" x14ac:dyDescent="0.25">
      <c r="A595" s="6" t="s">
        <v>8393</v>
      </c>
      <c r="B595" s="6" t="s">
        <v>8392</v>
      </c>
      <c r="C595" s="6" t="s">
        <v>31</v>
      </c>
      <c r="E595" s="6" t="s">
        <v>8391</v>
      </c>
      <c r="F595" s="6" t="s">
        <v>8390</v>
      </c>
      <c r="G595" s="6" t="s">
        <v>16</v>
      </c>
      <c r="H595" s="6" t="s">
        <v>28</v>
      </c>
      <c r="I595" s="6" t="s">
        <v>14</v>
      </c>
      <c r="J595" s="6" t="s">
        <v>1074</v>
      </c>
      <c r="K595" s="7">
        <v>29.942079110000002</v>
      </c>
      <c r="L595" s="7">
        <v>-96.268616289999997</v>
      </c>
      <c r="M595" s="6" t="s">
        <v>355</v>
      </c>
      <c r="N595" s="6" t="s">
        <v>23</v>
      </c>
      <c r="O595" s="6" t="s">
        <v>23</v>
      </c>
    </row>
    <row r="596" spans="1:15" x14ac:dyDescent="0.25">
      <c r="A596" s="6" t="s">
        <v>3917</v>
      </c>
      <c r="B596" s="6" t="s">
        <v>3916</v>
      </c>
      <c r="C596" s="6" t="s">
        <v>31</v>
      </c>
      <c r="E596" s="6" t="s">
        <v>3915</v>
      </c>
      <c r="F596" s="6" t="s">
        <v>3914</v>
      </c>
      <c r="G596" s="6" t="s">
        <v>16</v>
      </c>
      <c r="H596" s="6" t="s">
        <v>15</v>
      </c>
      <c r="I596" s="6" t="s">
        <v>46</v>
      </c>
      <c r="J596" s="6" t="s">
        <v>168</v>
      </c>
      <c r="K596" s="7">
        <v>32.996388940000003</v>
      </c>
      <c r="L596" s="7">
        <v>-97.032222579999996</v>
      </c>
      <c r="M596" s="6" t="s">
        <v>3913</v>
      </c>
      <c r="N596" s="6" t="s">
        <v>102</v>
      </c>
      <c r="O596" s="6" t="s">
        <v>42</v>
      </c>
    </row>
    <row r="597" spans="1:15" x14ac:dyDescent="0.25">
      <c r="A597" s="6" t="s">
        <v>5269</v>
      </c>
      <c r="B597" s="6" t="s">
        <v>5268</v>
      </c>
      <c r="C597" s="6" t="s">
        <v>31</v>
      </c>
      <c r="E597" s="6" t="s">
        <v>5267</v>
      </c>
      <c r="F597" s="6" t="s">
        <v>5266</v>
      </c>
      <c r="G597" s="6" t="s">
        <v>16</v>
      </c>
      <c r="H597" s="6" t="s">
        <v>28</v>
      </c>
      <c r="I597" s="6" t="s">
        <v>27</v>
      </c>
      <c r="J597" s="6" t="s">
        <v>35</v>
      </c>
      <c r="K597" s="7">
        <v>29.915323999999998</v>
      </c>
      <c r="L597" s="7">
        <v>-95.501221540000003</v>
      </c>
      <c r="M597" s="6" t="s">
        <v>77</v>
      </c>
      <c r="N597" s="6" t="s">
        <v>24</v>
      </c>
      <c r="O597" s="6" t="s">
        <v>23</v>
      </c>
    </row>
    <row r="598" spans="1:15" x14ac:dyDescent="0.25">
      <c r="A598" s="6" t="s">
        <v>751</v>
      </c>
      <c r="B598" s="6" t="s">
        <v>750</v>
      </c>
      <c r="C598" s="6" t="s">
        <v>31</v>
      </c>
      <c r="E598" s="6" t="s">
        <v>749</v>
      </c>
      <c r="F598" s="6" t="s">
        <v>748</v>
      </c>
      <c r="G598" s="6" t="s">
        <v>16</v>
      </c>
      <c r="H598" s="6" t="s">
        <v>15</v>
      </c>
      <c r="I598" s="6" t="s">
        <v>14</v>
      </c>
      <c r="J598" s="6" t="s">
        <v>35</v>
      </c>
      <c r="K598" s="7">
        <v>29.84821531</v>
      </c>
      <c r="L598" s="7">
        <v>-95.228509110000005</v>
      </c>
      <c r="M598" s="6" t="s">
        <v>198</v>
      </c>
      <c r="N598" s="6" t="s">
        <v>24</v>
      </c>
      <c r="O598" s="6" t="s">
        <v>23</v>
      </c>
    </row>
    <row r="599" spans="1:15" x14ac:dyDescent="0.25">
      <c r="A599" s="6" t="s">
        <v>10618</v>
      </c>
      <c r="B599" s="6" t="s">
        <v>10617</v>
      </c>
      <c r="C599" s="6" t="s">
        <v>31</v>
      </c>
      <c r="E599" s="6" t="s">
        <v>10616</v>
      </c>
      <c r="F599" s="6" t="s">
        <v>10615</v>
      </c>
      <c r="G599" s="6" t="s">
        <v>16</v>
      </c>
      <c r="H599" s="6" t="s">
        <v>28</v>
      </c>
      <c r="I599" s="6" t="s">
        <v>14</v>
      </c>
      <c r="J599" s="6" t="s">
        <v>296</v>
      </c>
      <c r="K599" s="7">
        <v>29.89638819</v>
      </c>
      <c r="L599" s="7">
        <v>-96.882499350000003</v>
      </c>
      <c r="M599" s="6" t="s">
        <v>295</v>
      </c>
      <c r="N599" s="6" t="s">
        <v>10</v>
      </c>
      <c r="O599" s="6" t="s">
        <v>160</v>
      </c>
    </row>
    <row r="600" spans="1:15" x14ac:dyDescent="0.25">
      <c r="A600" s="6" t="s">
        <v>4147</v>
      </c>
      <c r="B600" s="6" t="s">
        <v>4146</v>
      </c>
      <c r="C600" s="6" t="s">
        <v>31</v>
      </c>
      <c r="E600" s="6" t="s">
        <v>4145</v>
      </c>
      <c r="F600" s="6" t="s">
        <v>4144</v>
      </c>
      <c r="G600" s="6" t="s">
        <v>16</v>
      </c>
      <c r="H600" s="6" t="s">
        <v>28</v>
      </c>
      <c r="I600" s="6" t="s">
        <v>27</v>
      </c>
      <c r="J600" s="6" t="s">
        <v>35</v>
      </c>
      <c r="K600" s="7">
        <v>30.084537999999998</v>
      </c>
      <c r="L600" s="7">
        <v>-95.386694000000006</v>
      </c>
      <c r="M600" s="6" t="s">
        <v>731</v>
      </c>
      <c r="N600" s="6" t="s">
        <v>24</v>
      </c>
      <c r="O600" s="6" t="s">
        <v>23</v>
      </c>
    </row>
    <row r="601" spans="1:15" x14ac:dyDescent="0.25">
      <c r="A601" s="6" t="s">
        <v>6600</v>
      </c>
      <c r="B601" s="6" t="s">
        <v>6599</v>
      </c>
      <c r="C601" s="6" t="s">
        <v>31</v>
      </c>
      <c r="E601" s="6" t="s">
        <v>6598</v>
      </c>
      <c r="F601" s="6" t="s">
        <v>5685</v>
      </c>
      <c r="G601" s="6" t="s">
        <v>16</v>
      </c>
      <c r="H601" s="6" t="s">
        <v>28</v>
      </c>
      <c r="I601" s="6" t="s">
        <v>73</v>
      </c>
      <c r="J601" s="6" t="s">
        <v>35</v>
      </c>
      <c r="K601" s="7">
        <v>29.851838359999999</v>
      </c>
      <c r="L601" s="7">
        <v>-95.135422520000006</v>
      </c>
      <c r="M601" s="6" t="s">
        <v>716</v>
      </c>
      <c r="N601" s="6" t="s">
        <v>24</v>
      </c>
      <c r="O601" s="6" t="s">
        <v>23</v>
      </c>
    </row>
    <row r="602" spans="1:15" x14ac:dyDescent="0.25">
      <c r="A602" s="6" t="s">
        <v>7059</v>
      </c>
      <c r="B602" s="6" t="s">
        <v>7058</v>
      </c>
      <c r="C602" s="6" t="s">
        <v>31</v>
      </c>
      <c r="E602" s="6" t="s">
        <v>7057</v>
      </c>
      <c r="F602" s="6" t="s">
        <v>7056</v>
      </c>
      <c r="G602" s="6" t="s">
        <v>16</v>
      </c>
      <c r="H602" s="6" t="s">
        <v>28</v>
      </c>
      <c r="I602" s="6" t="s">
        <v>60</v>
      </c>
      <c r="J602" s="6" t="s">
        <v>7055</v>
      </c>
      <c r="K602" s="7">
        <v>30.498184999999999</v>
      </c>
      <c r="L602" s="7">
        <v>-99.730847999999995</v>
      </c>
      <c r="M602" s="6" t="s">
        <v>888</v>
      </c>
      <c r="N602" s="6" t="s">
        <v>10</v>
      </c>
      <c r="O602" s="6" t="s">
        <v>102</v>
      </c>
    </row>
    <row r="603" spans="1:15" x14ac:dyDescent="0.25">
      <c r="A603" s="6" t="s">
        <v>2295</v>
      </c>
      <c r="B603" s="6" t="s">
        <v>2294</v>
      </c>
      <c r="C603" s="6" t="s">
        <v>31</v>
      </c>
      <c r="E603" s="6" t="s">
        <v>2293</v>
      </c>
      <c r="F603" s="6" t="s">
        <v>2292</v>
      </c>
      <c r="G603" s="6" t="s">
        <v>16</v>
      </c>
      <c r="H603" s="6" t="s">
        <v>28</v>
      </c>
      <c r="I603" s="6" t="s">
        <v>36</v>
      </c>
      <c r="J603" s="6" t="s">
        <v>1752</v>
      </c>
      <c r="K603" s="7">
        <v>30.659372009999998</v>
      </c>
      <c r="L603" s="7">
        <v>-95.139474949999993</v>
      </c>
      <c r="M603" s="6" t="s">
        <v>317</v>
      </c>
      <c r="N603" s="6" t="s">
        <v>102</v>
      </c>
      <c r="O603" s="6" t="s">
        <v>24</v>
      </c>
    </row>
    <row r="604" spans="1:15" x14ac:dyDescent="0.25">
      <c r="A604" s="6" t="s">
        <v>2412</v>
      </c>
      <c r="B604" s="6" t="s">
        <v>2411</v>
      </c>
      <c r="C604" s="6" t="s">
        <v>31</v>
      </c>
      <c r="E604" s="6" t="s">
        <v>2410</v>
      </c>
      <c r="F604" s="6" t="s">
        <v>2409</v>
      </c>
      <c r="G604" s="6" t="s">
        <v>16</v>
      </c>
      <c r="H604" s="6" t="s">
        <v>28</v>
      </c>
      <c r="I604" s="6" t="s">
        <v>73</v>
      </c>
      <c r="J604" s="6" t="s">
        <v>1831</v>
      </c>
      <c r="K604" s="7">
        <v>33.367730999999999</v>
      </c>
      <c r="L604" s="7">
        <v>-95.088640999999996</v>
      </c>
      <c r="M604" s="6" t="s">
        <v>96</v>
      </c>
      <c r="N604" s="6" t="s">
        <v>95</v>
      </c>
      <c r="O604" s="6" t="s">
        <v>65</v>
      </c>
    </row>
    <row r="605" spans="1:15" x14ac:dyDescent="0.25">
      <c r="A605" s="6" t="s">
        <v>6157</v>
      </c>
      <c r="B605" s="6" t="s">
        <v>6156</v>
      </c>
      <c r="C605" s="6" t="s">
        <v>31</v>
      </c>
      <c r="E605" s="6" t="s">
        <v>6155</v>
      </c>
      <c r="F605" s="6" t="s">
        <v>6154</v>
      </c>
      <c r="G605" s="6" t="s">
        <v>16</v>
      </c>
      <c r="H605" s="6" t="s">
        <v>28</v>
      </c>
      <c r="I605" s="6" t="s">
        <v>1200</v>
      </c>
      <c r="J605" s="6" t="s">
        <v>35</v>
      </c>
      <c r="K605" s="7">
        <v>30.025497999999999</v>
      </c>
      <c r="L605" s="7">
        <v>-95.553831000000002</v>
      </c>
      <c r="M605" s="6" t="s">
        <v>279</v>
      </c>
      <c r="N605" s="6" t="s">
        <v>24</v>
      </c>
      <c r="O605" s="6" t="s">
        <v>23</v>
      </c>
    </row>
    <row r="606" spans="1:15" x14ac:dyDescent="0.25">
      <c r="A606" s="6" t="s">
        <v>3857</v>
      </c>
      <c r="B606" s="6" t="s">
        <v>3856</v>
      </c>
      <c r="C606" s="6" t="s">
        <v>31</v>
      </c>
      <c r="E606" s="6" t="s">
        <v>3855</v>
      </c>
      <c r="F606" s="6" t="s">
        <v>3854</v>
      </c>
      <c r="G606" s="6" t="s">
        <v>16</v>
      </c>
      <c r="H606" s="6" t="s">
        <v>15</v>
      </c>
      <c r="I606" s="6" t="s">
        <v>14</v>
      </c>
      <c r="J606" s="6" t="s">
        <v>35</v>
      </c>
      <c r="K606" s="7">
        <v>29.91177485</v>
      </c>
      <c r="L606" s="7">
        <v>-95.43283916</v>
      </c>
      <c r="M606" s="6" t="s">
        <v>34</v>
      </c>
      <c r="N606" s="6" t="s">
        <v>24</v>
      </c>
      <c r="O606" s="6" t="s">
        <v>23</v>
      </c>
    </row>
    <row r="607" spans="1:15" x14ac:dyDescent="0.25">
      <c r="A607" s="6" t="s">
        <v>5442</v>
      </c>
      <c r="B607" s="6" t="s">
        <v>5441</v>
      </c>
      <c r="C607" s="6" t="s">
        <v>31</v>
      </c>
      <c r="E607" s="6" t="s">
        <v>5440</v>
      </c>
      <c r="F607" s="6" t="s">
        <v>2705</v>
      </c>
      <c r="G607" s="6" t="s">
        <v>16</v>
      </c>
      <c r="H607" s="6" t="s">
        <v>28</v>
      </c>
      <c r="I607" s="6" t="s">
        <v>799</v>
      </c>
      <c r="J607" s="6" t="s">
        <v>35</v>
      </c>
      <c r="K607" s="7">
        <v>29.89610248</v>
      </c>
      <c r="L607" s="7">
        <v>-95.431411909999994</v>
      </c>
      <c r="M607" s="6" t="s">
        <v>34</v>
      </c>
      <c r="N607" s="6" t="s">
        <v>24</v>
      </c>
      <c r="O607" s="6" t="s">
        <v>23</v>
      </c>
    </row>
    <row r="608" spans="1:15" x14ac:dyDescent="0.25">
      <c r="A608" s="6" t="s">
        <v>6959</v>
      </c>
      <c r="B608" s="6" t="s">
        <v>6958</v>
      </c>
      <c r="C608" s="6" t="s">
        <v>31</v>
      </c>
      <c r="E608" s="6" t="s">
        <v>6957</v>
      </c>
      <c r="F608" s="6" t="s">
        <v>6956</v>
      </c>
      <c r="G608" s="6" t="s">
        <v>16</v>
      </c>
      <c r="H608" s="6" t="s">
        <v>15</v>
      </c>
      <c r="I608" s="6" t="s">
        <v>14</v>
      </c>
      <c r="J608" s="6" t="s">
        <v>35</v>
      </c>
      <c r="K608" s="7">
        <v>29.881999059999998</v>
      </c>
      <c r="L608" s="7">
        <v>-95.343804050000003</v>
      </c>
      <c r="M608" s="6" t="s">
        <v>34</v>
      </c>
      <c r="N608" s="6" t="s">
        <v>24</v>
      </c>
      <c r="O608" s="6" t="s">
        <v>23</v>
      </c>
    </row>
    <row r="609" spans="1:15" x14ac:dyDescent="0.25">
      <c r="A609" s="6" t="s">
        <v>3028</v>
      </c>
      <c r="B609" s="6" t="s">
        <v>3027</v>
      </c>
      <c r="C609" s="6" t="s">
        <v>31</v>
      </c>
      <c r="E609" s="6" t="s">
        <v>3026</v>
      </c>
      <c r="F609" s="6" t="s">
        <v>2705</v>
      </c>
      <c r="G609" s="6" t="s">
        <v>16</v>
      </c>
      <c r="H609" s="6" t="s">
        <v>28</v>
      </c>
      <c r="I609" s="6" t="s">
        <v>36</v>
      </c>
      <c r="J609" s="6" t="s">
        <v>35</v>
      </c>
      <c r="K609" s="7">
        <v>29.896082929999999</v>
      </c>
      <c r="L609" s="7">
        <v>-95.40509557</v>
      </c>
      <c r="M609" s="6" t="s">
        <v>34</v>
      </c>
      <c r="N609" s="6" t="s">
        <v>24</v>
      </c>
      <c r="O609" s="6" t="s">
        <v>23</v>
      </c>
    </row>
    <row r="610" spans="1:15" x14ac:dyDescent="0.25">
      <c r="A610" s="6" t="s">
        <v>2708</v>
      </c>
      <c r="B610" s="6" t="s">
        <v>2707</v>
      </c>
      <c r="C610" s="6" t="s">
        <v>31</v>
      </c>
      <c r="E610" s="6" t="s">
        <v>2706</v>
      </c>
      <c r="F610" s="6" t="s">
        <v>2705</v>
      </c>
      <c r="G610" s="6" t="s">
        <v>16</v>
      </c>
      <c r="H610" s="6" t="s">
        <v>28</v>
      </c>
      <c r="I610" s="6" t="s">
        <v>27</v>
      </c>
      <c r="J610" s="6" t="s">
        <v>35</v>
      </c>
      <c r="K610" s="7">
        <v>29.899166999999998</v>
      </c>
      <c r="L610" s="7">
        <v>-95.333025000000006</v>
      </c>
      <c r="M610" s="6" t="s">
        <v>34</v>
      </c>
      <c r="N610" s="6" t="s">
        <v>24</v>
      </c>
      <c r="O610" s="6" t="s">
        <v>23</v>
      </c>
    </row>
    <row r="611" spans="1:15" x14ac:dyDescent="0.25">
      <c r="A611" s="6" t="s">
        <v>7128</v>
      </c>
      <c r="B611" s="6" t="s">
        <v>7127</v>
      </c>
      <c r="C611" s="6" t="s">
        <v>31</v>
      </c>
      <c r="E611" s="6" t="s">
        <v>7126</v>
      </c>
      <c r="F611" s="6" t="s">
        <v>7122</v>
      </c>
      <c r="G611" s="6" t="s">
        <v>16</v>
      </c>
      <c r="H611" s="6" t="s">
        <v>15</v>
      </c>
      <c r="I611" s="6" t="s">
        <v>14</v>
      </c>
      <c r="J611" s="6" t="s">
        <v>1064</v>
      </c>
      <c r="K611" s="7">
        <v>29.299939299999998</v>
      </c>
      <c r="L611" s="7">
        <v>-96.097377980000005</v>
      </c>
      <c r="M611" s="6" t="s">
        <v>295</v>
      </c>
      <c r="N611" s="6" t="s">
        <v>10</v>
      </c>
      <c r="O611" s="6" t="s">
        <v>23</v>
      </c>
    </row>
    <row r="612" spans="1:15" x14ac:dyDescent="0.25">
      <c r="A612" s="6" t="s">
        <v>505</v>
      </c>
      <c r="B612" s="6" t="s">
        <v>504</v>
      </c>
      <c r="C612" s="6" t="s">
        <v>31</v>
      </c>
      <c r="E612" s="6" t="s">
        <v>503</v>
      </c>
      <c r="F612" s="6" t="s">
        <v>502</v>
      </c>
      <c r="G612" s="6" t="s">
        <v>16</v>
      </c>
      <c r="H612" s="6" t="s">
        <v>28</v>
      </c>
      <c r="I612" s="6" t="s">
        <v>60</v>
      </c>
      <c r="J612" s="6" t="s">
        <v>501</v>
      </c>
      <c r="K612" s="7">
        <v>31.204059000000001</v>
      </c>
      <c r="L612" s="7">
        <v>-98.680965</v>
      </c>
      <c r="M612" s="6" t="s">
        <v>500</v>
      </c>
      <c r="N612" s="6" t="s">
        <v>10</v>
      </c>
      <c r="O612" s="6" t="s">
        <v>120</v>
      </c>
    </row>
    <row r="613" spans="1:15" x14ac:dyDescent="0.25">
      <c r="A613" s="6" t="s">
        <v>3717</v>
      </c>
      <c r="B613" s="6" t="s">
        <v>3716</v>
      </c>
      <c r="C613" s="6" t="s">
        <v>31</v>
      </c>
      <c r="E613" s="6" t="s">
        <v>3715</v>
      </c>
      <c r="F613" s="6" t="s">
        <v>3714</v>
      </c>
      <c r="G613" s="6" t="s">
        <v>16</v>
      </c>
      <c r="H613" s="6" t="s">
        <v>28</v>
      </c>
      <c r="I613" s="6" t="s">
        <v>73</v>
      </c>
      <c r="J613" s="6" t="s">
        <v>2287</v>
      </c>
      <c r="K613" s="7">
        <v>30.436705</v>
      </c>
      <c r="L613" s="7">
        <v>-93.969055999999995</v>
      </c>
      <c r="M613" s="6" t="s">
        <v>758</v>
      </c>
      <c r="N613" s="6" t="s">
        <v>65</v>
      </c>
      <c r="O613" s="6" t="s">
        <v>24</v>
      </c>
    </row>
    <row r="614" spans="1:15" x14ac:dyDescent="0.25">
      <c r="A614" s="6" t="s">
        <v>8611</v>
      </c>
      <c r="B614" s="6" t="s">
        <v>8610</v>
      </c>
      <c r="C614" s="6" t="s">
        <v>31</v>
      </c>
      <c r="E614" s="6" t="s">
        <v>8609</v>
      </c>
      <c r="F614" s="6" t="s">
        <v>8608</v>
      </c>
      <c r="G614" s="6" t="s">
        <v>16</v>
      </c>
      <c r="H614" s="6" t="s">
        <v>28</v>
      </c>
      <c r="I614" s="6" t="s">
        <v>27</v>
      </c>
      <c r="J614" s="6" t="s">
        <v>3459</v>
      </c>
      <c r="K614" s="7">
        <v>31.016586</v>
      </c>
      <c r="L614" s="7">
        <v>-96.496302999999997</v>
      </c>
      <c r="M614" s="6" t="s">
        <v>121</v>
      </c>
      <c r="N614" s="6" t="s">
        <v>23</v>
      </c>
      <c r="O614" s="6" t="s">
        <v>120</v>
      </c>
    </row>
    <row r="615" spans="1:15" x14ac:dyDescent="0.25">
      <c r="A615" s="6" t="s">
        <v>9099</v>
      </c>
      <c r="B615" s="6" t="s">
        <v>9098</v>
      </c>
      <c r="C615" s="6" t="s">
        <v>31</v>
      </c>
      <c r="E615" s="6" t="s">
        <v>9097</v>
      </c>
      <c r="F615" s="6" t="s">
        <v>9096</v>
      </c>
      <c r="G615" s="6" t="s">
        <v>16</v>
      </c>
      <c r="H615" s="6" t="s">
        <v>15</v>
      </c>
      <c r="I615" s="6" t="s">
        <v>14</v>
      </c>
      <c r="J615" s="6" t="s">
        <v>215</v>
      </c>
      <c r="K615" s="7">
        <v>29.505519899999999</v>
      </c>
      <c r="L615" s="7">
        <v>-94.959244260000006</v>
      </c>
      <c r="M615" s="6" t="s">
        <v>5100</v>
      </c>
      <c r="N615" s="6" t="s">
        <v>160</v>
      </c>
      <c r="O615" s="6" t="s">
        <v>23</v>
      </c>
    </row>
    <row r="616" spans="1:15" x14ac:dyDescent="0.25">
      <c r="A616" s="6" t="s">
        <v>7550</v>
      </c>
      <c r="B616" s="6" t="s">
        <v>7549</v>
      </c>
      <c r="C616" s="6" t="s">
        <v>31</v>
      </c>
      <c r="E616" s="6" t="s">
        <v>7548</v>
      </c>
      <c r="F616" s="6" t="s">
        <v>7547</v>
      </c>
      <c r="G616" s="6" t="s">
        <v>16</v>
      </c>
      <c r="H616" s="6" t="s">
        <v>15</v>
      </c>
      <c r="I616" s="6" t="s">
        <v>46</v>
      </c>
      <c r="J616" s="6" t="s">
        <v>424</v>
      </c>
      <c r="K616" s="7">
        <v>32.634139640000001</v>
      </c>
      <c r="L616" s="7">
        <v>-95.483458970000001</v>
      </c>
      <c r="M616" s="6" t="s">
        <v>423</v>
      </c>
      <c r="N616" s="6" t="s">
        <v>65</v>
      </c>
      <c r="O616" s="6" t="s">
        <v>65</v>
      </c>
    </row>
    <row r="617" spans="1:15" x14ac:dyDescent="0.25">
      <c r="A617" s="6" t="s">
        <v>11271</v>
      </c>
      <c r="B617" s="6" t="s">
        <v>11270</v>
      </c>
      <c r="C617" s="6" t="s">
        <v>31</v>
      </c>
      <c r="E617" s="6" t="s">
        <v>11269</v>
      </c>
      <c r="F617" s="6" t="s">
        <v>11265</v>
      </c>
      <c r="G617" s="6" t="s">
        <v>16</v>
      </c>
      <c r="H617" s="6" t="s">
        <v>15</v>
      </c>
      <c r="I617" s="6" t="s">
        <v>14</v>
      </c>
      <c r="J617" s="6" t="s">
        <v>132</v>
      </c>
      <c r="K617" s="7">
        <v>29.603369560000001</v>
      </c>
      <c r="L617" s="7">
        <v>-95.555203680000005</v>
      </c>
      <c r="M617" s="6" t="s">
        <v>616</v>
      </c>
      <c r="N617" s="6" t="s">
        <v>23</v>
      </c>
      <c r="O617" s="6" t="s">
        <v>23</v>
      </c>
    </row>
    <row r="618" spans="1:15" x14ac:dyDescent="0.25">
      <c r="A618" s="6" t="s">
        <v>2450</v>
      </c>
      <c r="B618" s="6" t="s">
        <v>2449</v>
      </c>
      <c r="C618" s="6" t="s">
        <v>31</v>
      </c>
      <c r="E618" s="6" t="s">
        <v>2448</v>
      </c>
      <c r="F618" s="6" t="s">
        <v>2447</v>
      </c>
      <c r="G618" s="6" t="s">
        <v>16</v>
      </c>
      <c r="H618" s="6" t="s">
        <v>15</v>
      </c>
      <c r="I618" s="6" t="s">
        <v>14</v>
      </c>
      <c r="J618" s="6" t="s">
        <v>1064</v>
      </c>
      <c r="K618" s="7">
        <v>29.184161660000001</v>
      </c>
      <c r="L618" s="7">
        <v>-96.256637240000003</v>
      </c>
      <c r="M618" s="6" t="s">
        <v>2446</v>
      </c>
      <c r="N618" s="6" t="s">
        <v>22</v>
      </c>
      <c r="O618" s="6" t="s">
        <v>23</v>
      </c>
    </row>
    <row r="619" spans="1:15" x14ac:dyDescent="0.25">
      <c r="A619" s="6" t="s">
        <v>4524</v>
      </c>
      <c r="B619" s="6" t="s">
        <v>4523</v>
      </c>
      <c r="C619" s="6" t="s">
        <v>31</v>
      </c>
      <c r="E619" s="6" t="s">
        <v>4522</v>
      </c>
      <c r="F619" s="6" t="s">
        <v>4521</v>
      </c>
      <c r="G619" s="6" t="s">
        <v>16</v>
      </c>
      <c r="H619" s="6" t="s">
        <v>15</v>
      </c>
      <c r="I619" s="6" t="s">
        <v>36</v>
      </c>
      <c r="J619" s="6" t="s">
        <v>35</v>
      </c>
      <c r="K619" s="7">
        <v>29.772538560000001</v>
      </c>
      <c r="L619" s="7">
        <v>-95.753519569999995</v>
      </c>
      <c r="M619" s="6" t="s">
        <v>131</v>
      </c>
      <c r="N619" s="6" t="s">
        <v>24</v>
      </c>
      <c r="O619" s="6" t="s">
        <v>23</v>
      </c>
    </row>
    <row r="620" spans="1:15" x14ac:dyDescent="0.25">
      <c r="A620" s="6" t="s">
        <v>7555</v>
      </c>
      <c r="B620" s="6" t="s">
        <v>7554</v>
      </c>
      <c r="C620" s="6" t="s">
        <v>31</v>
      </c>
      <c r="E620" s="6" t="s">
        <v>7553</v>
      </c>
      <c r="F620" s="6" t="s">
        <v>7552</v>
      </c>
      <c r="G620" s="6" t="s">
        <v>16</v>
      </c>
      <c r="H620" s="6" t="s">
        <v>15</v>
      </c>
      <c r="I620" s="6" t="s">
        <v>46</v>
      </c>
      <c r="J620" s="6" t="s">
        <v>480</v>
      </c>
      <c r="K620" s="7">
        <v>26.170815000000001</v>
      </c>
      <c r="L620" s="7">
        <v>-97.902384999999995</v>
      </c>
      <c r="M620" s="6" t="s">
        <v>179</v>
      </c>
      <c r="N620" s="6" t="s">
        <v>11</v>
      </c>
      <c r="O620" s="6" t="s">
        <v>22</v>
      </c>
    </row>
    <row r="621" spans="1:15" x14ac:dyDescent="0.25">
      <c r="A621" s="6" t="s">
        <v>7374</v>
      </c>
      <c r="B621" s="6" t="s">
        <v>7373</v>
      </c>
      <c r="C621" s="6" t="s">
        <v>31</v>
      </c>
      <c r="E621" s="6" t="s">
        <v>7372</v>
      </c>
      <c r="F621" s="6" t="s">
        <v>5909</v>
      </c>
      <c r="G621" s="6" t="s">
        <v>16</v>
      </c>
      <c r="H621" s="6" t="s">
        <v>28</v>
      </c>
      <c r="I621" s="6" t="s">
        <v>2430</v>
      </c>
      <c r="J621" s="6" t="s">
        <v>5908</v>
      </c>
      <c r="K621" s="7">
        <v>31.825146</v>
      </c>
      <c r="L621" s="7">
        <v>-99.404785000000004</v>
      </c>
      <c r="M621" s="6" t="s">
        <v>625</v>
      </c>
      <c r="N621" s="6" t="s">
        <v>10</v>
      </c>
      <c r="O621" s="6" t="s">
        <v>95</v>
      </c>
    </row>
    <row r="622" spans="1:15" x14ac:dyDescent="0.25">
      <c r="A622" s="6" t="s">
        <v>7175</v>
      </c>
      <c r="B622" s="6" t="s">
        <v>7174</v>
      </c>
      <c r="C622" s="6" t="s">
        <v>31</v>
      </c>
      <c r="E622" s="6" t="s">
        <v>7173</v>
      </c>
      <c r="F622" s="6" t="s">
        <v>7172</v>
      </c>
      <c r="G622" s="6" t="s">
        <v>16</v>
      </c>
      <c r="H622" s="6" t="s">
        <v>28</v>
      </c>
      <c r="I622" s="6" t="s">
        <v>46</v>
      </c>
      <c r="J622" s="6" t="s">
        <v>115</v>
      </c>
      <c r="K622" s="7">
        <v>32.957059999999998</v>
      </c>
      <c r="L622" s="7">
        <v>-96.317801000000003</v>
      </c>
      <c r="M622" s="6" t="s">
        <v>109</v>
      </c>
      <c r="N622" s="6" t="s">
        <v>65</v>
      </c>
      <c r="O622" s="6" t="s">
        <v>42</v>
      </c>
    </row>
    <row r="623" spans="1:15" x14ac:dyDescent="0.25">
      <c r="A623" s="6" t="s">
        <v>4717</v>
      </c>
      <c r="B623" s="6" t="s">
        <v>4716</v>
      </c>
      <c r="C623" s="6" t="s">
        <v>31</v>
      </c>
      <c r="E623" s="6" t="s">
        <v>4715</v>
      </c>
      <c r="F623" s="6" t="s">
        <v>4714</v>
      </c>
      <c r="G623" s="6" t="s">
        <v>16</v>
      </c>
      <c r="H623" s="6" t="s">
        <v>28</v>
      </c>
      <c r="I623" s="6" t="s">
        <v>73</v>
      </c>
      <c r="J623" s="6" t="s">
        <v>1288</v>
      </c>
      <c r="K623" s="7">
        <v>32.251775000000002</v>
      </c>
      <c r="L623" s="7">
        <v>-96.861418999999998</v>
      </c>
      <c r="M623" s="6" t="s">
        <v>2048</v>
      </c>
      <c r="N623" s="6" t="s">
        <v>102</v>
      </c>
      <c r="O623" s="6" t="s">
        <v>42</v>
      </c>
    </row>
    <row r="624" spans="1:15" x14ac:dyDescent="0.25">
      <c r="A624" s="6" t="s">
        <v>10760</v>
      </c>
      <c r="B624" s="6" t="s">
        <v>10759</v>
      </c>
      <c r="C624" s="6" t="s">
        <v>31</v>
      </c>
      <c r="E624" s="6" t="s">
        <v>10758</v>
      </c>
      <c r="F624" s="6" t="s">
        <v>10757</v>
      </c>
      <c r="G624" s="6" t="s">
        <v>16</v>
      </c>
      <c r="H624" s="6" t="s">
        <v>15</v>
      </c>
      <c r="I624" s="6" t="s">
        <v>14</v>
      </c>
      <c r="J624" s="6" t="s">
        <v>2646</v>
      </c>
      <c r="K624" s="7">
        <v>31.25838676</v>
      </c>
      <c r="L624" s="7">
        <v>-96.932406650000004</v>
      </c>
      <c r="M624" s="6" t="s">
        <v>121</v>
      </c>
      <c r="N624" s="6" t="s">
        <v>23</v>
      </c>
      <c r="O624" s="6" t="s">
        <v>120</v>
      </c>
    </row>
    <row r="625" spans="1:15" x14ac:dyDescent="0.25">
      <c r="A625" s="6" t="s">
        <v>4200</v>
      </c>
      <c r="B625" s="6" t="s">
        <v>4199</v>
      </c>
      <c r="C625" s="6" t="s">
        <v>31</v>
      </c>
      <c r="E625" s="6" t="s">
        <v>4198</v>
      </c>
      <c r="F625" s="6" t="s">
        <v>4197</v>
      </c>
      <c r="G625" s="6" t="s">
        <v>16</v>
      </c>
      <c r="H625" s="6" t="s">
        <v>15</v>
      </c>
      <c r="I625" s="6" t="s">
        <v>46</v>
      </c>
      <c r="J625" s="6" t="s">
        <v>781</v>
      </c>
      <c r="K625" s="7">
        <v>32.489458329999998</v>
      </c>
      <c r="L625" s="7">
        <v>-94.326485719999994</v>
      </c>
      <c r="M625" s="6" t="s">
        <v>1218</v>
      </c>
      <c r="N625" s="6" t="s">
        <v>65</v>
      </c>
      <c r="O625" s="6" t="s">
        <v>65</v>
      </c>
    </row>
    <row r="626" spans="1:15" x14ac:dyDescent="0.25">
      <c r="A626" s="6" t="s">
        <v>7825</v>
      </c>
      <c r="B626" s="6" t="s">
        <v>7824</v>
      </c>
      <c r="C626" s="6" t="s">
        <v>31</v>
      </c>
      <c r="E626" s="6" t="s">
        <v>7823</v>
      </c>
      <c r="F626" s="6" t="s">
        <v>7822</v>
      </c>
      <c r="G626" s="6" t="s">
        <v>16</v>
      </c>
      <c r="H626" s="6" t="s">
        <v>28</v>
      </c>
      <c r="I626" s="6" t="s">
        <v>73</v>
      </c>
      <c r="J626" s="6" t="s">
        <v>726</v>
      </c>
      <c r="K626" s="7">
        <v>33.642838840000003</v>
      </c>
      <c r="L626" s="7">
        <v>-97.369704209999995</v>
      </c>
      <c r="M626" s="6" t="s">
        <v>3841</v>
      </c>
      <c r="N626" s="6" t="s">
        <v>102</v>
      </c>
      <c r="O626" s="6" t="s">
        <v>42</v>
      </c>
    </row>
    <row r="627" spans="1:15" x14ac:dyDescent="0.25">
      <c r="A627" s="6" t="s">
        <v>11258</v>
      </c>
      <c r="B627" s="6" t="s">
        <v>11257</v>
      </c>
      <c r="C627" s="6" t="s">
        <v>31</v>
      </c>
      <c r="E627" s="6" t="s">
        <v>11256</v>
      </c>
      <c r="F627" s="6" t="s">
        <v>11255</v>
      </c>
      <c r="G627" s="6" t="s">
        <v>16</v>
      </c>
      <c r="H627" s="6" t="s">
        <v>28</v>
      </c>
      <c r="I627" s="6" t="s">
        <v>27</v>
      </c>
      <c r="J627" s="6" t="s">
        <v>682</v>
      </c>
      <c r="K627" s="7">
        <v>32.201723999999999</v>
      </c>
      <c r="L627" s="7">
        <v>-98.683851000000004</v>
      </c>
      <c r="M627" s="6" t="s">
        <v>6041</v>
      </c>
      <c r="N627" s="6" t="s">
        <v>23</v>
      </c>
      <c r="O627" s="6" t="s">
        <v>95</v>
      </c>
    </row>
    <row r="628" spans="1:15" x14ac:dyDescent="0.25">
      <c r="A628" s="6" t="s">
        <v>12411</v>
      </c>
      <c r="B628" s="6" t="s">
        <v>12410</v>
      </c>
      <c r="C628" s="6" t="s">
        <v>31</v>
      </c>
      <c r="E628" s="6" t="s">
        <v>12409</v>
      </c>
      <c r="F628" s="6" t="s">
        <v>12408</v>
      </c>
      <c r="G628" s="6" t="s">
        <v>16</v>
      </c>
      <c r="H628" s="6" t="s">
        <v>15</v>
      </c>
      <c r="I628" s="6" t="s">
        <v>46</v>
      </c>
      <c r="J628" s="6" t="s">
        <v>45</v>
      </c>
      <c r="K628" s="7">
        <v>33.58852512</v>
      </c>
      <c r="L628" s="7">
        <v>-96.157227370000001</v>
      </c>
      <c r="M628" s="6" t="s">
        <v>44</v>
      </c>
      <c r="N628" s="6" t="s">
        <v>43</v>
      </c>
      <c r="O628" s="6" t="s">
        <v>42</v>
      </c>
    </row>
    <row r="629" spans="1:15" x14ac:dyDescent="0.25">
      <c r="A629" s="6" t="s">
        <v>5310</v>
      </c>
      <c r="B629" s="6" t="s">
        <v>5309</v>
      </c>
      <c r="C629" s="6" t="s">
        <v>31</v>
      </c>
      <c r="E629" s="6" t="s">
        <v>5308</v>
      </c>
      <c r="F629" s="6" t="s">
        <v>5307</v>
      </c>
      <c r="G629" s="6" t="s">
        <v>16</v>
      </c>
      <c r="H629" s="6" t="s">
        <v>28</v>
      </c>
      <c r="I629" s="6" t="s">
        <v>60</v>
      </c>
      <c r="J629" s="6" t="s">
        <v>215</v>
      </c>
      <c r="K629" s="7">
        <v>29.520267</v>
      </c>
      <c r="L629" s="7">
        <v>-94.993819000000002</v>
      </c>
      <c r="M629" s="6" t="s">
        <v>5100</v>
      </c>
      <c r="N629" s="6" t="s">
        <v>160</v>
      </c>
      <c r="O629" s="6" t="s">
        <v>23</v>
      </c>
    </row>
    <row r="630" spans="1:15" x14ac:dyDescent="0.25">
      <c r="A630" s="6" t="s">
        <v>6616</v>
      </c>
      <c r="B630" s="6" t="s">
        <v>6615</v>
      </c>
      <c r="C630" s="6" t="s">
        <v>31</v>
      </c>
      <c r="E630" s="6" t="s">
        <v>6614</v>
      </c>
      <c r="F630" s="6" t="s">
        <v>6613</v>
      </c>
      <c r="G630" s="6" t="s">
        <v>16</v>
      </c>
      <c r="H630" s="6" t="s">
        <v>28</v>
      </c>
      <c r="I630" s="6" t="s">
        <v>73</v>
      </c>
      <c r="J630" s="6" t="s">
        <v>26</v>
      </c>
      <c r="K630" s="7">
        <v>30.224730999999998</v>
      </c>
      <c r="L630" s="7">
        <v>-95.434263000000001</v>
      </c>
      <c r="M630" s="6" t="s">
        <v>1022</v>
      </c>
      <c r="N630" s="6" t="s">
        <v>24</v>
      </c>
      <c r="O630" s="6" t="s">
        <v>23</v>
      </c>
    </row>
    <row r="631" spans="1:15" x14ac:dyDescent="0.25">
      <c r="A631" s="6" t="s">
        <v>4778</v>
      </c>
      <c r="B631" s="6" t="s">
        <v>4777</v>
      </c>
      <c r="C631" s="6" t="s">
        <v>31</v>
      </c>
      <c r="E631" s="6" t="s">
        <v>4776</v>
      </c>
      <c r="F631" s="6" t="s">
        <v>4775</v>
      </c>
      <c r="G631" s="6" t="s">
        <v>16</v>
      </c>
      <c r="H631" s="6" t="s">
        <v>28</v>
      </c>
      <c r="I631" s="6" t="s">
        <v>27</v>
      </c>
      <c r="J631" s="6" t="s">
        <v>26</v>
      </c>
      <c r="K631" s="7">
        <v>30.386669999999999</v>
      </c>
      <c r="L631" s="7">
        <v>-95.640839</v>
      </c>
      <c r="M631" s="6" t="s">
        <v>340</v>
      </c>
      <c r="N631" s="6" t="s">
        <v>24</v>
      </c>
      <c r="O631" s="6" t="s">
        <v>23</v>
      </c>
    </row>
    <row r="632" spans="1:15" x14ac:dyDescent="0.25">
      <c r="A632" s="6" t="s">
        <v>6172</v>
      </c>
      <c r="B632" s="6" t="s">
        <v>6171</v>
      </c>
      <c r="C632" s="6" t="s">
        <v>31</v>
      </c>
      <c r="E632" s="6" t="s">
        <v>6170</v>
      </c>
      <c r="F632" s="6" t="s">
        <v>6169</v>
      </c>
      <c r="G632" s="6" t="s">
        <v>16</v>
      </c>
      <c r="H632" s="6" t="s">
        <v>28</v>
      </c>
      <c r="I632" s="6" t="s">
        <v>73</v>
      </c>
      <c r="J632" s="6" t="s">
        <v>26</v>
      </c>
      <c r="K632" s="7">
        <v>30.419982999999998</v>
      </c>
      <c r="L632" s="7">
        <v>-95.582973999999993</v>
      </c>
      <c r="M632" s="6" t="s">
        <v>340</v>
      </c>
      <c r="N632" s="6" t="s">
        <v>24</v>
      </c>
      <c r="O632" s="6" t="s">
        <v>23</v>
      </c>
    </row>
    <row r="633" spans="1:15" x14ac:dyDescent="0.25">
      <c r="A633" s="6" t="s">
        <v>2023</v>
      </c>
      <c r="B633" s="6" t="s">
        <v>2022</v>
      </c>
      <c r="C633" s="6" t="s">
        <v>31</v>
      </c>
      <c r="E633" s="6" t="s">
        <v>2021</v>
      </c>
      <c r="F633" s="6" t="s">
        <v>2020</v>
      </c>
      <c r="G633" s="6" t="s">
        <v>16</v>
      </c>
      <c r="H633" s="6" t="s">
        <v>15</v>
      </c>
      <c r="I633" s="6" t="s">
        <v>14</v>
      </c>
      <c r="J633" s="6" t="s">
        <v>26</v>
      </c>
      <c r="K633" s="7">
        <v>30.389820180000001</v>
      </c>
      <c r="L633" s="7">
        <v>-95.604206349999998</v>
      </c>
      <c r="M633" s="6" t="s">
        <v>340</v>
      </c>
      <c r="N633" s="6" t="s">
        <v>24</v>
      </c>
      <c r="O633" s="6" t="s">
        <v>23</v>
      </c>
    </row>
    <row r="634" spans="1:15" x14ac:dyDescent="0.25">
      <c r="A634" s="6" t="s">
        <v>11798</v>
      </c>
      <c r="B634" s="6" t="s">
        <v>11797</v>
      </c>
      <c r="C634" s="6" t="s">
        <v>31</v>
      </c>
      <c r="E634" s="6" t="s">
        <v>11796</v>
      </c>
      <c r="F634" s="6" t="s">
        <v>11795</v>
      </c>
      <c r="G634" s="6" t="s">
        <v>16</v>
      </c>
      <c r="H634" s="6" t="s">
        <v>15</v>
      </c>
      <c r="I634" s="6" t="s">
        <v>14</v>
      </c>
      <c r="J634" s="6" t="s">
        <v>951</v>
      </c>
      <c r="K634" s="7">
        <v>28.03790235</v>
      </c>
      <c r="L634" s="7">
        <v>-97.057770640000001</v>
      </c>
      <c r="M634" s="6" t="s">
        <v>11794</v>
      </c>
      <c r="N634" s="6" t="s">
        <v>137</v>
      </c>
      <c r="O634" s="6" t="s">
        <v>10</v>
      </c>
    </row>
    <row r="635" spans="1:15" x14ac:dyDescent="0.25">
      <c r="A635" s="6" t="s">
        <v>3249</v>
      </c>
      <c r="B635" s="6" t="s">
        <v>3248</v>
      </c>
      <c r="C635" s="6" t="s">
        <v>31</v>
      </c>
      <c r="E635" s="6" t="s">
        <v>3247</v>
      </c>
      <c r="F635" s="6" t="s">
        <v>3243</v>
      </c>
      <c r="G635" s="6" t="s">
        <v>16</v>
      </c>
      <c r="H635" s="6" t="s">
        <v>15</v>
      </c>
      <c r="I635" s="6" t="s">
        <v>73</v>
      </c>
      <c r="J635" s="6" t="s">
        <v>1611</v>
      </c>
      <c r="K635" s="7">
        <v>32.461297999999999</v>
      </c>
      <c r="L635" s="7">
        <v>-94.757147000000003</v>
      </c>
      <c r="M635" s="6" t="s">
        <v>1218</v>
      </c>
      <c r="N635" s="6" t="s">
        <v>65</v>
      </c>
      <c r="O635" s="6" t="s">
        <v>65</v>
      </c>
    </row>
    <row r="636" spans="1:15" x14ac:dyDescent="0.25">
      <c r="A636" s="6" t="s">
        <v>7565</v>
      </c>
      <c r="B636" s="6" t="s">
        <v>7564</v>
      </c>
      <c r="C636" s="6" t="s">
        <v>31</v>
      </c>
      <c r="E636" s="6" t="s">
        <v>7563</v>
      </c>
      <c r="F636" s="6" t="s">
        <v>116</v>
      </c>
      <c r="G636" s="6" t="s">
        <v>16</v>
      </c>
      <c r="H636" s="6" t="s">
        <v>15</v>
      </c>
      <c r="I636" s="6" t="s">
        <v>46</v>
      </c>
      <c r="J636" s="6" t="s">
        <v>115</v>
      </c>
      <c r="K636" s="7">
        <v>32.950826999999997</v>
      </c>
      <c r="L636" s="7">
        <v>-96.467675</v>
      </c>
      <c r="M636" s="6" t="s">
        <v>5476</v>
      </c>
      <c r="N636" s="6" t="s">
        <v>102</v>
      </c>
      <c r="O636" s="6" t="s">
        <v>42</v>
      </c>
    </row>
    <row r="637" spans="1:15" x14ac:dyDescent="0.25">
      <c r="A637" s="6" t="s">
        <v>9050</v>
      </c>
      <c r="B637" s="6" t="s">
        <v>9049</v>
      </c>
      <c r="C637" s="6" t="s">
        <v>31</v>
      </c>
      <c r="E637" s="6" t="s">
        <v>9048</v>
      </c>
      <c r="F637" s="6" t="s">
        <v>5101</v>
      </c>
      <c r="G637" s="6" t="s">
        <v>16</v>
      </c>
      <c r="H637" s="6" t="s">
        <v>15</v>
      </c>
      <c r="I637" s="6" t="s">
        <v>14</v>
      </c>
      <c r="J637" s="6" t="s">
        <v>35</v>
      </c>
      <c r="K637" s="7">
        <v>29.55728804</v>
      </c>
      <c r="L637" s="7">
        <v>-95.016684670000004</v>
      </c>
      <c r="M637" s="6" t="s">
        <v>5100</v>
      </c>
      <c r="N637" s="6" t="s">
        <v>160</v>
      </c>
      <c r="O637" s="6" t="s">
        <v>23</v>
      </c>
    </row>
    <row r="638" spans="1:15" x14ac:dyDescent="0.25">
      <c r="A638" s="6" t="s">
        <v>11071</v>
      </c>
      <c r="B638" s="6" t="s">
        <v>11070</v>
      </c>
      <c r="C638" s="6" t="s">
        <v>31</v>
      </c>
      <c r="E638" s="6" t="s">
        <v>11069</v>
      </c>
      <c r="F638" s="6" t="s">
        <v>5990</v>
      </c>
      <c r="G638" s="6" t="s">
        <v>16</v>
      </c>
      <c r="H638" s="6" t="s">
        <v>15</v>
      </c>
      <c r="I638" s="6" t="s">
        <v>14</v>
      </c>
      <c r="J638" s="6" t="s">
        <v>26</v>
      </c>
      <c r="K638" s="7">
        <v>30.267162290000002</v>
      </c>
      <c r="L638" s="7">
        <v>-95.491539410000001</v>
      </c>
      <c r="M638" s="6" t="s">
        <v>1022</v>
      </c>
      <c r="N638" s="6" t="s">
        <v>24</v>
      </c>
      <c r="O638" s="6" t="s">
        <v>23</v>
      </c>
    </row>
    <row r="639" spans="1:15" x14ac:dyDescent="0.25">
      <c r="A639" s="6" t="s">
        <v>8578</v>
      </c>
      <c r="B639" s="6" t="s">
        <v>1901</v>
      </c>
      <c r="C639" s="6" t="s">
        <v>31</v>
      </c>
      <c r="E639" s="6" t="s">
        <v>1900</v>
      </c>
      <c r="F639" s="6" t="s">
        <v>1899</v>
      </c>
      <c r="G639" s="6" t="s">
        <v>16</v>
      </c>
      <c r="H639" s="6" t="s">
        <v>28</v>
      </c>
      <c r="I639" s="6" t="s">
        <v>46</v>
      </c>
      <c r="J639" s="6" t="s">
        <v>226</v>
      </c>
      <c r="K639" s="7">
        <v>33.827201000000002</v>
      </c>
      <c r="L639" s="7">
        <v>-98.201396000000003</v>
      </c>
      <c r="M639" s="6" t="s">
        <v>1898</v>
      </c>
      <c r="N639" s="6" t="s">
        <v>43</v>
      </c>
      <c r="O639" s="6" t="s">
        <v>95</v>
      </c>
    </row>
    <row r="640" spans="1:15" x14ac:dyDescent="0.25">
      <c r="A640" s="6" t="s">
        <v>1902</v>
      </c>
      <c r="B640" s="6" t="s">
        <v>1901</v>
      </c>
      <c r="C640" s="6" t="s">
        <v>19</v>
      </c>
      <c r="E640" s="6" t="s">
        <v>1900</v>
      </c>
      <c r="F640" s="6" t="s">
        <v>1899</v>
      </c>
      <c r="G640" s="6" t="s">
        <v>16</v>
      </c>
      <c r="H640" s="6" t="s">
        <v>28</v>
      </c>
      <c r="I640" s="6" t="s">
        <v>46</v>
      </c>
      <c r="J640" s="6" t="s">
        <v>226</v>
      </c>
      <c r="K640" s="7">
        <v>33.826971929999999</v>
      </c>
      <c r="L640" s="7">
        <v>-98.240012829999998</v>
      </c>
      <c r="M640" s="6" t="s">
        <v>1898</v>
      </c>
      <c r="N640" s="6" t="s">
        <v>43</v>
      </c>
      <c r="O640" s="6" t="s">
        <v>95</v>
      </c>
    </row>
    <row r="641" spans="1:15" x14ac:dyDescent="0.25">
      <c r="A641" s="6" t="s">
        <v>8577</v>
      </c>
      <c r="B641" s="6" t="s">
        <v>8576</v>
      </c>
      <c r="C641" s="6" t="s">
        <v>31</v>
      </c>
      <c r="E641" s="6" t="s">
        <v>8575</v>
      </c>
      <c r="F641" s="6" t="s">
        <v>1899</v>
      </c>
      <c r="G641" s="6" t="s">
        <v>16</v>
      </c>
      <c r="H641" s="6" t="s">
        <v>28</v>
      </c>
      <c r="I641" s="6" t="s">
        <v>73</v>
      </c>
      <c r="J641" s="6" t="s">
        <v>226</v>
      </c>
      <c r="K641" s="7">
        <v>33.809089</v>
      </c>
      <c r="L641" s="7">
        <v>-98.175113999999994</v>
      </c>
      <c r="M641" s="6" t="s">
        <v>1898</v>
      </c>
      <c r="N641" s="6" t="s">
        <v>43</v>
      </c>
      <c r="O641" s="6" t="s">
        <v>95</v>
      </c>
    </row>
    <row r="642" spans="1:15" x14ac:dyDescent="0.25">
      <c r="A642" s="6" t="s">
        <v>12425</v>
      </c>
      <c r="B642" s="6" t="s">
        <v>12424</v>
      </c>
      <c r="C642" s="6" t="s">
        <v>31</v>
      </c>
      <c r="E642" s="6" t="s">
        <v>12423</v>
      </c>
      <c r="F642" s="6" t="s">
        <v>12422</v>
      </c>
      <c r="G642" s="6" t="s">
        <v>16</v>
      </c>
      <c r="H642" s="6" t="s">
        <v>28</v>
      </c>
      <c r="I642" s="6" t="s">
        <v>73</v>
      </c>
      <c r="J642" s="6" t="s">
        <v>395</v>
      </c>
      <c r="K642" s="7">
        <v>33.450342999999997</v>
      </c>
      <c r="L642" s="7">
        <v>-95.205797000000004</v>
      </c>
      <c r="M642" s="6" t="s">
        <v>96</v>
      </c>
      <c r="N642" s="6" t="s">
        <v>95</v>
      </c>
      <c r="O642" s="6" t="s">
        <v>65</v>
      </c>
    </row>
    <row r="643" spans="1:15" x14ac:dyDescent="0.25">
      <c r="A643" s="6" t="s">
        <v>8730</v>
      </c>
      <c r="B643" s="6" t="s">
        <v>8729</v>
      </c>
      <c r="C643" s="6" t="s">
        <v>31</v>
      </c>
      <c r="E643" s="6" t="s">
        <v>8728</v>
      </c>
      <c r="F643" s="6" t="s">
        <v>8727</v>
      </c>
      <c r="G643" s="6" t="s">
        <v>16</v>
      </c>
      <c r="H643" s="6" t="s">
        <v>28</v>
      </c>
      <c r="I643" s="6" t="s">
        <v>73</v>
      </c>
      <c r="J643" s="6" t="s">
        <v>461</v>
      </c>
      <c r="K643" s="7">
        <v>32.906319000000003</v>
      </c>
      <c r="L643" s="7">
        <v>-96.144160999999997</v>
      </c>
      <c r="M643" s="6" t="s">
        <v>109</v>
      </c>
      <c r="N643" s="6" t="s">
        <v>65</v>
      </c>
      <c r="O643" s="6" t="s">
        <v>42</v>
      </c>
    </row>
    <row r="644" spans="1:15" x14ac:dyDescent="0.25">
      <c r="A644" s="6" t="s">
        <v>7999</v>
      </c>
      <c r="B644" s="6" t="s">
        <v>7998</v>
      </c>
      <c r="C644" s="6" t="s">
        <v>31</v>
      </c>
      <c r="E644" s="6" t="s">
        <v>7997</v>
      </c>
      <c r="F644" s="6" t="s">
        <v>7993</v>
      </c>
      <c r="G644" s="6" t="s">
        <v>16</v>
      </c>
      <c r="H644" s="6" t="s">
        <v>28</v>
      </c>
      <c r="I644" s="6" t="s">
        <v>73</v>
      </c>
      <c r="J644" s="6" t="s">
        <v>810</v>
      </c>
      <c r="K644" s="7">
        <v>31.519940999999999</v>
      </c>
      <c r="L644" s="7">
        <v>-94.118949000000001</v>
      </c>
      <c r="M644" s="6" t="s">
        <v>644</v>
      </c>
      <c r="N644" s="6" t="s">
        <v>52</v>
      </c>
      <c r="O644" s="6" t="s">
        <v>24</v>
      </c>
    </row>
    <row r="645" spans="1:15" x14ac:dyDescent="0.25">
      <c r="A645" s="6" t="s">
        <v>4091</v>
      </c>
      <c r="B645" s="6" t="s">
        <v>4090</v>
      </c>
      <c r="C645" s="6" t="s">
        <v>31</v>
      </c>
      <c r="E645" s="6" t="s">
        <v>4089</v>
      </c>
      <c r="F645" s="6" t="s">
        <v>4088</v>
      </c>
      <c r="G645" s="6" t="s">
        <v>16</v>
      </c>
      <c r="H645" s="6" t="s">
        <v>15</v>
      </c>
      <c r="I645" s="6" t="s">
        <v>46</v>
      </c>
      <c r="J645" s="6" t="s">
        <v>726</v>
      </c>
      <c r="K645" s="7">
        <v>33.604380200000001</v>
      </c>
      <c r="L645" s="7">
        <v>-97.149972899999995</v>
      </c>
      <c r="M645" s="6" t="s">
        <v>3841</v>
      </c>
      <c r="N645" s="6" t="s">
        <v>102</v>
      </c>
      <c r="O645" s="6" t="s">
        <v>42</v>
      </c>
    </row>
    <row r="646" spans="1:15" x14ac:dyDescent="0.25">
      <c r="A646" s="6" t="s">
        <v>7979</v>
      </c>
      <c r="B646" s="6" t="s">
        <v>7978</v>
      </c>
      <c r="C646" s="6" t="s">
        <v>31</v>
      </c>
      <c r="E646" s="6" t="s">
        <v>7977</v>
      </c>
      <c r="F646" s="6" t="s">
        <v>7973</v>
      </c>
      <c r="G646" s="6" t="s">
        <v>16</v>
      </c>
      <c r="H646" s="6" t="s">
        <v>15</v>
      </c>
      <c r="I646" s="6" t="s">
        <v>14</v>
      </c>
      <c r="J646" s="6" t="s">
        <v>1032</v>
      </c>
      <c r="K646" s="7">
        <v>29.559251320000001</v>
      </c>
      <c r="L646" s="7">
        <v>-97.960839089999993</v>
      </c>
      <c r="M646" s="6" t="s">
        <v>1567</v>
      </c>
      <c r="N646" s="6" t="s">
        <v>559</v>
      </c>
      <c r="O646" s="6" t="s">
        <v>231</v>
      </c>
    </row>
    <row r="647" spans="1:15" x14ac:dyDescent="0.25">
      <c r="A647" s="6" t="s">
        <v>5297</v>
      </c>
      <c r="B647" s="6" t="s">
        <v>5296</v>
      </c>
      <c r="C647" s="6" t="s">
        <v>31</v>
      </c>
      <c r="E647" s="6" t="s">
        <v>5295</v>
      </c>
      <c r="F647" s="6" t="s">
        <v>5288</v>
      </c>
      <c r="G647" s="6" t="s">
        <v>16</v>
      </c>
      <c r="H647" s="6" t="s">
        <v>15</v>
      </c>
      <c r="I647" s="6" t="s">
        <v>46</v>
      </c>
      <c r="J647" s="6" t="s">
        <v>1716</v>
      </c>
      <c r="K647" s="7">
        <v>30.644116489999998</v>
      </c>
      <c r="L647" s="7">
        <v>-95.553108910000006</v>
      </c>
      <c r="M647" s="6" t="s">
        <v>340</v>
      </c>
      <c r="N647" s="6" t="s">
        <v>24</v>
      </c>
      <c r="O647" s="6" t="s">
        <v>23</v>
      </c>
    </row>
    <row r="648" spans="1:15" x14ac:dyDescent="0.25">
      <c r="A648" s="6" t="s">
        <v>9130</v>
      </c>
      <c r="B648" s="6" t="s">
        <v>9129</v>
      </c>
      <c r="C648" s="6" t="s">
        <v>31</v>
      </c>
      <c r="E648" s="6" t="s">
        <v>9128</v>
      </c>
      <c r="F648" s="6" t="s">
        <v>9124</v>
      </c>
      <c r="G648" s="6" t="s">
        <v>16</v>
      </c>
      <c r="H648" s="6" t="s">
        <v>15</v>
      </c>
      <c r="I648" s="6" t="s">
        <v>14</v>
      </c>
      <c r="J648" s="6" t="s">
        <v>35</v>
      </c>
      <c r="K648" s="7">
        <v>30.112013999999999</v>
      </c>
      <c r="L648" s="7">
        <v>-95.608878000000004</v>
      </c>
      <c r="M648" s="6" t="s">
        <v>731</v>
      </c>
      <c r="N648" s="6" t="s">
        <v>24</v>
      </c>
      <c r="O648" s="6" t="s">
        <v>23</v>
      </c>
    </row>
    <row r="649" spans="1:15" x14ac:dyDescent="0.25">
      <c r="A649" s="6" t="s">
        <v>10740</v>
      </c>
      <c r="B649" s="6" t="s">
        <v>10739</v>
      </c>
      <c r="C649" s="6" t="s">
        <v>31</v>
      </c>
      <c r="E649" s="6" t="s">
        <v>10738</v>
      </c>
      <c r="F649" s="6" t="s">
        <v>10737</v>
      </c>
      <c r="G649" s="6" t="s">
        <v>16</v>
      </c>
      <c r="H649" s="6" t="s">
        <v>28</v>
      </c>
      <c r="I649" s="6" t="s">
        <v>73</v>
      </c>
      <c r="J649" s="6" t="s">
        <v>526</v>
      </c>
      <c r="K649" s="7">
        <v>29.726927</v>
      </c>
      <c r="L649" s="7">
        <v>-99.065336000000002</v>
      </c>
      <c r="M649" s="6" t="s">
        <v>10736</v>
      </c>
      <c r="N649" s="6" t="s">
        <v>232</v>
      </c>
      <c r="O649" s="6" t="s">
        <v>231</v>
      </c>
    </row>
    <row r="650" spans="1:15" x14ac:dyDescent="0.25">
      <c r="A650" s="6" t="s">
        <v>2956</v>
      </c>
      <c r="B650" s="6" t="s">
        <v>2955</v>
      </c>
      <c r="C650" s="6" t="s">
        <v>31</v>
      </c>
      <c r="E650" s="6" t="s">
        <v>2954</v>
      </c>
      <c r="F650" s="6" t="s">
        <v>2953</v>
      </c>
      <c r="G650" s="6" t="s">
        <v>16</v>
      </c>
      <c r="H650" s="6" t="s">
        <v>28</v>
      </c>
      <c r="I650" s="6" t="s">
        <v>73</v>
      </c>
      <c r="J650" s="6" t="s">
        <v>168</v>
      </c>
      <c r="K650" s="7">
        <v>33.354680000000002</v>
      </c>
      <c r="L650" s="7">
        <v>-97.164124999999999</v>
      </c>
      <c r="M650" s="6" t="s">
        <v>167</v>
      </c>
      <c r="N650" s="6" t="s">
        <v>102</v>
      </c>
      <c r="O650" s="6" t="s">
        <v>42</v>
      </c>
    </row>
    <row r="651" spans="1:15" x14ac:dyDescent="0.25">
      <c r="A651" s="6" t="s">
        <v>8563</v>
      </c>
      <c r="B651" s="6" t="s">
        <v>8562</v>
      </c>
      <c r="C651" s="6" t="s">
        <v>31</v>
      </c>
      <c r="E651" s="6" t="s">
        <v>8561</v>
      </c>
      <c r="F651" s="6" t="s">
        <v>8560</v>
      </c>
      <c r="G651" s="6" t="s">
        <v>16</v>
      </c>
      <c r="H651" s="6" t="s">
        <v>28</v>
      </c>
      <c r="I651" s="6" t="s">
        <v>14</v>
      </c>
      <c r="J651" s="6" t="s">
        <v>3863</v>
      </c>
      <c r="K651" s="7">
        <v>28.662692790000001</v>
      </c>
      <c r="L651" s="7">
        <v>-97.395804479999995</v>
      </c>
      <c r="M651" s="6" t="s">
        <v>4473</v>
      </c>
      <c r="N651" s="6" t="s">
        <v>232</v>
      </c>
      <c r="O651" s="6" t="s">
        <v>10</v>
      </c>
    </row>
    <row r="652" spans="1:15" x14ac:dyDescent="0.25">
      <c r="A652" s="6" t="s">
        <v>8590</v>
      </c>
      <c r="B652" s="6" t="s">
        <v>8589</v>
      </c>
      <c r="C652" s="6" t="s">
        <v>31</v>
      </c>
      <c r="E652" s="6" t="s">
        <v>8588</v>
      </c>
      <c r="F652" s="6" t="s">
        <v>8587</v>
      </c>
      <c r="G652" s="6" t="s">
        <v>16</v>
      </c>
      <c r="H652" s="6" t="s">
        <v>28</v>
      </c>
      <c r="I652" s="6" t="s">
        <v>27</v>
      </c>
      <c r="J652" s="6" t="s">
        <v>982</v>
      </c>
      <c r="K652" s="7">
        <v>32.084245000000003</v>
      </c>
      <c r="L652" s="7">
        <v>-96.812247999999997</v>
      </c>
      <c r="M652" s="6" t="s">
        <v>2048</v>
      </c>
      <c r="N652" s="6" t="s">
        <v>102</v>
      </c>
      <c r="O652" s="6" t="s">
        <v>42</v>
      </c>
    </row>
    <row r="653" spans="1:15" x14ac:dyDescent="0.25">
      <c r="A653" s="6" t="s">
        <v>8630</v>
      </c>
      <c r="B653" s="6" t="s">
        <v>8629</v>
      </c>
      <c r="C653" s="6" t="s">
        <v>31</v>
      </c>
      <c r="E653" s="6" t="s">
        <v>8628</v>
      </c>
      <c r="F653" s="6" t="s">
        <v>8627</v>
      </c>
      <c r="G653" s="6" t="s">
        <v>16</v>
      </c>
      <c r="H653" s="6" t="s">
        <v>15</v>
      </c>
      <c r="I653" s="6" t="s">
        <v>46</v>
      </c>
      <c r="J653" s="6" t="s">
        <v>1611</v>
      </c>
      <c r="K653" s="7">
        <v>32.520233429999998</v>
      </c>
      <c r="L653" s="7">
        <v>-94.951246710000007</v>
      </c>
      <c r="M653" s="6" t="s">
        <v>1218</v>
      </c>
      <c r="N653" s="6" t="s">
        <v>65</v>
      </c>
      <c r="O653" s="6" t="s">
        <v>65</v>
      </c>
    </row>
    <row r="654" spans="1:15" x14ac:dyDescent="0.25">
      <c r="A654" s="6" t="s">
        <v>7042</v>
      </c>
      <c r="B654" s="6" t="s">
        <v>7041</v>
      </c>
      <c r="C654" s="6" t="s">
        <v>31</v>
      </c>
      <c r="E654" s="6" t="s">
        <v>7040</v>
      </c>
      <c r="F654" s="6" t="s">
        <v>7039</v>
      </c>
      <c r="G654" s="6" t="s">
        <v>16</v>
      </c>
      <c r="H654" s="6" t="s">
        <v>15</v>
      </c>
      <c r="I654" s="6" t="s">
        <v>14</v>
      </c>
      <c r="J654" s="6" t="s">
        <v>7038</v>
      </c>
      <c r="K654" s="7">
        <v>31.070079499999999</v>
      </c>
      <c r="L654" s="7">
        <v>-98.169343979999994</v>
      </c>
      <c r="M654" s="6" t="s">
        <v>7037</v>
      </c>
      <c r="N654" s="6" t="s">
        <v>23</v>
      </c>
      <c r="O654" s="6" t="s">
        <v>120</v>
      </c>
    </row>
    <row r="655" spans="1:15" x14ac:dyDescent="0.25">
      <c r="A655" s="6" t="s">
        <v>3747</v>
      </c>
      <c r="B655" s="6" t="s">
        <v>3746</v>
      </c>
      <c r="C655" s="6" t="s">
        <v>31</v>
      </c>
      <c r="E655" s="6" t="s">
        <v>3745</v>
      </c>
      <c r="F655" s="6" t="s">
        <v>3744</v>
      </c>
      <c r="G655" s="6" t="s">
        <v>16</v>
      </c>
      <c r="H655" s="6" t="s">
        <v>28</v>
      </c>
      <c r="I655" s="6" t="s">
        <v>60</v>
      </c>
      <c r="J655" s="6" t="s">
        <v>35</v>
      </c>
      <c r="K655" s="7">
        <v>29.774152999999998</v>
      </c>
      <c r="L655" s="7">
        <v>-95.157611000000003</v>
      </c>
      <c r="M655" s="6" t="s">
        <v>34</v>
      </c>
      <c r="N655" s="6" t="s">
        <v>24</v>
      </c>
      <c r="O655" s="6" t="s">
        <v>23</v>
      </c>
    </row>
    <row r="656" spans="1:15" x14ac:dyDescent="0.25">
      <c r="A656" s="6" t="s">
        <v>9119</v>
      </c>
      <c r="B656" s="6" t="s">
        <v>9118</v>
      </c>
      <c r="C656" s="6" t="s">
        <v>31</v>
      </c>
      <c r="E656" s="6" t="s">
        <v>9117</v>
      </c>
      <c r="F656" s="6" t="s">
        <v>9110</v>
      </c>
      <c r="G656" s="6" t="s">
        <v>16</v>
      </c>
      <c r="H656" s="6" t="s">
        <v>28</v>
      </c>
      <c r="I656" s="6" t="s">
        <v>73</v>
      </c>
      <c r="J656" s="6" t="s">
        <v>480</v>
      </c>
      <c r="K656" s="7">
        <v>26.18512209</v>
      </c>
      <c r="L656" s="7">
        <v>-97.988321099999993</v>
      </c>
      <c r="M656" s="6" t="s">
        <v>89</v>
      </c>
      <c r="N656" s="6" t="s">
        <v>11</v>
      </c>
      <c r="O656" s="6" t="s">
        <v>22</v>
      </c>
    </row>
    <row r="657" spans="1:15" x14ac:dyDescent="0.25">
      <c r="A657" s="6" t="s">
        <v>428</v>
      </c>
      <c r="B657" s="6" t="s">
        <v>427</v>
      </c>
      <c r="C657" s="6" t="s">
        <v>31</v>
      </c>
      <c r="E657" s="6" t="s">
        <v>426</v>
      </c>
      <c r="F657" s="6" t="s">
        <v>425</v>
      </c>
      <c r="G657" s="6" t="s">
        <v>16</v>
      </c>
      <c r="H657" s="6" t="s">
        <v>28</v>
      </c>
      <c r="I657" s="6" t="s">
        <v>27</v>
      </c>
      <c r="J657" s="6" t="s">
        <v>424</v>
      </c>
      <c r="K657" s="7">
        <v>32.772870679999997</v>
      </c>
      <c r="L657" s="7">
        <v>-95.632198849999995</v>
      </c>
      <c r="M657" s="6" t="s">
        <v>423</v>
      </c>
      <c r="N657" s="6" t="s">
        <v>65</v>
      </c>
      <c r="O657" s="6" t="s">
        <v>65</v>
      </c>
    </row>
    <row r="658" spans="1:15" x14ac:dyDescent="0.25">
      <c r="A658" s="6" t="s">
        <v>965</v>
      </c>
      <c r="B658" s="6" t="s">
        <v>964</v>
      </c>
      <c r="C658" s="6" t="s">
        <v>31</v>
      </c>
      <c r="E658" s="6" t="s">
        <v>963</v>
      </c>
      <c r="F658" s="6" t="s">
        <v>962</v>
      </c>
      <c r="G658" s="6" t="s">
        <v>16</v>
      </c>
      <c r="H658" s="6" t="s">
        <v>28</v>
      </c>
      <c r="I658" s="6" t="s">
        <v>27</v>
      </c>
      <c r="J658" s="6" t="s">
        <v>168</v>
      </c>
      <c r="K658" s="7">
        <v>33.078254999999999</v>
      </c>
      <c r="L658" s="7">
        <v>-97.293143000000001</v>
      </c>
      <c r="M658" s="6" t="s">
        <v>156</v>
      </c>
      <c r="N658" s="6" t="s">
        <v>102</v>
      </c>
      <c r="O658" s="6" t="s">
        <v>42</v>
      </c>
    </row>
    <row r="659" spans="1:15" x14ac:dyDescent="0.25">
      <c r="A659" s="6" t="s">
        <v>6185</v>
      </c>
      <c r="B659" s="6" t="s">
        <v>6184</v>
      </c>
      <c r="C659" s="6" t="s">
        <v>31</v>
      </c>
      <c r="E659" s="6" t="s">
        <v>6183</v>
      </c>
      <c r="F659" s="6" t="s">
        <v>6182</v>
      </c>
      <c r="G659" s="6" t="s">
        <v>16</v>
      </c>
      <c r="H659" s="6" t="s">
        <v>15</v>
      </c>
      <c r="I659" s="6" t="s">
        <v>799</v>
      </c>
      <c r="J659" s="6" t="s">
        <v>104</v>
      </c>
      <c r="K659" s="7">
        <v>32.686554999999998</v>
      </c>
      <c r="L659" s="7">
        <v>-96.272480999999999</v>
      </c>
      <c r="M659" s="6" t="s">
        <v>193</v>
      </c>
      <c r="N659" s="6" t="s">
        <v>102</v>
      </c>
      <c r="O659" s="6" t="s">
        <v>42</v>
      </c>
    </row>
    <row r="660" spans="1:15" x14ac:dyDescent="0.25">
      <c r="A660" s="6" t="s">
        <v>4418</v>
      </c>
      <c r="B660" s="6" t="s">
        <v>2134</v>
      </c>
      <c r="C660" s="6" t="s">
        <v>31</v>
      </c>
      <c r="E660" s="6" t="s">
        <v>2133</v>
      </c>
      <c r="F660" s="6" t="s">
        <v>2132</v>
      </c>
      <c r="G660" s="6" t="s">
        <v>16</v>
      </c>
      <c r="H660" s="6" t="s">
        <v>15</v>
      </c>
      <c r="I660" s="6" t="s">
        <v>27</v>
      </c>
      <c r="J660" s="6" t="s">
        <v>35</v>
      </c>
      <c r="K660" s="7">
        <v>29.578666890000001</v>
      </c>
      <c r="L660" s="7">
        <v>-95.094280879999999</v>
      </c>
      <c r="M660" s="6" t="s">
        <v>1932</v>
      </c>
      <c r="N660" s="6" t="s">
        <v>160</v>
      </c>
      <c r="O660" s="6" t="s">
        <v>23</v>
      </c>
    </row>
    <row r="661" spans="1:15" x14ac:dyDescent="0.25">
      <c r="A661" s="6" t="s">
        <v>2136</v>
      </c>
      <c r="B661" s="6" t="s">
        <v>2134</v>
      </c>
      <c r="C661" s="6" t="s">
        <v>19</v>
      </c>
      <c r="E661" s="6" t="s">
        <v>2133</v>
      </c>
      <c r="F661" s="6" t="s">
        <v>2132</v>
      </c>
      <c r="G661" s="6" t="s">
        <v>16</v>
      </c>
      <c r="H661" s="6" t="s">
        <v>28</v>
      </c>
      <c r="I661" s="6" t="s">
        <v>27</v>
      </c>
      <c r="J661" s="6" t="s">
        <v>35</v>
      </c>
      <c r="K661" s="7">
        <v>29.570590670000001</v>
      </c>
      <c r="L661" s="7">
        <v>-95.129183929999996</v>
      </c>
      <c r="M661" s="6" t="s">
        <v>1932</v>
      </c>
      <c r="N661" s="6" t="s">
        <v>160</v>
      </c>
      <c r="O661" s="6" t="s">
        <v>23</v>
      </c>
    </row>
    <row r="662" spans="1:15" x14ac:dyDescent="0.25">
      <c r="A662" s="6" t="s">
        <v>2135</v>
      </c>
      <c r="B662" s="6" t="s">
        <v>2134</v>
      </c>
      <c r="C662" s="6" t="s">
        <v>436</v>
      </c>
      <c r="E662" s="6" t="s">
        <v>2133</v>
      </c>
      <c r="F662" s="6" t="s">
        <v>2132</v>
      </c>
      <c r="G662" s="6" t="s">
        <v>16</v>
      </c>
      <c r="H662" s="6" t="s">
        <v>28</v>
      </c>
      <c r="I662" s="6" t="s">
        <v>27</v>
      </c>
      <c r="J662" s="6" t="s">
        <v>35</v>
      </c>
      <c r="K662" s="7">
        <v>29.570002079999998</v>
      </c>
      <c r="L662" s="7">
        <v>-95.128601560000007</v>
      </c>
      <c r="M662" s="6" t="s">
        <v>1932</v>
      </c>
      <c r="N662" s="6" t="s">
        <v>160</v>
      </c>
      <c r="O662" s="6" t="s">
        <v>23</v>
      </c>
    </row>
    <row r="663" spans="1:15" x14ac:dyDescent="0.25">
      <c r="A663" s="6" t="s">
        <v>2428</v>
      </c>
      <c r="B663" s="6" t="s">
        <v>2427</v>
      </c>
      <c r="C663" s="6" t="s">
        <v>31</v>
      </c>
      <c r="E663" s="6" t="s">
        <v>2426</v>
      </c>
      <c r="F663" s="6" t="s">
        <v>2425</v>
      </c>
      <c r="G663" s="6" t="s">
        <v>16</v>
      </c>
      <c r="H663" s="6" t="s">
        <v>28</v>
      </c>
      <c r="I663" s="6" t="s">
        <v>46</v>
      </c>
      <c r="J663" s="6" t="s">
        <v>566</v>
      </c>
      <c r="K663" s="7">
        <v>32.30399302</v>
      </c>
      <c r="L663" s="7">
        <v>-94.519301089999999</v>
      </c>
      <c r="M663" s="6" t="s">
        <v>1218</v>
      </c>
      <c r="N663" s="6" t="s">
        <v>65</v>
      </c>
      <c r="O663" s="6" t="s">
        <v>65</v>
      </c>
    </row>
    <row r="664" spans="1:15" x14ac:dyDescent="0.25">
      <c r="A664" s="6" t="s">
        <v>3001</v>
      </c>
      <c r="B664" s="6" t="s">
        <v>3000</v>
      </c>
      <c r="C664" s="6" t="s">
        <v>31</v>
      </c>
      <c r="E664" s="6" t="s">
        <v>2999</v>
      </c>
      <c r="F664" s="6" t="s">
        <v>2998</v>
      </c>
      <c r="G664" s="6" t="s">
        <v>16</v>
      </c>
      <c r="H664" s="6" t="s">
        <v>28</v>
      </c>
      <c r="I664" s="6" t="s">
        <v>73</v>
      </c>
      <c r="J664" s="6" t="s">
        <v>1249</v>
      </c>
      <c r="K664" s="7">
        <v>31.617360049999998</v>
      </c>
      <c r="L664" s="7">
        <v>-95.583839479999995</v>
      </c>
      <c r="M664" s="6" t="s">
        <v>1031</v>
      </c>
      <c r="N664" s="6" t="s">
        <v>102</v>
      </c>
      <c r="O664" s="6" t="s">
        <v>65</v>
      </c>
    </row>
    <row r="665" spans="1:15" x14ac:dyDescent="0.25">
      <c r="A665" s="6" t="s">
        <v>10223</v>
      </c>
      <c r="B665" s="6" t="s">
        <v>10222</v>
      </c>
      <c r="C665" s="6" t="s">
        <v>31</v>
      </c>
      <c r="E665" s="6" t="s">
        <v>10221</v>
      </c>
      <c r="F665" s="6" t="s">
        <v>10220</v>
      </c>
      <c r="G665" s="6" t="s">
        <v>16</v>
      </c>
      <c r="H665" s="6" t="s">
        <v>28</v>
      </c>
      <c r="I665" s="6" t="s">
        <v>60</v>
      </c>
      <c r="J665" s="6" t="s">
        <v>7519</v>
      </c>
      <c r="K665" s="7">
        <v>35.4285</v>
      </c>
      <c r="L665" s="7">
        <v>-100.803116</v>
      </c>
      <c r="M665" s="6" t="s">
        <v>1177</v>
      </c>
      <c r="N665" s="6" t="s">
        <v>43</v>
      </c>
      <c r="O665" s="6" t="s">
        <v>535</v>
      </c>
    </row>
    <row r="666" spans="1:15" x14ac:dyDescent="0.25">
      <c r="A666" s="6" t="s">
        <v>10223</v>
      </c>
      <c r="B666" s="6" t="s">
        <v>10222</v>
      </c>
      <c r="C666" s="6" t="s">
        <v>31</v>
      </c>
      <c r="E666" s="6" t="s">
        <v>10221</v>
      </c>
      <c r="F666" s="6" t="s">
        <v>10220</v>
      </c>
      <c r="G666" s="6" t="s">
        <v>16</v>
      </c>
      <c r="H666" s="6" t="s">
        <v>28</v>
      </c>
      <c r="I666" s="6" t="s">
        <v>73</v>
      </c>
      <c r="J666" s="6" t="s">
        <v>7519</v>
      </c>
      <c r="K666" s="7">
        <v>35.4285</v>
      </c>
      <c r="L666" s="7">
        <v>-100.803116</v>
      </c>
      <c r="M666" s="6" t="s">
        <v>1177</v>
      </c>
      <c r="N666" s="6" t="s">
        <v>43</v>
      </c>
      <c r="O666" s="6" t="s">
        <v>535</v>
      </c>
    </row>
    <row r="667" spans="1:15" x14ac:dyDescent="0.25">
      <c r="A667" s="6" t="s">
        <v>3216</v>
      </c>
      <c r="B667" s="6" t="s">
        <v>3215</v>
      </c>
      <c r="C667" s="6" t="s">
        <v>31</v>
      </c>
      <c r="E667" s="6" t="s">
        <v>3214</v>
      </c>
      <c r="F667" s="6" t="s">
        <v>3213</v>
      </c>
      <c r="G667" s="6" t="s">
        <v>16</v>
      </c>
      <c r="H667" s="6" t="s">
        <v>15</v>
      </c>
      <c r="I667" s="6" t="s">
        <v>14</v>
      </c>
      <c r="J667" s="6" t="s">
        <v>3105</v>
      </c>
      <c r="K667" s="7">
        <v>28.95926571</v>
      </c>
      <c r="L667" s="7">
        <v>-98.474998749999997</v>
      </c>
      <c r="M667" s="6" t="s">
        <v>3104</v>
      </c>
      <c r="N667" s="6" t="s">
        <v>524</v>
      </c>
      <c r="O667" s="6" t="s">
        <v>231</v>
      </c>
    </row>
    <row r="668" spans="1:15" x14ac:dyDescent="0.25">
      <c r="A668" s="6" t="s">
        <v>8902</v>
      </c>
      <c r="B668" s="6" t="s">
        <v>3215</v>
      </c>
      <c r="C668" s="6" t="s">
        <v>19</v>
      </c>
      <c r="E668" s="6" t="s">
        <v>3214</v>
      </c>
      <c r="F668" s="6" t="s">
        <v>3213</v>
      </c>
      <c r="G668" s="6" t="s">
        <v>16</v>
      </c>
      <c r="H668" s="6" t="s">
        <v>15</v>
      </c>
      <c r="I668" s="6" t="s">
        <v>14</v>
      </c>
      <c r="J668" s="6" t="s">
        <v>3105</v>
      </c>
      <c r="K668" s="7">
        <v>28.972098880000001</v>
      </c>
      <c r="L668" s="7">
        <v>-98.481559329999996</v>
      </c>
      <c r="M668" s="6" t="s">
        <v>3104</v>
      </c>
      <c r="N668" s="6" t="s">
        <v>524</v>
      </c>
      <c r="O668" s="6" t="s">
        <v>231</v>
      </c>
    </row>
    <row r="669" spans="1:15" x14ac:dyDescent="0.25">
      <c r="A669" s="6" t="s">
        <v>8901</v>
      </c>
      <c r="B669" s="6" t="s">
        <v>3215</v>
      </c>
      <c r="C669" s="6" t="s">
        <v>436</v>
      </c>
      <c r="E669" s="6" t="s">
        <v>3214</v>
      </c>
      <c r="F669" s="6" t="s">
        <v>3213</v>
      </c>
      <c r="G669" s="6" t="s">
        <v>16</v>
      </c>
      <c r="H669" s="6" t="s">
        <v>15</v>
      </c>
      <c r="I669" s="6" t="s">
        <v>14</v>
      </c>
      <c r="J669" s="6" t="s">
        <v>3105</v>
      </c>
      <c r="K669" s="7">
        <v>28.97492892</v>
      </c>
      <c r="L669" s="7">
        <v>-98.482705100000004</v>
      </c>
      <c r="M669" s="6" t="s">
        <v>3104</v>
      </c>
      <c r="N669" s="6" t="s">
        <v>524</v>
      </c>
      <c r="O669" s="6" t="s">
        <v>231</v>
      </c>
    </row>
    <row r="670" spans="1:15" x14ac:dyDescent="0.25">
      <c r="A670" s="6" t="s">
        <v>11300</v>
      </c>
      <c r="B670" s="6" t="s">
        <v>11299</v>
      </c>
      <c r="C670" s="6" t="s">
        <v>31</v>
      </c>
      <c r="E670" s="6" t="s">
        <v>11298</v>
      </c>
      <c r="F670" s="6" t="s">
        <v>5689</v>
      </c>
      <c r="G670" s="6" t="s">
        <v>16</v>
      </c>
      <c r="H670" s="6" t="s">
        <v>28</v>
      </c>
      <c r="I670" s="6" t="s">
        <v>14</v>
      </c>
      <c r="J670" s="6" t="s">
        <v>1345</v>
      </c>
      <c r="K670" s="7">
        <v>29.337941480000001</v>
      </c>
      <c r="L670" s="7">
        <v>-100.77793696000001</v>
      </c>
      <c r="M670" s="6" t="s">
        <v>511</v>
      </c>
      <c r="N670" s="6" t="s">
        <v>373</v>
      </c>
      <c r="O670" s="6" t="s">
        <v>510</v>
      </c>
    </row>
    <row r="671" spans="1:15" x14ac:dyDescent="0.25">
      <c r="A671" s="6" t="s">
        <v>8769</v>
      </c>
      <c r="B671" s="6" t="s">
        <v>8768</v>
      </c>
      <c r="C671" s="6" t="s">
        <v>31</v>
      </c>
      <c r="E671" s="6" t="s">
        <v>8767</v>
      </c>
      <c r="F671" s="6" t="s">
        <v>2154</v>
      </c>
      <c r="G671" s="6" t="s">
        <v>16</v>
      </c>
      <c r="H671" s="6" t="s">
        <v>15</v>
      </c>
      <c r="I671" s="6" t="s">
        <v>14</v>
      </c>
      <c r="J671" s="6" t="s">
        <v>1861</v>
      </c>
      <c r="K671" s="7">
        <v>30.641518380000001</v>
      </c>
      <c r="L671" s="7">
        <v>-96.320777989999996</v>
      </c>
      <c r="M671" s="6" t="s">
        <v>927</v>
      </c>
      <c r="N671" s="6" t="s">
        <v>23</v>
      </c>
      <c r="O671" s="6" t="s">
        <v>120</v>
      </c>
    </row>
    <row r="672" spans="1:15" x14ac:dyDescent="0.25">
      <c r="A672" s="6" t="s">
        <v>10716</v>
      </c>
      <c r="B672" s="6" t="s">
        <v>10715</v>
      </c>
      <c r="C672" s="6" t="s">
        <v>31</v>
      </c>
      <c r="E672" s="6" t="s">
        <v>10714</v>
      </c>
      <c r="F672" s="6" t="s">
        <v>10713</v>
      </c>
      <c r="G672" s="6" t="s">
        <v>16</v>
      </c>
      <c r="H672" s="6" t="s">
        <v>28</v>
      </c>
      <c r="I672" s="6" t="s">
        <v>27</v>
      </c>
      <c r="J672" s="6" t="s">
        <v>151</v>
      </c>
      <c r="K672" s="7">
        <v>33.084302039999997</v>
      </c>
      <c r="L672" s="7">
        <v>-97.550513480000006</v>
      </c>
      <c r="M672" s="6" t="s">
        <v>150</v>
      </c>
      <c r="N672" s="6" t="s">
        <v>102</v>
      </c>
      <c r="O672" s="6" t="s">
        <v>42</v>
      </c>
    </row>
    <row r="673" spans="1:15" x14ac:dyDescent="0.25">
      <c r="A673" s="6" t="s">
        <v>7514</v>
      </c>
      <c r="B673" s="6" t="s">
        <v>7513</v>
      </c>
      <c r="C673" s="6" t="s">
        <v>31</v>
      </c>
      <c r="E673" s="6" t="s">
        <v>7512</v>
      </c>
      <c r="F673" s="6" t="s">
        <v>7511</v>
      </c>
      <c r="G673" s="6" t="s">
        <v>16</v>
      </c>
      <c r="H673" s="6" t="s">
        <v>28</v>
      </c>
      <c r="I673" s="6" t="s">
        <v>27</v>
      </c>
      <c r="J673" s="6" t="s">
        <v>168</v>
      </c>
      <c r="K673" s="7">
        <v>33.411513110000001</v>
      </c>
      <c r="L673" s="7">
        <v>-96.961067420000006</v>
      </c>
      <c r="M673" s="6" t="s">
        <v>3701</v>
      </c>
      <c r="N673" s="6" t="s">
        <v>102</v>
      </c>
      <c r="O673" s="6" t="s">
        <v>42</v>
      </c>
    </row>
    <row r="674" spans="1:15" x14ac:dyDescent="0.25">
      <c r="A674" s="6" t="s">
        <v>9897</v>
      </c>
      <c r="B674" s="6" t="s">
        <v>9896</v>
      </c>
      <c r="C674" s="6" t="s">
        <v>31</v>
      </c>
      <c r="E674" s="6" t="s">
        <v>9895</v>
      </c>
      <c r="F674" s="6" t="s">
        <v>9885</v>
      </c>
      <c r="G674" s="6" t="s">
        <v>16</v>
      </c>
      <c r="H674" s="6" t="s">
        <v>15</v>
      </c>
      <c r="I674" s="6" t="s">
        <v>14</v>
      </c>
      <c r="J674" s="6" t="s">
        <v>221</v>
      </c>
      <c r="K674" s="7">
        <v>30.65192948</v>
      </c>
      <c r="L674" s="7">
        <v>-97.664296870000001</v>
      </c>
      <c r="M674" s="6" t="s">
        <v>4688</v>
      </c>
      <c r="N674" s="6" t="s">
        <v>23</v>
      </c>
      <c r="O674" s="6" t="s">
        <v>160</v>
      </c>
    </row>
    <row r="675" spans="1:15" x14ac:dyDescent="0.25">
      <c r="A675" s="6" t="s">
        <v>11818</v>
      </c>
      <c r="B675" s="6" t="s">
        <v>11817</v>
      </c>
      <c r="C675" s="6" t="s">
        <v>31</v>
      </c>
      <c r="E675" s="6" t="s">
        <v>11816</v>
      </c>
      <c r="F675" s="6" t="s">
        <v>11815</v>
      </c>
      <c r="G675" s="6" t="s">
        <v>16</v>
      </c>
      <c r="H675" s="6" t="s">
        <v>28</v>
      </c>
      <c r="I675" s="6" t="s">
        <v>14</v>
      </c>
      <c r="J675" s="6" t="s">
        <v>1032</v>
      </c>
      <c r="K675" s="7">
        <v>29.565227780000001</v>
      </c>
      <c r="L675" s="7">
        <v>-98.143612869999998</v>
      </c>
      <c r="M675" s="6" t="s">
        <v>3582</v>
      </c>
      <c r="N675" s="6" t="s">
        <v>232</v>
      </c>
      <c r="O675" s="6" t="s">
        <v>231</v>
      </c>
    </row>
    <row r="676" spans="1:15" x14ac:dyDescent="0.25">
      <c r="A676" s="6" t="s">
        <v>12471</v>
      </c>
      <c r="B676" s="6" t="s">
        <v>12470</v>
      </c>
      <c r="C676" s="6" t="s">
        <v>31</v>
      </c>
      <c r="E676" s="6" t="s">
        <v>12469</v>
      </c>
      <c r="F676" s="6" t="s">
        <v>12468</v>
      </c>
      <c r="G676" s="6" t="s">
        <v>16</v>
      </c>
      <c r="H676" s="6" t="s">
        <v>28</v>
      </c>
      <c r="I676" s="6" t="s">
        <v>14</v>
      </c>
      <c r="J676" s="6" t="s">
        <v>395</v>
      </c>
      <c r="K676" s="7">
        <v>33.57270209</v>
      </c>
      <c r="L676" s="7">
        <v>-94.914698130000005</v>
      </c>
      <c r="M676" s="6" t="s">
        <v>96</v>
      </c>
      <c r="N676" s="6" t="s">
        <v>95</v>
      </c>
      <c r="O676" s="6" t="s">
        <v>65</v>
      </c>
    </row>
    <row r="677" spans="1:15" x14ac:dyDescent="0.25">
      <c r="A677" s="6" t="s">
        <v>1327</v>
      </c>
      <c r="B677" s="6" t="s">
        <v>1326</v>
      </c>
      <c r="C677" s="6" t="s">
        <v>31</v>
      </c>
      <c r="E677" s="6" t="s">
        <v>1325</v>
      </c>
      <c r="F677" s="6" t="s">
        <v>1324</v>
      </c>
      <c r="G677" s="6" t="s">
        <v>16</v>
      </c>
      <c r="H677" s="6" t="s">
        <v>28</v>
      </c>
      <c r="I677" s="6" t="s">
        <v>60</v>
      </c>
      <c r="J677" s="6" t="s">
        <v>1323</v>
      </c>
      <c r="K677" s="7">
        <v>31.893248</v>
      </c>
      <c r="L677" s="7">
        <v>-98.592798000000002</v>
      </c>
      <c r="M677" s="6" t="s">
        <v>1322</v>
      </c>
      <c r="N677" s="6" t="s">
        <v>23</v>
      </c>
      <c r="O677" s="6" t="s">
        <v>95</v>
      </c>
    </row>
    <row r="678" spans="1:15" x14ac:dyDescent="0.25">
      <c r="A678" s="6" t="s">
        <v>10227</v>
      </c>
      <c r="B678" s="6" t="s">
        <v>10226</v>
      </c>
      <c r="C678" s="6" t="s">
        <v>31</v>
      </c>
      <c r="E678" s="6" t="s">
        <v>10225</v>
      </c>
      <c r="F678" s="6" t="s">
        <v>10224</v>
      </c>
      <c r="G678" s="6" t="s">
        <v>16</v>
      </c>
      <c r="H678" s="6" t="s">
        <v>28</v>
      </c>
      <c r="I678" s="6" t="s">
        <v>73</v>
      </c>
      <c r="J678" s="6" t="s">
        <v>424</v>
      </c>
      <c r="K678" s="7">
        <v>32.799839900000002</v>
      </c>
      <c r="L678" s="7">
        <v>-95.456654200000003</v>
      </c>
      <c r="M678" s="6" t="s">
        <v>3376</v>
      </c>
      <c r="N678" s="6" t="s">
        <v>65</v>
      </c>
      <c r="O678" s="6" t="s">
        <v>65</v>
      </c>
    </row>
    <row r="679" spans="1:15" x14ac:dyDescent="0.25">
      <c r="A679" s="6" t="s">
        <v>10427</v>
      </c>
      <c r="B679" s="6" t="s">
        <v>10426</v>
      </c>
      <c r="C679" s="6" t="s">
        <v>31</v>
      </c>
      <c r="E679" s="6" t="s">
        <v>10425</v>
      </c>
      <c r="F679" s="6" t="s">
        <v>10424</v>
      </c>
      <c r="G679" s="6" t="s">
        <v>16</v>
      </c>
      <c r="H679" s="6" t="s">
        <v>15</v>
      </c>
      <c r="I679" s="6" t="s">
        <v>36</v>
      </c>
      <c r="J679" s="6" t="s">
        <v>35</v>
      </c>
      <c r="K679" s="7">
        <v>29.78446065</v>
      </c>
      <c r="L679" s="7">
        <v>-95.105022180000006</v>
      </c>
      <c r="M679" s="6" t="s">
        <v>34</v>
      </c>
      <c r="N679" s="6" t="s">
        <v>24</v>
      </c>
      <c r="O679" s="6" t="s">
        <v>23</v>
      </c>
    </row>
    <row r="680" spans="1:15" x14ac:dyDescent="0.25">
      <c r="A680" s="6" t="s">
        <v>4203</v>
      </c>
      <c r="B680" s="6" t="s">
        <v>4202</v>
      </c>
      <c r="C680" s="6" t="s">
        <v>31</v>
      </c>
      <c r="E680" s="6" t="s">
        <v>4201</v>
      </c>
      <c r="F680" s="6" t="s">
        <v>3617</v>
      </c>
      <c r="G680" s="6" t="s">
        <v>16</v>
      </c>
      <c r="H680" s="6" t="s">
        <v>28</v>
      </c>
      <c r="I680" s="6" t="s">
        <v>60</v>
      </c>
      <c r="J680" s="6" t="s">
        <v>2137</v>
      </c>
      <c r="K680" s="7">
        <v>29.685853000000002</v>
      </c>
      <c r="L680" s="7">
        <v>-97.628253000000001</v>
      </c>
      <c r="M680" s="6" t="s">
        <v>752</v>
      </c>
      <c r="N680" s="6" t="s">
        <v>559</v>
      </c>
      <c r="O680" s="6" t="s">
        <v>160</v>
      </c>
    </row>
    <row r="681" spans="1:15" x14ac:dyDescent="0.25">
      <c r="A681" s="6" t="s">
        <v>4206</v>
      </c>
      <c r="B681" s="6" t="s">
        <v>4205</v>
      </c>
      <c r="C681" s="6" t="s">
        <v>31</v>
      </c>
      <c r="E681" s="6" t="s">
        <v>4204</v>
      </c>
      <c r="F681" s="6" t="s">
        <v>3617</v>
      </c>
      <c r="G681" s="6" t="s">
        <v>16</v>
      </c>
      <c r="H681" s="6" t="s">
        <v>28</v>
      </c>
      <c r="I681" s="6" t="s">
        <v>60</v>
      </c>
      <c r="J681" s="6" t="s">
        <v>2137</v>
      </c>
      <c r="K681" s="7">
        <v>29.659465999999998</v>
      </c>
      <c r="L681" s="7">
        <v>-97.647571999999997</v>
      </c>
      <c r="M681" s="6" t="s">
        <v>2149</v>
      </c>
      <c r="N681" s="6" t="s">
        <v>559</v>
      </c>
      <c r="O681" s="6" t="s">
        <v>160</v>
      </c>
    </row>
    <row r="682" spans="1:15" x14ac:dyDescent="0.25">
      <c r="A682" s="6" t="s">
        <v>7036</v>
      </c>
      <c r="B682" s="6" t="s">
        <v>7035</v>
      </c>
      <c r="C682" s="6" t="s">
        <v>31</v>
      </c>
      <c r="E682" s="6" t="s">
        <v>7034</v>
      </c>
      <c r="F682" s="6" t="s">
        <v>7033</v>
      </c>
      <c r="G682" s="6" t="s">
        <v>16</v>
      </c>
      <c r="H682" s="6" t="s">
        <v>15</v>
      </c>
      <c r="I682" s="6" t="s">
        <v>14</v>
      </c>
      <c r="J682" s="6" t="s">
        <v>35</v>
      </c>
      <c r="K682" s="7">
        <v>29.648602</v>
      </c>
      <c r="L682" s="7">
        <v>-95.022159360000003</v>
      </c>
      <c r="M682" s="6" t="s">
        <v>5100</v>
      </c>
      <c r="N682" s="6" t="s">
        <v>160</v>
      </c>
      <c r="O682" s="6" t="s">
        <v>23</v>
      </c>
    </row>
    <row r="683" spans="1:15" x14ac:dyDescent="0.25">
      <c r="A683" s="6" t="s">
        <v>7883</v>
      </c>
      <c r="B683" s="6" t="s">
        <v>5960</v>
      </c>
      <c r="C683" s="6" t="s">
        <v>31</v>
      </c>
      <c r="E683" s="6" t="s">
        <v>5959</v>
      </c>
      <c r="F683" s="6" t="s">
        <v>736</v>
      </c>
      <c r="G683" s="6" t="s">
        <v>16</v>
      </c>
      <c r="H683" s="6" t="s">
        <v>15</v>
      </c>
      <c r="I683" s="6" t="s">
        <v>14</v>
      </c>
      <c r="J683" s="6" t="s">
        <v>471</v>
      </c>
      <c r="K683" s="7">
        <v>32.778701060000003</v>
      </c>
      <c r="L683" s="7">
        <v>-96.937504500000003</v>
      </c>
      <c r="M683" s="6" t="s">
        <v>5209</v>
      </c>
      <c r="N683" s="6" t="s">
        <v>102</v>
      </c>
      <c r="O683" s="6" t="s">
        <v>42</v>
      </c>
    </row>
    <row r="684" spans="1:15" x14ac:dyDescent="0.25">
      <c r="A684" s="6" t="s">
        <v>10228</v>
      </c>
      <c r="B684" s="6" t="s">
        <v>5960</v>
      </c>
      <c r="C684" s="6" t="s">
        <v>19</v>
      </c>
      <c r="E684" s="6" t="s">
        <v>5959</v>
      </c>
      <c r="F684" s="6" t="s">
        <v>736</v>
      </c>
      <c r="G684" s="6" t="s">
        <v>16</v>
      </c>
      <c r="H684" s="6" t="s">
        <v>15</v>
      </c>
      <c r="I684" s="6" t="s">
        <v>14</v>
      </c>
      <c r="J684" s="6" t="s">
        <v>471</v>
      </c>
      <c r="K684" s="7">
        <v>32.886082539999997</v>
      </c>
      <c r="L684" s="7">
        <v>-96.933876620000007</v>
      </c>
      <c r="M684" s="6" t="s">
        <v>7449</v>
      </c>
      <c r="N684" s="6" t="s">
        <v>102</v>
      </c>
      <c r="O684" s="6" t="s">
        <v>42</v>
      </c>
    </row>
    <row r="685" spans="1:15" x14ac:dyDescent="0.25">
      <c r="A685" s="6" t="s">
        <v>5961</v>
      </c>
      <c r="B685" s="6" t="s">
        <v>5960</v>
      </c>
      <c r="C685" s="6" t="s">
        <v>436</v>
      </c>
      <c r="E685" s="6" t="s">
        <v>5959</v>
      </c>
      <c r="F685" s="6" t="s">
        <v>736</v>
      </c>
      <c r="G685" s="6" t="s">
        <v>284</v>
      </c>
      <c r="H685" s="6" t="s">
        <v>15</v>
      </c>
      <c r="I685" s="6" t="s">
        <v>14</v>
      </c>
      <c r="J685" s="6" t="s">
        <v>471</v>
      </c>
      <c r="K685" s="7">
        <v>32.778698599999998</v>
      </c>
      <c r="L685" s="7">
        <v>-96.937499619999997</v>
      </c>
      <c r="M685" s="6" t="s">
        <v>5209</v>
      </c>
      <c r="N685" s="6" t="s">
        <v>102</v>
      </c>
      <c r="O685" s="6" t="s">
        <v>42</v>
      </c>
    </row>
    <row r="686" spans="1:15" x14ac:dyDescent="0.25">
      <c r="A686" s="6" t="s">
        <v>2308</v>
      </c>
      <c r="B686" s="6" t="s">
        <v>2307</v>
      </c>
      <c r="C686" s="6" t="s">
        <v>31</v>
      </c>
      <c r="E686" s="6" t="s">
        <v>2306</v>
      </c>
      <c r="F686" s="6" t="s">
        <v>736</v>
      </c>
      <c r="G686" s="6" t="s">
        <v>16</v>
      </c>
      <c r="H686" s="6" t="s">
        <v>15</v>
      </c>
      <c r="I686" s="6" t="s">
        <v>14</v>
      </c>
      <c r="J686" s="6" t="s">
        <v>471</v>
      </c>
      <c r="K686" s="7">
        <v>32.565197449999999</v>
      </c>
      <c r="L686" s="7">
        <v>-96.623541799999998</v>
      </c>
      <c r="M686" s="6" t="s">
        <v>103</v>
      </c>
      <c r="N686" s="6" t="s">
        <v>102</v>
      </c>
      <c r="O686" s="6" t="s">
        <v>42</v>
      </c>
    </row>
    <row r="687" spans="1:15" x14ac:dyDescent="0.25">
      <c r="A687" s="6" t="s">
        <v>4528</v>
      </c>
      <c r="B687" s="6" t="s">
        <v>4527</v>
      </c>
      <c r="C687" s="6" t="s">
        <v>31</v>
      </c>
      <c r="E687" s="6" t="s">
        <v>4526</v>
      </c>
      <c r="F687" s="6" t="s">
        <v>4525</v>
      </c>
      <c r="G687" s="6" t="s">
        <v>16</v>
      </c>
      <c r="H687" s="6" t="s">
        <v>28</v>
      </c>
      <c r="I687" s="6" t="s">
        <v>27</v>
      </c>
      <c r="J687" s="6" t="s">
        <v>318</v>
      </c>
      <c r="K687" s="7">
        <v>30.702745570000001</v>
      </c>
      <c r="L687" s="7">
        <v>-95.08443192</v>
      </c>
      <c r="M687" s="6" t="s">
        <v>317</v>
      </c>
      <c r="N687" s="6" t="s">
        <v>102</v>
      </c>
      <c r="O687" s="6" t="s">
        <v>24</v>
      </c>
    </row>
    <row r="688" spans="1:15" x14ac:dyDescent="0.25">
      <c r="A688" s="6" t="s">
        <v>1399</v>
      </c>
      <c r="B688" s="6" t="s">
        <v>1398</v>
      </c>
      <c r="C688" s="6" t="s">
        <v>31</v>
      </c>
      <c r="E688" s="6" t="s">
        <v>1397</v>
      </c>
      <c r="F688" s="6" t="s">
        <v>1393</v>
      </c>
      <c r="G688" s="6" t="s">
        <v>16</v>
      </c>
      <c r="H688" s="6" t="s">
        <v>15</v>
      </c>
      <c r="I688" s="6" t="s">
        <v>46</v>
      </c>
      <c r="J688" s="6" t="s">
        <v>35</v>
      </c>
      <c r="K688" s="7">
        <v>29.937344</v>
      </c>
      <c r="L688" s="7">
        <v>-95.620870999999994</v>
      </c>
      <c r="M688" s="6" t="s">
        <v>77</v>
      </c>
      <c r="N688" s="6" t="s">
        <v>24</v>
      </c>
      <c r="O688" s="6" t="s">
        <v>23</v>
      </c>
    </row>
    <row r="689" spans="1:15" x14ac:dyDescent="0.25">
      <c r="A689" s="6" t="s">
        <v>10596</v>
      </c>
      <c r="B689" s="6" t="s">
        <v>10595</v>
      </c>
      <c r="C689" s="6" t="s">
        <v>31</v>
      </c>
      <c r="E689" s="6" t="s">
        <v>10594</v>
      </c>
      <c r="F689" s="6" t="s">
        <v>10466</v>
      </c>
      <c r="G689" s="6" t="s">
        <v>16</v>
      </c>
      <c r="H689" s="6" t="s">
        <v>28</v>
      </c>
      <c r="I689" s="6" t="s">
        <v>27</v>
      </c>
      <c r="J689" s="6" t="s">
        <v>3523</v>
      </c>
      <c r="K689" s="7">
        <v>29.697414890000001</v>
      </c>
      <c r="L689" s="7">
        <v>-96.534923169999999</v>
      </c>
      <c r="M689" s="6" t="s">
        <v>295</v>
      </c>
      <c r="N689" s="6" t="s">
        <v>10</v>
      </c>
      <c r="O689" s="6" t="s">
        <v>23</v>
      </c>
    </row>
    <row r="690" spans="1:15" x14ac:dyDescent="0.25">
      <c r="A690" s="6" t="s">
        <v>10092</v>
      </c>
      <c r="B690" s="6" t="s">
        <v>10091</v>
      </c>
      <c r="C690" s="6" t="s">
        <v>31</v>
      </c>
      <c r="E690" s="6" t="s">
        <v>10090</v>
      </c>
      <c r="F690" s="6" t="s">
        <v>10089</v>
      </c>
      <c r="G690" s="6" t="s">
        <v>16</v>
      </c>
      <c r="H690" s="6" t="s">
        <v>15</v>
      </c>
      <c r="I690" s="6" t="s">
        <v>60</v>
      </c>
      <c r="J690" s="6" t="s">
        <v>385</v>
      </c>
      <c r="K690" s="7">
        <v>29.995778999999999</v>
      </c>
      <c r="L690" s="7">
        <v>-93.947899000000007</v>
      </c>
      <c r="M690" s="6" t="s">
        <v>429</v>
      </c>
      <c r="N690" s="6" t="s">
        <v>52</v>
      </c>
      <c r="O690" s="6" t="s">
        <v>24</v>
      </c>
    </row>
    <row r="691" spans="1:15" x14ac:dyDescent="0.25">
      <c r="A691" s="6" t="s">
        <v>9492</v>
      </c>
      <c r="B691" s="6" t="s">
        <v>9491</v>
      </c>
      <c r="C691" s="6" t="s">
        <v>31</v>
      </c>
      <c r="E691" s="6" t="s">
        <v>9490</v>
      </c>
      <c r="F691" s="6" t="s">
        <v>9489</v>
      </c>
      <c r="G691" s="6" t="s">
        <v>16</v>
      </c>
      <c r="H691" s="6" t="s">
        <v>28</v>
      </c>
      <c r="I691" s="6" t="s">
        <v>27</v>
      </c>
      <c r="J691" s="6" t="s">
        <v>9488</v>
      </c>
      <c r="K691" s="7">
        <v>31.887086969999999</v>
      </c>
      <c r="L691" s="7">
        <v>-100.49126818000001</v>
      </c>
      <c r="M691" s="6" t="s">
        <v>9487</v>
      </c>
      <c r="N691" s="6" t="s">
        <v>10</v>
      </c>
      <c r="O691" s="6" t="s">
        <v>102</v>
      </c>
    </row>
    <row r="692" spans="1:15" x14ac:dyDescent="0.25">
      <c r="A692" s="6" t="s">
        <v>7462</v>
      </c>
      <c r="B692" s="6" t="s">
        <v>7461</v>
      </c>
      <c r="C692" s="6" t="s">
        <v>31</v>
      </c>
      <c r="E692" s="6" t="s">
        <v>7460</v>
      </c>
      <c r="F692" s="6" t="s">
        <v>7459</v>
      </c>
      <c r="G692" s="6" t="s">
        <v>16</v>
      </c>
      <c r="H692" s="6" t="s">
        <v>28</v>
      </c>
      <c r="I692" s="6" t="s">
        <v>27</v>
      </c>
      <c r="J692" s="6" t="s">
        <v>456</v>
      </c>
      <c r="K692" s="7">
        <v>30.009689999999999</v>
      </c>
      <c r="L692" s="7">
        <v>-97.165711999999999</v>
      </c>
      <c r="M692" s="6" t="s">
        <v>455</v>
      </c>
      <c r="N692" s="6" t="s">
        <v>10</v>
      </c>
      <c r="O692" s="6" t="s">
        <v>160</v>
      </c>
    </row>
    <row r="693" spans="1:15" x14ac:dyDescent="0.25">
      <c r="A693" s="6" t="s">
        <v>9558</v>
      </c>
      <c r="B693" s="6" t="s">
        <v>9557</v>
      </c>
      <c r="C693" s="6" t="s">
        <v>31</v>
      </c>
      <c r="E693" s="6" t="s">
        <v>9556</v>
      </c>
      <c r="F693" s="6" t="s">
        <v>9555</v>
      </c>
      <c r="G693" s="6" t="s">
        <v>16</v>
      </c>
      <c r="H693" s="6" t="s">
        <v>28</v>
      </c>
      <c r="I693" s="6" t="s">
        <v>27</v>
      </c>
      <c r="J693" s="6" t="s">
        <v>548</v>
      </c>
      <c r="K693" s="7">
        <v>33.477358479999999</v>
      </c>
      <c r="L693" s="7">
        <v>-94.252283140000003</v>
      </c>
      <c r="M693" s="6" t="s">
        <v>8979</v>
      </c>
      <c r="N693" s="6" t="s">
        <v>43</v>
      </c>
      <c r="O693" s="6" t="s">
        <v>65</v>
      </c>
    </row>
    <row r="694" spans="1:15" x14ac:dyDescent="0.25">
      <c r="A694" s="6" t="s">
        <v>2835</v>
      </c>
      <c r="B694" s="6" t="s">
        <v>2834</v>
      </c>
      <c r="C694" s="6" t="s">
        <v>31</v>
      </c>
      <c r="E694" s="6" t="s">
        <v>2833</v>
      </c>
      <c r="F694" s="6" t="s">
        <v>2832</v>
      </c>
      <c r="G694" s="6" t="s">
        <v>16</v>
      </c>
      <c r="H694" s="6" t="s">
        <v>15</v>
      </c>
      <c r="I694" s="6" t="s">
        <v>27</v>
      </c>
      <c r="J694" s="6" t="s">
        <v>2831</v>
      </c>
      <c r="K694" s="7">
        <v>30.399054809999999</v>
      </c>
      <c r="L694" s="7">
        <v>-103.64505351</v>
      </c>
      <c r="M694" s="6" t="s">
        <v>604</v>
      </c>
      <c r="N694" s="6" t="s">
        <v>373</v>
      </c>
      <c r="O694" s="6" t="s">
        <v>52</v>
      </c>
    </row>
    <row r="695" spans="1:15" x14ac:dyDescent="0.25">
      <c r="A695" s="6" t="s">
        <v>7143</v>
      </c>
      <c r="B695" s="6" t="s">
        <v>7142</v>
      </c>
      <c r="C695" s="6" t="s">
        <v>31</v>
      </c>
      <c r="E695" s="6" t="s">
        <v>7141</v>
      </c>
      <c r="F695" s="6" t="s">
        <v>7140</v>
      </c>
      <c r="G695" s="6" t="s">
        <v>16</v>
      </c>
      <c r="H695" s="6" t="s">
        <v>15</v>
      </c>
      <c r="I695" s="6" t="s">
        <v>46</v>
      </c>
      <c r="J695" s="6" t="s">
        <v>4169</v>
      </c>
      <c r="K695" s="7">
        <v>34.16374184</v>
      </c>
      <c r="L695" s="7">
        <v>-99.268666089999996</v>
      </c>
      <c r="M695" s="6" t="s">
        <v>4168</v>
      </c>
      <c r="N695" s="6" t="s">
        <v>43</v>
      </c>
      <c r="O695" s="6" t="s">
        <v>95</v>
      </c>
    </row>
    <row r="696" spans="1:15" x14ac:dyDescent="0.25">
      <c r="A696" s="6" t="s">
        <v>8763</v>
      </c>
      <c r="B696" s="6" t="s">
        <v>8762</v>
      </c>
      <c r="C696" s="6" t="s">
        <v>31</v>
      </c>
      <c r="E696" s="6" t="s">
        <v>8761</v>
      </c>
      <c r="F696" s="6" t="s">
        <v>8760</v>
      </c>
      <c r="G696" s="6" t="s">
        <v>16</v>
      </c>
      <c r="H696" s="6" t="s">
        <v>28</v>
      </c>
      <c r="I696" s="6" t="s">
        <v>60</v>
      </c>
      <c r="J696" s="6" t="s">
        <v>13</v>
      </c>
      <c r="K696" s="7">
        <v>27.562384730000002</v>
      </c>
      <c r="L696" s="7">
        <v>-97.797043810000005</v>
      </c>
      <c r="M696" s="6" t="s">
        <v>184</v>
      </c>
      <c r="N696" s="6" t="s">
        <v>11</v>
      </c>
      <c r="O696" s="6" t="s">
        <v>10</v>
      </c>
    </row>
    <row r="697" spans="1:15" x14ac:dyDescent="0.25">
      <c r="A697" s="6" t="s">
        <v>4481</v>
      </c>
      <c r="B697" s="6" t="s">
        <v>4480</v>
      </c>
      <c r="C697" s="6" t="s">
        <v>31</v>
      </c>
      <c r="E697" s="6" t="s">
        <v>4479</v>
      </c>
      <c r="F697" s="6" t="s">
        <v>4478</v>
      </c>
      <c r="G697" s="6" t="s">
        <v>16</v>
      </c>
      <c r="H697" s="6" t="s">
        <v>28</v>
      </c>
      <c r="I697" s="6" t="s">
        <v>60</v>
      </c>
      <c r="J697" s="6" t="s">
        <v>982</v>
      </c>
      <c r="K697" s="7">
        <v>32.116992000000003</v>
      </c>
      <c r="L697" s="7">
        <v>-96.232204999999993</v>
      </c>
      <c r="M697" s="6" t="s">
        <v>1031</v>
      </c>
      <c r="N697" s="6" t="s">
        <v>102</v>
      </c>
      <c r="O697" s="6" t="s">
        <v>42</v>
      </c>
    </row>
    <row r="698" spans="1:15" x14ac:dyDescent="0.25">
      <c r="A698" s="6" t="s">
        <v>8615</v>
      </c>
      <c r="B698" s="6" t="s">
        <v>8614</v>
      </c>
      <c r="C698" s="6" t="s">
        <v>31</v>
      </c>
      <c r="E698" s="6" t="s">
        <v>8613</v>
      </c>
      <c r="F698" s="6" t="s">
        <v>8612</v>
      </c>
      <c r="G698" s="6" t="s">
        <v>16</v>
      </c>
      <c r="H698" s="6" t="s">
        <v>28</v>
      </c>
      <c r="I698" s="6" t="s">
        <v>73</v>
      </c>
      <c r="J698" s="6" t="s">
        <v>424</v>
      </c>
      <c r="K698" s="7">
        <v>32.576478999999999</v>
      </c>
      <c r="L698" s="7">
        <v>-95.201082999999997</v>
      </c>
      <c r="M698" s="6" t="s">
        <v>423</v>
      </c>
      <c r="N698" s="6" t="s">
        <v>65</v>
      </c>
      <c r="O698" s="6" t="s">
        <v>65</v>
      </c>
    </row>
    <row r="699" spans="1:15" x14ac:dyDescent="0.25">
      <c r="A699" s="6" t="s">
        <v>3229</v>
      </c>
      <c r="B699" s="6" t="s">
        <v>3228</v>
      </c>
      <c r="C699" s="6" t="s">
        <v>31</v>
      </c>
      <c r="E699" s="6" t="s">
        <v>3227</v>
      </c>
      <c r="F699" s="6" t="s">
        <v>3226</v>
      </c>
      <c r="G699" s="6" t="s">
        <v>16</v>
      </c>
      <c r="H699" s="6" t="s">
        <v>28</v>
      </c>
      <c r="I699" s="6" t="s">
        <v>27</v>
      </c>
      <c r="J699" s="6" t="s">
        <v>290</v>
      </c>
      <c r="K699" s="7">
        <v>28.704108869999999</v>
      </c>
      <c r="L699" s="7">
        <v>-96.234079289999997</v>
      </c>
      <c r="M699" s="6" t="s">
        <v>2478</v>
      </c>
      <c r="N699" s="6" t="s">
        <v>22</v>
      </c>
      <c r="O699" s="6" t="s">
        <v>23</v>
      </c>
    </row>
    <row r="700" spans="1:15" x14ac:dyDescent="0.25">
      <c r="A700" s="6" t="s">
        <v>2408</v>
      </c>
      <c r="B700" s="6" t="s">
        <v>2407</v>
      </c>
      <c r="C700" s="6" t="s">
        <v>31</v>
      </c>
      <c r="E700" s="6" t="s">
        <v>2406</v>
      </c>
      <c r="F700" s="6" t="s">
        <v>2405</v>
      </c>
      <c r="G700" s="6" t="s">
        <v>16</v>
      </c>
      <c r="H700" s="6" t="s">
        <v>28</v>
      </c>
      <c r="I700" s="6" t="s">
        <v>73</v>
      </c>
      <c r="J700" s="6" t="s">
        <v>1382</v>
      </c>
      <c r="K700" s="7">
        <v>31.382759</v>
      </c>
      <c r="L700" s="7">
        <v>-95.487932000000001</v>
      </c>
      <c r="M700" s="6" t="s">
        <v>1031</v>
      </c>
      <c r="N700" s="6" t="s">
        <v>102</v>
      </c>
      <c r="O700" s="6" t="s">
        <v>24</v>
      </c>
    </row>
    <row r="701" spans="1:15" x14ac:dyDescent="0.25">
      <c r="A701" s="6" t="s">
        <v>11736</v>
      </c>
      <c r="B701" s="6" t="s">
        <v>2407</v>
      </c>
      <c r="C701" s="6" t="s">
        <v>19</v>
      </c>
      <c r="E701" s="6" t="s">
        <v>2406</v>
      </c>
      <c r="F701" s="6" t="s">
        <v>2405</v>
      </c>
      <c r="G701" s="6" t="s">
        <v>16</v>
      </c>
      <c r="H701" s="6" t="s">
        <v>28</v>
      </c>
      <c r="I701" s="6" t="s">
        <v>73</v>
      </c>
      <c r="J701" s="6" t="s">
        <v>1382</v>
      </c>
      <c r="K701" s="7">
        <v>31.38280958</v>
      </c>
      <c r="L701" s="7">
        <v>-95.487678099999997</v>
      </c>
      <c r="M701" s="6" t="s">
        <v>1031</v>
      </c>
      <c r="N701" s="6" t="s">
        <v>102</v>
      </c>
      <c r="O701" s="6" t="s">
        <v>24</v>
      </c>
    </row>
    <row r="702" spans="1:15" x14ac:dyDescent="0.25">
      <c r="A702" s="6" t="s">
        <v>7878</v>
      </c>
      <c r="B702" s="6" t="s">
        <v>2398</v>
      </c>
      <c r="C702" s="6" t="s">
        <v>31</v>
      </c>
      <c r="E702" s="6" t="s">
        <v>2397</v>
      </c>
      <c r="F702" s="6" t="s">
        <v>2396</v>
      </c>
      <c r="G702" s="6" t="s">
        <v>16</v>
      </c>
      <c r="H702" s="6" t="s">
        <v>28</v>
      </c>
      <c r="I702" s="6" t="s">
        <v>14</v>
      </c>
      <c r="J702" s="6" t="s">
        <v>2395</v>
      </c>
      <c r="K702" s="7">
        <v>29.18655352</v>
      </c>
      <c r="L702" s="7">
        <v>-99.787239740000004</v>
      </c>
      <c r="M702" s="6" t="s">
        <v>2394</v>
      </c>
      <c r="N702" s="6" t="s">
        <v>524</v>
      </c>
      <c r="O702" s="6" t="s">
        <v>231</v>
      </c>
    </row>
    <row r="703" spans="1:15" x14ac:dyDescent="0.25">
      <c r="A703" s="6" t="s">
        <v>7877</v>
      </c>
      <c r="B703" s="6" t="s">
        <v>2398</v>
      </c>
      <c r="C703" s="6" t="s">
        <v>19</v>
      </c>
      <c r="E703" s="6" t="s">
        <v>2397</v>
      </c>
      <c r="F703" s="6" t="s">
        <v>2396</v>
      </c>
      <c r="G703" s="6" t="s">
        <v>16</v>
      </c>
      <c r="H703" s="6" t="s">
        <v>28</v>
      </c>
      <c r="I703" s="6" t="s">
        <v>14</v>
      </c>
      <c r="J703" s="6" t="s">
        <v>2395</v>
      </c>
      <c r="K703" s="7">
        <v>29.210189369999998</v>
      </c>
      <c r="L703" s="7">
        <v>-99.778684889999994</v>
      </c>
      <c r="M703" s="6" t="s">
        <v>2394</v>
      </c>
      <c r="N703" s="6" t="s">
        <v>524</v>
      </c>
      <c r="O703" s="6" t="s">
        <v>231</v>
      </c>
    </row>
    <row r="704" spans="1:15" x14ac:dyDescent="0.25">
      <c r="A704" s="6" t="s">
        <v>2399</v>
      </c>
      <c r="B704" s="6" t="s">
        <v>2398</v>
      </c>
      <c r="C704" s="6" t="s">
        <v>436</v>
      </c>
      <c r="E704" s="6" t="s">
        <v>2397</v>
      </c>
      <c r="F704" s="6" t="s">
        <v>2396</v>
      </c>
      <c r="G704" s="6" t="s">
        <v>16</v>
      </c>
      <c r="H704" s="6" t="s">
        <v>28</v>
      </c>
      <c r="I704" s="6" t="s">
        <v>14</v>
      </c>
      <c r="J704" s="6" t="s">
        <v>2395</v>
      </c>
      <c r="K704" s="7">
        <v>29.179740550000002</v>
      </c>
      <c r="L704" s="7">
        <v>-99.789884009999994</v>
      </c>
      <c r="M704" s="6" t="s">
        <v>2394</v>
      </c>
      <c r="N704" s="6" t="s">
        <v>524</v>
      </c>
      <c r="O704" s="6" t="s">
        <v>231</v>
      </c>
    </row>
    <row r="705" spans="1:15" x14ac:dyDescent="0.25">
      <c r="A705" s="6" t="s">
        <v>9095</v>
      </c>
      <c r="B705" s="6" t="s">
        <v>9094</v>
      </c>
      <c r="C705" s="6" t="s">
        <v>31</v>
      </c>
      <c r="E705" s="6" t="s">
        <v>9093</v>
      </c>
      <c r="F705" s="6" t="s">
        <v>9092</v>
      </c>
      <c r="G705" s="6" t="s">
        <v>16</v>
      </c>
      <c r="H705" s="6" t="s">
        <v>15</v>
      </c>
      <c r="I705" s="6" t="s">
        <v>14</v>
      </c>
      <c r="J705" s="6" t="s">
        <v>1451</v>
      </c>
      <c r="K705" s="7">
        <v>31.999995909999999</v>
      </c>
      <c r="L705" s="7">
        <v>-97.143847210000004</v>
      </c>
      <c r="M705" s="6" t="s">
        <v>9091</v>
      </c>
      <c r="N705" s="6" t="s">
        <v>23</v>
      </c>
      <c r="O705" s="6" t="s">
        <v>120</v>
      </c>
    </row>
    <row r="706" spans="1:15" x14ac:dyDescent="0.25">
      <c r="A706" s="6" t="s">
        <v>1712</v>
      </c>
      <c r="B706" s="6" t="s">
        <v>1711</v>
      </c>
      <c r="C706" s="6" t="s">
        <v>436</v>
      </c>
      <c r="E706" s="6" t="s">
        <v>1710</v>
      </c>
      <c r="F706" s="6" t="s">
        <v>1709</v>
      </c>
      <c r="G706" s="6" t="s">
        <v>16</v>
      </c>
      <c r="H706" s="6" t="s">
        <v>15</v>
      </c>
      <c r="I706" s="6" t="s">
        <v>46</v>
      </c>
      <c r="J706" s="6" t="s">
        <v>904</v>
      </c>
      <c r="K706" s="7">
        <v>32.88276501</v>
      </c>
      <c r="L706" s="7">
        <v>-97.565162349999994</v>
      </c>
      <c r="M706" s="6" t="s">
        <v>267</v>
      </c>
      <c r="N706" s="6" t="s">
        <v>102</v>
      </c>
      <c r="O706" s="6" t="s">
        <v>42</v>
      </c>
    </row>
    <row r="707" spans="1:15" x14ac:dyDescent="0.25">
      <c r="A707" s="6" t="s">
        <v>12001</v>
      </c>
      <c r="B707" s="6" t="s">
        <v>1711</v>
      </c>
      <c r="C707" s="6" t="s">
        <v>597</v>
      </c>
      <c r="E707" s="6" t="s">
        <v>1710</v>
      </c>
      <c r="F707" s="6" t="s">
        <v>1709</v>
      </c>
      <c r="G707" s="6" t="s">
        <v>16</v>
      </c>
      <c r="H707" s="6" t="s">
        <v>15</v>
      </c>
      <c r="I707" s="6" t="s">
        <v>46</v>
      </c>
      <c r="J707" s="6" t="s">
        <v>268</v>
      </c>
      <c r="K707" s="7">
        <v>32.887425290000003</v>
      </c>
      <c r="L707" s="7">
        <v>-97.533796120000005</v>
      </c>
      <c r="M707" s="6" t="s">
        <v>267</v>
      </c>
      <c r="N707" s="6" t="s">
        <v>102</v>
      </c>
      <c r="O707" s="6" t="s">
        <v>42</v>
      </c>
    </row>
    <row r="708" spans="1:15" x14ac:dyDescent="0.25">
      <c r="A708" s="6" t="s">
        <v>9880</v>
      </c>
      <c r="B708" s="6" t="s">
        <v>9879</v>
      </c>
      <c r="C708" s="6" t="s">
        <v>31</v>
      </c>
      <c r="E708" s="6" t="s">
        <v>9878</v>
      </c>
      <c r="F708" s="6" t="s">
        <v>9877</v>
      </c>
      <c r="G708" s="6" t="s">
        <v>16</v>
      </c>
      <c r="H708" s="6" t="s">
        <v>28</v>
      </c>
      <c r="I708" s="6" t="s">
        <v>27</v>
      </c>
      <c r="J708" s="6" t="s">
        <v>3176</v>
      </c>
      <c r="K708" s="7">
        <v>32.881421000000003</v>
      </c>
      <c r="L708" s="7">
        <v>-100.121557</v>
      </c>
      <c r="M708" s="6" t="s">
        <v>5278</v>
      </c>
      <c r="N708" s="6" t="s">
        <v>23</v>
      </c>
      <c r="O708" s="6" t="s">
        <v>95</v>
      </c>
    </row>
    <row r="709" spans="1:15" x14ac:dyDescent="0.25">
      <c r="A709" s="6" t="s">
        <v>3212</v>
      </c>
      <c r="B709" s="6" t="s">
        <v>3211</v>
      </c>
      <c r="C709" s="6" t="s">
        <v>31</v>
      </c>
      <c r="E709" s="6" t="s">
        <v>3210</v>
      </c>
      <c r="F709" s="6" t="s">
        <v>3209</v>
      </c>
      <c r="G709" s="6" t="s">
        <v>16</v>
      </c>
      <c r="H709" s="6" t="s">
        <v>28</v>
      </c>
      <c r="I709" s="6" t="s">
        <v>60</v>
      </c>
      <c r="J709" s="6" t="s">
        <v>84</v>
      </c>
      <c r="K709" s="7">
        <v>28.68236727</v>
      </c>
      <c r="L709" s="7">
        <v>-96.562242949999998</v>
      </c>
      <c r="M709" s="6" t="s">
        <v>1272</v>
      </c>
      <c r="N709" s="6" t="s">
        <v>22</v>
      </c>
      <c r="O709" s="6" t="s">
        <v>10</v>
      </c>
    </row>
    <row r="710" spans="1:15" x14ac:dyDescent="0.25">
      <c r="A710" s="6" t="s">
        <v>2704</v>
      </c>
      <c r="B710" s="6" t="s">
        <v>2703</v>
      </c>
      <c r="C710" s="6" t="s">
        <v>31</v>
      </c>
      <c r="E710" s="6" t="s">
        <v>2702</v>
      </c>
      <c r="F710" s="6" t="s">
        <v>2701</v>
      </c>
      <c r="G710" s="6" t="s">
        <v>16</v>
      </c>
      <c r="H710" s="6" t="s">
        <v>28</v>
      </c>
      <c r="I710" s="6" t="s">
        <v>73</v>
      </c>
      <c r="J710" s="6" t="s">
        <v>2340</v>
      </c>
      <c r="K710" s="7">
        <v>30.531072999999999</v>
      </c>
      <c r="L710" s="7">
        <v>-96.682731000000004</v>
      </c>
      <c r="M710" s="6" t="s">
        <v>2339</v>
      </c>
      <c r="N710" s="6" t="s">
        <v>23</v>
      </c>
      <c r="O710" s="6" t="s">
        <v>120</v>
      </c>
    </row>
    <row r="711" spans="1:15" x14ac:dyDescent="0.25">
      <c r="A711" s="6" t="s">
        <v>10439</v>
      </c>
      <c r="B711" s="6" t="s">
        <v>10438</v>
      </c>
      <c r="C711" s="6" t="s">
        <v>31</v>
      </c>
      <c r="E711" s="6" t="s">
        <v>10437</v>
      </c>
      <c r="F711" s="6" t="s">
        <v>10436</v>
      </c>
      <c r="G711" s="6" t="s">
        <v>16</v>
      </c>
      <c r="H711" s="6" t="s">
        <v>28</v>
      </c>
      <c r="I711" s="6" t="s">
        <v>36</v>
      </c>
      <c r="J711" s="6" t="s">
        <v>296</v>
      </c>
      <c r="K711" s="7">
        <v>29.701145929999999</v>
      </c>
      <c r="L711" s="7">
        <v>-97.104053960000002</v>
      </c>
      <c r="M711" s="6" t="s">
        <v>1739</v>
      </c>
      <c r="N711" s="6" t="s">
        <v>559</v>
      </c>
      <c r="O711" s="6" t="s">
        <v>160</v>
      </c>
    </row>
    <row r="712" spans="1:15" x14ac:dyDescent="0.25">
      <c r="A712" s="6" t="s">
        <v>5667</v>
      </c>
      <c r="B712" s="6" t="s">
        <v>5666</v>
      </c>
      <c r="C712" s="6" t="s">
        <v>31</v>
      </c>
      <c r="E712" s="6" t="s">
        <v>5665</v>
      </c>
      <c r="F712" s="6" t="s">
        <v>5664</v>
      </c>
      <c r="G712" s="6" t="s">
        <v>16</v>
      </c>
      <c r="H712" s="6" t="s">
        <v>28</v>
      </c>
      <c r="I712" s="6" t="s">
        <v>73</v>
      </c>
      <c r="J712" s="6" t="s">
        <v>4894</v>
      </c>
      <c r="K712" s="7">
        <v>30.55108079</v>
      </c>
      <c r="L712" s="7">
        <v>-100.652564</v>
      </c>
      <c r="M712" s="6" t="s">
        <v>4893</v>
      </c>
      <c r="N712" s="6" t="s">
        <v>373</v>
      </c>
      <c r="O712" s="6" t="s">
        <v>102</v>
      </c>
    </row>
    <row r="713" spans="1:15" x14ac:dyDescent="0.25">
      <c r="A713" s="6" t="s">
        <v>11848</v>
      </c>
      <c r="B713" s="6" t="s">
        <v>11847</v>
      </c>
      <c r="C713" s="6" t="s">
        <v>31</v>
      </c>
      <c r="E713" s="6" t="s">
        <v>11846</v>
      </c>
      <c r="F713" s="6" t="s">
        <v>11845</v>
      </c>
      <c r="G713" s="6" t="s">
        <v>16</v>
      </c>
      <c r="H713" s="6" t="s">
        <v>28</v>
      </c>
      <c r="I713" s="6" t="s">
        <v>60</v>
      </c>
      <c r="J713" s="6" t="s">
        <v>6105</v>
      </c>
      <c r="K713" s="7">
        <v>32.772207000000002</v>
      </c>
      <c r="L713" s="7">
        <v>-98.896428999999998</v>
      </c>
      <c r="M713" s="6" t="s">
        <v>5278</v>
      </c>
      <c r="N713" s="6" t="s">
        <v>23</v>
      </c>
      <c r="O713" s="6" t="s">
        <v>95</v>
      </c>
    </row>
    <row r="714" spans="1:15" x14ac:dyDescent="0.25">
      <c r="A714" s="6" t="s">
        <v>3907</v>
      </c>
      <c r="B714" s="6" t="s">
        <v>3906</v>
      </c>
      <c r="C714" s="6" t="s">
        <v>31</v>
      </c>
      <c r="E714" s="6" t="s">
        <v>3905</v>
      </c>
      <c r="F714" s="6" t="s">
        <v>3904</v>
      </c>
      <c r="G714" s="6" t="s">
        <v>16</v>
      </c>
      <c r="H714" s="6" t="s">
        <v>15</v>
      </c>
      <c r="I714" s="6" t="s">
        <v>14</v>
      </c>
      <c r="J714" s="6" t="s">
        <v>35</v>
      </c>
      <c r="K714" s="7">
        <v>29.902423070000001</v>
      </c>
      <c r="L714" s="7">
        <v>-95.084685780000001</v>
      </c>
      <c r="M714" s="6" t="s">
        <v>716</v>
      </c>
      <c r="N714" s="6" t="s">
        <v>24</v>
      </c>
      <c r="O714" s="6" t="s">
        <v>23</v>
      </c>
    </row>
    <row r="715" spans="1:15" x14ac:dyDescent="0.25">
      <c r="A715" s="6" t="s">
        <v>1661</v>
      </c>
      <c r="B715" s="6" t="s">
        <v>1660</v>
      </c>
      <c r="C715" s="6" t="s">
        <v>31</v>
      </c>
      <c r="E715" s="6" t="s">
        <v>1659</v>
      </c>
      <c r="F715" s="6" t="s">
        <v>1658</v>
      </c>
      <c r="G715" s="6" t="s">
        <v>16</v>
      </c>
      <c r="H715" s="6" t="s">
        <v>28</v>
      </c>
      <c r="I715" s="6" t="s">
        <v>73</v>
      </c>
      <c r="J715" s="6" t="s">
        <v>239</v>
      </c>
      <c r="K715" s="7">
        <v>33.331986999999998</v>
      </c>
      <c r="L715" s="7">
        <v>-96.794042000000005</v>
      </c>
      <c r="M715" s="6" t="s">
        <v>167</v>
      </c>
      <c r="N715" s="6" t="s">
        <v>102</v>
      </c>
      <c r="O715" s="6" t="s">
        <v>42</v>
      </c>
    </row>
    <row r="716" spans="1:15" x14ac:dyDescent="0.25">
      <c r="A716" s="6" t="s">
        <v>9817</v>
      </c>
      <c r="B716" s="6" t="s">
        <v>9816</v>
      </c>
      <c r="C716" s="6" t="s">
        <v>31</v>
      </c>
      <c r="E716" s="6" t="s">
        <v>9815</v>
      </c>
      <c r="F716" s="6" t="s">
        <v>9814</v>
      </c>
      <c r="G716" s="6" t="s">
        <v>16</v>
      </c>
      <c r="H716" s="6" t="s">
        <v>28</v>
      </c>
      <c r="I716" s="6" t="s">
        <v>36</v>
      </c>
      <c r="J716" s="6" t="s">
        <v>45</v>
      </c>
      <c r="K716" s="7">
        <v>33.60645238</v>
      </c>
      <c r="L716" s="7">
        <v>-96.368173240000004</v>
      </c>
      <c r="M716" s="6" t="s">
        <v>44</v>
      </c>
      <c r="N716" s="6" t="s">
        <v>43</v>
      </c>
      <c r="O716" s="6" t="s">
        <v>42</v>
      </c>
    </row>
    <row r="717" spans="1:15" x14ac:dyDescent="0.25">
      <c r="A717" s="6" t="s">
        <v>10431</v>
      </c>
      <c r="B717" s="6" t="s">
        <v>10430</v>
      </c>
      <c r="C717" s="6" t="s">
        <v>31</v>
      </c>
      <c r="E717" s="6" t="s">
        <v>10429</v>
      </c>
      <c r="F717" s="6" t="s">
        <v>10428</v>
      </c>
      <c r="G717" s="6" t="s">
        <v>16</v>
      </c>
      <c r="H717" s="6" t="s">
        <v>15</v>
      </c>
      <c r="I717" s="6" t="s">
        <v>36</v>
      </c>
      <c r="J717" s="6" t="s">
        <v>35</v>
      </c>
      <c r="K717" s="7">
        <v>29.811605</v>
      </c>
      <c r="L717" s="7">
        <v>-95.066224000000005</v>
      </c>
      <c r="M717" s="6" t="s">
        <v>716</v>
      </c>
      <c r="N717" s="6" t="s">
        <v>24</v>
      </c>
      <c r="O717" s="6" t="s">
        <v>23</v>
      </c>
    </row>
    <row r="718" spans="1:15" x14ac:dyDescent="0.25">
      <c r="A718" s="6" t="s">
        <v>7366</v>
      </c>
      <c r="B718" s="6" t="s">
        <v>7365</v>
      </c>
      <c r="C718" s="6" t="s">
        <v>31</v>
      </c>
      <c r="E718" s="6" t="s">
        <v>7364</v>
      </c>
      <c r="F718" s="6" t="s">
        <v>7363</v>
      </c>
      <c r="G718" s="6" t="s">
        <v>16</v>
      </c>
      <c r="H718" s="6" t="s">
        <v>28</v>
      </c>
      <c r="I718" s="6" t="s">
        <v>27</v>
      </c>
      <c r="J718" s="6" t="s">
        <v>3523</v>
      </c>
      <c r="K718" s="7">
        <v>29.446321569999999</v>
      </c>
      <c r="L718" s="7">
        <v>-96.391648939999996</v>
      </c>
      <c r="M718" s="6" t="s">
        <v>295</v>
      </c>
      <c r="N718" s="6" t="s">
        <v>10</v>
      </c>
      <c r="O718" s="6" t="s">
        <v>23</v>
      </c>
    </row>
    <row r="719" spans="1:15" x14ac:dyDescent="0.25">
      <c r="A719" s="6" t="s">
        <v>166</v>
      </c>
      <c r="B719" s="6" t="s">
        <v>165</v>
      </c>
      <c r="C719" s="6" t="s">
        <v>31</v>
      </c>
      <c r="E719" s="6" t="s">
        <v>164</v>
      </c>
      <c r="F719" s="6" t="s">
        <v>163</v>
      </c>
      <c r="G719" s="6" t="s">
        <v>16</v>
      </c>
      <c r="H719" s="6" t="s">
        <v>28</v>
      </c>
      <c r="I719" s="6" t="s">
        <v>60</v>
      </c>
      <c r="J719" s="6" t="s">
        <v>162</v>
      </c>
      <c r="K719" s="7">
        <v>29.327072999999999</v>
      </c>
      <c r="L719" s="7">
        <v>-95.290728999999999</v>
      </c>
      <c r="M719" s="6" t="s">
        <v>161</v>
      </c>
      <c r="N719" s="6" t="s">
        <v>160</v>
      </c>
      <c r="O719" s="6" t="s">
        <v>23</v>
      </c>
    </row>
    <row r="720" spans="1:15" x14ac:dyDescent="0.25">
      <c r="A720" s="6" t="s">
        <v>7992</v>
      </c>
      <c r="B720" s="6" t="s">
        <v>7991</v>
      </c>
      <c r="C720" s="6" t="s">
        <v>31</v>
      </c>
      <c r="E720" s="6" t="s">
        <v>7990</v>
      </c>
      <c r="F720" s="6" t="s">
        <v>7989</v>
      </c>
      <c r="G720" s="6" t="s">
        <v>16</v>
      </c>
      <c r="H720" s="6" t="s">
        <v>28</v>
      </c>
      <c r="I720" s="6" t="s">
        <v>73</v>
      </c>
      <c r="J720" s="6" t="s">
        <v>1464</v>
      </c>
      <c r="K720" s="7">
        <v>27.754895999999999</v>
      </c>
      <c r="L720" s="7">
        <v>-98.234072999999995</v>
      </c>
      <c r="M720" s="6" t="s">
        <v>184</v>
      </c>
      <c r="N720" s="6" t="s">
        <v>11</v>
      </c>
      <c r="O720" s="6" t="s">
        <v>10</v>
      </c>
    </row>
    <row r="721" spans="1:15" x14ac:dyDescent="0.25">
      <c r="A721" s="6" t="s">
        <v>9078</v>
      </c>
      <c r="B721" s="6" t="s">
        <v>9077</v>
      </c>
      <c r="C721" s="6" t="s">
        <v>31</v>
      </c>
      <c r="E721" s="6" t="s">
        <v>9076</v>
      </c>
      <c r="F721" s="6" t="s">
        <v>9075</v>
      </c>
      <c r="G721" s="6" t="s">
        <v>16</v>
      </c>
      <c r="H721" s="6" t="s">
        <v>28</v>
      </c>
      <c r="I721" s="6" t="s">
        <v>27</v>
      </c>
      <c r="J721" s="6" t="s">
        <v>9074</v>
      </c>
      <c r="K721" s="7">
        <v>33.976669000000001</v>
      </c>
      <c r="L721" s="7">
        <v>-99.717443000000003</v>
      </c>
      <c r="M721" s="6" t="s">
        <v>208</v>
      </c>
      <c r="N721" s="6" t="s">
        <v>43</v>
      </c>
      <c r="O721" s="6" t="s">
        <v>95</v>
      </c>
    </row>
    <row r="722" spans="1:15" x14ac:dyDescent="0.25">
      <c r="A722" s="6" t="s">
        <v>197</v>
      </c>
      <c r="B722" s="6" t="s">
        <v>196</v>
      </c>
      <c r="C722" s="6" t="s">
        <v>31</v>
      </c>
      <c r="E722" s="6" t="s">
        <v>195</v>
      </c>
      <c r="F722" s="6" t="s">
        <v>194</v>
      </c>
      <c r="G722" s="6" t="s">
        <v>16</v>
      </c>
      <c r="H722" s="6" t="s">
        <v>28</v>
      </c>
      <c r="I722" s="6" t="s">
        <v>60</v>
      </c>
      <c r="J722" s="6" t="s">
        <v>104</v>
      </c>
      <c r="K722" s="7">
        <v>32.428705710000003</v>
      </c>
      <c r="L722" s="7">
        <v>-96.236532240000003</v>
      </c>
      <c r="M722" s="6" t="s">
        <v>193</v>
      </c>
      <c r="N722" s="6" t="s">
        <v>102</v>
      </c>
      <c r="O722" s="6" t="s">
        <v>42</v>
      </c>
    </row>
    <row r="723" spans="1:15" x14ac:dyDescent="0.25">
      <c r="A723" s="6" t="s">
        <v>192</v>
      </c>
      <c r="B723" s="6" t="s">
        <v>191</v>
      </c>
      <c r="C723" s="6" t="s">
        <v>31</v>
      </c>
      <c r="E723" s="6" t="s">
        <v>190</v>
      </c>
      <c r="F723" s="6" t="s">
        <v>186</v>
      </c>
      <c r="G723" s="6" t="s">
        <v>16</v>
      </c>
      <c r="H723" s="6" t="s">
        <v>15</v>
      </c>
      <c r="I723" s="6" t="s">
        <v>46</v>
      </c>
      <c r="J723" s="6" t="s">
        <v>185</v>
      </c>
      <c r="K723" s="7">
        <v>27.515024919999998</v>
      </c>
      <c r="L723" s="7">
        <v>-97.833837849999995</v>
      </c>
      <c r="M723" s="6" t="s">
        <v>184</v>
      </c>
      <c r="N723" s="6" t="s">
        <v>11</v>
      </c>
      <c r="O723" s="6" t="s">
        <v>10</v>
      </c>
    </row>
    <row r="724" spans="1:15" x14ac:dyDescent="0.25">
      <c r="A724" s="6" t="s">
        <v>3861</v>
      </c>
      <c r="B724" s="6" t="s">
        <v>3860</v>
      </c>
      <c r="C724" s="6" t="s">
        <v>31</v>
      </c>
      <c r="E724" s="6" t="s">
        <v>3859</v>
      </c>
      <c r="F724" s="6" t="s">
        <v>3858</v>
      </c>
      <c r="G724" s="6" t="s">
        <v>16</v>
      </c>
      <c r="H724" s="6" t="s">
        <v>28</v>
      </c>
      <c r="I724" s="6" t="s">
        <v>799</v>
      </c>
      <c r="J724" s="6" t="s">
        <v>3459</v>
      </c>
      <c r="K724" s="7">
        <v>31.157328</v>
      </c>
      <c r="L724" s="7">
        <v>-96.673466000000005</v>
      </c>
      <c r="M724" s="6" t="s">
        <v>121</v>
      </c>
      <c r="N724" s="6" t="s">
        <v>23</v>
      </c>
      <c r="O724" s="6" t="s">
        <v>120</v>
      </c>
    </row>
    <row r="725" spans="1:15" x14ac:dyDescent="0.25">
      <c r="A725" s="6" t="s">
        <v>11006</v>
      </c>
      <c r="B725" s="6" t="s">
        <v>11005</v>
      </c>
      <c r="C725" s="6" t="s">
        <v>31</v>
      </c>
      <c r="E725" s="6" t="s">
        <v>11004</v>
      </c>
      <c r="F725" s="6" t="s">
        <v>11003</v>
      </c>
      <c r="G725" s="6" t="s">
        <v>16</v>
      </c>
      <c r="H725" s="6" t="s">
        <v>28</v>
      </c>
      <c r="I725" s="6" t="s">
        <v>27</v>
      </c>
      <c r="J725" s="6" t="s">
        <v>1240</v>
      </c>
      <c r="K725" s="7">
        <v>28.776993999999998</v>
      </c>
      <c r="L725" s="7">
        <v>-97.071308999999999</v>
      </c>
      <c r="M725" s="6" t="s">
        <v>1739</v>
      </c>
      <c r="N725" s="6" t="s">
        <v>559</v>
      </c>
      <c r="O725" s="6" t="s">
        <v>10</v>
      </c>
    </row>
    <row r="726" spans="1:15" x14ac:dyDescent="0.25">
      <c r="A726" s="6" t="s">
        <v>3375</v>
      </c>
      <c r="B726" s="6" t="s">
        <v>3374</v>
      </c>
      <c r="C726" s="6" t="s">
        <v>31</v>
      </c>
      <c r="E726" s="6" t="s">
        <v>3373</v>
      </c>
      <c r="F726" s="6" t="s">
        <v>3372</v>
      </c>
      <c r="G726" s="6" t="s">
        <v>16</v>
      </c>
      <c r="H726" s="6" t="s">
        <v>28</v>
      </c>
      <c r="I726" s="6" t="s">
        <v>27</v>
      </c>
      <c r="J726" s="6" t="s">
        <v>35</v>
      </c>
      <c r="K726" s="7">
        <v>29.910003540000002</v>
      </c>
      <c r="L726" s="7">
        <v>-95.446082469999993</v>
      </c>
      <c r="M726" s="6" t="s">
        <v>34</v>
      </c>
      <c r="N726" s="6" t="s">
        <v>24</v>
      </c>
      <c r="O726" s="6" t="s">
        <v>23</v>
      </c>
    </row>
    <row r="727" spans="1:15" x14ac:dyDescent="0.25">
      <c r="A727" s="6" t="s">
        <v>7121</v>
      </c>
      <c r="B727" s="6" t="s">
        <v>7120</v>
      </c>
      <c r="C727" s="6" t="s">
        <v>31</v>
      </c>
      <c r="E727" s="6" t="s">
        <v>7119</v>
      </c>
      <c r="F727" s="6" t="s">
        <v>7118</v>
      </c>
      <c r="G727" s="6" t="s">
        <v>16</v>
      </c>
      <c r="H727" s="6" t="s">
        <v>28</v>
      </c>
      <c r="I727" s="6" t="s">
        <v>60</v>
      </c>
      <c r="J727" s="6" t="s">
        <v>461</v>
      </c>
      <c r="K727" s="7">
        <v>33.348644720000003</v>
      </c>
      <c r="L727" s="7">
        <v>-96.075835589999997</v>
      </c>
      <c r="M727" s="6" t="s">
        <v>5642</v>
      </c>
      <c r="N727" s="6" t="s">
        <v>95</v>
      </c>
      <c r="O727" s="6" t="s">
        <v>42</v>
      </c>
    </row>
    <row r="728" spans="1:15" x14ac:dyDescent="0.25">
      <c r="A728" s="6" t="s">
        <v>8544</v>
      </c>
      <c r="B728" s="6" t="s">
        <v>8543</v>
      </c>
      <c r="C728" s="6" t="s">
        <v>31</v>
      </c>
      <c r="E728" s="6" t="s">
        <v>8542</v>
      </c>
      <c r="F728" s="6" t="s">
        <v>8541</v>
      </c>
      <c r="G728" s="6" t="s">
        <v>16</v>
      </c>
      <c r="H728" s="6" t="s">
        <v>28</v>
      </c>
      <c r="I728" s="6" t="s">
        <v>73</v>
      </c>
      <c r="J728" s="6" t="s">
        <v>2101</v>
      </c>
      <c r="K728" s="7">
        <v>33.683994009999999</v>
      </c>
      <c r="L728" s="7">
        <v>-96.90177731</v>
      </c>
      <c r="M728" s="6" t="s">
        <v>2906</v>
      </c>
      <c r="N728" s="6" t="s">
        <v>43</v>
      </c>
      <c r="O728" s="6" t="s">
        <v>42</v>
      </c>
    </row>
    <row r="729" spans="1:15" x14ac:dyDescent="0.25">
      <c r="A729" s="6" t="s">
        <v>2645</v>
      </c>
      <c r="B729" s="6" t="s">
        <v>2644</v>
      </c>
      <c r="C729" s="6" t="s">
        <v>31</v>
      </c>
      <c r="E729" s="6" t="s">
        <v>2643</v>
      </c>
      <c r="F729" s="6" t="s">
        <v>2642</v>
      </c>
      <c r="G729" s="6" t="s">
        <v>16</v>
      </c>
      <c r="H729" s="6" t="s">
        <v>28</v>
      </c>
      <c r="I729" s="6" t="s">
        <v>73</v>
      </c>
      <c r="J729" s="6" t="s">
        <v>2287</v>
      </c>
      <c r="K729" s="7">
        <v>30.658598999999999</v>
      </c>
      <c r="L729" s="7">
        <v>-93.883437999999998</v>
      </c>
      <c r="M729" s="6" t="s">
        <v>2641</v>
      </c>
      <c r="N729" s="6" t="s">
        <v>65</v>
      </c>
      <c r="O729" s="6" t="s">
        <v>24</v>
      </c>
    </row>
    <row r="730" spans="1:15" x14ac:dyDescent="0.25">
      <c r="A730" s="6" t="s">
        <v>5387</v>
      </c>
      <c r="B730" s="6" t="s">
        <v>5386</v>
      </c>
      <c r="C730" s="6" t="s">
        <v>31</v>
      </c>
      <c r="E730" s="6" t="s">
        <v>5385</v>
      </c>
      <c r="F730" s="6" t="s">
        <v>5384</v>
      </c>
      <c r="G730" s="6" t="s">
        <v>16</v>
      </c>
      <c r="H730" s="6" t="s">
        <v>28</v>
      </c>
      <c r="I730" s="6" t="s">
        <v>73</v>
      </c>
      <c r="J730" s="6" t="s">
        <v>2526</v>
      </c>
      <c r="K730" s="7">
        <v>36.251426129999999</v>
      </c>
      <c r="L730" s="7">
        <v>-101.3952465</v>
      </c>
      <c r="M730" s="6" t="s">
        <v>1404</v>
      </c>
      <c r="N730" s="6" t="s">
        <v>535</v>
      </c>
      <c r="O730" s="6" t="s">
        <v>535</v>
      </c>
    </row>
    <row r="731" spans="1:15" x14ac:dyDescent="0.25">
      <c r="A731" s="6" t="s">
        <v>5287</v>
      </c>
      <c r="B731" s="6" t="s">
        <v>5286</v>
      </c>
      <c r="C731" s="6" t="s">
        <v>31</v>
      </c>
      <c r="E731" s="6" t="s">
        <v>5285</v>
      </c>
      <c r="F731" s="6" t="s">
        <v>5284</v>
      </c>
      <c r="G731" s="6" t="s">
        <v>16</v>
      </c>
      <c r="H731" s="6" t="s">
        <v>28</v>
      </c>
      <c r="I731" s="6" t="s">
        <v>1200</v>
      </c>
      <c r="J731" s="6" t="s">
        <v>35</v>
      </c>
      <c r="K731" s="7">
        <v>30.034382000000001</v>
      </c>
      <c r="L731" s="7">
        <v>-95.403363999999996</v>
      </c>
      <c r="M731" s="6" t="s">
        <v>279</v>
      </c>
      <c r="N731" s="6" t="s">
        <v>24</v>
      </c>
      <c r="O731" s="6" t="s">
        <v>23</v>
      </c>
    </row>
    <row r="732" spans="1:15" x14ac:dyDescent="0.25">
      <c r="A732" s="6" t="s">
        <v>8641</v>
      </c>
      <c r="B732" s="6" t="s">
        <v>8640</v>
      </c>
      <c r="C732" s="6" t="s">
        <v>31</v>
      </c>
      <c r="E732" s="6" t="s">
        <v>8639</v>
      </c>
      <c r="F732" s="6" t="s">
        <v>91</v>
      </c>
      <c r="G732" s="6" t="s">
        <v>16</v>
      </c>
      <c r="H732" s="6" t="s">
        <v>15</v>
      </c>
      <c r="I732" s="6" t="s">
        <v>14</v>
      </c>
      <c r="J732" s="6" t="s">
        <v>90</v>
      </c>
      <c r="K732" s="7">
        <v>26.138057020000002</v>
      </c>
      <c r="L732" s="7">
        <v>-97.175000010000005</v>
      </c>
      <c r="M732" s="6" t="s">
        <v>89</v>
      </c>
      <c r="N732" s="6" t="s">
        <v>11</v>
      </c>
      <c r="O732" s="6" t="s">
        <v>22</v>
      </c>
    </row>
    <row r="733" spans="1:15" x14ac:dyDescent="0.25">
      <c r="A733" s="6" t="s">
        <v>5383</v>
      </c>
      <c r="B733" s="6" t="s">
        <v>5382</v>
      </c>
      <c r="C733" s="6" t="s">
        <v>31</v>
      </c>
      <c r="E733" s="6" t="s">
        <v>5381</v>
      </c>
      <c r="F733" s="6" t="s">
        <v>91</v>
      </c>
      <c r="G733" s="6" t="s">
        <v>16</v>
      </c>
      <c r="H733" s="6" t="s">
        <v>15</v>
      </c>
      <c r="I733" s="6" t="s">
        <v>46</v>
      </c>
      <c r="J733" s="6" t="s">
        <v>90</v>
      </c>
      <c r="K733" s="7">
        <v>26.07227602</v>
      </c>
      <c r="L733" s="7">
        <v>-97.164713250000005</v>
      </c>
      <c r="M733" s="6" t="s">
        <v>89</v>
      </c>
      <c r="N733" s="6" t="s">
        <v>11</v>
      </c>
      <c r="O733" s="6" t="s">
        <v>22</v>
      </c>
    </row>
    <row r="734" spans="1:15" x14ac:dyDescent="0.25">
      <c r="A734" s="6" t="s">
        <v>7546</v>
      </c>
      <c r="B734" s="6" t="s">
        <v>7545</v>
      </c>
      <c r="C734" s="6" t="s">
        <v>31</v>
      </c>
      <c r="E734" s="6" t="s">
        <v>7544</v>
      </c>
      <c r="F734" s="6" t="s">
        <v>91</v>
      </c>
      <c r="G734" s="6" t="s">
        <v>16</v>
      </c>
      <c r="H734" s="6" t="s">
        <v>15</v>
      </c>
      <c r="I734" s="6" t="s">
        <v>46</v>
      </c>
      <c r="J734" s="6" t="s">
        <v>90</v>
      </c>
      <c r="K734" s="7">
        <v>26.053168670000002</v>
      </c>
      <c r="L734" s="7">
        <v>-97.21114</v>
      </c>
      <c r="M734" s="6" t="s">
        <v>89</v>
      </c>
      <c r="N734" s="6" t="s">
        <v>11</v>
      </c>
      <c r="O734" s="6" t="s">
        <v>22</v>
      </c>
    </row>
    <row r="735" spans="1:15" x14ac:dyDescent="0.25">
      <c r="A735" s="6" t="s">
        <v>7302</v>
      </c>
      <c r="B735" s="6" t="s">
        <v>7301</v>
      </c>
      <c r="C735" s="6" t="s">
        <v>31</v>
      </c>
      <c r="E735" s="6" t="s">
        <v>7300</v>
      </c>
      <c r="F735" s="6" t="s">
        <v>7299</v>
      </c>
      <c r="G735" s="6" t="s">
        <v>16</v>
      </c>
      <c r="H735" s="6" t="s">
        <v>15</v>
      </c>
      <c r="I735" s="6" t="s">
        <v>14</v>
      </c>
      <c r="J735" s="6" t="s">
        <v>215</v>
      </c>
      <c r="K735" s="7">
        <v>29.456945229999999</v>
      </c>
      <c r="L735" s="7">
        <v>-95.043095840000007</v>
      </c>
      <c r="M735" s="6" t="s">
        <v>3066</v>
      </c>
      <c r="N735" s="6" t="s">
        <v>160</v>
      </c>
      <c r="O735" s="6" t="s">
        <v>23</v>
      </c>
    </row>
    <row r="736" spans="1:15" x14ac:dyDescent="0.25">
      <c r="A736" s="6" t="s">
        <v>6895</v>
      </c>
      <c r="B736" s="6" t="s">
        <v>6894</v>
      </c>
      <c r="C736" s="6" t="s">
        <v>31</v>
      </c>
      <c r="E736" s="6" t="s">
        <v>6893</v>
      </c>
      <c r="F736" s="6" t="s">
        <v>6892</v>
      </c>
      <c r="G736" s="6" t="s">
        <v>16</v>
      </c>
      <c r="H736" s="6" t="s">
        <v>15</v>
      </c>
      <c r="I736" s="6" t="s">
        <v>46</v>
      </c>
      <c r="J736" s="6" t="s">
        <v>215</v>
      </c>
      <c r="K736" s="7">
        <v>29.377081499999999</v>
      </c>
      <c r="L736" s="7">
        <v>-95.073753310000001</v>
      </c>
      <c r="M736" s="6" t="s">
        <v>214</v>
      </c>
      <c r="N736" s="6" t="s">
        <v>160</v>
      </c>
      <c r="O736" s="6" t="s">
        <v>23</v>
      </c>
    </row>
    <row r="737" spans="1:15" x14ac:dyDescent="0.25">
      <c r="A737" s="6" t="s">
        <v>3756</v>
      </c>
      <c r="B737" s="6" t="s">
        <v>3755</v>
      </c>
      <c r="C737" s="6" t="s">
        <v>31</v>
      </c>
      <c r="E737" s="6" t="s">
        <v>3754</v>
      </c>
      <c r="F737" s="6" t="s">
        <v>3753</v>
      </c>
      <c r="G737" s="6" t="s">
        <v>16</v>
      </c>
      <c r="H737" s="6" t="s">
        <v>28</v>
      </c>
      <c r="I737" s="6" t="s">
        <v>799</v>
      </c>
      <c r="J737" s="6" t="s">
        <v>2287</v>
      </c>
      <c r="K737" s="7">
        <v>31.069474</v>
      </c>
      <c r="L737" s="7">
        <v>-94.039165999999994</v>
      </c>
      <c r="M737" s="6" t="s">
        <v>644</v>
      </c>
      <c r="N737" s="6" t="s">
        <v>52</v>
      </c>
      <c r="O737" s="6" t="s">
        <v>24</v>
      </c>
    </row>
    <row r="738" spans="1:15" x14ac:dyDescent="0.25">
      <c r="A738" s="6" t="s">
        <v>6521</v>
      </c>
      <c r="B738" s="6" t="s">
        <v>6520</v>
      </c>
      <c r="C738" s="6" t="s">
        <v>31</v>
      </c>
      <c r="E738" s="6" t="s">
        <v>6519</v>
      </c>
      <c r="F738" s="6" t="s">
        <v>6518</v>
      </c>
      <c r="G738" s="6" t="s">
        <v>16</v>
      </c>
      <c r="H738" s="6" t="s">
        <v>28</v>
      </c>
      <c r="I738" s="6" t="s">
        <v>27</v>
      </c>
      <c r="J738" s="6" t="s">
        <v>1787</v>
      </c>
      <c r="K738" s="7">
        <v>32.709427490000003</v>
      </c>
      <c r="L738" s="7">
        <v>-95.882458069999998</v>
      </c>
      <c r="M738" s="6" t="s">
        <v>423</v>
      </c>
      <c r="N738" s="6" t="s">
        <v>65</v>
      </c>
      <c r="O738" s="6" t="s">
        <v>65</v>
      </c>
    </row>
    <row r="739" spans="1:15" x14ac:dyDescent="0.25">
      <c r="A739" s="6" t="s">
        <v>7474</v>
      </c>
      <c r="B739" s="6" t="s">
        <v>7473</v>
      </c>
      <c r="C739" s="6" t="s">
        <v>31</v>
      </c>
      <c r="E739" s="6" t="s">
        <v>7472</v>
      </c>
      <c r="F739" s="6" t="s">
        <v>7471</v>
      </c>
      <c r="G739" s="6" t="s">
        <v>16</v>
      </c>
      <c r="H739" s="6" t="s">
        <v>28</v>
      </c>
      <c r="I739" s="6" t="s">
        <v>60</v>
      </c>
      <c r="J739" s="6" t="s">
        <v>145</v>
      </c>
      <c r="K739" s="7">
        <v>30.370350999999999</v>
      </c>
      <c r="L739" s="7">
        <v>-94.202869000000007</v>
      </c>
      <c r="M739" s="6" t="s">
        <v>1704</v>
      </c>
      <c r="N739" s="6" t="s">
        <v>52</v>
      </c>
      <c r="O739" s="6" t="s">
        <v>24</v>
      </c>
    </row>
    <row r="740" spans="1:15" x14ac:dyDescent="0.25">
      <c r="A740" s="6" t="s">
        <v>7481</v>
      </c>
      <c r="B740" s="6" t="s">
        <v>7480</v>
      </c>
      <c r="C740" s="6" t="s">
        <v>31</v>
      </c>
      <c r="E740" s="6" t="s">
        <v>7479</v>
      </c>
      <c r="F740" s="6" t="s">
        <v>7471</v>
      </c>
      <c r="G740" s="6" t="s">
        <v>16</v>
      </c>
      <c r="H740" s="6" t="s">
        <v>15</v>
      </c>
      <c r="I740" s="6" t="s">
        <v>46</v>
      </c>
      <c r="J740" s="6" t="s">
        <v>145</v>
      </c>
      <c r="K740" s="7">
        <v>30.333572</v>
      </c>
      <c r="L740" s="7">
        <v>-94.181674999999998</v>
      </c>
      <c r="M740" s="6" t="s">
        <v>3287</v>
      </c>
      <c r="N740" s="6" t="s">
        <v>52</v>
      </c>
      <c r="O740" s="6" t="s">
        <v>24</v>
      </c>
    </row>
    <row r="741" spans="1:15" x14ac:dyDescent="0.25">
      <c r="A741" s="6" t="s">
        <v>6791</v>
      </c>
      <c r="B741" s="6" t="s">
        <v>6790</v>
      </c>
      <c r="C741" s="6" t="s">
        <v>31</v>
      </c>
      <c r="E741" s="6" t="s">
        <v>6789</v>
      </c>
      <c r="F741" s="6" t="s">
        <v>4189</v>
      </c>
      <c r="G741" s="6" t="s">
        <v>16</v>
      </c>
      <c r="H741" s="6" t="s">
        <v>15</v>
      </c>
      <c r="I741" s="6" t="s">
        <v>14</v>
      </c>
      <c r="J741" s="6" t="s">
        <v>904</v>
      </c>
      <c r="K741" s="7">
        <v>32.811467659999998</v>
      </c>
      <c r="L741" s="7">
        <v>-98.048383000000001</v>
      </c>
      <c r="M741" s="6" t="s">
        <v>775</v>
      </c>
      <c r="N741" s="6" t="s">
        <v>23</v>
      </c>
      <c r="O741" s="6" t="s">
        <v>42</v>
      </c>
    </row>
    <row r="742" spans="1:15" x14ac:dyDescent="0.25">
      <c r="A742" s="6" t="s">
        <v>10606</v>
      </c>
      <c r="B742" s="6" t="s">
        <v>10605</v>
      </c>
      <c r="C742" s="6" t="s">
        <v>31</v>
      </c>
      <c r="E742" s="6" t="s">
        <v>10604</v>
      </c>
      <c r="F742" s="6" t="s">
        <v>10603</v>
      </c>
      <c r="G742" s="6" t="s">
        <v>16</v>
      </c>
      <c r="H742" s="6" t="s">
        <v>28</v>
      </c>
      <c r="I742" s="6" t="s">
        <v>73</v>
      </c>
      <c r="J742" s="6" t="s">
        <v>151</v>
      </c>
      <c r="K742" s="7">
        <v>33.283058500000003</v>
      </c>
      <c r="L742" s="7">
        <v>-97.780501950000001</v>
      </c>
      <c r="M742" s="6" t="s">
        <v>150</v>
      </c>
      <c r="N742" s="6" t="s">
        <v>102</v>
      </c>
      <c r="O742" s="6" t="s">
        <v>42</v>
      </c>
    </row>
    <row r="743" spans="1:15" x14ac:dyDescent="0.25">
      <c r="A743" s="6" t="s">
        <v>1403</v>
      </c>
      <c r="B743" s="6" t="s">
        <v>1402</v>
      </c>
      <c r="C743" s="6" t="s">
        <v>31</v>
      </c>
      <c r="E743" s="6" t="s">
        <v>1401</v>
      </c>
      <c r="F743" s="6" t="s">
        <v>1400</v>
      </c>
      <c r="G743" s="6" t="s">
        <v>16</v>
      </c>
      <c r="H743" s="6" t="s">
        <v>15</v>
      </c>
      <c r="I743" s="6" t="s">
        <v>14</v>
      </c>
      <c r="J743" s="6" t="s">
        <v>632</v>
      </c>
      <c r="K743" s="7">
        <v>30.129248820000001</v>
      </c>
      <c r="L743" s="7">
        <v>-94.032460520000001</v>
      </c>
      <c r="M743" s="6" t="s">
        <v>429</v>
      </c>
      <c r="N743" s="6" t="s">
        <v>52</v>
      </c>
      <c r="O743" s="6" t="s">
        <v>24</v>
      </c>
    </row>
    <row r="744" spans="1:15" x14ac:dyDescent="0.25">
      <c r="A744" s="6" t="s">
        <v>1195</v>
      </c>
      <c r="B744" s="6" t="s">
        <v>1194</v>
      </c>
      <c r="C744" s="6" t="s">
        <v>31</v>
      </c>
      <c r="D744" s="6" t="s">
        <v>16</v>
      </c>
      <c r="E744" s="6" t="s">
        <v>1193</v>
      </c>
      <c r="F744" s="6" t="s">
        <v>1192</v>
      </c>
      <c r="G744" s="6" t="s">
        <v>16</v>
      </c>
      <c r="H744" s="6" t="s">
        <v>28</v>
      </c>
      <c r="I744" s="6" t="s">
        <v>60</v>
      </c>
      <c r="J744" s="6" t="s">
        <v>356</v>
      </c>
      <c r="K744" s="7">
        <v>30.081555860000002</v>
      </c>
      <c r="L744" s="7">
        <v>-96.095047190000003</v>
      </c>
      <c r="M744" s="6" t="s">
        <v>355</v>
      </c>
      <c r="N744" s="6" t="s">
        <v>23</v>
      </c>
      <c r="O744" s="6" t="s">
        <v>23</v>
      </c>
    </row>
    <row r="745" spans="1:15" x14ac:dyDescent="0.25">
      <c r="A745" s="6" t="s">
        <v>1195</v>
      </c>
      <c r="B745" s="6" t="s">
        <v>1194</v>
      </c>
      <c r="C745" s="6" t="s">
        <v>31</v>
      </c>
      <c r="D745" s="6" t="s">
        <v>284</v>
      </c>
      <c r="E745" s="6" t="s">
        <v>1193</v>
      </c>
      <c r="F745" s="6" t="s">
        <v>1192</v>
      </c>
      <c r="G745" s="6" t="s">
        <v>16</v>
      </c>
      <c r="H745" s="6" t="s">
        <v>28</v>
      </c>
      <c r="I745" s="6" t="s">
        <v>60</v>
      </c>
      <c r="J745" s="6" t="s">
        <v>356</v>
      </c>
      <c r="K745" s="7">
        <v>30.08323575</v>
      </c>
      <c r="L745" s="7">
        <v>-96.095281529999994</v>
      </c>
      <c r="M745" s="6" t="s">
        <v>355</v>
      </c>
      <c r="N745" s="6" t="s">
        <v>23</v>
      </c>
      <c r="O745" s="6" t="s">
        <v>23</v>
      </c>
    </row>
    <row r="746" spans="1:15" x14ac:dyDescent="0.25">
      <c r="A746" s="6" t="s">
        <v>9043</v>
      </c>
      <c r="B746" s="6" t="s">
        <v>9042</v>
      </c>
      <c r="C746" s="6" t="s">
        <v>31</v>
      </c>
      <c r="E746" s="6" t="s">
        <v>9041</v>
      </c>
      <c r="F746" s="6" t="s">
        <v>9040</v>
      </c>
      <c r="G746" s="6" t="s">
        <v>16</v>
      </c>
      <c r="H746" s="6" t="s">
        <v>28</v>
      </c>
      <c r="I746" s="6" t="s">
        <v>1200</v>
      </c>
      <c r="J746" s="6" t="s">
        <v>35</v>
      </c>
      <c r="K746" s="7">
        <v>29.901019000000002</v>
      </c>
      <c r="L746" s="7">
        <v>-95.322640000000007</v>
      </c>
      <c r="M746" s="6" t="s">
        <v>34</v>
      </c>
      <c r="N746" s="6" t="s">
        <v>24</v>
      </c>
      <c r="O746" s="6" t="s">
        <v>23</v>
      </c>
    </row>
    <row r="747" spans="1:15" x14ac:dyDescent="0.25">
      <c r="A747" s="6" t="s">
        <v>3013</v>
      </c>
      <c r="B747" s="6" t="s">
        <v>3012</v>
      </c>
      <c r="C747" s="6" t="s">
        <v>31</v>
      </c>
      <c r="E747" s="6" t="s">
        <v>3011</v>
      </c>
      <c r="F747" s="6" t="s">
        <v>3010</v>
      </c>
      <c r="G747" s="6" t="s">
        <v>16</v>
      </c>
      <c r="H747" s="6" t="s">
        <v>15</v>
      </c>
      <c r="I747" s="6" t="s">
        <v>14</v>
      </c>
      <c r="J747" s="6" t="s">
        <v>35</v>
      </c>
      <c r="K747" s="7">
        <v>29.53332374</v>
      </c>
      <c r="L747" s="7">
        <v>-95.090720669999996</v>
      </c>
      <c r="M747" s="6" t="s">
        <v>1037</v>
      </c>
      <c r="N747" s="6" t="s">
        <v>160</v>
      </c>
      <c r="O747" s="6" t="s">
        <v>23</v>
      </c>
    </row>
    <row r="748" spans="1:15" x14ac:dyDescent="0.25">
      <c r="A748" s="6" t="s">
        <v>11781</v>
      </c>
      <c r="B748" s="6" t="s">
        <v>11780</v>
      </c>
      <c r="C748" s="6" t="s">
        <v>31</v>
      </c>
      <c r="E748" s="6" t="s">
        <v>11779</v>
      </c>
      <c r="F748" s="6" t="s">
        <v>11778</v>
      </c>
      <c r="G748" s="6" t="s">
        <v>16</v>
      </c>
      <c r="H748" s="6" t="s">
        <v>15</v>
      </c>
      <c r="I748" s="6" t="s">
        <v>36</v>
      </c>
      <c r="J748" s="6" t="s">
        <v>35</v>
      </c>
      <c r="K748" s="7">
        <v>29.695979130000001</v>
      </c>
      <c r="L748" s="7">
        <v>-95.419761140000006</v>
      </c>
      <c r="M748" s="6" t="s">
        <v>866</v>
      </c>
      <c r="N748" s="6" t="s">
        <v>24</v>
      </c>
      <c r="O748" s="6" t="s">
        <v>23</v>
      </c>
    </row>
    <row r="749" spans="1:15" x14ac:dyDescent="0.25">
      <c r="A749" s="6" t="s">
        <v>7028</v>
      </c>
      <c r="B749" s="6" t="s">
        <v>7027</v>
      </c>
      <c r="C749" s="6" t="s">
        <v>31</v>
      </c>
      <c r="E749" s="6" t="s">
        <v>7026</v>
      </c>
      <c r="F749" s="6" t="s">
        <v>7022</v>
      </c>
      <c r="G749" s="6" t="s">
        <v>16</v>
      </c>
      <c r="H749" s="6" t="s">
        <v>15</v>
      </c>
      <c r="I749" s="6" t="s">
        <v>14</v>
      </c>
      <c r="J749" s="6" t="s">
        <v>2137</v>
      </c>
      <c r="K749" s="7">
        <v>29.884544290000001</v>
      </c>
      <c r="L749" s="7">
        <v>-97.662543540000001</v>
      </c>
      <c r="M749" s="6" t="s">
        <v>752</v>
      </c>
      <c r="N749" s="6" t="s">
        <v>559</v>
      </c>
      <c r="O749" s="6" t="s">
        <v>160</v>
      </c>
    </row>
    <row r="750" spans="1:15" x14ac:dyDescent="0.25">
      <c r="A750" s="6" t="s">
        <v>149</v>
      </c>
      <c r="B750" s="6" t="s">
        <v>148</v>
      </c>
      <c r="C750" s="6" t="s">
        <v>31</v>
      </c>
      <c r="E750" s="6" t="s">
        <v>147</v>
      </c>
      <c r="F750" s="6" t="s">
        <v>146</v>
      </c>
      <c r="G750" s="6" t="s">
        <v>16</v>
      </c>
      <c r="H750" s="6" t="s">
        <v>28</v>
      </c>
      <c r="I750" s="6" t="s">
        <v>73</v>
      </c>
      <c r="J750" s="6" t="s">
        <v>145</v>
      </c>
      <c r="K750" s="7">
        <v>30.12892583</v>
      </c>
      <c r="L750" s="7">
        <v>-94.4127747</v>
      </c>
      <c r="M750" s="6" t="s">
        <v>144</v>
      </c>
      <c r="N750" s="6" t="s">
        <v>52</v>
      </c>
      <c r="O750" s="6" t="s">
        <v>24</v>
      </c>
    </row>
    <row r="751" spans="1:15" x14ac:dyDescent="0.25">
      <c r="A751" s="6" t="s">
        <v>10783</v>
      </c>
      <c r="B751" s="6" t="s">
        <v>10782</v>
      </c>
      <c r="C751" s="6" t="s">
        <v>31</v>
      </c>
      <c r="E751" s="6" t="s">
        <v>10781</v>
      </c>
      <c r="F751" s="6" t="s">
        <v>10780</v>
      </c>
      <c r="G751" s="6" t="s">
        <v>16</v>
      </c>
      <c r="H751" s="6" t="s">
        <v>28</v>
      </c>
      <c r="I751" s="6" t="s">
        <v>46</v>
      </c>
      <c r="J751" s="6" t="s">
        <v>1451</v>
      </c>
      <c r="K751" s="7">
        <v>32.145814780000002</v>
      </c>
      <c r="L751" s="7">
        <v>-97.143080819999994</v>
      </c>
      <c r="M751" s="6" t="s">
        <v>9091</v>
      </c>
      <c r="N751" s="6" t="s">
        <v>23</v>
      </c>
      <c r="O751" s="6" t="s">
        <v>120</v>
      </c>
    </row>
    <row r="752" spans="1:15" x14ac:dyDescent="0.25">
      <c r="A752" s="6" t="s">
        <v>7009</v>
      </c>
      <c r="B752" s="6" t="s">
        <v>7008</v>
      </c>
      <c r="C752" s="6" t="s">
        <v>31</v>
      </c>
      <c r="E752" s="6" t="s">
        <v>7007</v>
      </c>
      <c r="F752" s="6" t="s">
        <v>7006</v>
      </c>
      <c r="G752" s="6" t="s">
        <v>16</v>
      </c>
      <c r="H752" s="6" t="s">
        <v>15</v>
      </c>
      <c r="I752" s="6" t="s">
        <v>14</v>
      </c>
      <c r="J752" s="6" t="s">
        <v>122</v>
      </c>
      <c r="K752" s="7">
        <v>31.414149219999999</v>
      </c>
      <c r="L752" s="7">
        <v>-97.396082250000006</v>
      </c>
      <c r="M752" s="6" t="s">
        <v>7005</v>
      </c>
      <c r="N752" s="6" t="s">
        <v>23</v>
      </c>
      <c r="O752" s="6" t="s">
        <v>120</v>
      </c>
    </row>
    <row r="753" spans="1:15" x14ac:dyDescent="0.25">
      <c r="A753" s="6" t="s">
        <v>7576</v>
      </c>
      <c r="B753" s="6" t="s">
        <v>7575</v>
      </c>
      <c r="C753" s="6" t="s">
        <v>31</v>
      </c>
      <c r="E753" s="6" t="s">
        <v>7574</v>
      </c>
      <c r="F753" s="6" t="s">
        <v>116</v>
      </c>
      <c r="G753" s="6" t="s">
        <v>16</v>
      </c>
      <c r="H753" s="6" t="s">
        <v>15</v>
      </c>
      <c r="I753" s="6" t="s">
        <v>14</v>
      </c>
      <c r="J753" s="6" t="s">
        <v>471</v>
      </c>
      <c r="K753" s="7">
        <v>32.936394610000001</v>
      </c>
      <c r="L753" s="7">
        <v>-96.739050689999999</v>
      </c>
      <c r="M753" s="6" t="s">
        <v>7573</v>
      </c>
      <c r="N753" s="6" t="s">
        <v>102</v>
      </c>
      <c r="O753" s="6" t="s">
        <v>42</v>
      </c>
    </row>
    <row r="754" spans="1:15" x14ac:dyDescent="0.25">
      <c r="A754" s="6" t="s">
        <v>7152</v>
      </c>
      <c r="B754" s="6" t="s">
        <v>7151</v>
      </c>
      <c r="C754" s="6" t="s">
        <v>31</v>
      </c>
      <c r="E754" s="6" t="s">
        <v>7150</v>
      </c>
      <c r="F754" s="6" t="s">
        <v>7149</v>
      </c>
      <c r="G754" s="6" t="s">
        <v>16</v>
      </c>
      <c r="H754" s="6" t="s">
        <v>15</v>
      </c>
      <c r="I754" s="6" t="s">
        <v>14</v>
      </c>
      <c r="J754" s="6" t="s">
        <v>215</v>
      </c>
      <c r="K754" s="7">
        <v>29.417272530000002</v>
      </c>
      <c r="L754" s="7">
        <v>-94.89679228</v>
      </c>
      <c r="M754" s="6" t="s">
        <v>7148</v>
      </c>
      <c r="N754" s="6" t="s">
        <v>160</v>
      </c>
      <c r="O754" s="6" t="s">
        <v>23</v>
      </c>
    </row>
    <row r="755" spans="1:15" x14ac:dyDescent="0.25">
      <c r="A755" s="6" t="s">
        <v>7832</v>
      </c>
      <c r="B755" s="6" t="s">
        <v>3179</v>
      </c>
      <c r="C755" s="6" t="s">
        <v>31</v>
      </c>
      <c r="E755" s="6" t="s">
        <v>3178</v>
      </c>
      <c r="F755" s="6" t="s">
        <v>3177</v>
      </c>
      <c r="G755" s="6" t="s">
        <v>16</v>
      </c>
      <c r="H755" s="6" t="s">
        <v>15</v>
      </c>
      <c r="I755" s="6" t="s">
        <v>14</v>
      </c>
      <c r="J755" s="6" t="s">
        <v>3176</v>
      </c>
      <c r="K755" s="7">
        <v>32.561625630000002</v>
      </c>
      <c r="L755" s="7">
        <v>-99.622629930000002</v>
      </c>
      <c r="M755" s="6" t="s">
        <v>5278</v>
      </c>
      <c r="N755" s="6" t="s">
        <v>23</v>
      </c>
      <c r="O755" s="6" t="s">
        <v>95</v>
      </c>
    </row>
    <row r="756" spans="1:15" x14ac:dyDescent="0.25">
      <c r="A756" s="6" t="s">
        <v>7831</v>
      </c>
      <c r="B756" s="6" t="s">
        <v>3179</v>
      </c>
      <c r="C756" s="6" t="s">
        <v>19</v>
      </c>
      <c r="E756" s="6" t="s">
        <v>3178</v>
      </c>
      <c r="F756" s="6" t="s">
        <v>3177</v>
      </c>
      <c r="G756" s="6" t="s">
        <v>16</v>
      </c>
      <c r="H756" s="6" t="s">
        <v>15</v>
      </c>
      <c r="I756" s="6" t="s">
        <v>14</v>
      </c>
      <c r="J756" s="6" t="s">
        <v>5279</v>
      </c>
      <c r="K756" s="7">
        <v>32.385403140000001</v>
      </c>
      <c r="L756" s="7">
        <v>-99.731880790000005</v>
      </c>
      <c r="M756" s="6" t="s">
        <v>3175</v>
      </c>
      <c r="N756" s="6" t="s">
        <v>23</v>
      </c>
      <c r="O756" s="6" t="s">
        <v>95</v>
      </c>
    </row>
    <row r="757" spans="1:15" x14ac:dyDescent="0.25">
      <c r="A757" s="6" t="s">
        <v>3180</v>
      </c>
      <c r="B757" s="6" t="s">
        <v>3179</v>
      </c>
      <c r="C757" s="6" t="s">
        <v>436</v>
      </c>
      <c r="E757" s="6" t="s">
        <v>3178</v>
      </c>
      <c r="F757" s="6" t="s">
        <v>3177</v>
      </c>
      <c r="G757" s="6" t="s">
        <v>16</v>
      </c>
      <c r="H757" s="6" t="s">
        <v>15</v>
      </c>
      <c r="I757" s="6" t="s">
        <v>14</v>
      </c>
      <c r="J757" s="6" t="s">
        <v>3176</v>
      </c>
      <c r="K757" s="7">
        <v>32.557217029999997</v>
      </c>
      <c r="L757" s="7">
        <v>-99.692225949999994</v>
      </c>
      <c r="M757" s="6" t="s">
        <v>3175</v>
      </c>
      <c r="N757" s="6" t="s">
        <v>23</v>
      </c>
      <c r="O757" s="6" t="s">
        <v>95</v>
      </c>
    </row>
    <row r="758" spans="1:15" x14ac:dyDescent="0.25">
      <c r="A758" s="6" t="s">
        <v>4077</v>
      </c>
      <c r="B758" s="6" t="s">
        <v>4076</v>
      </c>
      <c r="C758" s="6" t="s">
        <v>31</v>
      </c>
      <c r="E758" s="6" t="s">
        <v>4075</v>
      </c>
      <c r="F758" s="6" t="s">
        <v>4074</v>
      </c>
      <c r="G758" s="6" t="s">
        <v>16</v>
      </c>
      <c r="H758" s="6" t="s">
        <v>28</v>
      </c>
      <c r="I758" s="6" t="s">
        <v>27</v>
      </c>
      <c r="J758" s="6" t="s">
        <v>2646</v>
      </c>
      <c r="K758" s="7">
        <v>31.065263000000002</v>
      </c>
      <c r="L758" s="7">
        <v>-96.989608000000004</v>
      </c>
      <c r="M758" s="6" t="s">
        <v>121</v>
      </c>
      <c r="N758" s="6" t="s">
        <v>23</v>
      </c>
      <c r="O758" s="6" t="s">
        <v>120</v>
      </c>
    </row>
    <row r="759" spans="1:15" x14ac:dyDescent="0.25">
      <c r="A759" s="6" t="s">
        <v>9083</v>
      </c>
      <c r="B759" s="6" t="s">
        <v>9082</v>
      </c>
      <c r="C759" s="6" t="s">
        <v>31</v>
      </c>
      <c r="E759" s="6" t="s">
        <v>9081</v>
      </c>
      <c r="F759" s="6" t="s">
        <v>9080</v>
      </c>
      <c r="G759" s="6" t="s">
        <v>16</v>
      </c>
      <c r="H759" s="6" t="s">
        <v>28</v>
      </c>
      <c r="I759" s="6" t="s">
        <v>36</v>
      </c>
      <c r="J759" s="6" t="s">
        <v>682</v>
      </c>
      <c r="K759" s="7">
        <v>32.387314590000003</v>
      </c>
      <c r="L759" s="7">
        <v>-98.810103179999999</v>
      </c>
      <c r="M759" s="6" t="s">
        <v>9079</v>
      </c>
      <c r="N759" s="6" t="s">
        <v>23</v>
      </c>
      <c r="O759" s="6" t="s">
        <v>95</v>
      </c>
    </row>
    <row r="760" spans="1:15" x14ac:dyDescent="0.25">
      <c r="A760" s="6" t="s">
        <v>6996</v>
      </c>
      <c r="B760" s="6" t="s">
        <v>6995</v>
      </c>
      <c r="C760" s="6" t="s">
        <v>31</v>
      </c>
      <c r="E760" s="6" t="s">
        <v>6994</v>
      </c>
      <c r="F760" s="6" t="s">
        <v>6993</v>
      </c>
      <c r="G760" s="6" t="s">
        <v>16</v>
      </c>
      <c r="H760" s="6" t="s">
        <v>28</v>
      </c>
      <c r="I760" s="6" t="s">
        <v>36</v>
      </c>
      <c r="J760" s="6" t="s">
        <v>122</v>
      </c>
      <c r="K760" s="7">
        <v>31.3100998</v>
      </c>
      <c r="L760" s="7">
        <v>-97.364656299999993</v>
      </c>
      <c r="M760" s="6" t="s">
        <v>2272</v>
      </c>
      <c r="N760" s="6" t="s">
        <v>23</v>
      </c>
      <c r="O760" s="6" t="s">
        <v>120</v>
      </c>
    </row>
    <row r="761" spans="1:15" x14ac:dyDescent="0.25">
      <c r="A761" s="6" t="s">
        <v>5397</v>
      </c>
      <c r="B761" s="6" t="s">
        <v>5396</v>
      </c>
      <c r="C761" s="6" t="s">
        <v>31</v>
      </c>
      <c r="E761" s="6" t="s">
        <v>5395</v>
      </c>
      <c r="F761" s="6" t="s">
        <v>5388</v>
      </c>
      <c r="G761" s="6" t="s">
        <v>16</v>
      </c>
      <c r="H761" s="6" t="s">
        <v>15</v>
      </c>
      <c r="I761" s="6" t="s">
        <v>14</v>
      </c>
      <c r="J761" s="6" t="s">
        <v>873</v>
      </c>
      <c r="K761" s="7">
        <v>29.469015590000001</v>
      </c>
      <c r="L761" s="7">
        <v>-98.327796460000002</v>
      </c>
      <c r="M761" s="6" t="s">
        <v>3582</v>
      </c>
      <c r="N761" s="6" t="s">
        <v>232</v>
      </c>
      <c r="O761" s="6" t="s">
        <v>231</v>
      </c>
    </row>
    <row r="762" spans="1:15" x14ac:dyDescent="0.25">
      <c r="A762" s="6" t="s">
        <v>9157</v>
      </c>
      <c r="B762" s="6" t="s">
        <v>9156</v>
      </c>
      <c r="C762" s="6" t="s">
        <v>31</v>
      </c>
      <c r="D762" s="6" t="s">
        <v>16</v>
      </c>
      <c r="E762" s="6" t="s">
        <v>9155</v>
      </c>
      <c r="F762" s="6" t="s">
        <v>9154</v>
      </c>
      <c r="G762" s="6" t="s">
        <v>16</v>
      </c>
      <c r="H762" s="6" t="s">
        <v>15</v>
      </c>
      <c r="I762" s="6" t="s">
        <v>46</v>
      </c>
      <c r="J762" s="6" t="s">
        <v>480</v>
      </c>
      <c r="K762" s="7">
        <v>26.292979840000001</v>
      </c>
      <c r="L762" s="7">
        <v>-98.13723177</v>
      </c>
      <c r="M762" s="6" t="s">
        <v>89</v>
      </c>
      <c r="N762" s="6" t="s">
        <v>11</v>
      </c>
      <c r="O762" s="6" t="s">
        <v>22</v>
      </c>
    </row>
    <row r="763" spans="1:15" x14ac:dyDescent="0.25">
      <c r="A763" s="6" t="s">
        <v>3208</v>
      </c>
      <c r="B763" s="6" t="s">
        <v>3207</v>
      </c>
      <c r="C763" s="6" t="s">
        <v>31</v>
      </c>
      <c r="E763" s="6" t="s">
        <v>3206</v>
      </c>
      <c r="F763" s="6" t="s">
        <v>3205</v>
      </c>
      <c r="G763" s="6" t="s">
        <v>16</v>
      </c>
      <c r="H763" s="6" t="s">
        <v>28</v>
      </c>
      <c r="I763" s="6" t="s">
        <v>27</v>
      </c>
      <c r="J763" s="6" t="s">
        <v>3204</v>
      </c>
      <c r="K763" s="7">
        <v>34.300135060000002</v>
      </c>
      <c r="L763" s="7">
        <v>-99.72750619</v>
      </c>
      <c r="M763" s="6" t="s">
        <v>3203</v>
      </c>
      <c r="N763" s="6" t="s">
        <v>43</v>
      </c>
      <c r="O763" s="6" t="s">
        <v>95</v>
      </c>
    </row>
    <row r="764" spans="1:15" x14ac:dyDescent="0.25">
      <c r="A764" s="6" t="s">
        <v>3061</v>
      </c>
      <c r="B764" s="6" t="s">
        <v>3060</v>
      </c>
      <c r="C764" s="6" t="s">
        <v>31</v>
      </c>
      <c r="E764" s="6" t="s">
        <v>3059</v>
      </c>
      <c r="F764" s="6" t="s">
        <v>3058</v>
      </c>
      <c r="G764" s="6" t="s">
        <v>16</v>
      </c>
      <c r="H764" s="6" t="s">
        <v>28</v>
      </c>
      <c r="I764" s="6" t="s">
        <v>2671</v>
      </c>
      <c r="J764" s="6" t="s">
        <v>290</v>
      </c>
      <c r="K764" s="7">
        <v>29.012260999999999</v>
      </c>
      <c r="L764" s="7">
        <v>-95.884075999999993</v>
      </c>
      <c r="M764" s="6" t="s">
        <v>2451</v>
      </c>
      <c r="N764" s="6" t="s">
        <v>231</v>
      </c>
      <c r="O764" s="6" t="s">
        <v>23</v>
      </c>
    </row>
    <row r="765" spans="1:15" x14ac:dyDescent="0.25">
      <c r="A765" s="6" t="s">
        <v>7032</v>
      </c>
      <c r="B765" s="6" t="s">
        <v>7031</v>
      </c>
      <c r="C765" s="6" t="s">
        <v>31</v>
      </c>
      <c r="E765" s="6" t="s">
        <v>7030</v>
      </c>
      <c r="F765" s="6" t="s">
        <v>7029</v>
      </c>
      <c r="G765" s="6" t="s">
        <v>16</v>
      </c>
      <c r="H765" s="6" t="s">
        <v>15</v>
      </c>
      <c r="I765" s="6" t="s">
        <v>46</v>
      </c>
      <c r="J765" s="6" t="s">
        <v>318</v>
      </c>
      <c r="K765" s="7">
        <v>30.697054999999999</v>
      </c>
      <c r="L765" s="7">
        <v>-94.949635470000004</v>
      </c>
      <c r="M765" s="6" t="s">
        <v>2355</v>
      </c>
      <c r="N765" s="6" t="s">
        <v>102</v>
      </c>
      <c r="O765" s="6" t="s">
        <v>24</v>
      </c>
    </row>
    <row r="766" spans="1:15" x14ac:dyDescent="0.25">
      <c r="A766" s="6" t="s">
        <v>3221</v>
      </c>
      <c r="B766" s="6" t="s">
        <v>3220</v>
      </c>
      <c r="C766" s="6" t="s">
        <v>31</v>
      </c>
      <c r="E766" s="6" t="s">
        <v>3219</v>
      </c>
      <c r="F766" s="6" t="s">
        <v>3218</v>
      </c>
      <c r="G766" s="6" t="s">
        <v>16</v>
      </c>
      <c r="H766" s="6" t="s">
        <v>28</v>
      </c>
      <c r="I766" s="6" t="s">
        <v>73</v>
      </c>
      <c r="J766" s="6" t="s">
        <v>632</v>
      </c>
      <c r="K766" s="7">
        <v>30.101853999999999</v>
      </c>
      <c r="L766" s="7">
        <v>-93.761712000000003</v>
      </c>
      <c r="M766" s="6" t="s">
        <v>3217</v>
      </c>
      <c r="N766" s="6" t="s">
        <v>65</v>
      </c>
      <c r="O766" s="6" t="s">
        <v>24</v>
      </c>
    </row>
    <row r="767" spans="1:15" x14ac:dyDescent="0.25">
      <c r="A767" s="6" t="s">
        <v>7392</v>
      </c>
      <c r="B767" s="6" t="s">
        <v>7391</v>
      </c>
      <c r="C767" s="6" t="s">
        <v>31</v>
      </c>
      <c r="E767" s="6" t="s">
        <v>7390</v>
      </c>
      <c r="F767" s="6" t="s">
        <v>7389</v>
      </c>
      <c r="G767" s="6" t="s">
        <v>16</v>
      </c>
      <c r="H767" s="6" t="s">
        <v>28</v>
      </c>
      <c r="I767" s="6" t="s">
        <v>73</v>
      </c>
      <c r="J767" s="6" t="s">
        <v>461</v>
      </c>
      <c r="K767" s="7">
        <v>33.273542999999997</v>
      </c>
      <c r="L767" s="7">
        <v>-96.201543999999998</v>
      </c>
      <c r="M767" s="6" t="s">
        <v>109</v>
      </c>
      <c r="N767" s="6" t="s">
        <v>65</v>
      </c>
      <c r="O767" s="6" t="s">
        <v>42</v>
      </c>
    </row>
    <row r="768" spans="1:15" x14ac:dyDescent="0.25">
      <c r="A768" s="6" t="s">
        <v>4081</v>
      </c>
      <c r="B768" s="6" t="s">
        <v>4080</v>
      </c>
      <c r="C768" s="6" t="s">
        <v>31</v>
      </c>
      <c r="E768" s="6" t="s">
        <v>4079</v>
      </c>
      <c r="F768" s="6" t="s">
        <v>4078</v>
      </c>
      <c r="G768" s="6" t="s">
        <v>16</v>
      </c>
      <c r="H768" s="6" t="s">
        <v>28</v>
      </c>
      <c r="I768" s="6" t="s">
        <v>73</v>
      </c>
      <c r="J768" s="6" t="s">
        <v>168</v>
      </c>
      <c r="K768" s="7">
        <v>33.257325999999999</v>
      </c>
      <c r="L768" s="7">
        <v>-97.246869000000004</v>
      </c>
      <c r="M768" s="6" t="s">
        <v>167</v>
      </c>
      <c r="N768" s="6" t="s">
        <v>102</v>
      </c>
      <c r="O768" s="6" t="s">
        <v>42</v>
      </c>
    </row>
    <row r="769" spans="1:15" x14ac:dyDescent="0.25">
      <c r="A769" s="6" t="s">
        <v>7497</v>
      </c>
      <c r="B769" s="6" t="s">
        <v>7496</v>
      </c>
      <c r="C769" s="6" t="s">
        <v>31</v>
      </c>
      <c r="E769" s="6" t="s">
        <v>7495</v>
      </c>
      <c r="F769" s="6" t="s">
        <v>7494</v>
      </c>
      <c r="G769" s="6" t="s">
        <v>16</v>
      </c>
      <c r="H769" s="6" t="s">
        <v>28</v>
      </c>
      <c r="I769" s="6" t="s">
        <v>27</v>
      </c>
      <c r="J769" s="6" t="s">
        <v>385</v>
      </c>
      <c r="K769" s="7">
        <v>29.739765999999999</v>
      </c>
      <c r="L769" s="7">
        <v>-93.895976000000005</v>
      </c>
      <c r="M769" s="6" t="s">
        <v>610</v>
      </c>
      <c r="N769" s="6" t="s">
        <v>383</v>
      </c>
      <c r="O769" s="6" t="s">
        <v>24</v>
      </c>
    </row>
    <row r="770" spans="1:15" x14ac:dyDescent="0.25">
      <c r="A770" s="6" t="s">
        <v>7907</v>
      </c>
      <c r="B770" s="6" t="s">
        <v>7905</v>
      </c>
      <c r="C770" s="6" t="s">
        <v>31</v>
      </c>
      <c r="E770" s="6" t="s">
        <v>7904</v>
      </c>
      <c r="F770" s="6" t="s">
        <v>7903</v>
      </c>
      <c r="G770" s="6" t="s">
        <v>16</v>
      </c>
      <c r="H770" s="6" t="s">
        <v>15</v>
      </c>
      <c r="I770" s="6" t="s">
        <v>14</v>
      </c>
      <c r="J770" s="6" t="s">
        <v>3656</v>
      </c>
      <c r="K770" s="7">
        <v>32.197397000000002</v>
      </c>
      <c r="L770" s="7">
        <v>-98.182991000000001</v>
      </c>
      <c r="M770" s="6" t="s">
        <v>3655</v>
      </c>
      <c r="N770" s="6" t="s">
        <v>23</v>
      </c>
      <c r="O770" s="6" t="s">
        <v>42</v>
      </c>
    </row>
    <row r="771" spans="1:15" x14ac:dyDescent="0.25">
      <c r="A771" s="6" t="s">
        <v>7906</v>
      </c>
      <c r="B771" s="6" t="s">
        <v>7905</v>
      </c>
      <c r="C771" s="6" t="s">
        <v>19</v>
      </c>
      <c r="E771" s="6" t="s">
        <v>7904</v>
      </c>
      <c r="F771" s="6" t="s">
        <v>7903</v>
      </c>
      <c r="G771" s="6" t="s">
        <v>16</v>
      </c>
      <c r="H771" s="6" t="s">
        <v>28</v>
      </c>
      <c r="I771" s="6" t="s">
        <v>14</v>
      </c>
      <c r="J771" s="6" t="s">
        <v>3656</v>
      </c>
      <c r="K771" s="7">
        <v>32.215676999999999</v>
      </c>
      <c r="L771" s="7">
        <v>-98.198254000000006</v>
      </c>
      <c r="M771" s="6" t="s">
        <v>3655</v>
      </c>
      <c r="N771" s="6" t="s">
        <v>23</v>
      </c>
      <c r="O771" s="6" t="s">
        <v>42</v>
      </c>
    </row>
    <row r="772" spans="1:15" x14ac:dyDescent="0.25">
      <c r="A772" s="6" t="s">
        <v>2632</v>
      </c>
      <c r="B772" s="6" t="s">
        <v>2631</v>
      </c>
      <c r="C772" s="6" t="s">
        <v>31</v>
      </c>
      <c r="E772" s="6" t="s">
        <v>2630</v>
      </c>
      <c r="F772" s="6" t="s">
        <v>2629</v>
      </c>
      <c r="G772" s="6" t="s">
        <v>16</v>
      </c>
      <c r="H772" s="6" t="s">
        <v>28</v>
      </c>
      <c r="I772" s="6" t="s">
        <v>60</v>
      </c>
      <c r="J772" s="6" t="s">
        <v>663</v>
      </c>
      <c r="K772" s="7">
        <v>32.805948999999998</v>
      </c>
      <c r="L772" s="7">
        <v>-94.705414000000005</v>
      </c>
      <c r="M772" s="6" t="s">
        <v>2105</v>
      </c>
      <c r="N772" s="6" t="s">
        <v>42</v>
      </c>
      <c r="O772" s="6" t="s">
        <v>65</v>
      </c>
    </row>
    <row r="773" spans="1:15" x14ac:dyDescent="0.25">
      <c r="A773" s="6" t="s">
        <v>8449</v>
      </c>
      <c r="B773" s="6" t="s">
        <v>8448</v>
      </c>
      <c r="C773" s="6" t="s">
        <v>31</v>
      </c>
      <c r="E773" s="6" t="s">
        <v>8447</v>
      </c>
      <c r="F773" s="6" t="s">
        <v>8446</v>
      </c>
      <c r="G773" s="6" t="s">
        <v>16</v>
      </c>
      <c r="H773" s="6" t="s">
        <v>15</v>
      </c>
      <c r="I773" s="6" t="s">
        <v>14</v>
      </c>
      <c r="J773" s="6" t="s">
        <v>7844</v>
      </c>
      <c r="K773" s="7">
        <v>29.068496830000001</v>
      </c>
      <c r="L773" s="7">
        <v>-97.291453140000002</v>
      </c>
      <c r="M773" s="6" t="s">
        <v>1739</v>
      </c>
      <c r="N773" s="6" t="s">
        <v>559</v>
      </c>
      <c r="O773" s="6" t="s">
        <v>10</v>
      </c>
    </row>
    <row r="774" spans="1:15" x14ac:dyDescent="0.25">
      <c r="A774" s="6" t="s">
        <v>7327</v>
      </c>
      <c r="B774" s="6" t="s">
        <v>7326</v>
      </c>
      <c r="C774" s="6" t="s">
        <v>31</v>
      </c>
      <c r="E774" s="6" t="s">
        <v>7325</v>
      </c>
      <c r="F774" s="6" t="s">
        <v>7324</v>
      </c>
      <c r="G774" s="6" t="s">
        <v>16</v>
      </c>
      <c r="H774" s="6" t="s">
        <v>15</v>
      </c>
      <c r="I774" s="6" t="s">
        <v>14</v>
      </c>
      <c r="J774" s="6" t="s">
        <v>4135</v>
      </c>
      <c r="K774" s="7">
        <v>28.976440830000001</v>
      </c>
      <c r="L774" s="7">
        <v>-96.629102219999993</v>
      </c>
      <c r="M774" s="6" t="s">
        <v>7323</v>
      </c>
      <c r="N774" s="6" t="s">
        <v>510</v>
      </c>
      <c r="O774" s="6" t="s">
        <v>10</v>
      </c>
    </row>
    <row r="775" spans="1:15" x14ac:dyDescent="0.25">
      <c r="A775" s="6" t="s">
        <v>11814</v>
      </c>
      <c r="B775" s="6" t="s">
        <v>309</v>
      </c>
      <c r="C775" s="6" t="s">
        <v>31</v>
      </c>
      <c r="E775" s="6" t="s">
        <v>308</v>
      </c>
      <c r="F775" s="6" t="s">
        <v>307</v>
      </c>
      <c r="G775" s="6" t="s">
        <v>16</v>
      </c>
      <c r="H775" s="6" t="s">
        <v>28</v>
      </c>
      <c r="I775" s="6" t="s">
        <v>46</v>
      </c>
      <c r="J775" s="6" t="s">
        <v>8352</v>
      </c>
      <c r="K775" s="7">
        <v>33.359983</v>
      </c>
      <c r="L775" s="7">
        <v>-98.746155000000002</v>
      </c>
      <c r="M775" s="6" t="s">
        <v>8356</v>
      </c>
      <c r="N775" s="6" t="s">
        <v>23</v>
      </c>
      <c r="O775" s="6" t="s">
        <v>95</v>
      </c>
    </row>
    <row r="776" spans="1:15" x14ac:dyDescent="0.25">
      <c r="A776" s="6" t="s">
        <v>310</v>
      </c>
      <c r="B776" s="6" t="s">
        <v>309</v>
      </c>
      <c r="C776" s="6" t="s">
        <v>19</v>
      </c>
      <c r="E776" s="6" t="s">
        <v>308</v>
      </c>
      <c r="F776" s="6" t="s">
        <v>307</v>
      </c>
      <c r="G776" s="6" t="s">
        <v>16</v>
      </c>
      <c r="H776" s="6" t="s">
        <v>28</v>
      </c>
      <c r="I776" s="6" t="s">
        <v>46</v>
      </c>
      <c r="J776" s="6" t="s">
        <v>306</v>
      </c>
      <c r="K776" s="7">
        <v>33.436666520000003</v>
      </c>
      <c r="L776" s="7">
        <v>-98.78138869</v>
      </c>
      <c r="M776" s="6" t="s">
        <v>305</v>
      </c>
      <c r="N776" s="6" t="s">
        <v>43</v>
      </c>
      <c r="O776" s="6" t="s">
        <v>95</v>
      </c>
    </row>
    <row r="777" spans="1:15" x14ac:dyDescent="0.25">
      <c r="A777" s="6" t="s">
        <v>2445</v>
      </c>
      <c r="B777" s="6" t="s">
        <v>2444</v>
      </c>
      <c r="C777" s="6" t="s">
        <v>31</v>
      </c>
      <c r="E777" s="6" t="s">
        <v>2443</v>
      </c>
      <c r="F777" s="6" t="s">
        <v>2439</v>
      </c>
      <c r="G777" s="6" t="s">
        <v>16</v>
      </c>
      <c r="H777" s="6" t="s">
        <v>15</v>
      </c>
      <c r="I777" s="6" t="s">
        <v>14</v>
      </c>
      <c r="J777" s="6" t="s">
        <v>13</v>
      </c>
      <c r="K777" s="7">
        <v>27.827096579999999</v>
      </c>
      <c r="L777" s="7">
        <v>-97.079287679999993</v>
      </c>
      <c r="M777" s="6" t="s">
        <v>1168</v>
      </c>
      <c r="N777" s="6" t="s">
        <v>11</v>
      </c>
      <c r="O777" s="6" t="s">
        <v>10</v>
      </c>
    </row>
    <row r="778" spans="1:15" x14ac:dyDescent="0.25">
      <c r="A778" s="6" t="s">
        <v>7021</v>
      </c>
      <c r="B778" s="6" t="s">
        <v>7020</v>
      </c>
      <c r="C778" s="6" t="s">
        <v>31</v>
      </c>
      <c r="E778" s="6" t="s">
        <v>7019</v>
      </c>
      <c r="F778" s="6" t="s">
        <v>7018</v>
      </c>
      <c r="G778" s="6" t="s">
        <v>16</v>
      </c>
      <c r="H778" s="6" t="s">
        <v>15</v>
      </c>
      <c r="I778" s="6" t="s">
        <v>46</v>
      </c>
      <c r="J778" s="6" t="s">
        <v>1013</v>
      </c>
      <c r="K778" s="7">
        <v>31.284980669999999</v>
      </c>
      <c r="L778" s="7">
        <v>-94.750254060000003</v>
      </c>
      <c r="M778" s="6" t="s">
        <v>53</v>
      </c>
      <c r="N778" s="6" t="s">
        <v>52</v>
      </c>
      <c r="O778" s="6" t="s">
        <v>24</v>
      </c>
    </row>
    <row r="779" spans="1:15" x14ac:dyDescent="0.25">
      <c r="A779" s="6" t="s">
        <v>7843</v>
      </c>
      <c r="B779" s="6" t="s">
        <v>7842</v>
      </c>
      <c r="C779" s="6" t="s">
        <v>31</v>
      </c>
      <c r="E779" s="6" t="s">
        <v>7841</v>
      </c>
      <c r="F779" s="6" t="s">
        <v>7840</v>
      </c>
      <c r="G779" s="6" t="s">
        <v>16</v>
      </c>
      <c r="H779" s="6" t="s">
        <v>15</v>
      </c>
      <c r="I779" s="6" t="s">
        <v>60</v>
      </c>
      <c r="J779" s="6" t="s">
        <v>2101</v>
      </c>
      <c r="K779" s="7">
        <v>33.601668699999998</v>
      </c>
      <c r="L779" s="7">
        <v>-96.573808069999998</v>
      </c>
      <c r="M779" s="6" t="s">
        <v>44</v>
      </c>
      <c r="N779" s="6" t="s">
        <v>43</v>
      </c>
      <c r="O779" s="6" t="s">
        <v>42</v>
      </c>
    </row>
    <row r="780" spans="1:15" x14ac:dyDescent="0.25">
      <c r="A780" s="6" t="s">
        <v>8385</v>
      </c>
      <c r="B780" s="6" t="s">
        <v>8384</v>
      </c>
      <c r="C780" s="6" t="s">
        <v>31</v>
      </c>
      <c r="E780" s="6" t="s">
        <v>8383</v>
      </c>
      <c r="F780" s="6" t="s">
        <v>8382</v>
      </c>
      <c r="G780" s="6" t="s">
        <v>16</v>
      </c>
      <c r="H780" s="6" t="s">
        <v>15</v>
      </c>
      <c r="I780" s="6" t="s">
        <v>14</v>
      </c>
      <c r="J780" s="6" t="s">
        <v>2287</v>
      </c>
      <c r="K780" s="7">
        <v>30.915944</v>
      </c>
      <c r="L780" s="7">
        <v>-94.010698000000005</v>
      </c>
      <c r="M780" s="6" t="s">
        <v>8381</v>
      </c>
      <c r="N780" s="6" t="s">
        <v>52</v>
      </c>
      <c r="O780" s="6" t="s">
        <v>24</v>
      </c>
    </row>
    <row r="781" spans="1:15" x14ac:dyDescent="0.25">
      <c r="A781" s="6" t="s">
        <v>10752</v>
      </c>
      <c r="B781" s="6" t="s">
        <v>10751</v>
      </c>
      <c r="C781" s="6" t="s">
        <v>31</v>
      </c>
      <c r="E781" s="6" t="s">
        <v>10750</v>
      </c>
      <c r="F781" s="6" t="s">
        <v>10746</v>
      </c>
      <c r="G781" s="6" t="s">
        <v>16</v>
      </c>
      <c r="H781" s="6" t="s">
        <v>28</v>
      </c>
      <c r="I781" s="6" t="s">
        <v>27</v>
      </c>
      <c r="J781" s="6" t="s">
        <v>296</v>
      </c>
      <c r="K781" s="7">
        <v>29.673162000000001</v>
      </c>
      <c r="L781" s="7">
        <v>-96.910201999999998</v>
      </c>
      <c r="M781" s="6" t="s">
        <v>10745</v>
      </c>
      <c r="N781" s="6" t="s">
        <v>510</v>
      </c>
      <c r="O781" s="6" t="s">
        <v>160</v>
      </c>
    </row>
    <row r="782" spans="1:15" x14ac:dyDescent="0.25">
      <c r="A782" s="6" t="s">
        <v>10749</v>
      </c>
      <c r="B782" s="6" t="s">
        <v>10748</v>
      </c>
      <c r="C782" s="6" t="s">
        <v>31</v>
      </c>
      <c r="E782" s="6" t="s">
        <v>10747</v>
      </c>
      <c r="F782" s="6" t="s">
        <v>10746</v>
      </c>
      <c r="G782" s="6" t="s">
        <v>16</v>
      </c>
      <c r="H782" s="6" t="s">
        <v>28</v>
      </c>
      <c r="I782" s="6" t="s">
        <v>73</v>
      </c>
      <c r="J782" s="6" t="s">
        <v>296</v>
      </c>
      <c r="K782" s="7">
        <v>29.677485000000001</v>
      </c>
      <c r="L782" s="7">
        <v>-96.920022000000003</v>
      </c>
      <c r="M782" s="6" t="s">
        <v>10745</v>
      </c>
      <c r="N782" s="6" t="s">
        <v>510</v>
      </c>
      <c r="O782" s="6" t="s">
        <v>160</v>
      </c>
    </row>
    <row r="783" spans="1:15" x14ac:dyDescent="0.25">
      <c r="A783" s="6" t="s">
        <v>6980</v>
      </c>
      <c r="B783" s="6" t="s">
        <v>6979</v>
      </c>
      <c r="C783" s="6" t="s">
        <v>31</v>
      </c>
      <c r="E783" s="6" t="s">
        <v>6978</v>
      </c>
      <c r="F783" s="6" t="s">
        <v>6977</v>
      </c>
      <c r="G783" s="6" t="s">
        <v>16</v>
      </c>
      <c r="H783" s="6" t="s">
        <v>28</v>
      </c>
      <c r="I783" s="6" t="s">
        <v>27</v>
      </c>
      <c r="J783" s="6" t="s">
        <v>2583</v>
      </c>
      <c r="K783" s="7">
        <v>33.200916479999997</v>
      </c>
      <c r="L783" s="7">
        <v>-94.663418399999998</v>
      </c>
      <c r="M783" s="6" t="s">
        <v>2619</v>
      </c>
      <c r="N783" s="6" t="s">
        <v>42</v>
      </c>
      <c r="O783" s="6" t="s">
        <v>65</v>
      </c>
    </row>
    <row r="784" spans="1:15" x14ac:dyDescent="0.25">
      <c r="A784" s="6" t="s">
        <v>12421</v>
      </c>
      <c r="B784" s="6" t="s">
        <v>12420</v>
      </c>
      <c r="C784" s="6" t="s">
        <v>31</v>
      </c>
      <c r="E784" s="6" t="s">
        <v>12419</v>
      </c>
      <c r="F784" s="6" t="s">
        <v>2501</v>
      </c>
      <c r="G784" s="6" t="s">
        <v>16</v>
      </c>
      <c r="H784" s="6" t="s">
        <v>15</v>
      </c>
      <c r="I784" s="6" t="s">
        <v>14</v>
      </c>
      <c r="J784" s="6" t="s">
        <v>2500</v>
      </c>
      <c r="K784" s="7">
        <v>29.78842276</v>
      </c>
      <c r="L784" s="7">
        <v>-98.713809530000006</v>
      </c>
      <c r="M784" s="6" t="s">
        <v>273</v>
      </c>
      <c r="N784" s="6" t="s">
        <v>232</v>
      </c>
      <c r="O784" s="6" t="s">
        <v>231</v>
      </c>
    </row>
    <row r="785" spans="1:15" x14ac:dyDescent="0.25">
      <c r="A785" s="6" t="s">
        <v>7351</v>
      </c>
      <c r="B785" s="6" t="s">
        <v>7350</v>
      </c>
      <c r="C785" s="6" t="s">
        <v>31</v>
      </c>
      <c r="E785" s="6" t="s">
        <v>7349</v>
      </c>
      <c r="F785" s="6" t="s">
        <v>7348</v>
      </c>
      <c r="G785" s="6" t="s">
        <v>16</v>
      </c>
      <c r="H785" s="6" t="s">
        <v>15</v>
      </c>
      <c r="I785" s="6" t="s">
        <v>14</v>
      </c>
      <c r="J785" s="6" t="s">
        <v>253</v>
      </c>
      <c r="K785" s="7">
        <v>31.092350960000001</v>
      </c>
      <c r="L785" s="7">
        <v>-97.654839440000003</v>
      </c>
      <c r="M785" s="6" t="s">
        <v>1627</v>
      </c>
      <c r="N785" s="6" t="s">
        <v>23</v>
      </c>
      <c r="O785" s="6" t="s">
        <v>120</v>
      </c>
    </row>
    <row r="786" spans="1:15" x14ac:dyDescent="0.25">
      <c r="A786" s="6" t="s">
        <v>2993</v>
      </c>
      <c r="B786" s="6" t="s">
        <v>2992</v>
      </c>
      <c r="C786" s="6" t="s">
        <v>31</v>
      </c>
      <c r="E786" s="6" t="s">
        <v>2991</v>
      </c>
      <c r="F786" s="6" t="s">
        <v>2984</v>
      </c>
      <c r="G786" s="6" t="s">
        <v>16</v>
      </c>
      <c r="H786" s="6" t="s">
        <v>15</v>
      </c>
      <c r="I786" s="6" t="s">
        <v>14</v>
      </c>
      <c r="J786" s="6" t="s">
        <v>132</v>
      </c>
      <c r="K786" s="7">
        <v>29.525920070000002</v>
      </c>
      <c r="L786" s="7">
        <v>-95.814051950000007</v>
      </c>
      <c r="M786" s="6" t="s">
        <v>355</v>
      </c>
      <c r="N786" s="6" t="s">
        <v>23</v>
      </c>
      <c r="O786" s="6" t="s">
        <v>23</v>
      </c>
    </row>
    <row r="787" spans="1:15" x14ac:dyDescent="0.25">
      <c r="A787" s="6" t="s">
        <v>6873</v>
      </c>
      <c r="B787" s="6" t="s">
        <v>6872</v>
      </c>
      <c r="C787" s="6" t="s">
        <v>31</v>
      </c>
      <c r="E787" s="6" t="s">
        <v>6871</v>
      </c>
      <c r="F787" s="6" t="s">
        <v>6870</v>
      </c>
      <c r="G787" s="6" t="s">
        <v>16</v>
      </c>
      <c r="H787" s="6" t="s">
        <v>28</v>
      </c>
      <c r="I787" s="6" t="s">
        <v>27</v>
      </c>
      <c r="J787" s="6" t="s">
        <v>2768</v>
      </c>
      <c r="K787" s="7">
        <v>32.254328999999998</v>
      </c>
      <c r="L787" s="7">
        <v>-97.148196999999996</v>
      </c>
      <c r="M787" s="6" t="s">
        <v>2048</v>
      </c>
      <c r="N787" s="6" t="s">
        <v>102</v>
      </c>
      <c r="O787" s="6" t="s">
        <v>42</v>
      </c>
    </row>
    <row r="788" spans="1:15" x14ac:dyDescent="0.25">
      <c r="A788" s="6" t="s">
        <v>7898</v>
      </c>
      <c r="B788" s="6" t="s">
        <v>7897</v>
      </c>
      <c r="C788" s="6" t="s">
        <v>31</v>
      </c>
      <c r="E788" s="6" t="s">
        <v>7896</v>
      </c>
      <c r="F788" s="6" t="s">
        <v>7895</v>
      </c>
      <c r="G788" s="6" t="s">
        <v>16</v>
      </c>
      <c r="H788" s="6" t="s">
        <v>28</v>
      </c>
      <c r="I788" s="6" t="s">
        <v>27</v>
      </c>
      <c r="J788" s="6" t="s">
        <v>162</v>
      </c>
      <c r="K788" s="7">
        <v>29.057856000000001</v>
      </c>
      <c r="L788" s="7">
        <v>-95.676764000000006</v>
      </c>
      <c r="M788" s="6" t="s">
        <v>262</v>
      </c>
      <c r="N788" s="6" t="s">
        <v>231</v>
      </c>
      <c r="O788" s="6" t="s">
        <v>23</v>
      </c>
    </row>
    <row r="789" spans="1:15" x14ac:dyDescent="0.25">
      <c r="A789" s="6" t="s">
        <v>7178</v>
      </c>
      <c r="B789" s="6" t="s">
        <v>7177</v>
      </c>
      <c r="C789" s="6" t="s">
        <v>31</v>
      </c>
      <c r="E789" s="6" t="s">
        <v>7176</v>
      </c>
      <c r="F789" s="6" t="s">
        <v>6076</v>
      </c>
      <c r="G789" s="6" t="s">
        <v>16</v>
      </c>
      <c r="H789" s="6" t="s">
        <v>15</v>
      </c>
      <c r="I789" s="6" t="s">
        <v>46</v>
      </c>
      <c r="J789" s="6" t="s">
        <v>390</v>
      </c>
      <c r="K789" s="7">
        <v>26.489533860000002</v>
      </c>
      <c r="L789" s="7">
        <v>-97.772934410000005</v>
      </c>
      <c r="M789" s="6" t="s">
        <v>89</v>
      </c>
      <c r="N789" s="6" t="s">
        <v>11</v>
      </c>
      <c r="O789" s="6" t="s">
        <v>22</v>
      </c>
    </row>
    <row r="790" spans="1:15" x14ac:dyDescent="0.25">
      <c r="A790" s="6" t="s">
        <v>11077</v>
      </c>
      <c r="B790" s="6" t="s">
        <v>11076</v>
      </c>
      <c r="C790" s="6" t="s">
        <v>31</v>
      </c>
      <c r="E790" s="6" t="s">
        <v>11075</v>
      </c>
      <c r="F790" s="6" t="s">
        <v>11074</v>
      </c>
      <c r="G790" s="6" t="s">
        <v>16</v>
      </c>
      <c r="H790" s="6" t="s">
        <v>15</v>
      </c>
      <c r="I790" s="6" t="s">
        <v>14</v>
      </c>
      <c r="J790" s="6" t="s">
        <v>162</v>
      </c>
      <c r="K790" s="7">
        <v>29.36495326</v>
      </c>
      <c r="L790" s="7">
        <v>-95.233636009999998</v>
      </c>
      <c r="M790" s="6" t="s">
        <v>706</v>
      </c>
      <c r="N790" s="6" t="s">
        <v>160</v>
      </c>
      <c r="O790" s="6" t="s">
        <v>23</v>
      </c>
    </row>
    <row r="791" spans="1:15" x14ac:dyDescent="0.25">
      <c r="A791" s="6" t="s">
        <v>11793</v>
      </c>
      <c r="B791" s="6" t="s">
        <v>11792</v>
      </c>
      <c r="C791" s="6" t="s">
        <v>31</v>
      </c>
      <c r="E791" s="6" t="s">
        <v>11791</v>
      </c>
      <c r="F791" s="6" t="s">
        <v>8963</v>
      </c>
      <c r="G791" s="6" t="s">
        <v>16</v>
      </c>
      <c r="H791" s="6" t="s">
        <v>28</v>
      </c>
      <c r="I791" s="6" t="s">
        <v>27</v>
      </c>
      <c r="J791" s="6" t="s">
        <v>139</v>
      </c>
      <c r="K791" s="7">
        <v>28.045881000000001</v>
      </c>
      <c r="L791" s="7">
        <v>-97.501919000000001</v>
      </c>
      <c r="M791" s="6" t="s">
        <v>4382</v>
      </c>
      <c r="N791" s="6" t="s">
        <v>137</v>
      </c>
      <c r="O791" s="6" t="s">
        <v>10</v>
      </c>
    </row>
    <row r="792" spans="1:15" x14ac:dyDescent="0.25">
      <c r="A792" s="6" t="s">
        <v>3021</v>
      </c>
      <c r="B792" s="6" t="s">
        <v>3020</v>
      </c>
      <c r="C792" s="6" t="s">
        <v>31</v>
      </c>
      <c r="E792" s="6" t="s">
        <v>3019</v>
      </c>
      <c r="F792" s="6" t="s">
        <v>3018</v>
      </c>
      <c r="G792" s="6" t="s">
        <v>16</v>
      </c>
      <c r="H792" s="6" t="s">
        <v>15</v>
      </c>
      <c r="I792" s="6" t="s">
        <v>14</v>
      </c>
      <c r="J792" s="6" t="s">
        <v>35</v>
      </c>
      <c r="K792" s="7">
        <v>29.527574399999999</v>
      </c>
      <c r="L792" s="7">
        <v>-95.11883272</v>
      </c>
      <c r="M792" s="6" t="s">
        <v>1037</v>
      </c>
      <c r="N792" s="6" t="s">
        <v>160</v>
      </c>
      <c r="O792" s="6" t="s">
        <v>23</v>
      </c>
    </row>
    <row r="793" spans="1:15" x14ac:dyDescent="0.25">
      <c r="A793" s="6" t="s">
        <v>7540</v>
      </c>
      <c r="B793" s="6" t="s">
        <v>7539</v>
      </c>
      <c r="C793" s="6" t="s">
        <v>31</v>
      </c>
      <c r="E793" s="6" t="s">
        <v>7538</v>
      </c>
      <c r="F793" s="6" t="s">
        <v>7534</v>
      </c>
      <c r="G793" s="6" t="s">
        <v>16</v>
      </c>
      <c r="H793" s="6" t="s">
        <v>28</v>
      </c>
      <c r="I793" s="6" t="s">
        <v>60</v>
      </c>
      <c r="J793" s="6" t="s">
        <v>253</v>
      </c>
      <c r="K793" s="7">
        <v>31.124673999999999</v>
      </c>
      <c r="L793" s="7">
        <v>-97.516535000000005</v>
      </c>
      <c r="M793" s="6" t="s">
        <v>2272</v>
      </c>
      <c r="N793" s="6" t="s">
        <v>23</v>
      </c>
      <c r="O793" s="6" t="s">
        <v>120</v>
      </c>
    </row>
    <row r="794" spans="1:15" x14ac:dyDescent="0.25">
      <c r="A794" s="6" t="s">
        <v>4493</v>
      </c>
      <c r="B794" s="6" t="s">
        <v>4492</v>
      </c>
      <c r="C794" s="6" t="s">
        <v>31</v>
      </c>
      <c r="E794" s="6" t="s">
        <v>4491</v>
      </c>
      <c r="F794" s="6" t="s">
        <v>895</v>
      </c>
      <c r="G794" s="6" t="s">
        <v>16</v>
      </c>
      <c r="H794" s="6" t="s">
        <v>28</v>
      </c>
      <c r="I794" s="6" t="s">
        <v>14</v>
      </c>
      <c r="J794" s="6" t="s">
        <v>1240</v>
      </c>
      <c r="K794" s="7">
        <v>28.833687510000001</v>
      </c>
      <c r="L794" s="7">
        <v>-96.916813590000004</v>
      </c>
      <c r="M794" s="6" t="s">
        <v>1272</v>
      </c>
      <c r="N794" s="6" t="s">
        <v>82</v>
      </c>
      <c r="O794" s="6" t="s">
        <v>10</v>
      </c>
    </row>
    <row r="795" spans="1:15" x14ac:dyDescent="0.25">
      <c r="A795" s="6" t="s">
        <v>9906</v>
      </c>
      <c r="B795" s="6" t="s">
        <v>9905</v>
      </c>
      <c r="C795" s="6" t="s">
        <v>31</v>
      </c>
      <c r="E795" s="6" t="s">
        <v>9904</v>
      </c>
      <c r="F795" s="6" t="s">
        <v>9903</v>
      </c>
      <c r="G795" s="6" t="s">
        <v>16</v>
      </c>
      <c r="H795" s="6" t="s">
        <v>15</v>
      </c>
      <c r="I795" s="6" t="s">
        <v>36</v>
      </c>
      <c r="J795" s="6" t="s">
        <v>8352</v>
      </c>
      <c r="K795" s="7">
        <v>33.089057250000003</v>
      </c>
      <c r="L795" s="7">
        <v>-98.592793110000002</v>
      </c>
      <c r="M795" s="6" t="s">
        <v>6981</v>
      </c>
      <c r="N795" s="6" t="s">
        <v>23</v>
      </c>
      <c r="O795" s="6" t="s">
        <v>95</v>
      </c>
    </row>
    <row r="796" spans="1:15" x14ac:dyDescent="0.25">
      <c r="A796" s="6" t="s">
        <v>11264</v>
      </c>
      <c r="B796" s="6" t="s">
        <v>11263</v>
      </c>
      <c r="C796" s="6" t="s">
        <v>31</v>
      </c>
      <c r="E796" s="6" t="s">
        <v>11262</v>
      </c>
      <c r="F796" s="6" t="s">
        <v>8256</v>
      </c>
      <c r="G796" s="6" t="s">
        <v>16</v>
      </c>
      <c r="H796" s="6" t="s">
        <v>15</v>
      </c>
      <c r="I796" s="6" t="s">
        <v>14</v>
      </c>
      <c r="J796" s="6" t="s">
        <v>104</v>
      </c>
      <c r="K796" s="7">
        <v>32.795434190000002</v>
      </c>
      <c r="L796" s="7">
        <v>-96.517741319999999</v>
      </c>
      <c r="M796" s="6" t="s">
        <v>450</v>
      </c>
      <c r="N796" s="6" t="s">
        <v>102</v>
      </c>
      <c r="O796" s="6" t="s">
        <v>42</v>
      </c>
    </row>
    <row r="797" spans="1:15" x14ac:dyDescent="0.25">
      <c r="A797" s="6" t="s">
        <v>11261</v>
      </c>
      <c r="B797" s="6" t="s">
        <v>11260</v>
      </c>
      <c r="C797" s="6" t="s">
        <v>31</v>
      </c>
      <c r="E797" s="6" t="s">
        <v>11259</v>
      </c>
      <c r="F797" s="6" t="s">
        <v>8256</v>
      </c>
      <c r="G797" s="6" t="s">
        <v>16</v>
      </c>
      <c r="H797" s="6" t="s">
        <v>15</v>
      </c>
      <c r="I797" s="6" t="s">
        <v>46</v>
      </c>
      <c r="J797" s="6" t="s">
        <v>471</v>
      </c>
      <c r="K797" s="7">
        <v>32.868830000000003</v>
      </c>
      <c r="L797" s="7">
        <v>-96.630015999999998</v>
      </c>
      <c r="M797" s="6" t="s">
        <v>450</v>
      </c>
      <c r="N797" s="6" t="s">
        <v>102</v>
      </c>
      <c r="O797" s="6" t="s">
        <v>42</v>
      </c>
    </row>
    <row r="798" spans="1:15" x14ac:dyDescent="0.25">
      <c r="A798" s="6" t="s">
        <v>2285</v>
      </c>
      <c r="B798" s="6" t="s">
        <v>2284</v>
      </c>
      <c r="C798" s="6" t="s">
        <v>31</v>
      </c>
      <c r="E798" s="6" t="s">
        <v>2283</v>
      </c>
      <c r="F798" s="6" t="s">
        <v>2282</v>
      </c>
      <c r="G798" s="6" t="s">
        <v>16</v>
      </c>
      <c r="H798" s="6" t="s">
        <v>15</v>
      </c>
      <c r="I798" s="6" t="s">
        <v>36</v>
      </c>
      <c r="J798" s="6" t="s">
        <v>26</v>
      </c>
      <c r="K798" s="7">
        <v>30.12540358</v>
      </c>
      <c r="L798" s="7">
        <v>-95.431602209999994</v>
      </c>
      <c r="M798" s="6" t="s">
        <v>731</v>
      </c>
      <c r="N798" s="6" t="s">
        <v>24</v>
      </c>
      <c r="O798" s="6" t="s">
        <v>23</v>
      </c>
    </row>
    <row r="799" spans="1:15" x14ac:dyDescent="0.25">
      <c r="A799" s="6" t="s">
        <v>4126</v>
      </c>
      <c r="B799" s="6" t="s">
        <v>4125</v>
      </c>
      <c r="C799" s="6" t="s">
        <v>31</v>
      </c>
      <c r="E799" s="6" t="s">
        <v>4124</v>
      </c>
      <c r="F799" s="6" t="s">
        <v>736</v>
      </c>
      <c r="G799" s="6" t="s">
        <v>16</v>
      </c>
      <c r="H799" s="6" t="s">
        <v>28</v>
      </c>
      <c r="I799" s="6" t="s">
        <v>60</v>
      </c>
      <c r="J799" s="6" t="s">
        <v>1752</v>
      </c>
      <c r="K799" s="7">
        <v>30.671192040000001</v>
      </c>
      <c r="L799" s="7">
        <v>-95.151256369999999</v>
      </c>
      <c r="M799" s="6" t="s">
        <v>317</v>
      </c>
      <c r="N799" s="6" t="s">
        <v>102</v>
      </c>
      <c r="O799" s="6" t="s">
        <v>24</v>
      </c>
    </row>
    <row r="800" spans="1:15" x14ac:dyDescent="0.25">
      <c r="A800" s="6" t="s">
        <v>159</v>
      </c>
      <c r="B800" s="6" t="s">
        <v>158</v>
      </c>
      <c r="C800" s="6" t="s">
        <v>31</v>
      </c>
      <c r="E800" s="6" t="s">
        <v>157</v>
      </c>
      <c r="F800" s="6" t="s">
        <v>152</v>
      </c>
      <c r="G800" s="6" t="s">
        <v>16</v>
      </c>
      <c r="H800" s="6" t="s">
        <v>28</v>
      </c>
      <c r="I800" s="6" t="s">
        <v>14</v>
      </c>
      <c r="J800" s="6" t="s">
        <v>151</v>
      </c>
      <c r="K800" s="7">
        <v>33.049495149999998</v>
      </c>
      <c r="L800" s="7">
        <v>-97.463183270000002</v>
      </c>
      <c r="M800" s="6" t="s">
        <v>156</v>
      </c>
      <c r="N800" s="6" t="s">
        <v>102</v>
      </c>
      <c r="O800" s="6" t="s">
        <v>42</v>
      </c>
    </row>
    <row r="801" spans="1:15" x14ac:dyDescent="0.25">
      <c r="A801" s="6" t="s">
        <v>4342</v>
      </c>
      <c r="B801" s="6" t="s">
        <v>4341</v>
      </c>
      <c r="C801" s="6" t="s">
        <v>31</v>
      </c>
      <c r="E801" s="6" t="s">
        <v>4340</v>
      </c>
      <c r="F801" s="6" t="s">
        <v>4339</v>
      </c>
      <c r="G801" s="6" t="s">
        <v>16</v>
      </c>
      <c r="H801" s="6" t="s">
        <v>28</v>
      </c>
      <c r="I801" s="6" t="s">
        <v>73</v>
      </c>
      <c r="J801" s="6" t="s">
        <v>4338</v>
      </c>
      <c r="K801" s="7">
        <v>33.682584550000001</v>
      </c>
      <c r="L801" s="7">
        <v>-97.513577889999993</v>
      </c>
      <c r="M801" s="6" t="s">
        <v>3841</v>
      </c>
      <c r="N801" s="6" t="s">
        <v>102</v>
      </c>
      <c r="O801" s="6" t="s">
        <v>95</v>
      </c>
    </row>
    <row r="802" spans="1:15" x14ac:dyDescent="0.25">
      <c r="A802" s="6" t="s">
        <v>1213</v>
      </c>
      <c r="B802" s="6" t="s">
        <v>1212</v>
      </c>
      <c r="C802" s="6" t="s">
        <v>31</v>
      </c>
      <c r="E802" s="6" t="s">
        <v>1211</v>
      </c>
      <c r="F802" s="6" t="s">
        <v>1210</v>
      </c>
      <c r="G802" s="6" t="s">
        <v>16</v>
      </c>
      <c r="H802" s="6" t="s">
        <v>28</v>
      </c>
      <c r="I802" s="6" t="s">
        <v>60</v>
      </c>
      <c r="J802" s="6" t="s">
        <v>1209</v>
      </c>
      <c r="K802" s="7">
        <v>31.987096000000001</v>
      </c>
      <c r="L802" s="7">
        <v>-97.863973999999999</v>
      </c>
      <c r="M802" s="6" t="s">
        <v>1208</v>
      </c>
      <c r="N802" s="6" t="s">
        <v>23</v>
      </c>
      <c r="O802" s="6" t="s">
        <v>120</v>
      </c>
    </row>
    <row r="803" spans="1:15" x14ac:dyDescent="0.25">
      <c r="A803" s="6" t="s">
        <v>9961</v>
      </c>
      <c r="B803" s="6" t="s">
        <v>9960</v>
      </c>
      <c r="C803" s="6" t="s">
        <v>31</v>
      </c>
      <c r="E803" s="6" t="s">
        <v>9959</v>
      </c>
      <c r="F803" s="6" t="s">
        <v>9958</v>
      </c>
      <c r="G803" s="6" t="s">
        <v>16</v>
      </c>
      <c r="H803" s="6" t="s">
        <v>28</v>
      </c>
      <c r="I803" s="6" t="s">
        <v>27</v>
      </c>
      <c r="J803" s="6" t="s">
        <v>9957</v>
      </c>
      <c r="K803" s="7">
        <v>33.171748999999998</v>
      </c>
      <c r="L803" s="7">
        <v>-99.171802</v>
      </c>
      <c r="M803" s="6" t="s">
        <v>6981</v>
      </c>
      <c r="N803" s="6" t="s">
        <v>23</v>
      </c>
      <c r="O803" s="6" t="s">
        <v>95</v>
      </c>
    </row>
    <row r="804" spans="1:15" x14ac:dyDescent="0.25">
      <c r="A804" s="6" t="s">
        <v>7911</v>
      </c>
      <c r="B804" s="6" t="s">
        <v>7910</v>
      </c>
      <c r="C804" s="6" t="s">
        <v>31</v>
      </c>
      <c r="E804" s="6" t="s">
        <v>7909</v>
      </c>
      <c r="F804" s="6" t="s">
        <v>7908</v>
      </c>
      <c r="G804" s="6" t="s">
        <v>16</v>
      </c>
      <c r="H804" s="6" t="s">
        <v>15</v>
      </c>
      <c r="I804" s="6" t="s">
        <v>14</v>
      </c>
      <c r="J804" s="6" t="s">
        <v>1013</v>
      </c>
      <c r="K804" s="7">
        <v>31.166067000000002</v>
      </c>
      <c r="L804" s="7">
        <v>-94.795878999999999</v>
      </c>
      <c r="M804" s="6" t="s">
        <v>53</v>
      </c>
      <c r="N804" s="6" t="s">
        <v>52</v>
      </c>
      <c r="O804" s="6" t="s">
        <v>24</v>
      </c>
    </row>
    <row r="805" spans="1:15" x14ac:dyDescent="0.25">
      <c r="A805" s="6" t="s">
        <v>3729</v>
      </c>
      <c r="B805" s="6" t="s">
        <v>3728</v>
      </c>
      <c r="C805" s="6" t="s">
        <v>31</v>
      </c>
      <c r="E805" s="6" t="s">
        <v>3727</v>
      </c>
      <c r="F805" s="6" t="s">
        <v>3726</v>
      </c>
      <c r="G805" s="6" t="s">
        <v>16</v>
      </c>
      <c r="H805" s="6" t="s">
        <v>28</v>
      </c>
      <c r="I805" s="6" t="s">
        <v>60</v>
      </c>
      <c r="J805" s="6" t="s">
        <v>2106</v>
      </c>
      <c r="K805" s="7">
        <v>32.777584920000002</v>
      </c>
      <c r="L805" s="7">
        <v>-94.349455140000003</v>
      </c>
      <c r="M805" s="6" t="s">
        <v>2619</v>
      </c>
      <c r="N805" s="6" t="s">
        <v>42</v>
      </c>
      <c r="O805" s="6" t="s">
        <v>65</v>
      </c>
    </row>
    <row r="806" spans="1:15" x14ac:dyDescent="0.25">
      <c r="A806" s="6" t="s">
        <v>10641</v>
      </c>
      <c r="B806" s="6" t="s">
        <v>10640</v>
      </c>
      <c r="C806" s="6" t="s">
        <v>31</v>
      </c>
      <c r="E806" s="6" t="s">
        <v>10639</v>
      </c>
      <c r="F806" s="6" t="s">
        <v>844</v>
      </c>
      <c r="G806" s="6" t="s">
        <v>16</v>
      </c>
      <c r="H806" s="6" t="s">
        <v>15</v>
      </c>
      <c r="I806" s="6" t="s">
        <v>46</v>
      </c>
      <c r="J806" s="6" t="s">
        <v>151</v>
      </c>
      <c r="K806" s="7">
        <v>33.216449779999998</v>
      </c>
      <c r="L806" s="7">
        <v>-97.592097150000001</v>
      </c>
      <c r="M806" s="6" t="s">
        <v>150</v>
      </c>
      <c r="N806" s="6" t="s">
        <v>102</v>
      </c>
      <c r="O806" s="6" t="s">
        <v>42</v>
      </c>
    </row>
    <row r="807" spans="1:15" x14ac:dyDescent="0.25">
      <c r="A807" s="6" t="s">
        <v>2675</v>
      </c>
      <c r="B807" s="6" t="s">
        <v>2674</v>
      </c>
      <c r="C807" s="6" t="s">
        <v>31</v>
      </c>
      <c r="E807" s="6" t="s">
        <v>2673</v>
      </c>
      <c r="F807" s="6" t="s">
        <v>2672</v>
      </c>
      <c r="G807" s="6" t="s">
        <v>16</v>
      </c>
      <c r="H807" s="6" t="s">
        <v>28</v>
      </c>
      <c r="I807" s="6" t="s">
        <v>2671</v>
      </c>
      <c r="J807" s="6" t="s">
        <v>104</v>
      </c>
      <c r="K807" s="7">
        <v>32.609310999999998</v>
      </c>
      <c r="L807" s="7">
        <v>-96.457137000000003</v>
      </c>
      <c r="M807" s="6" t="s">
        <v>450</v>
      </c>
      <c r="N807" s="6" t="s">
        <v>102</v>
      </c>
      <c r="O807" s="6" t="s">
        <v>42</v>
      </c>
    </row>
    <row r="808" spans="1:15" x14ac:dyDescent="0.25">
      <c r="A808" s="6" t="s">
        <v>6885</v>
      </c>
      <c r="B808" s="6" t="s">
        <v>6884</v>
      </c>
      <c r="C808" s="6" t="s">
        <v>31</v>
      </c>
      <c r="E808" s="6" t="s">
        <v>6883</v>
      </c>
      <c r="F808" s="6" t="s">
        <v>6882</v>
      </c>
      <c r="G808" s="6" t="s">
        <v>16</v>
      </c>
      <c r="H808" s="6" t="s">
        <v>15</v>
      </c>
      <c r="I808" s="6" t="s">
        <v>14</v>
      </c>
      <c r="J808" s="6" t="s">
        <v>2273</v>
      </c>
      <c r="K808" s="7">
        <v>31.426633070000001</v>
      </c>
      <c r="L808" s="7">
        <v>-97.74518707</v>
      </c>
      <c r="M808" s="6" t="s">
        <v>1322</v>
      </c>
      <c r="N808" s="6" t="s">
        <v>23</v>
      </c>
      <c r="O808" s="6" t="s">
        <v>120</v>
      </c>
    </row>
    <row r="809" spans="1:15" x14ac:dyDescent="0.25">
      <c r="A809" s="6" t="s">
        <v>6254</v>
      </c>
      <c r="B809" s="6" t="s">
        <v>6253</v>
      </c>
      <c r="C809" s="6" t="s">
        <v>31</v>
      </c>
      <c r="E809" s="6" t="s">
        <v>6252</v>
      </c>
      <c r="F809" s="6" t="s">
        <v>6251</v>
      </c>
      <c r="G809" s="6" t="s">
        <v>16</v>
      </c>
      <c r="H809" s="6" t="s">
        <v>28</v>
      </c>
      <c r="I809" s="6" t="s">
        <v>27</v>
      </c>
      <c r="J809" s="6" t="s">
        <v>239</v>
      </c>
      <c r="K809" s="7">
        <v>33.077356000000002</v>
      </c>
      <c r="L809" s="7">
        <v>-96.565314999999998</v>
      </c>
      <c r="M809" s="6" t="s">
        <v>349</v>
      </c>
      <c r="N809" s="6" t="s">
        <v>102</v>
      </c>
      <c r="O809" s="6" t="s">
        <v>42</v>
      </c>
    </row>
    <row r="810" spans="1:15" x14ac:dyDescent="0.25">
      <c r="A810" s="6" t="s">
        <v>7551</v>
      </c>
      <c r="B810" s="6" t="s">
        <v>6476</v>
      </c>
      <c r="C810" s="6" t="s">
        <v>31</v>
      </c>
      <c r="E810" s="6" t="s">
        <v>6475</v>
      </c>
      <c r="F810" s="6" t="s">
        <v>736</v>
      </c>
      <c r="G810" s="6" t="s">
        <v>16</v>
      </c>
      <c r="H810" s="6" t="s">
        <v>28</v>
      </c>
      <c r="I810" s="6" t="s">
        <v>46</v>
      </c>
      <c r="J810" s="6" t="s">
        <v>1288</v>
      </c>
      <c r="K810" s="7">
        <v>32.50062707</v>
      </c>
      <c r="L810" s="7">
        <v>-97.019838719999996</v>
      </c>
      <c r="M810" s="6" t="s">
        <v>1287</v>
      </c>
      <c r="N810" s="6" t="s">
        <v>102</v>
      </c>
      <c r="O810" s="6" t="s">
        <v>42</v>
      </c>
    </row>
    <row r="811" spans="1:15" x14ac:dyDescent="0.25">
      <c r="A811" s="6" t="s">
        <v>6477</v>
      </c>
      <c r="B811" s="6" t="s">
        <v>6476</v>
      </c>
      <c r="C811" s="6" t="s">
        <v>19</v>
      </c>
      <c r="E811" s="6" t="s">
        <v>6475</v>
      </c>
      <c r="F811" s="6" t="s">
        <v>736</v>
      </c>
      <c r="G811" s="6" t="s">
        <v>16</v>
      </c>
      <c r="H811" s="6" t="s">
        <v>28</v>
      </c>
      <c r="I811" s="6" t="s">
        <v>46</v>
      </c>
      <c r="J811" s="6" t="s">
        <v>1288</v>
      </c>
      <c r="K811" s="7">
        <v>32.499796770000003</v>
      </c>
      <c r="L811" s="7">
        <v>-97.015052749999995</v>
      </c>
      <c r="M811" s="6" t="s">
        <v>1287</v>
      </c>
      <c r="N811" s="6" t="s">
        <v>102</v>
      </c>
      <c r="O811" s="6" t="s">
        <v>42</v>
      </c>
    </row>
    <row r="812" spans="1:15" x14ac:dyDescent="0.25">
      <c r="A812" s="6" t="s">
        <v>5663</v>
      </c>
      <c r="B812" s="6" t="s">
        <v>5662</v>
      </c>
      <c r="C812" s="6" t="s">
        <v>31</v>
      </c>
      <c r="E812" s="6" t="s">
        <v>5661</v>
      </c>
      <c r="F812" s="6" t="s">
        <v>5660</v>
      </c>
      <c r="G812" s="6" t="s">
        <v>16</v>
      </c>
      <c r="H812" s="6" t="s">
        <v>28</v>
      </c>
      <c r="I812" s="6" t="s">
        <v>27</v>
      </c>
      <c r="J812" s="6" t="s">
        <v>72</v>
      </c>
      <c r="K812" s="7">
        <v>31.647026539999999</v>
      </c>
      <c r="L812" s="7">
        <v>-95.061156080000003</v>
      </c>
      <c r="M812" s="6" t="s">
        <v>53</v>
      </c>
      <c r="N812" s="6" t="s">
        <v>52</v>
      </c>
      <c r="O812" s="6" t="s">
        <v>65</v>
      </c>
    </row>
    <row r="813" spans="1:15" x14ac:dyDescent="0.25">
      <c r="A813" s="6" t="s">
        <v>11090</v>
      </c>
      <c r="B813" s="6" t="s">
        <v>11089</v>
      </c>
      <c r="C813" s="6" t="s">
        <v>31</v>
      </c>
      <c r="E813" s="6" t="s">
        <v>11088</v>
      </c>
      <c r="F813" s="6" t="s">
        <v>11087</v>
      </c>
      <c r="G813" s="6" t="s">
        <v>16</v>
      </c>
      <c r="H813" s="6" t="s">
        <v>28</v>
      </c>
      <c r="I813" s="6" t="s">
        <v>27</v>
      </c>
      <c r="J813" s="6" t="s">
        <v>356</v>
      </c>
      <c r="K813" s="7">
        <v>29.778210730000001</v>
      </c>
      <c r="L813" s="7">
        <v>-95.936053439999995</v>
      </c>
      <c r="M813" s="6" t="s">
        <v>355</v>
      </c>
      <c r="N813" s="6" t="s">
        <v>23</v>
      </c>
      <c r="O813" s="6" t="s">
        <v>23</v>
      </c>
    </row>
    <row r="814" spans="1:15" x14ac:dyDescent="0.25">
      <c r="A814" s="6" t="s">
        <v>7983</v>
      </c>
      <c r="B814" s="6" t="s">
        <v>7982</v>
      </c>
      <c r="C814" s="6" t="s">
        <v>31</v>
      </c>
      <c r="E814" s="6" t="s">
        <v>7981</v>
      </c>
      <c r="F814" s="6" t="s">
        <v>7980</v>
      </c>
      <c r="G814" s="6" t="s">
        <v>16</v>
      </c>
      <c r="H814" s="6" t="s">
        <v>15</v>
      </c>
      <c r="I814" s="6" t="s">
        <v>14</v>
      </c>
      <c r="J814" s="6" t="s">
        <v>1074</v>
      </c>
      <c r="K814" s="7">
        <v>29.756954149999999</v>
      </c>
      <c r="L814" s="7">
        <v>-96.147914819999997</v>
      </c>
      <c r="M814" s="6" t="s">
        <v>355</v>
      </c>
      <c r="N814" s="6" t="s">
        <v>23</v>
      </c>
      <c r="O814" s="6" t="s">
        <v>23</v>
      </c>
    </row>
    <row r="815" spans="1:15" x14ac:dyDescent="0.25">
      <c r="A815" s="6" t="s">
        <v>11865</v>
      </c>
      <c r="B815" s="6" t="s">
        <v>11864</v>
      </c>
      <c r="C815" s="6" t="s">
        <v>31</v>
      </c>
      <c r="E815" s="6" t="s">
        <v>11863</v>
      </c>
      <c r="F815" s="6" t="s">
        <v>11862</v>
      </c>
      <c r="G815" s="6" t="s">
        <v>16</v>
      </c>
      <c r="H815" s="6" t="s">
        <v>15</v>
      </c>
      <c r="I815" s="6" t="s">
        <v>14</v>
      </c>
      <c r="J815" s="6" t="s">
        <v>35</v>
      </c>
      <c r="K815" s="7">
        <v>29.792365910000001</v>
      </c>
      <c r="L815" s="7">
        <v>-95.159698669999997</v>
      </c>
      <c r="M815" s="6" t="s">
        <v>34</v>
      </c>
      <c r="N815" s="6" t="s">
        <v>24</v>
      </c>
      <c r="O815" s="6" t="s">
        <v>23</v>
      </c>
    </row>
    <row r="816" spans="1:15" x14ac:dyDescent="0.25">
      <c r="A816" s="6" t="s">
        <v>8766</v>
      </c>
      <c r="B816" s="6" t="s">
        <v>8765</v>
      </c>
      <c r="C816" s="6" t="s">
        <v>31</v>
      </c>
      <c r="E816" s="6" t="s">
        <v>8764</v>
      </c>
      <c r="F816" s="6" t="s">
        <v>2154</v>
      </c>
      <c r="G816" s="6" t="s">
        <v>16</v>
      </c>
      <c r="H816" s="6" t="s">
        <v>15</v>
      </c>
      <c r="I816" s="6" t="s">
        <v>14</v>
      </c>
      <c r="J816" s="6" t="s">
        <v>1861</v>
      </c>
      <c r="K816" s="7">
        <v>30.668508110000001</v>
      </c>
      <c r="L816" s="7">
        <v>-96.413797459999998</v>
      </c>
      <c r="M816" s="6" t="s">
        <v>121</v>
      </c>
      <c r="N816" s="6" t="s">
        <v>23</v>
      </c>
      <c r="O816" s="6" t="s">
        <v>120</v>
      </c>
    </row>
    <row r="817" spans="1:15" x14ac:dyDescent="0.25">
      <c r="A817" s="6" t="s">
        <v>3845</v>
      </c>
      <c r="B817" s="6" t="s">
        <v>3844</v>
      </c>
      <c r="C817" s="6" t="s">
        <v>31</v>
      </c>
      <c r="E817" s="6" t="s">
        <v>3843</v>
      </c>
      <c r="F817" s="6" t="s">
        <v>3842</v>
      </c>
      <c r="G817" s="6" t="s">
        <v>16</v>
      </c>
      <c r="H817" s="6" t="s">
        <v>28</v>
      </c>
      <c r="I817" s="6" t="s">
        <v>799</v>
      </c>
      <c r="J817" s="6" t="s">
        <v>726</v>
      </c>
      <c r="K817" s="7">
        <v>33.629334</v>
      </c>
      <c r="L817" s="7">
        <v>-97.216513000000006</v>
      </c>
      <c r="M817" s="6" t="s">
        <v>3841</v>
      </c>
      <c r="N817" s="6" t="s">
        <v>102</v>
      </c>
      <c r="O817" s="6" t="s">
        <v>42</v>
      </c>
    </row>
    <row r="818" spans="1:15" x14ac:dyDescent="0.25">
      <c r="A818" s="6" t="s">
        <v>8470</v>
      </c>
      <c r="B818" s="6" t="s">
        <v>7453</v>
      </c>
      <c r="C818" s="6" t="s">
        <v>31</v>
      </c>
      <c r="E818" s="6" t="s">
        <v>7451</v>
      </c>
      <c r="F818" s="6" t="s">
        <v>7450</v>
      </c>
      <c r="G818" s="6" t="s">
        <v>16</v>
      </c>
      <c r="H818" s="6" t="s">
        <v>430</v>
      </c>
      <c r="I818" s="6" t="s">
        <v>14</v>
      </c>
      <c r="J818" s="6" t="s">
        <v>268</v>
      </c>
      <c r="K818" s="7">
        <v>32.85026105</v>
      </c>
      <c r="L818" s="7">
        <v>-97.052675679999993</v>
      </c>
      <c r="M818" s="6" t="s">
        <v>5209</v>
      </c>
      <c r="N818" s="6" t="s">
        <v>102</v>
      </c>
      <c r="O818" s="6" t="s">
        <v>42</v>
      </c>
    </row>
    <row r="819" spans="1:15" x14ac:dyDescent="0.25">
      <c r="A819" s="6" t="s">
        <v>8469</v>
      </c>
      <c r="B819" s="6" t="s">
        <v>7453</v>
      </c>
      <c r="C819" s="6" t="s">
        <v>4792</v>
      </c>
      <c r="E819" s="6" t="s">
        <v>7451</v>
      </c>
      <c r="F819" s="6" t="s">
        <v>7450</v>
      </c>
      <c r="G819" s="6" t="s">
        <v>16</v>
      </c>
      <c r="H819" s="6" t="s">
        <v>430</v>
      </c>
      <c r="I819" s="6" t="s">
        <v>14</v>
      </c>
      <c r="J819" s="6" t="s">
        <v>268</v>
      </c>
      <c r="K819" s="7">
        <v>32.872004230000002</v>
      </c>
      <c r="L819" s="7">
        <v>-97.057289979999993</v>
      </c>
      <c r="M819" s="6" t="s">
        <v>5209</v>
      </c>
      <c r="N819" s="6" t="s">
        <v>102</v>
      </c>
      <c r="O819" s="6" t="s">
        <v>42</v>
      </c>
    </row>
    <row r="820" spans="1:15" x14ac:dyDescent="0.25">
      <c r="A820" s="6" t="s">
        <v>8468</v>
      </c>
      <c r="B820" s="6" t="s">
        <v>7453</v>
      </c>
      <c r="C820" s="6" t="s">
        <v>2264</v>
      </c>
      <c r="E820" s="6" t="s">
        <v>7451</v>
      </c>
      <c r="F820" s="6" t="s">
        <v>7450</v>
      </c>
      <c r="G820" s="6" t="s">
        <v>16</v>
      </c>
      <c r="H820" s="6" t="s">
        <v>430</v>
      </c>
      <c r="I820" s="6" t="s">
        <v>14</v>
      </c>
      <c r="J820" s="6" t="s">
        <v>471</v>
      </c>
      <c r="K820" s="7">
        <v>32.896092350000004</v>
      </c>
      <c r="L820" s="7">
        <v>-97.012651320000003</v>
      </c>
      <c r="M820" s="6" t="s">
        <v>7449</v>
      </c>
      <c r="N820" s="6" t="s">
        <v>102</v>
      </c>
      <c r="O820" s="6" t="s">
        <v>42</v>
      </c>
    </row>
    <row r="821" spans="1:15" x14ac:dyDescent="0.25">
      <c r="A821" s="6" t="s">
        <v>8467</v>
      </c>
      <c r="B821" s="6" t="s">
        <v>7453</v>
      </c>
      <c r="C821" s="6" t="s">
        <v>8466</v>
      </c>
      <c r="E821" s="6" t="s">
        <v>7451</v>
      </c>
      <c r="F821" s="6" t="s">
        <v>7450</v>
      </c>
      <c r="G821" s="6" t="s">
        <v>16</v>
      </c>
      <c r="H821" s="6" t="s">
        <v>430</v>
      </c>
      <c r="I821" s="6" t="s">
        <v>14</v>
      </c>
      <c r="J821" s="6" t="s">
        <v>268</v>
      </c>
      <c r="K821" s="7">
        <v>32.867421020000002</v>
      </c>
      <c r="L821" s="7">
        <v>-97.038951940000004</v>
      </c>
      <c r="M821" s="6" t="s">
        <v>5209</v>
      </c>
      <c r="N821" s="6" t="s">
        <v>102</v>
      </c>
      <c r="O821" s="6" t="s">
        <v>42</v>
      </c>
    </row>
    <row r="822" spans="1:15" x14ac:dyDescent="0.25">
      <c r="A822" s="6" t="s">
        <v>7454</v>
      </c>
      <c r="B822" s="6" t="s">
        <v>7453</v>
      </c>
      <c r="C822" s="6" t="s">
        <v>7452</v>
      </c>
      <c r="E822" s="6" t="s">
        <v>7451</v>
      </c>
      <c r="F822" s="6" t="s">
        <v>7450</v>
      </c>
      <c r="G822" s="6" t="s">
        <v>16</v>
      </c>
      <c r="H822" s="6" t="s">
        <v>430</v>
      </c>
      <c r="I822" s="6" t="s">
        <v>14</v>
      </c>
      <c r="J822" s="6" t="s">
        <v>268</v>
      </c>
      <c r="K822" s="7">
        <v>32.920281690000003</v>
      </c>
      <c r="L822" s="7">
        <v>-97.033658979999998</v>
      </c>
      <c r="M822" s="6" t="s">
        <v>7449</v>
      </c>
      <c r="N822" s="6" t="s">
        <v>102</v>
      </c>
      <c r="O822" s="6" t="s">
        <v>42</v>
      </c>
    </row>
    <row r="823" spans="1:15" x14ac:dyDescent="0.25">
      <c r="A823" s="6" t="s">
        <v>5650</v>
      </c>
      <c r="B823" s="6" t="s">
        <v>5649</v>
      </c>
      <c r="C823" s="6" t="s">
        <v>31</v>
      </c>
      <c r="E823" s="6" t="s">
        <v>5648</v>
      </c>
      <c r="F823" s="6" t="s">
        <v>5647</v>
      </c>
      <c r="G823" s="6" t="s">
        <v>16</v>
      </c>
      <c r="H823" s="6" t="s">
        <v>28</v>
      </c>
      <c r="I823" s="6" t="s">
        <v>60</v>
      </c>
      <c r="J823" s="6" t="s">
        <v>45</v>
      </c>
      <c r="K823" s="7">
        <v>33.588490030000003</v>
      </c>
      <c r="L823" s="7">
        <v>-96.279070500000003</v>
      </c>
      <c r="M823" s="6" t="s">
        <v>44</v>
      </c>
      <c r="N823" s="6" t="s">
        <v>43</v>
      </c>
      <c r="O823" s="6" t="s">
        <v>42</v>
      </c>
    </row>
    <row r="824" spans="1:15" x14ac:dyDescent="0.25">
      <c r="A824" s="6" t="s">
        <v>5446</v>
      </c>
      <c r="B824" s="6" t="s">
        <v>5445</v>
      </c>
      <c r="C824" s="6" t="s">
        <v>31</v>
      </c>
      <c r="E824" s="6" t="s">
        <v>5444</v>
      </c>
      <c r="F824" s="6" t="s">
        <v>5443</v>
      </c>
      <c r="G824" s="6" t="s">
        <v>16</v>
      </c>
      <c r="H824" s="6" t="s">
        <v>15</v>
      </c>
      <c r="I824" s="6" t="s">
        <v>14</v>
      </c>
      <c r="J824" s="6" t="s">
        <v>1240</v>
      </c>
      <c r="K824" s="7">
        <v>28.753600930000001</v>
      </c>
      <c r="L824" s="7">
        <v>-97.006329289999996</v>
      </c>
      <c r="M824" s="6" t="s">
        <v>1739</v>
      </c>
      <c r="N824" s="6" t="s">
        <v>559</v>
      </c>
      <c r="O824" s="6" t="s">
        <v>10</v>
      </c>
    </row>
    <row r="825" spans="1:15" x14ac:dyDescent="0.25">
      <c r="A825" s="6" t="s">
        <v>4642</v>
      </c>
      <c r="B825" s="6" t="s">
        <v>4641</v>
      </c>
      <c r="C825" s="6" t="s">
        <v>31</v>
      </c>
      <c r="E825" s="6" t="s">
        <v>4640</v>
      </c>
      <c r="F825" s="6" t="s">
        <v>4639</v>
      </c>
      <c r="G825" s="6" t="s">
        <v>16</v>
      </c>
      <c r="H825" s="6" t="s">
        <v>15</v>
      </c>
      <c r="I825" s="6" t="s">
        <v>14</v>
      </c>
      <c r="J825" s="6" t="s">
        <v>1032</v>
      </c>
      <c r="K825" s="7">
        <v>29.662995280000001</v>
      </c>
      <c r="L825" s="7">
        <v>-98.072189739999999</v>
      </c>
      <c r="M825" s="6" t="s">
        <v>1567</v>
      </c>
      <c r="N825" s="6" t="s">
        <v>559</v>
      </c>
      <c r="O825" s="6" t="s">
        <v>231</v>
      </c>
    </row>
    <row r="826" spans="1:15" x14ac:dyDescent="0.25">
      <c r="A826" s="6" t="s">
        <v>8047</v>
      </c>
      <c r="B826" s="6" t="s">
        <v>4641</v>
      </c>
      <c r="C826" s="6" t="s">
        <v>19</v>
      </c>
      <c r="E826" s="6" t="s">
        <v>4640</v>
      </c>
      <c r="F826" s="6" t="s">
        <v>4639</v>
      </c>
      <c r="G826" s="6" t="s">
        <v>16</v>
      </c>
      <c r="H826" s="6" t="s">
        <v>15</v>
      </c>
      <c r="I826" s="6" t="s">
        <v>14</v>
      </c>
      <c r="J826" s="6" t="s">
        <v>1032</v>
      </c>
      <c r="K826" s="7">
        <v>29.662794250000001</v>
      </c>
      <c r="L826" s="7">
        <v>-98.072458260000005</v>
      </c>
      <c r="M826" s="6" t="s">
        <v>1567</v>
      </c>
      <c r="N826" s="6" t="s">
        <v>559</v>
      </c>
      <c r="O826" s="6" t="s">
        <v>231</v>
      </c>
    </row>
    <row r="827" spans="1:15" x14ac:dyDescent="0.25">
      <c r="A827" s="6" t="s">
        <v>6350</v>
      </c>
      <c r="B827" s="6" t="s">
        <v>6349</v>
      </c>
      <c r="C827" s="6" t="s">
        <v>31</v>
      </c>
      <c r="E827" s="6" t="s">
        <v>6348</v>
      </c>
      <c r="F827" s="6" t="s">
        <v>4639</v>
      </c>
      <c r="G827" s="6" t="s">
        <v>16</v>
      </c>
      <c r="H827" s="6" t="s">
        <v>28</v>
      </c>
      <c r="I827" s="6" t="s">
        <v>60</v>
      </c>
      <c r="J827" s="6" t="s">
        <v>274</v>
      </c>
      <c r="K827" s="7">
        <v>29.909009999999999</v>
      </c>
      <c r="L827" s="7">
        <v>-98.213216000000003</v>
      </c>
      <c r="M827" s="6" t="s">
        <v>6347</v>
      </c>
      <c r="N827" s="6" t="s">
        <v>559</v>
      </c>
      <c r="O827" s="6" t="s">
        <v>231</v>
      </c>
    </row>
    <row r="828" spans="1:15" x14ac:dyDescent="0.25">
      <c r="A828" s="6" t="s">
        <v>10634</v>
      </c>
      <c r="B828" s="6" t="s">
        <v>10633</v>
      </c>
      <c r="C828" s="6" t="s">
        <v>31</v>
      </c>
      <c r="E828" s="6" t="s">
        <v>10632</v>
      </c>
      <c r="F828" s="6" t="s">
        <v>10631</v>
      </c>
      <c r="G828" s="6" t="s">
        <v>16</v>
      </c>
      <c r="H828" s="6" t="s">
        <v>28</v>
      </c>
      <c r="I828" s="6" t="s">
        <v>60</v>
      </c>
      <c r="J828" s="6" t="s">
        <v>6988</v>
      </c>
      <c r="K828" s="7">
        <v>29.437788999999999</v>
      </c>
      <c r="L828" s="7">
        <v>-96.946696000000003</v>
      </c>
      <c r="M828" s="6" t="s">
        <v>6987</v>
      </c>
      <c r="N828" s="6" t="s">
        <v>510</v>
      </c>
      <c r="O828" s="6" t="s">
        <v>10</v>
      </c>
    </row>
    <row r="829" spans="1:15" x14ac:dyDescent="0.25">
      <c r="A829" s="6" t="s">
        <v>3739</v>
      </c>
      <c r="B829" s="6" t="s">
        <v>3738</v>
      </c>
      <c r="C829" s="6" t="s">
        <v>31</v>
      </c>
      <c r="E829" s="6" t="s">
        <v>3737</v>
      </c>
      <c r="F829" s="6" t="s">
        <v>3736</v>
      </c>
      <c r="G829" s="6" t="s">
        <v>16</v>
      </c>
      <c r="H829" s="6" t="s">
        <v>28</v>
      </c>
      <c r="I829" s="6" t="s">
        <v>27</v>
      </c>
      <c r="J829" s="6" t="s">
        <v>162</v>
      </c>
      <c r="K829" s="7">
        <v>29.010442000000001</v>
      </c>
      <c r="L829" s="7">
        <v>-95.30059</v>
      </c>
      <c r="M829" s="6" t="s">
        <v>3735</v>
      </c>
      <c r="N829" s="6" t="s">
        <v>160</v>
      </c>
      <c r="O829" s="6" t="s">
        <v>23</v>
      </c>
    </row>
    <row r="830" spans="1:15" x14ac:dyDescent="0.25">
      <c r="A830" s="6" t="s">
        <v>9175</v>
      </c>
      <c r="B830" s="6" t="s">
        <v>9174</v>
      </c>
      <c r="C830" s="6" t="s">
        <v>31</v>
      </c>
      <c r="E830" s="6" t="s">
        <v>9173</v>
      </c>
      <c r="F830" s="6" t="s">
        <v>5708</v>
      </c>
      <c r="G830" s="6" t="s">
        <v>16</v>
      </c>
      <c r="H830" s="6" t="s">
        <v>28</v>
      </c>
      <c r="I830" s="6" t="s">
        <v>73</v>
      </c>
      <c r="J830" s="6" t="s">
        <v>35</v>
      </c>
      <c r="K830" s="7">
        <v>29.913516000000001</v>
      </c>
      <c r="L830" s="7">
        <v>-95.291456999999994</v>
      </c>
      <c r="M830" s="6" t="s">
        <v>198</v>
      </c>
      <c r="N830" s="6" t="s">
        <v>24</v>
      </c>
      <c r="O830" s="6" t="s">
        <v>23</v>
      </c>
    </row>
    <row r="831" spans="1:15" x14ac:dyDescent="0.25">
      <c r="A831" s="6" t="s">
        <v>3025</v>
      </c>
      <c r="B831" s="6" t="s">
        <v>3024</v>
      </c>
      <c r="C831" s="6" t="s">
        <v>31</v>
      </c>
      <c r="E831" s="6" t="s">
        <v>3023</v>
      </c>
      <c r="F831" s="6" t="s">
        <v>3022</v>
      </c>
      <c r="G831" s="6" t="s">
        <v>16</v>
      </c>
      <c r="H831" s="6" t="s">
        <v>15</v>
      </c>
      <c r="I831" s="6" t="s">
        <v>14</v>
      </c>
      <c r="J831" s="6" t="s">
        <v>35</v>
      </c>
      <c r="K831" s="7">
        <v>29.71032988</v>
      </c>
      <c r="L831" s="7">
        <v>-95.116014530000001</v>
      </c>
      <c r="M831" s="6" t="s">
        <v>34</v>
      </c>
      <c r="N831" s="6" t="s">
        <v>24</v>
      </c>
      <c r="O831" s="6" t="s">
        <v>23</v>
      </c>
    </row>
    <row r="832" spans="1:15" x14ac:dyDescent="0.25">
      <c r="A832" s="6" t="s">
        <v>7400</v>
      </c>
      <c r="B832" s="6" t="s">
        <v>7399</v>
      </c>
      <c r="C832" s="6" t="s">
        <v>31</v>
      </c>
      <c r="E832" s="6" t="s">
        <v>7398</v>
      </c>
      <c r="F832" s="6" t="s">
        <v>7397</v>
      </c>
      <c r="G832" s="6" t="s">
        <v>16</v>
      </c>
      <c r="H832" s="6" t="s">
        <v>15</v>
      </c>
      <c r="I832" s="6" t="s">
        <v>799</v>
      </c>
      <c r="J832" s="6" t="s">
        <v>2267</v>
      </c>
      <c r="K832" s="7">
        <v>32.193465160000002</v>
      </c>
      <c r="L832" s="7">
        <v>-95.898312610000005</v>
      </c>
      <c r="M832" s="6" t="s">
        <v>1031</v>
      </c>
      <c r="N832" s="6" t="s">
        <v>102</v>
      </c>
      <c r="O832" s="6" t="s">
        <v>65</v>
      </c>
    </row>
    <row r="833" spans="1:15" x14ac:dyDescent="0.25">
      <c r="A833" s="6" t="s">
        <v>7403</v>
      </c>
      <c r="B833" s="6" t="s">
        <v>7402</v>
      </c>
      <c r="C833" s="6" t="s">
        <v>31</v>
      </c>
      <c r="E833" s="6" t="s">
        <v>7401</v>
      </c>
      <c r="F833" s="6" t="s">
        <v>7397</v>
      </c>
      <c r="G833" s="6" t="s">
        <v>16</v>
      </c>
      <c r="H833" s="6" t="s">
        <v>15</v>
      </c>
      <c r="I833" s="6" t="s">
        <v>46</v>
      </c>
      <c r="J833" s="6" t="s">
        <v>2267</v>
      </c>
      <c r="K833" s="7">
        <v>32.223021850000002</v>
      </c>
      <c r="L833" s="7">
        <v>-95.863201649999993</v>
      </c>
      <c r="M833" s="6" t="s">
        <v>193</v>
      </c>
      <c r="N833" s="6" t="s">
        <v>102</v>
      </c>
      <c r="O833" s="6" t="s">
        <v>65</v>
      </c>
    </row>
    <row r="834" spans="1:15" x14ac:dyDescent="0.25">
      <c r="A834" s="6" t="s">
        <v>2421</v>
      </c>
      <c r="B834" s="6" t="s">
        <v>2420</v>
      </c>
      <c r="C834" s="6" t="s">
        <v>31</v>
      </c>
      <c r="E834" s="6" t="s">
        <v>2419</v>
      </c>
      <c r="F834" s="6" t="s">
        <v>2418</v>
      </c>
      <c r="G834" s="6" t="s">
        <v>16</v>
      </c>
      <c r="H834" s="6" t="s">
        <v>28</v>
      </c>
      <c r="I834" s="6" t="s">
        <v>27</v>
      </c>
      <c r="J834" s="6" t="s">
        <v>26</v>
      </c>
      <c r="K834" s="7">
        <v>30.108695999999998</v>
      </c>
      <c r="L834" s="7">
        <v>-95.489259000000004</v>
      </c>
      <c r="M834" s="6" t="s">
        <v>731</v>
      </c>
      <c r="N834" s="6" t="s">
        <v>24</v>
      </c>
      <c r="O834" s="6" t="s">
        <v>23</v>
      </c>
    </row>
    <row r="835" spans="1:15" x14ac:dyDescent="0.25">
      <c r="A835" s="6" t="s">
        <v>4509</v>
      </c>
      <c r="B835" s="6" t="s">
        <v>4508</v>
      </c>
      <c r="C835" s="6" t="s">
        <v>31</v>
      </c>
      <c r="E835" s="6" t="s">
        <v>4507</v>
      </c>
      <c r="F835" s="6" t="s">
        <v>4506</v>
      </c>
      <c r="G835" s="6" t="s">
        <v>16</v>
      </c>
      <c r="H835" s="6" t="s">
        <v>28</v>
      </c>
      <c r="I835" s="6" t="s">
        <v>73</v>
      </c>
      <c r="J835" s="6" t="s">
        <v>35</v>
      </c>
      <c r="K835" s="7">
        <v>29.947769260000001</v>
      </c>
      <c r="L835" s="7">
        <v>-95.121315269999997</v>
      </c>
      <c r="M835" s="6" t="s">
        <v>716</v>
      </c>
      <c r="N835" s="6" t="s">
        <v>24</v>
      </c>
      <c r="O835" s="6" t="s">
        <v>23</v>
      </c>
    </row>
    <row r="836" spans="1:15" x14ac:dyDescent="0.25">
      <c r="A836" s="6" t="s">
        <v>9948</v>
      </c>
      <c r="B836" s="6" t="s">
        <v>9947</v>
      </c>
      <c r="C836" s="6" t="s">
        <v>31</v>
      </c>
      <c r="E836" s="6" t="s">
        <v>9946</v>
      </c>
      <c r="F836" s="6" t="s">
        <v>9945</v>
      </c>
      <c r="G836" s="6" t="s">
        <v>16</v>
      </c>
      <c r="H836" s="6" t="s">
        <v>28</v>
      </c>
      <c r="I836" s="6" t="s">
        <v>27</v>
      </c>
      <c r="J836" s="6" t="s">
        <v>3176</v>
      </c>
      <c r="K836" s="7">
        <v>32.954501999999998</v>
      </c>
      <c r="L836" s="7">
        <v>-99.779567</v>
      </c>
      <c r="M836" s="6" t="s">
        <v>4082</v>
      </c>
      <c r="N836" s="6" t="s">
        <v>23</v>
      </c>
      <c r="O836" s="6" t="s">
        <v>95</v>
      </c>
    </row>
    <row r="837" spans="1:15" x14ac:dyDescent="0.25">
      <c r="A837" s="6" t="s">
        <v>6923</v>
      </c>
      <c r="B837" s="6" t="s">
        <v>6922</v>
      </c>
      <c r="C837" s="6" t="s">
        <v>31</v>
      </c>
      <c r="E837" s="6" t="s">
        <v>6921</v>
      </c>
      <c r="F837" s="6" t="s">
        <v>6920</v>
      </c>
      <c r="G837" s="6" t="s">
        <v>16</v>
      </c>
      <c r="H837" s="6" t="s">
        <v>15</v>
      </c>
      <c r="I837" s="6" t="s">
        <v>46</v>
      </c>
      <c r="J837" s="6" t="s">
        <v>6919</v>
      </c>
      <c r="K837" s="7">
        <v>32.994978000000003</v>
      </c>
      <c r="L837" s="7">
        <v>-94.940997999999993</v>
      </c>
      <c r="M837" s="6" t="s">
        <v>1941</v>
      </c>
      <c r="N837" s="6" t="s">
        <v>42</v>
      </c>
      <c r="O837" s="6" t="s">
        <v>65</v>
      </c>
    </row>
    <row r="838" spans="1:15" x14ac:dyDescent="0.25">
      <c r="A838" s="6" t="s">
        <v>7591</v>
      </c>
      <c r="B838" s="6" t="s">
        <v>7590</v>
      </c>
      <c r="C838" s="6" t="s">
        <v>31</v>
      </c>
      <c r="E838" s="6" t="s">
        <v>7589</v>
      </c>
      <c r="F838" s="6" t="s">
        <v>6920</v>
      </c>
      <c r="G838" s="6" t="s">
        <v>16</v>
      </c>
      <c r="H838" s="6" t="s">
        <v>28</v>
      </c>
      <c r="I838" s="6" t="s">
        <v>73</v>
      </c>
      <c r="J838" s="6" t="s">
        <v>6919</v>
      </c>
      <c r="K838" s="7">
        <v>32.975474470000002</v>
      </c>
      <c r="L838" s="7">
        <v>-94.944134239999997</v>
      </c>
      <c r="M838" s="6" t="s">
        <v>1941</v>
      </c>
      <c r="N838" s="6" t="s">
        <v>42</v>
      </c>
      <c r="O838" s="6" t="s">
        <v>65</v>
      </c>
    </row>
    <row r="839" spans="1:15" x14ac:dyDescent="0.25">
      <c r="A839" s="6" t="s">
        <v>6931</v>
      </c>
      <c r="B839" s="6" t="s">
        <v>6930</v>
      </c>
      <c r="C839" s="6" t="s">
        <v>31</v>
      </c>
      <c r="E839" s="6" t="s">
        <v>6929</v>
      </c>
      <c r="F839" s="6" t="s">
        <v>6928</v>
      </c>
      <c r="G839" s="6" t="s">
        <v>16</v>
      </c>
      <c r="H839" s="6" t="s">
        <v>15</v>
      </c>
      <c r="I839" s="6" t="s">
        <v>46</v>
      </c>
      <c r="J839" s="6" t="s">
        <v>1249</v>
      </c>
      <c r="K839" s="7">
        <v>31.72653</v>
      </c>
      <c r="L839" s="7">
        <v>-95.706401999999997</v>
      </c>
      <c r="M839" s="6" t="s">
        <v>1031</v>
      </c>
      <c r="N839" s="6" t="s">
        <v>102</v>
      </c>
      <c r="O839" s="6" t="s">
        <v>65</v>
      </c>
    </row>
    <row r="840" spans="1:15" x14ac:dyDescent="0.25">
      <c r="A840" s="6" t="s">
        <v>9873</v>
      </c>
      <c r="B840" s="6" t="s">
        <v>9872</v>
      </c>
      <c r="C840" s="6" t="s">
        <v>31</v>
      </c>
      <c r="E840" s="6" t="s">
        <v>9871</v>
      </c>
      <c r="F840" s="6" t="s">
        <v>513</v>
      </c>
      <c r="G840" s="6" t="s">
        <v>16</v>
      </c>
      <c r="H840" s="6" t="s">
        <v>15</v>
      </c>
      <c r="I840" s="6" t="s">
        <v>46</v>
      </c>
      <c r="J840" s="6" t="s">
        <v>512</v>
      </c>
      <c r="K840" s="7">
        <v>27.498705999999999</v>
      </c>
      <c r="L840" s="7">
        <v>-99.493823000000006</v>
      </c>
      <c r="M840" s="6" t="s">
        <v>511</v>
      </c>
      <c r="N840" s="6" t="s">
        <v>373</v>
      </c>
      <c r="O840" s="6" t="s">
        <v>510</v>
      </c>
    </row>
    <row r="841" spans="1:15" x14ac:dyDescent="0.25">
      <c r="A841" s="6" t="s">
        <v>8389</v>
      </c>
      <c r="B841" s="6" t="s">
        <v>8388</v>
      </c>
      <c r="C841" s="6" t="s">
        <v>31</v>
      </c>
      <c r="E841" s="6" t="s">
        <v>8387</v>
      </c>
      <c r="F841" s="6" t="s">
        <v>8386</v>
      </c>
      <c r="G841" s="6" t="s">
        <v>16</v>
      </c>
      <c r="H841" s="6" t="s">
        <v>15</v>
      </c>
      <c r="I841" s="6" t="s">
        <v>14</v>
      </c>
      <c r="J841" s="6" t="s">
        <v>6760</v>
      </c>
      <c r="K841" s="7">
        <v>30.171670580000001</v>
      </c>
      <c r="L841" s="7">
        <v>-96.379359359999995</v>
      </c>
      <c r="M841" s="6" t="s">
        <v>355</v>
      </c>
      <c r="N841" s="6" t="s">
        <v>23</v>
      </c>
      <c r="O841" s="6" t="s">
        <v>120</v>
      </c>
    </row>
    <row r="842" spans="1:15" x14ac:dyDescent="0.25">
      <c r="A842" s="6" t="s">
        <v>11810</v>
      </c>
      <c r="B842" s="6" t="s">
        <v>11809</v>
      </c>
      <c r="C842" s="6" t="s">
        <v>31</v>
      </c>
      <c r="E842" s="6" t="s">
        <v>11808</v>
      </c>
      <c r="F842" s="6" t="s">
        <v>11807</v>
      </c>
      <c r="G842" s="6" t="s">
        <v>16</v>
      </c>
      <c r="H842" s="6" t="s">
        <v>15</v>
      </c>
      <c r="I842" s="6" t="s">
        <v>14</v>
      </c>
      <c r="J842" s="6" t="s">
        <v>632</v>
      </c>
      <c r="K842" s="7">
        <v>30.04012397</v>
      </c>
      <c r="L842" s="7">
        <v>-93.817663920000001</v>
      </c>
      <c r="M842" s="6" t="s">
        <v>758</v>
      </c>
      <c r="N842" s="6" t="s">
        <v>65</v>
      </c>
      <c r="O842" s="6" t="s">
        <v>24</v>
      </c>
    </row>
    <row r="843" spans="1:15" x14ac:dyDescent="0.25">
      <c r="A843" s="6" t="s">
        <v>8567</v>
      </c>
      <c r="B843" s="6" t="s">
        <v>8566</v>
      </c>
      <c r="C843" s="6" t="s">
        <v>31</v>
      </c>
      <c r="E843" s="6" t="s">
        <v>8565</v>
      </c>
      <c r="F843" s="6" t="s">
        <v>8564</v>
      </c>
      <c r="G843" s="6" t="s">
        <v>16</v>
      </c>
      <c r="H843" s="6" t="s">
        <v>15</v>
      </c>
      <c r="I843" s="6" t="s">
        <v>46</v>
      </c>
      <c r="J843" s="6" t="s">
        <v>663</v>
      </c>
      <c r="K843" s="7">
        <v>32.73888891</v>
      </c>
      <c r="L843" s="7">
        <v>-94.919722309999997</v>
      </c>
      <c r="M843" s="6" t="s">
        <v>662</v>
      </c>
      <c r="N843" s="6" t="s">
        <v>42</v>
      </c>
      <c r="O843" s="6" t="s">
        <v>65</v>
      </c>
    </row>
    <row r="844" spans="1:15" x14ac:dyDescent="0.25">
      <c r="A844" s="6" t="s">
        <v>3912</v>
      </c>
      <c r="B844" s="6" t="s">
        <v>3911</v>
      </c>
      <c r="C844" s="6" t="s">
        <v>31</v>
      </c>
      <c r="E844" s="6" t="s">
        <v>3910</v>
      </c>
      <c r="F844" s="6" t="s">
        <v>3909</v>
      </c>
      <c r="G844" s="6" t="s">
        <v>16</v>
      </c>
      <c r="H844" s="6" t="s">
        <v>15</v>
      </c>
      <c r="I844" s="6" t="s">
        <v>14</v>
      </c>
      <c r="J844" s="6" t="s">
        <v>221</v>
      </c>
      <c r="K844" s="7">
        <v>30.539956159999999</v>
      </c>
      <c r="L844" s="7">
        <v>-97.539374159999994</v>
      </c>
      <c r="M844" s="6" t="s">
        <v>3908</v>
      </c>
      <c r="N844" s="6" t="s">
        <v>23</v>
      </c>
      <c r="O844" s="6" t="s">
        <v>160</v>
      </c>
    </row>
    <row r="845" spans="1:15" x14ac:dyDescent="0.25">
      <c r="A845" s="6" t="s">
        <v>5488</v>
      </c>
      <c r="B845" s="6" t="s">
        <v>5487</v>
      </c>
      <c r="C845" s="6" t="s">
        <v>31</v>
      </c>
      <c r="E845" s="6" t="s">
        <v>5486</v>
      </c>
      <c r="F845" s="6" t="s">
        <v>5485</v>
      </c>
      <c r="G845" s="6" t="s">
        <v>16</v>
      </c>
      <c r="H845" s="6" t="s">
        <v>28</v>
      </c>
      <c r="I845" s="6" t="s">
        <v>73</v>
      </c>
      <c r="J845" s="6" t="s">
        <v>162</v>
      </c>
      <c r="K845" s="7">
        <v>29.015550999999999</v>
      </c>
      <c r="L845" s="7">
        <v>-95.586212000000003</v>
      </c>
      <c r="M845" s="6" t="s">
        <v>262</v>
      </c>
      <c r="N845" s="6" t="s">
        <v>231</v>
      </c>
      <c r="O845" s="6" t="s">
        <v>23</v>
      </c>
    </row>
    <row r="846" spans="1:15" x14ac:dyDescent="0.25">
      <c r="A846" s="6" t="s">
        <v>4233</v>
      </c>
      <c r="B846" s="6" t="s">
        <v>4232</v>
      </c>
      <c r="C846" s="6" t="s">
        <v>31</v>
      </c>
      <c r="E846" s="6" t="s">
        <v>4231</v>
      </c>
      <c r="F846" s="6" t="s">
        <v>4230</v>
      </c>
      <c r="G846" s="6" t="s">
        <v>16</v>
      </c>
      <c r="H846" s="6" t="s">
        <v>28</v>
      </c>
      <c r="I846" s="6" t="s">
        <v>350</v>
      </c>
      <c r="J846" s="6" t="s">
        <v>35</v>
      </c>
      <c r="K846" s="7">
        <v>29.953412</v>
      </c>
      <c r="L846" s="7">
        <v>-95.263041000000001</v>
      </c>
      <c r="M846" s="6" t="s">
        <v>198</v>
      </c>
      <c r="N846" s="6" t="s">
        <v>24</v>
      </c>
      <c r="O846" s="6" t="s">
        <v>23</v>
      </c>
    </row>
    <row r="847" spans="1:15" x14ac:dyDescent="0.25">
      <c r="A847" s="6" t="s">
        <v>2312</v>
      </c>
      <c r="B847" s="6" t="s">
        <v>2311</v>
      </c>
      <c r="C847" s="6" t="s">
        <v>31</v>
      </c>
      <c r="E847" s="6" t="s">
        <v>2310</v>
      </c>
      <c r="F847" s="6" t="s">
        <v>2309</v>
      </c>
      <c r="G847" s="6" t="s">
        <v>16</v>
      </c>
      <c r="H847" s="6" t="s">
        <v>28</v>
      </c>
      <c r="I847" s="6" t="s">
        <v>60</v>
      </c>
      <c r="J847" s="6" t="s">
        <v>26</v>
      </c>
      <c r="K847" s="7">
        <v>30.241895</v>
      </c>
      <c r="L847" s="7">
        <v>-95.438610999999995</v>
      </c>
      <c r="M847" s="6" t="s">
        <v>1022</v>
      </c>
      <c r="N847" s="6" t="s">
        <v>24</v>
      </c>
      <c r="O847" s="6" t="s">
        <v>23</v>
      </c>
    </row>
    <row r="848" spans="1:15" x14ac:dyDescent="0.25">
      <c r="A848" s="6" t="s">
        <v>3017</v>
      </c>
      <c r="B848" s="6" t="s">
        <v>3016</v>
      </c>
      <c r="C848" s="6" t="s">
        <v>31</v>
      </c>
      <c r="E848" s="6" t="s">
        <v>3015</v>
      </c>
      <c r="F848" s="6" t="s">
        <v>3014</v>
      </c>
      <c r="G848" s="6" t="s">
        <v>16</v>
      </c>
      <c r="H848" s="6" t="s">
        <v>15</v>
      </c>
      <c r="I848" s="6" t="s">
        <v>14</v>
      </c>
      <c r="J848" s="6" t="s">
        <v>139</v>
      </c>
      <c r="K848" s="7">
        <v>27.88579798</v>
      </c>
      <c r="L848" s="7">
        <v>-97.148603039999998</v>
      </c>
      <c r="M848" s="6" t="s">
        <v>819</v>
      </c>
      <c r="N848" s="6" t="s">
        <v>137</v>
      </c>
      <c r="O848" s="6" t="s">
        <v>10</v>
      </c>
    </row>
    <row r="849" spans="1:15" x14ac:dyDescent="0.25">
      <c r="A849" s="6" t="s">
        <v>10396</v>
      </c>
      <c r="B849" s="6" t="s">
        <v>3016</v>
      </c>
      <c r="C849" s="6" t="s">
        <v>19</v>
      </c>
      <c r="E849" s="6" t="s">
        <v>3015</v>
      </c>
      <c r="F849" s="6" t="s">
        <v>3014</v>
      </c>
      <c r="G849" s="6" t="s">
        <v>16</v>
      </c>
      <c r="H849" s="6" t="s">
        <v>28</v>
      </c>
      <c r="I849" s="6" t="s">
        <v>14</v>
      </c>
      <c r="J849" s="6" t="s">
        <v>139</v>
      </c>
      <c r="K849" s="7">
        <v>27.887050330000001</v>
      </c>
      <c r="L849" s="7">
        <v>-97.151681409999995</v>
      </c>
      <c r="M849" s="6" t="s">
        <v>819</v>
      </c>
      <c r="N849" s="6" t="s">
        <v>137</v>
      </c>
      <c r="O849" s="6" t="s">
        <v>10</v>
      </c>
    </row>
    <row r="850" spans="1:15" x14ac:dyDescent="0.25">
      <c r="A850" s="6" t="s">
        <v>7809</v>
      </c>
      <c r="B850" s="6" t="s">
        <v>7808</v>
      </c>
      <c r="C850" s="6" t="s">
        <v>31</v>
      </c>
      <c r="E850" s="6" t="s">
        <v>7807</v>
      </c>
      <c r="F850" s="6" t="s">
        <v>7803</v>
      </c>
      <c r="G850" s="6" t="s">
        <v>16</v>
      </c>
      <c r="H850" s="6" t="s">
        <v>28</v>
      </c>
      <c r="I850" s="6" t="s">
        <v>14</v>
      </c>
      <c r="J850" s="6" t="s">
        <v>7802</v>
      </c>
      <c r="K850" s="7">
        <v>30.918223730000001</v>
      </c>
      <c r="L850" s="7">
        <v>-99.779302229999999</v>
      </c>
      <c r="M850" s="6" t="s">
        <v>500</v>
      </c>
      <c r="N850" s="6" t="s">
        <v>10</v>
      </c>
      <c r="O850" s="6" t="s">
        <v>102</v>
      </c>
    </row>
    <row r="851" spans="1:15" x14ac:dyDescent="0.25">
      <c r="A851" s="6" t="s">
        <v>136</v>
      </c>
      <c r="B851" s="6" t="s">
        <v>135</v>
      </c>
      <c r="C851" s="6" t="s">
        <v>31</v>
      </c>
      <c r="E851" s="6" t="s">
        <v>134</v>
      </c>
      <c r="F851" s="6" t="s">
        <v>133</v>
      </c>
      <c r="G851" s="6" t="s">
        <v>16</v>
      </c>
      <c r="H851" s="6" t="s">
        <v>15</v>
      </c>
      <c r="I851" s="6" t="s">
        <v>36</v>
      </c>
      <c r="J851" s="6" t="s">
        <v>132</v>
      </c>
      <c r="K851" s="7">
        <v>29.7724981</v>
      </c>
      <c r="L851" s="7">
        <v>-95.827206689999997</v>
      </c>
      <c r="M851" s="6" t="s">
        <v>131</v>
      </c>
      <c r="N851" s="6" t="s">
        <v>24</v>
      </c>
      <c r="O851" s="6" t="s">
        <v>23</v>
      </c>
    </row>
    <row r="852" spans="1:15" x14ac:dyDescent="0.25">
      <c r="A852" s="6" t="s">
        <v>8653</v>
      </c>
      <c r="B852" s="6" t="s">
        <v>8652</v>
      </c>
      <c r="C852" s="6" t="s">
        <v>31</v>
      </c>
      <c r="E852" s="6" t="s">
        <v>8651</v>
      </c>
      <c r="F852" s="6" t="s">
        <v>8650</v>
      </c>
      <c r="G852" s="6" t="s">
        <v>16</v>
      </c>
      <c r="H852" s="6" t="s">
        <v>28</v>
      </c>
      <c r="I852" s="6" t="s">
        <v>27</v>
      </c>
      <c r="J852" s="6" t="s">
        <v>306</v>
      </c>
      <c r="K852" s="7">
        <v>33.823154000000002</v>
      </c>
      <c r="L852" s="7">
        <v>-98.686447999999999</v>
      </c>
      <c r="M852" s="6" t="s">
        <v>8649</v>
      </c>
      <c r="N852" s="6" t="s">
        <v>43</v>
      </c>
      <c r="O852" s="6" t="s">
        <v>95</v>
      </c>
    </row>
    <row r="853" spans="1:15" x14ac:dyDescent="0.25">
      <c r="A853" s="6" t="s">
        <v>11822</v>
      </c>
      <c r="B853" s="6" t="s">
        <v>11821</v>
      </c>
      <c r="C853" s="6" t="s">
        <v>31</v>
      </c>
      <c r="E853" s="6" t="s">
        <v>11820</v>
      </c>
      <c r="F853" s="6" t="s">
        <v>11819</v>
      </c>
      <c r="G853" s="6" t="s">
        <v>16</v>
      </c>
      <c r="H853" s="6" t="s">
        <v>15</v>
      </c>
      <c r="I853" s="6" t="s">
        <v>14</v>
      </c>
      <c r="J853" s="6" t="s">
        <v>162</v>
      </c>
      <c r="K853" s="7">
        <v>29.02115547</v>
      </c>
      <c r="L853" s="7">
        <v>-95.458956720000003</v>
      </c>
      <c r="M853" s="6" t="s">
        <v>244</v>
      </c>
      <c r="N853" s="6" t="s">
        <v>23</v>
      </c>
      <c r="O853" s="6" t="s">
        <v>23</v>
      </c>
    </row>
    <row r="854" spans="1:15" x14ac:dyDescent="0.25">
      <c r="A854" s="6" t="s">
        <v>9718</v>
      </c>
      <c r="B854" s="6" t="s">
        <v>9717</v>
      </c>
      <c r="C854" s="6" t="s">
        <v>31</v>
      </c>
      <c r="E854" s="6" t="s">
        <v>9716</v>
      </c>
      <c r="F854" s="6" t="s">
        <v>9708</v>
      </c>
      <c r="G854" s="6" t="s">
        <v>16</v>
      </c>
      <c r="H854" s="6" t="s">
        <v>15</v>
      </c>
      <c r="I854" s="6" t="s">
        <v>46</v>
      </c>
      <c r="J854" s="6" t="s">
        <v>537</v>
      </c>
      <c r="K854" s="7">
        <v>35.332403759999998</v>
      </c>
      <c r="L854" s="7">
        <v>-101.80426523</v>
      </c>
      <c r="M854" s="6" t="s">
        <v>4325</v>
      </c>
      <c r="N854" s="6" t="s">
        <v>535</v>
      </c>
      <c r="O854" s="6" t="s">
        <v>535</v>
      </c>
    </row>
    <row r="855" spans="1:15" x14ac:dyDescent="0.25">
      <c r="A855" s="6" t="s">
        <v>9715</v>
      </c>
      <c r="B855" s="6" t="s">
        <v>9713</v>
      </c>
      <c r="C855" s="6" t="s">
        <v>31</v>
      </c>
      <c r="E855" s="6" t="s">
        <v>9712</v>
      </c>
      <c r="F855" s="6" t="s">
        <v>9708</v>
      </c>
      <c r="G855" s="6" t="s">
        <v>16</v>
      </c>
      <c r="H855" s="6" t="s">
        <v>15</v>
      </c>
      <c r="I855" s="6" t="s">
        <v>46</v>
      </c>
      <c r="J855" s="6" t="s">
        <v>9707</v>
      </c>
      <c r="K855" s="7">
        <v>35.0498239</v>
      </c>
      <c r="L855" s="7">
        <v>-101.75695371</v>
      </c>
      <c r="M855" s="6" t="s">
        <v>536</v>
      </c>
      <c r="N855" s="6" t="s">
        <v>43</v>
      </c>
      <c r="O855" s="6" t="s">
        <v>535</v>
      </c>
    </row>
    <row r="856" spans="1:15" x14ac:dyDescent="0.25">
      <c r="A856" s="6" t="s">
        <v>9714</v>
      </c>
      <c r="B856" s="6" t="s">
        <v>9713</v>
      </c>
      <c r="C856" s="6" t="s">
        <v>19</v>
      </c>
      <c r="E856" s="6" t="s">
        <v>9712</v>
      </c>
      <c r="F856" s="6" t="s">
        <v>9708</v>
      </c>
      <c r="G856" s="6" t="s">
        <v>16</v>
      </c>
      <c r="H856" s="6" t="s">
        <v>15</v>
      </c>
      <c r="I856" s="6" t="s">
        <v>46</v>
      </c>
      <c r="J856" s="6" t="s">
        <v>9707</v>
      </c>
      <c r="K856" s="7">
        <v>35.05698494</v>
      </c>
      <c r="L856" s="7">
        <v>-101.76822686</v>
      </c>
      <c r="M856" s="6" t="s">
        <v>536</v>
      </c>
      <c r="N856" s="6" t="s">
        <v>43</v>
      </c>
      <c r="O856" s="6" t="s">
        <v>535</v>
      </c>
    </row>
    <row r="857" spans="1:15" x14ac:dyDescent="0.25">
      <c r="A857" s="6" t="s">
        <v>7852</v>
      </c>
      <c r="B857" s="6" t="s">
        <v>7851</v>
      </c>
      <c r="C857" s="6" t="s">
        <v>31</v>
      </c>
      <c r="E857" s="6" t="s">
        <v>7850</v>
      </c>
      <c r="F857" s="6" t="s">
        <v>7849</v>
      </c>
      <c r="G857" s="6" t="s">
        <v>16</v>
      </c>
      <c r="H857" s="6" t="s">
        <v>28</v>
      </c>
      <c r="I857" s="6" t="s">
        <v>46</v>
      </c>
      <c r="J857" s="6" t="s">
        <v>323</v>
      </c>
      <c r="K857" s="7">
        <v>30.767430999999998</v>
      </c>
      <c r="L857" s="7">
        <v>-94.411141000000001</v>
      </c>
      <c r="M857" s="6" t="s">
        <v>1704</v>
      </c>
      <c r="N857" s="6" t="s">
        <v>52</v>
      </c>
      <c r="O857" s="6" t="s">
        <v>24</v>
      </c>
    </row>
    <row r="858" spans="1:15" x14ac:dyDescent="0.25">
      <c r="A858" s="6" t="s">
        <v>8853</v>
      </c>
      <c r="B858" s="6" t="s">
        <v>8852</v>
      </c>
      <c r="C858" s="6" t="s">
        <v>31</v>
      </c>
      <c r="E858" s="6" t="s">
        <v>8851</v>
      </c>
      <c r="F858" s="6" t="s">
        <v>8850</v>
      </c>
      <c r="G858" s="6" t="s">
        <v>16</v>
      </c>
      <c r="H858" s="6" t="s">
        <v>28</v>
      </c>
      <c r="I858" s="6" t="s">
        <v>60</v>
      </c>
      <c r="J858" s="6" t="s">
        <v>1064</v>
      </c>
      <c r="K858" s="7">
        <v>29.529651000000001</v>
      </c>
      <c r="L858" s="7">
        <v>-96.056301000000005</v>
      </c>
      <c r="M858" s="6" t="s">
        <v>1063</v>
      </c>
      <c r="N858" s="6" t="s">
        <v>231</v>
      </c>
      <c r="O858" s="6" t="s">
        <v>23</v>
      </c>
    </row>
    <row r="859" spans="1:15" x14ac:dyDescent="0.25">
      <c r="A859" s="6" t="s">
        <v>11826</v>
      </c>
      <c r="B859" s="6" t="s">
        <v>11825</v>
      </c>
      <c r="C859" s="6" t="s">
        <v>31</v>
      </c>
      <c r="E859" s="6" t="s">
        <v>11824</v>
      </c>
      <c r="F859" s="6" t="s">
        <v>11823</v>
      </c>
      <c r="G859" s="6" t="s">
        <v>16</v>
      </c>
      <c r="H859" s="6" t="s">
        <v>15</v>
      </c>
      <c r="I859" s="6" t="s">
        <v>14</v>
      </c>
      <c r="J859" s="6" t="s">
        <v>3459</v>
      </c>
      <c r="K859" s="7">
        <v>30.85704337</v>
      </c>
      <c r="L859" s="7">
        <v>-96.601715799999994</v>
      </c>
      <c r="M859" s="6" t="s">
        <v>121</v>
      </c>
      <c r="N859" s="6" t="s">
        <v>23</v>
      </c>
      <c r="O859" s="6" t="s">
        <v>120</v>
      </c>
    </row>
    <row r="860" spans="1:15" x14ac:dyDescent="0.25">
      <c r="A860" s="6" t="s">
        <v>7355</v>
      </c>
      <c r="B860" s="6" t="s">
        <v>7354</v>
      </c>
      <c r="C860" s="6" t="s">
        <v>31</v>
      </c>
      <c r="E860" s="6" t="s">
        <v>7353</v>
      </c>
      <c r="F860" s="6" t="s">
        <v>7352</v>
      </c>
      <c r="G860" s="6" t="s">
        <v>16</v>
      </c>
      <c r="H860" s="6" t="s">
        <v>28</v>
      </c>
      <c r="I860" s="6" t="s">
        <v>2430</v>
      </c>
      <c r="J860" s="6" t="s">
        <v>1382</v>
      </c>
      <c r="K860" s="7">
        <v>31.297402999999999</v>
      </c>
      <c r="L860" s="7">
        <v>-95.441890999999998</v>
      </c>
      <c r="M860" s="6" t="s">
        <v>317</v>
      </c>
      <c r="N860" s="6" t="s">
        <v>102</v>
      </c>
      <c r="O860" s="6" t="s">
        <v>24</v>
      </c>
    </row>
    <row r="861" spans="1:15" x14ac:dyDescent="0.25">
      <c r="A861" s="6" t="s">
        <v>7868</v>
      </c>
      <c r="B861" s="6" t="s">
        <v>7867</v>
      </c>
      <c r="C861" s="6" t="s">
        <v>31</v>
      </c>
      <c r="E861" s="6" t="s">
        <v>7866</v>
      </c>
      <c r="F861" s="6" t="s">
        <v>7865</v>
      </c>
      <c r="G861" s="6" t="s">
        <v>16</v>
      </c>
      <c r="H861" s="6" t="s">
        <v>28</v>
      </c>
      <c r="I861" s="6" t="s">
        <v>27</v>
      </c>
      <c r="J861" s="6" t="s">
        <v>3523</v>
      </c>
      <c r="K861" s="7">
        <v>29.697921000000001</v>
      </c>
      <c r="L861" s="7">
        <v>-96.766126</v>
      </c>
      <c r="M861" s="6" t="s">
        <v>295</v>
      </c>
      <c r="N861" s="6" t="s">
        <v>10</v>
      </c>
      <c r="O861" s="6" t="s">
        <v>23</v>
      </c>
    </row>
    <row r="862" spans="1:15" x14ac:dyDescent="0.25">
      <c r="A862" s="6" t="s">
        <v>7117</v>
      </c>
      <c r="B862" s="6" t="s">
        <v>7116</v>
      </c>
      <c r="C862" s="6" t="s">
        <v>31</v>
      </c>
      <c r="E862" s="6" t="s">
        <v>7115</v>
      </c>
      <c r="F862" s="6" t="s">
        <v>116</v>
      </c>
      <c r="G862" s="6" t="s">
        <v>16</v>
      </c>
      <c r="H862" s="6" t="s">
        <v>15</v>
      </c>
      <c r="I862" s="6" t="s">
        <v>60</v>
      </c>
      <c r="J862" s="6" t="s">
        <v>239</v>
      </c>
      <c r="K862" s="7">
        <v>32.997818000000002</v>
      </c>
      <c r="L862" s="7">
        <v>-96.550831000000002</v>
      </c>
      <c r="M862" s="6" t="s">
        <v>5476</v>
      </c>
      <c r="N862" s="6" t="s">
        <v>102</v>
      </c>
      <c r="O862" s="6" t="s">
        <v>42</v>
      </c>
    </row>
    <row r="863" spans="1:15" x14ac:dyDescent="0.25">
      <c r="A863" s="6" t="s">
        <v>5320</v>
      </c>
      <c r="B863" s="6" t="s">
        <v>5319</v>
      </c>
      <c r="C863" s="6" t="s">
        <v>31</v>
      </c>
      <c r="E863" s="6" t="s">
        <v>5318</v>
      </c>
      <c r="F863" s="6" t="s">
        <v>5317</v>
      </c>
      <c r="G863" s="6" t="s">
        <v>16</v>
      </c>
      <c r="H863" s="6" t="s">
        <v>28</v>
      </c>
      <c r="I863" s="6" t="s">
        <v>27</v>
      </c>
      <c r="J863" s="6" t="s">
        <v>1074</v>
      </c>
      <c r="K863" s="7">
        <v>29.636355999999999</v>
      </c>
      <c r="L863" s="7">
        <v>-96.075284999999994</v>
      </c>
      <c r="M863" s="6" t="s">
        <v>355</v>
      </c>
      <c r="N863" s="6" t="s">
        <v>23</v>
      </c>
      <c r="O863" s="6" t="s">
        <v>23</v>
      </c>
    </row>
    <row r="864" spans="1:15" x14ac:dyDescent="0.25">
      <c r="A864" s="6" t="s">
        <v>7396</v>
      </c>
      <c r="B864" s="6" t="s">
        <v>7395</v>
      </c>
      <c r="C864" s="6" t="s">
        <v>31</v>
      </c>
      <c r="E864" s="6" t="s">
        <v>7394</v>
      </c>
      <c r="F864" s="6" t="s">
        <v>7393</v>
      </c>
      <c r="G864" s="6" t="s">
        <v>16</v>
      </c>
      <c r="H864" s="6" t="s">
        <v>28</v>
      </c>
      <c r="I864" s="6" t="s">
        <v>27</v>
      </c>
      <c r="J864" s="6" t="s">
        <v>5842</v>
      </c>
      <c r="K864" s="7">
        <v>28.5252789</v>
      </c>
      <c r="L864" s="7">
        <v>-99.848054059999996</v>
      </c>
      <c r="M864" s="6" t="s">
        <v>5841</v>
      </c>
      <c r="N864" s="6" t="s">
        <v>524</v>
      </c>
      <c r="O864" s="6" t="s">
        <v>510</v>
      </c>
    </row>
    <row r="865" spans="1:15" x14ac:dyDescent="0.25">
      <c r="A865" s="6" t="s">
        <v>9925</v>
      </c>
      <c r="B865" s="6" t="s">
        <v>9924</v>
      </c>
      <c r="C865" s="6" t="s">
        <v>31</v>
      </c>
      <c r="E865" s="6" t="s">
        <v>9923</v>
      </c>
      <c r="F865" s="6" t="s">
        <v>549</v>
      </c>
      <c r="G865" s="6" t="s">
        <v>16</v>
      </c>
      <c r="H865" s="6" t="s">
        <v>15</v>
      </c>
      <c r="I865" s="6" t="s">
        <v>46</v>
      </c>
      <c r="J865" s="6" t="s">
        <v>548</v>
      </c>
      <c r="K865" s="7">
        <v>33.435393259999998</v>
      </c>
      <c r="L865" s="7">
        <v>-94.409447959999994</v>
      </c>
      <c r="M865" s="6" t="s">
        <v>547</v>
      </c>
      <c r="N865" s="6" t="s">
        <v>95</v>
      </c>
      <c r="O865" s="6" t="s">
        <v>65</v>
      </c>
    </row>
    <row r="866" spans="1:15" x14ac:dyDescent="0.25">
      <c r="A866" s="6" t="s">
        <v>10638</v>
      </c>
      <c r="B866" s="6" t="s">
        <v>10637</v>
      </c>
      <c r="C866" s="6" t="s">
        <v>31</v>
      </c>
      <c r="E866" s="6" t="s">
        <v>10636</v>
      </c>
      <c r="F866" s="6" t="s">
        <v>10635</v>
      </c>
      <c r="G866" s="6" t="s">
        <v>16</v>
      </c>
      <c r="H866" s="6" t="s">
        <v>28</v>
      </c>
      <c r="I866" s="6" t="s">
        <v>27</v>
      </c>
      <c r="J866" s="6" t="s">
        <v>4135</v>
      </c>
      <c r="K866" s="7">
        <v>29.027920000000002</v>
      </c>
      <c r="L866" s="7">
        <v>-96.512338999999997</v>
      </c>
      <c r="M866" s="6" t="s">
        <v>2429</v>
      </c>
      <c r="N866" s="6" t="s">
        <v>510</v>
      </c>
      <c r="O866" s="6" t="s">
        <v>10</v>
      </c>
    </row>
    <row r="867" spans="1:15" x14ac:dyDescent="0.25">
      <c r="A867" s="6" t="s">
        <v>8548</v>
      </c>
      <c r="B867" s="6" t="s">
        <v>8547</v>
      </c>
      <c r="C867" s="6" t="s">
        <v>31</v>
      </c>
      <c r="E867" s="6" t="s">
        <v>8546</v>
      </c>
      <c r="F867" s="6" t="s">
        <v>8545</v>
      </c>
      <c r="G867" s="6" t="s">
        <v>16</v>
      </c>
      <c r="H867" s="6" t="s">
        <v>28</v>
      </c>
      <c r="I867" s="6" t="s">
        <v>60</v>
      </c>
      <c r="J867" s="6" t="s">
        <v>7844</v>
      </c>
      <c r="K867" s="7">
        <v>29.273063</v>
      </c>
      <c r="L867" s="7">
        <v>-97.157809</v>
      </c>
      <c r="M867" s="6" t="s">
        <v>6987</v>
      </c>
      <c r="N867" s="6" t="s">
        <v>510</v>
      </c>
      <c r="O867" s="6" t="s">
        <v>10</v>
      </c>
    </row>
    <row r="868" spans="1:15" x14ac:dyDescent="0.25">
      <c r="A868" s="6" t="s">
        <v>7968</v>
      </c>
      <c r="B868" s="6" t="s">
        <v>7967</v>
      </c>
      <c r="C868" s="6" t="s">
        <v>31</v>
      </c>
      <c r="E868" s="6" t="s">
        <v>7966</v>
      </c>
      <c r="F868" s="6" t="s">
        <v>7965</v>
      </c>
      <c r="G868" s="6" t="s">
        <v>16</v>
      </c>
      <c r="H868" s="6" t="s">
        <v>28</v>
      </c>
      <c r="I868" s="6" t="s">
        <v>60</v>
      </c>
      <c r="J868" s="6" t="s">
        <v>6988</v>
      </c>
      <c r="K868" s="7">
        <v>29.416041</v>
      </c>
      <c r="L868" s="7">
        <v>-97.164170999999996</v>
      </c>
      <c r="M868" s="6" t="s">
        <v>6987</v>
      </c>
      <c r="N868" s="6" t="s">
        <v>510</v>
      </c>
      <c r="O868" s="6" t="s">
        <v>10</v>
      </c>
    </row>
    <row r="869" spans="1:15" x14ac:dyDescent="0.25">
      <c r="A869" s="6" t="s">
        <v>9065</v>
      </c>
      <c r="B869" s="6" t="s">
        <v>9064</v>
      </c>
      <c r="C869" s="6" t="s">
        <v>31</v>
      </c>
      <c r="E869" s="6" t="s">
        <v>9063</v>
      </c>
      <c r="F869" s="6" t="s">
        <v>6080</v>
      </c>
      <c r="G869" s="6" t="s">
        <v>16</v>
      </c>
      <c r="H869" s="6" t="s">
        <v>28</v>
      </c>
      <c r="I869" s="6" t="s">
        <v>27</v>
      </c>
      <c r="J869" s="6" t="s">
        <v>122</v>
      </c>
      <c r="K869" s="7">
        <v>31.532350999999998</v>
      </c>
      <c r="L869" s="7">
        <v>-96.844200000000001</v>
      </c>
      <c r="M869" s="6" t="s">
        <v>121</v>
      </c>
      <c r="N869" s="6" t="s">
        <v>23</v>
      </c>
      <c r="O869" s="6" t="s">
        <v>120</v>
      </c>
    </row>
    <row r="870" spans="1:15" x14ac:dyDescent="0.25">
      <c r="A870" s="6" t="s">
        <v>7864</v>
      </c>
      <c r="B870" s="6" t="s">
        <v>7863</v>
      </c>
      <c r="C870" s="6" t="s">
        <v>31</v>
      </c>
      <c r="E870" s="6" t="s">
        <v>7862</v>
      </c>
      <c r="F870" s="6" t="s">
        <v>7861</v>
      </c>
      <c r="G870" s="6" t="s">
        <v>16</v>
      </c>
      <c r="H870" s="6" t="s">
        <v>15</v>
      </c>
      <c r="I870" s="6" t="s">
        <v>14</v>
      </c>
      <c r="J870" s="6" t="s">
        <v>162</v>
      </c>
      <c r="K870" s="7">
        <v>29.137145709999999</v>
      </c>
      <c r="L870" s="7">
        <v>-95.625341199999994</v>
      </c>
      <c r="M870" s="6" t="s">
        <v>355</v>
      </c>
      <c r="N870" s="6" t="s">
        <v>23</v>
      </c>
      <c r="O870" s="6" t="s">
        <v>23</v>
      </c>
    </row>
    <row r="871" spans="1:15" x14ac:dyDescent="0.25">
      <c r="A871" s="6" t="s">
        <v>1030</v>
      </c>
      <c r="B871" s="6" t="s">
        <v>1029</v>
      </c>
      <c r="C871" s="6" t="s">
        <v>31</v>
      </c>
      <c r="E871" s="6" t="s">
        <v>1028</v>
      </c>
      <c r="F871" s="6" t="s">
        <v>1027</v>
      </c>
      <c r="G871" s="6" t="s">
        <v>16</v>
      </c>
      <c r="H871" s="6" t="s">
        <v>15</v>
      </c>
      <c r="I871" s="6" t="s">
        <v>36</v>
      </c>
      <c r="J871" s="6" t="s">
        <v>26</v>
      </c>
      <c r="K871" s="7">
        <v>30.110346679999999</v>
      </c>
      <c r="L871" s="7">
        <v>-95.405375309999997</v>
      </c>
      <c r="M871" s="6" t="s">
        <v>731</v>
      </c>
      <c r="N871" s="6" t="s">
        <v>24</v>
      </c>
      <c r="O871" s="6" t="s">
        <v>23</v>
      </c>
    </row>
    <row r="872" spans="1:15" x14ac:dyDescent="0.25">
      <c r="A872" s="6" t="s">
        <v>4774</v>
      </c>
      <c r="B872" s="6" t="s">
        <v>4773</v>
      </c>
      <c r="C872" s="6" t="s">
        <v>31</v>
      </c>
      <c r="E872" s="6" t="s">
        <v>4772</v>
      </c>
      <c r="F872" s="6" t="s">
        <v>895</v>
      </c>
      <c r="G872" s="6" t="s">
        <v>16</v>
      </c>
      <c r="H872" s="6" t="s">
        <v>28</v>
      </c>
      <c r="I872" s="6" t="s">
        <v>60</v>
      </c>
      <c r="J872" s="6" t="s">
        <v>35</v>
      </c>
      <c r="K872" s="7">
        <v>29.877600999999999</v>
      </c>
      <c r="L872" s="7">
        <v>-95.527866000000003</v>
      </c>
      <c r="M872" s="6" t="s">
        <v>77</v>
      </c>
      <c r="N872" s="6" t="s">
        <v>24</v>
      </c>
      <c r="O872" s="6" t="s">
        <v>23</v>
      </c>
    </row>
    <row r="873" spans="1:15" x14ac:dyDescent="0.25">
      <c r="A873" s="6" t="s">
        <v>6611</v>
      </c>
      <c r="B873" s="6" t="s">
        <v>6610</v>
      </c>
      <c r="C873" s="6" t="s">
        <v>31</v>
      </c>
      <c r="E873" s="6" t="s">
        <v>6609</v>
      </c>
      <c r="F873" s="6" t="s">
        <v>3361</v>
      </c>
      <c r="G873" s="6" t="s">
        <v>16</v>
      </c>
      <c r="H873" s="6" t="s">
        <v>28</v>
      </c>
      <c r="I873" s="6" t="s">
        <v>60</v>
      </c>
      <c r="J873" s="6" t="s">
        <v>35</v>
      </c>
      <c r="K873" s="7">
        <v>30.092383999999999</v>
      </c>
      <c r="L873" s="7">
        <v>-95.554491999999996</v>
      </c>
      <c r="M873" s="6" t="s">
        <v>731</v>
      </c>
      <c r="N873" s="6" t="s">
        <v>24</v>
      </c>
      <c r="O873" s="6" t="s">
        <v>23</v>
      </c>
    </row>
    <row r="874" spans="1:15" x14ac:dyDescent="0.25">
      <c r="A874" s="6" t="s">
        <v>6376</v>
      </c>
      <c r="B874" s="6" t="s">
        <v>6375</v>
      </c>
      <c r="C874" s="6" t="s">
        <v>31</v>
      </c>
      <c r="E874" s="6" t="s">
        <v>6374</v>
      </c>
      <c r="F874" s="6" t="s">
        <v>6373</v>
      </c>
      <c r="G874" s="6" t="s">
        <v>16</v>
      </c>
      <c r="H874" s="6" t="s">
        <v>28</v>
      </c>
      <c r="I874" s="6" t="s">
        <v>27</v>
      </c>
      <c r="J874" s="6" t="s">
        <v>35</v>
      </c>
      <c r="K874" s="7">
        <v>29.88175</v>
      </c>
      <c r="L874" s="7">
        <v>-95.625715</v>
      </c>
      <c r="M874" s="6" t="s">
        <v>131</v>
      </c>
      <c r="N874" s="6" t="s">
        <v>24</v>
      </c>
      <c r="O874" s="6" t="s">
        <v>23</v>
      </c>
    </row>
    <row r="875" spans="1:15" x14ac:dyDescent="0.25">
      <c r="A875" s="6" t="s">
        <v>11278</v>
      </c>
      <c r="B875" s="6" t="s">
        <v>11277</v>
      </c>
      <c r="C875" s="6" t="s">
        <v>31</v>
      </c>
      <c r="E875" s="6" t="s">
        <v>11276</v>
      </c>
      <c r="F875" s="6" t="s">
        <v>11272</v>
      </c>
      <c r="G875" s="6" t="s">
        <v>16</v>
      </c>
      <c r="H875" s="6" t="s">
        <v>28</v>
      </c>
      <c r="I875" s="6" t="s">
        <v>60</v>
      </c>
      <c r="J875" s="6" t="s">
        <v>110</v>
      </c>
      <c r="K875" s="7">
        <v>32.863463340000003</v>
      </c>
      <c r="L875" s="7">
        <v>-95.767706889999999</v>
      </c>
      <c r="M875" s="6" t="s">
        <v>423</v>
      </c>
      <c r="N875" s="6" t="s">
        <v>65</v>
      </c>
      <c r="O875" s="6" t="s">
        <v>65</v>
      </c>
    </row>
    <row r="876" spans="1:15" x14ac:dyDescent="0.25">
      <c r="A876" s="6" t="s">
        <v>5431</v>
      </c>
      <c r="B876" s="6" t="s">
        <v>5430</v>
      </c>
      <c r="C876" s="6" t="s">
        <v>31</v>
      </c>
      <c r="E876" s="6" t="s">
        <v>5429</v>
      </c>
      <c r="F876" s="6" t="s">
        <v>5428</v>
      </c>
      <c r="G876" s="6" t="s">
        <v>16</v>
      </c>
      <c r="H876" s="6" t="s">
        <v>28</v>
      </c>
      <c r="I876" s="6" t="s">
        <v>60</v>
      </c>
      <c r="J876" s="6" t="s">
        <v>35</v>
      </c>
      <c r="K876" s="7">
        <v>29.950524009999999</v>
      </c>
      <c r="L876" s="7">
        <v>-95.442320170000002</v>
      </c>
      <c r="M876" s="6" t="s">
        <v>198</v>
      </c>
      <c r="N876" s="6" t="s">
        <v>24</v>
      </c>
      <c r="O876" s="6" t="s">
        <v>23</v>
      </c>
    </row>
    <row r="877" spans="1:15" x14ac:dyDescent="0.25">
      <c r="A877" s="6" t="s">
        <v>368</v>
      </c>
      <c r="B877" s="6" t="s">
        <v>367</v>
      </c>
      <c r="C877" s="6" t="s">
        <v>31</v>
      </c>
      <c r="E877" s="6" t="s">
        <v>366</v>
      </c>
      <c r="F877" s="6" t="s">
        <v>365</v>
      </c>
      <c r="G877" s="6" t="s">
        <v>16</v>
      </c>
      <c r="H877" s="6" t="s">
        <v>28</v>
      </c>
      <c r="I877" s="6" t="s">
        <v>73</v>
      </c>
      <c r="J877" s="6" t="s">
        <v>35</v>
      </c>
      <c r="K877" s="7">
        <v>29.900586000000001</v>
      </c>
      <c r="L877" s="7">
        <v>-95.504784999999998</v>
      </c>
      <c r="M877" s="6" t="s">
        <v>77</v>
      </c>
      <c r="N877" s="6" t="s">
        <v>24</v>
      </c>
      <c r="O877" s="6" t="s">
        <v>23</v>
      </c>
    </row>
    <row r="878" spans="1:15" x14ac:dyDescent="0.25">
      <c r="A878" s="6" t="s">
        <v>9199</v>
      </c>
      <c r="B878" s="6" t="s">
        <v>9198</v>
      </c>
      <c r="C878" s="6" t="s">
        <v>31</v>
      </c>
      <c r="E878" s="6" t="s">
        <v>9197</v>
      </c>
      <c r="F878" s="6" t="s">
        <v>5708</v>
      </c>
      <c r="G878" s="6" t="s">
        <v>16</v>
      </c>
      <c r="H878" s="6" t="s">
        <v>15</v>
      </c>
      <c r="I878" s="6" t="s">
        <v>799</v>
      </c>
      <c r="J878" s="6" t="s">
        <v>35</v>
      </c>
      <c r="K878" s="7">
        <v>29.789162999999999</v>
      </c>
      <c r="L878" s="7">
        <v>-95.671260000000004</v>
      </c>
      <c r="M878" s="6" t="s">
        <v>131</v>
      </c>
      <c r="N878" s="6" t="s">
        <v>24</v>
      </c>
      <c r="O878" s="6" t="s">
        <v>42</v>
      </c>
    </row>
    <row r="879" spans="1:15" x14ac:dyDescent="0.25">
      <c r="A879" s="6" t="s">
        <v>8799</v>
      </c>
      <c r="B879" s="6" t="s">
        <v>8798</v>
      </c>
      <c r="C879" s="6" t="s">
        <v>31</v>
      </c>
      <c r="E879" s="6" t="s">
        <v>8797</v>
      </c>
      <c r="F879" s="6" t="s">
        <v>5708</v>
      </c>
      <c r="G879" s="6" t="s">
        <v>16</v>
      </c>
      <c r="H879" s="6" t="s">
        <v>15</v>
      </c>
      <c r="I879" s="6" t="s">
        <v>36</v>
      </c>
      <c r="J879" s="6" t="s">
        <v>132</v>
      </c>
      <c r="K879" s="7">
        <v>29.604098910000001</v>
      </c>
      <c r="L879" s="7">
        <v>-95.477563259999997</v>
      </c>
      <c r="M879" s="6" t="s">
        <v>866</v>
      </c>
      <c r="N879" s="6" t="s">
        <v>24</v>
      </c>
      <c r="O879" s="6" t="s">
        <v>23</v>
      </c>
    </row>
    <row r="880" spans="1:15" x14ac:dyDescent="0.25">
      <c r="A880" s="6" t="s">
        <v>4513</v>
      </c>
      <c r="B880" s="6" t="s">
        <v>4512</v>
      </c>
      <c r="C880" s="6" t="s">
        <v>31</v>
      </c>
      <c r="E880" s="6" t="s">
        <v>4511</v>
      </c>
      <c r="F880" s="6" t="s">
        <v>4510</v>
      </c>
      <c r="G880" s="6" t="s">
        <v>16</v>
      </c>
      <c r="H880" s="6" t="s">
        <v>28</v>
      </c>
      <c r="I880" s="6" t="s">
        <v>1200</v>
      </c>
      <c r="J880" s="6" t="s">
        <v>35</v>
      </c>
      <c r="K880" s="7">
        <v>29.995408000000001</v>
      </c>
      <c r="L880" s="7">
        <v>-95.532089999999997</v>
      </c>
      <c r="M880" s="6" t="s">
        <v>279</v>
      </c>
      <c r="N880" s="6" t="s">
        <v>24</v>
      </c>
      <c r="O880" s="6" t="s">
        <v>23</v>
      </c>
    </row>
    <row r="881" spans="1:15" x14ac:dyDescent="0.25">
      <c r="A881" s="6" t="s">
        <v>9922</v>
      </c>
      <c r="B881" s="6" t="s">
        <v>9921</v>
      </c>
      <c r="C881" s="6" t="s">
        <v>31</v>
      </c>
      <c r="E881" s="6" t="s">
        <v>9920</v>
      </c>
      <c r="F881" s="6" t="s">
        <v>9919</v>
      </c>
      <c r="G881" s="6" t="s">
        <v>16</v>
      </c>
      <c r="H881" s="6" t="s">
        <v>15</v>
      </c>
      <c r="I881" s="6" t="s">
        <v>14</v>
      </c>
      <c r="J881" s="6" t="s">
        <v>385</v>
      </c>
      <c r="K881" s="7">
        <v>29.958140719999999</v>
      </c>
      <c r="L881" s="7">
        <v>-93.999511029999994</v>
      </c>
      <c r="M881" s="6" t="s">
        <v>418</v>
      </c>
      <c r="N881" s="6" t="s">
        <v>383</v>
      </c>
      <c r="O881" s="6" t="s">
        <v>24</v>
      </c>
    </row>
    <row r="882" spans="1:15" x14ac:dyDescent="0.25">
      <c r="A882" s="6" t="s">
        <v>3752</v>
      </c>
      <c r="B882" s="6" t="s">
        <v>3751</v>
      </c>
      <c r="C882" s="6" t="s">
        <v>31</v>
      </c>
      <c r="E882" s="6" t="s">
        <v>3750</v>
      </c>
      <c r="F882" s="6" t="s">
        <v>3749</v>
      </c>
      <c r="G882" s="6" t="s">
        <v>16</v>
      </c>
      <c r="H882" s="6" t="s">
        <v>15</v>
      </c>
      <c r="I882" s="6" t="s">
        <v>14</v>
      </c>
      <c r="J882" s="6" t="s">
        <v>3504</v>
      </c>
      <c r="K882" s="7">
        <v>30.736555070000001</v>
      </c>
      <c r="L882" s="7">
        <v>-98.229311980000006</v>
      </c>
      <c r="M882" s="6" t="s">
        <v>3748</v>
      </c>
      <c r="N882" s="6" t="s">
        <v>10</v>
      </c>
      <c r="O882" s="6" t="s">
        <v>160</v>
      </c>
    </row>
    <row r="883" spans="1:15" x14ac:dyDescent="0.25">
      <c r="A883" s="6" t="s">
        <v>743</v>
      </c>
      <c r="B883" s="6" t="s">
        <v>742</v>
      </c>
      <c r="C883" s="6" t="s">
        <v>31</v>
      </c>
      <c r="E883" s="6" t="s">
        <v>741</v>
      </c>
      <c r="F883" s="6" t="s">
        <v>740</v>
      </c>
      <c r="G883" s="6" t="s">
        <v>16</v>
      </c>
      <c r="H883" s="6" t="s">
        <v>15</v>
      </c>
      <c r="I883" s="6" t="s">
        <v>14</v>
      </c>
      <c r="J883" s="6" t="s">
        <v>122</v>
      </c>
      <c r="K883" s="7">
        <v>31.519478429999999</v>
      </c>
      <c r="L883" s="7">
        <v>-97.064602539999996</v>
      </c>
      <c r="M883" s="6" t="s">
        <v>121</v>
      </c>
      <c r="N883" s="6" t="s">
        <v>23</v>
      </c>
      <c r="O883" s="6" t="s">
        <v>120</v>
      </c>
    </row>
    <row r="884" spans="1:15" x14ac:dyDescent="0.25">
      <c r="A884" s="6" t="s">
        <v>7486</v>
      </c>
      <c r="B884" s="6" t="s">
        <v>7485</v>
      </c>
      <c r="C884" s="6" t="s">
        <v>31</v>
      </c>
      <c r="E884" s="6" t="s">
        <v>7484</v>
      </c>
      <c r="F884" s="6" t="s">
        <v>7483</v>
      </c>
      <c r="G884" s="6" t="s">
        <v>16</v>
      </c>
      <c r="H884" s="6" t="s">
        <v>28</v>
      </c>
      <c r="I884" s="6" t="s">
        <v>60</v>
      </c>
      <c r="J884" s="6" t="s">
        <v>7482</v>
      </c>
      <c r="K884" s="7">
        <v>33.574221000000001</v>
      </c>
      <c r="L884" s="7">
        <v>-99.247529</v>
      </c>
      <c r="M884" s="6" t="s">
        <v>6981</v>
      </c>
      <c r="N884" s="6" t="s">
        <v>23</v>
      </c>
      <c r="O884" s="6" t="s">
        <v>95</v>
      </c>
    </row>
    <row r="885" spans="1:15" x14ac:dyDescent="0.25">
      <c r="A885" s="6" t="s">
        <v>3624</v>
      </c>
      <c r="B885" s="6" t="s">
        <v>3623</v>
      </c>
      <c r="C885" s="6" t="s">
        <v>31</v>
      </c>
      <c r="E885" s="6" t="s">
        <v>3622</v>
      </c>
      <c r="F885" s="6" t="s">
        <v>3621</v>
      </c>
      <c r="G885" s="6" t="s">
        <v>16</v>
      </c>
      <c r="H885" s="6" t="s">
        <v>15</v>
      </c>
      <c r="I885" s="6" t="s">
        <v>14</v>
      </c>
      <c r="J885" s="6" t="s">
        <v>1611</v>
      </c>
      <c r="K885" s="7">
        <v>32.5074611</v>
      </c>
      <c r="L885" s="7">
        <v>-94.845502550000006</v>
      </c>
      <c r="M885" s="6" t="s">
        <v>1218</v>
      </c>
      <c r="N885" s="6" t="s">
        <v>65</v>
      </c>
      <c r="O885" s="6" t="s">
        <v>65</v>
      </c>
    </row>
    <row r="886" spans="1:15" x14ac:dyDescent="0.25">
      <c r="A886" s="6" t="s">
        <v>7054</v>
      </c>
      <c r="B886" s="6" t="s">
        <v>7053</v>
      </c>
      <c r="C886" s="6" t="s">
        <v>19</v>
      </c>
      <c r="E886" s="6" t="s">
        <v>7052</v>
      </c>
      <c r="F886" s="6" t="s">
        <v>7051</v>
      </c>
      <c r="G886" s="6" t="s">
        <v>16</v>
      </c>
      <c r="H886" s="6" t="s">
        <v>15</v>
      </c>
      <c r="I886" s="6" t="s">
        <v>46</v>
      </c>
      <c r="J886" s="6" t="s">
        <v>1611</v>
      </c>
      <c r="K886" s="7">
        <v>32.419273779999997</v>
      </c>
      <c r="L886" s="7">
        <v>-94.837998409999997</v>
      </c>
      <c r="M886" s="6" t="s">
        <v>1218</v>
      </c>
      <c r="N886" s="6" t="s">
        <v>65</v>
      </c>
      <c r="O886" s="6" t="s">
        <v>65</v>
      </c>
    </row>
    <row r="887" spans="1:15" x14ac:dyDescent="0.25">
      <c r="A887" s="6" t="s">
        <v>4155</v>
      </c>
      <c r="B887" s="6" t="s">
        <v>4154</v>
      </c>
      <c r="C887" s="6" t="s">
        <v>31</v>
      </c>
      <c r="E887" s="6" t="s">
        <v>4153</v>
      </c>
      <c r="F887" s="6" t="s">
        <v>4152</v>
      </c>
      <c r="G887" s="6" t="s">
        <v>16</v>
      </c>
      <c r="H887" s="6" t="s">
        <v>28</v>
      </c>
      <c r="I887" s="6" t="s">
        <v>27</v>
      </c>
      <c r="J887" s="6" t="s">
        <v>168</v>
      </c>
      <c r="K887" s="7">
        <v>33.13952699</v>
      </c>
      <c r="L887" s="7">
        <v>-96.966345050000001</v>
      </c>
      <c r="M887" s="6" t="s">
        <v>167</v>
      </c>
      <c r="N887" s="6" t="s">
        <v>102</v>
      </c>
      <c r="O887" s="6" t="s">
        <v>42</v>
      </c>
    </row>
    <row r="888" spans="1:15" x14ac:dyDescent="0.25">
      <c r="A888" s="6" t="s">
        <v>8525</v>
      </c>
      <c r="B888" s="6" t="s">
        <v>8524</v>
      </c>
      <c r="C888" s="6" t="s">
        <v>31</v>
      </c>
      <c r="E888" s="6" t="s">
        <v>8523</v>
      </c>
      <c r="F888" s="6" t="s">
        <v>8522</v>
      </c>
      <c r="G888" s="6" t="s">
        <v>16</v>
      </c>
      <c r="H888" s="6" t="s">
        <v>28</v>
      </c>
      <c r="I888" s="6" t="s">
        <v>1200</v>
      </c>
      <c r="J888" s="6" t="s">
        <v>1288</v>
      </c>
      <c r="K888" s="7">
        <v>32.270220000000002</v>
      </c>
      <c r="L888" s="7">
        <v>-96.689336999999995</v>
      </c>
      <c r="M888" s="6" t="s">
        <v>7130</v>
      </c>
      <c r="N888" s="6" t="s">
        <v>102</v>
      </c>
      <c r="O888" s="6" t="s">
        <v>42</v>
      </c>
    </row>
    <row r="889" spans="1:15" x14ac:dyDescent="0.25">
      <c r="A889" s="6" t="s">
        <v>6848</v>
      </c>
      <c r="B889" s="6" t="s">
        <v>6847</v>
      </c>
      <c r="C889" s="6" t="s">
        <v>31</v>
      </c>
      <c r="E889" s="6" t="s">
        <v>6846</v>
      </c>
      <c r="F889" s="6" t="s">
        <v>6845</v>
      </c>
      <c r="G889" s="6" t="s">
        <v>16</v>
      </c>
      <c r="H889" s="6" t="s">
        <v>28</v>
      </c>
      <c r="I889" s="6" t="s">
        <v>73</v>
      </c>
      <c r="J889" s="6" t="s">
        <v>6844</v>
      </c>
      <c r="K889" s="7">
        <v>31.978203000000001</v>
      </c>
      <c r="L889" s="7">
        <v>-98.025993</v>
      </c>
      <c r="M889" s="6" t="s">
        <v>1208</v>
      </c>
      <c r="N889" s="6" t="s">
        <v>23</v>
      </c>
      <c r="O889" s="6" t="s">
        <v>120</v>
      </c>
    </row>
    <row r="890" spans="1:15" x14ac:dyDescent="0.25">
      <c r="A890" s="6" t="s">
        <v>3282</v>
      </c>
      <c r="B890" s="6" t="s">
        <v>3281</v>
      </c>
      <c r="C890" s="6" t="s">
        <v>31</v>
      </c>
      <c r="E890" s="6" t="s">
        <v>3280</v>
      </c>
      <c r="F890" s="6" t="s">
        <v>3279</v>
      </c>
      <c r="G890" s="6" t="s">
        <v>16</v>
      </c>
      <c r="H890" s="6" t="s">
        <v>28</v>
      </c>
      <c r="I890" s="6" t="s">
        <v>350</v>
      </c>
      <c r="J890" s="6" t="s">
        <v>1288</v>
      </c>
      <c r="K890" s="7">
        <v>32.428671999999999</v>
      </c>
      <c r="L890" s="7">
        <v>-96.660383999999993</v>
      </c>
      <c r="M890" s="6" t="s">
        <v>103</v>
      </c>
      <c r="N890" s="6" t="s">
        <v>102</v>
      </c>
      <c r="O890" s="6" t="s">
        <v>3278</v>
      </c>
    </row>
    <row r="891" spans="1:15" x14ac:dyDescent="0.25">
      <c r="A891" s="6" t="s">
        <v>7017</v>
      </c>
      <c r="B891" s="6" t="s">
        <v>7016</v>
      </c>
      <c r="C891" s="6" t="s">
        <v>31</v>
      </c>
      <c r="E891" s="6" t="s">
        <v>7015</v>
      </c>
      <c r="F891" s="6" t="s">
        <v>7014</v>
      </c>
      <c r="G891" s="6" t="s">
        <v>16</v>
      </c>
      <c r="H891" s="6" t="s">
        <v>28</v>
      </c>
      <c r="I891" s="6" t="s">
        <v>60</v>
      </c>
      <c r="J891" s="6" t="s">
        <v>1727</v>
      </c>
      <c r="K891" s="7">
        <v>30.937684999999998</v>
      </c>
      <c r="L891" s="7">
        <v>-95.919096999999994</v>
      </c>
      <c r="M891" s="6" t="s">
        <v>317</v>
      </c>
      <c r="N891" s="6" t="s">
        <v>102</v>
      </c>
      <c r="O891" s="6" t="s">
        <v>120</v>
      </c>
    </row>
    <row r="892" spans="1:15" x14ac:dyDescent="0.25">
      <c r="A892" s="6" t="s">
        <v>2694</v>
      </c>
      <c r="B892" s="6" t="s">
        <v>2693</v>
      </c>
      <c r="C892" s="6" t="s">
        <v>31</v>
      </c>
      <c r="E892" s="6" t="s">
        <v>2692</v>
      </c>
      <c r="F892" s="6" t="s">
        <v>2691</v>
      </c>
      <c r="G892" s="6" t="s">
        <v>16</v>
      </c>
      <c r="H892" s="6" t="s">
        <v>28</v>
      </c>
      <c r="I892" s="6" t="s">
        <v>14</v>
      </c>
      <c r="J892" s="6" t="s">
        <v>84</v>
      </c>
      <c r="K892" s="7">
        <v>28.411962259999999</v>
      </c>
      <c r="L892" s="7">
        <v>-96.706294080000006</v>
      </c>
      <c r="M892" s="6" t="s">
        <v>1977</v>
      </c>
      <c r="N892" s="6" t="s">
        <v>82</v>
      </c>
      <c r="O892" s="6" t="s">
        <v>10</v>
      </c>
    </row>
    <row r="893" spans="1:15" x14ac:dyDescent="0.25">
      <c r="A893" s="6" t="s">
        <v>2417</v>
      </c>
      <c r="B893" s="6" t="s">
        <v>2416</v>
      </c>
      <c r="C893" s="6" t="s">
        <v>31</v>
      </c>
      <c r="E893" s="6" t="s">
        <v>2415</v>
      </c>
      <c r="F893" s="6" t="s">
        <v>2414</v>
      </c>
      <c r="G893" s="6" t="s">
        <v>16</v>
      </c>
      <c r="H893" s="6" t="s">
        <v>28</v>
      </c>
      <c r="I893" s="6" t="s">
        <v>60</v>
      </c>
      <c r="J893" s="6" t="s">
        <v>151</v>
      </c>
      <c r="K893" s="7">
        <v>33.173565029999999</v>
      </c>
      <c r="L893" s="7">
        <v>-97.879887260000004</v>
      </c>
      <c r="M893" s="6" t="s">
        <v>2413</v>
      </c>
      <c r="N893" s="6" t="s">
        <v>102</v>
      </c>
      <c r="O893" s="6" t="s">
        <v>42</v>
      </c>
    </row>
    <row r="894" spans="1:15" x14ac:dyDescent="0.25">
      <c r="A894" s="6" t="s">
        <v>1703</v>
      </c>
      <c r="B894" s="6" t="s">
        <v>1702</v>
      </c>
      <c r="C894" s="6" t="s">
        <v>31</v>
      </c>
      <c r="E894" s="6" t="s">
        <v>1701</v>
      </c>
      <c r="F894" s="6" t="s">
        <v>1700</v>
      </c>
      <c r="G894" s="6" t="s">
        <v>16</v>
      </c>
      <c r="H894" s="6" t="s">
        <v>28</v>
      </c>
      <c r="I894" s="6" t="s">
        <v>27</v>
      </c>
      <c r="J894" s="6" t="s">
        <v>35</v>
      </c>
      <c r="K894" s="7">
        <v>29.890661000000001</v>
      </c>
      <c r="L894" s="7">
        <v>-95.533332999999999</v>
      </c>
      <c r="M894" s="6" t="s">
        <v>77</v>
      </c>
      <c r="N894" s="6" t="s">
        <v>24</v>
      </c>
      <c r="O894" s="6" t="s">
        <v>23</v>
      </c>
    </row>
    <row r="895" spans="1:15" x14ac:dyDescent="0.25">
      <c r="A895" s="6" t="s">
        <v>8435</v>
      </c>
      <c r="B895" s="6" t="s">
        <v>8432</v>
      </c>
      <c r="C895" s="6" t="s">
        <v>31</v>
      </c>
      <c r="E895" s="6" t="s">
        <v>8431</v>
      </c>
      <c r="F895" s="6" t="s">
        <v>3114</v>
      </c>
      <c r="G895" s="6" t="s">
        <v>16</v>
      </c>
      <c r="H895" s="6" t="s">
        <v>15</v>
      </c>
      <c r="I895" s="6" t="s">
        <v>46</v>
      </c>
      <c r="J895" s="6" t="s">
        <v>2178</v>
      </c>
      <c r="K895" s="7">
        <v>31.758441999999999</v>
      </c>
      <c r="L895" s="7">
        <v>-106.441097</v>
      </c>
      <c r="M895" s="6" t="s">
        <v>8434</v>
      </c>
      <c r="N895" s="6" t="s">
        <v>373</v>
      </c>
      <c r="O895" s="6" t="s">
        <v>52</v>
      </c>
    </row>
    <row r="896" spans="1:15" x14ac:dyDescent="0.25">
      <c r="A896" s="6" t="s">
        <v>8433</v>
      </c>
      <c r="B896" s="6" t="s">
        <v>8432</v>
      </c>
      <c r="C896" s="6" t="s">
        <v>19</v>
      </c>
      <c r="E896" s="6" t="s">
        <v>8431</v>
      </c>
      <c r="F896" s="6" t="s">
        <v>3114</v>
      </c>
      <c r="G896" s="6" t="s">
        <v>16</v>
      </c>
      <c r="H896" s="6" t="s">
        <v>15</v>
      </c>
      <c r="I896" s="6" t="s">
        <v>46</v>
      </c>
      <c r="J896" s="6" t="s">
        <v>2178</v>
      </c>
      <c r="K896" s="7">
        <v>31.759153380000001</v>
      </c>
      <c r="L896" s="7">
        <v>-106.44152017</v>
      </c>
      <c r="M896" s="6" t="s">
        <v>945</v>
      </c>
      <c r="N896" s="6" t="s">
        <v>373</v>
      </c>
      <c r="O896" s="6" t="s">
        <v>52</v>
      </c>
    </row>
    <row r="897" spans="1:15" x14ac:dyDescent="0.25">
      <c r="A897" s="6" t="s">
        <v>11852</v>
      </c>
      <c r="B897" s="6" t="s">
        <v>11851</v>
      </c>
      <c r="C897" s="6" t="s">
        <v>31</v>
      </c>
      <c r="E897" s="6" t="s">
        <v>11850</v>
      </c>
      <c r="F897" s="6" t="s">
        <v>11849</v>
      </c>
      <c r="G897" s="6" t="s">
        <v>16</v>
      </c>
      <c r="H897" s="6" t="s">
        <v>28</v>
      </c>
      <c r="I897" s="6" t="s">
        <v>73</v>
      </c>
      <c r="J897" s="6" t="s">
        <v>239</v>
      </c>
      <c r="K897" s="7">
        <v>33.294801</v>
      </c>
      <c r="L897" s="7">
        <v>-96.416060000000002</v>
      </c>
      <c r="M897" s="6" t="s">
        <v>349</v>
      </c>
      <c r="N897" s="6" t="s">
        <v>102</v>
      </c>
      <c r="O897" s="6" t="s">
        <v>42</v>
      </c>
    </row>
    <row r="898" spans="1:15" x14ac:dyDescent="0.25">
      <c r="A898" s="6" t="s">
        <v>9762</v>
      </c>
      <c r="B898" s="6" t="s">
        <v>9761</v>
      </c>
      <c r="C898" s="6" t="s">
        <v>31</v>
      </c>
      <c r="E898" s="6" t="s">
        <v>9760</v>
      </c>
      <c r="F898" s="6" t="s">
        <v>9759</v>
      </c>
      <c r="G898" s="6" t="s">
        <v>16</v>
      </c>
      <c r="H898" s="6" t="s">
        <v>28</v>
      </c>
      <c r="I898" s="6" t="s">
        <v>60</v>
      </c>
      <c r="J898" s="6" t="s">
        <v>6844</v>
      </c>
      <c r="K898" s="7">
        <v>31.710004999999999</v>
      </c>
      <c r="L898" s="7">
        <v>-98.114987999999997</v>
      </c>
      <c r="M898" s="6" t="s">
        <v>1322</v>
      </c>
      <c r="N898" s="6" t="s">
        <v>23</v>
      </c>
      <c r="O898" s="6" t="s">
        <v>120</v>
      </c>
    </row>
    <row r="899" spans="1:15" x14ac:dyDescent="0.25">
      <c r="A899" s="6" t="s">
        <v>9193</v>
      </c>
      <c r="B899" s="6" t="s">
        <v>9192</v>
      </c>
      <c r="C899" s="6" t="s">
        <v>31</v>
      </c>
      <c r="E899" s="6" t="s">
        <v>9191</v>
      </c>
      <c r="F899" s="6" t="s">
        <v>5708</v>
      </c>
      <c r="G899" s="6" t="s">
        <v>16</v>
      </c>
      <c r="H899" s="6" t="s">
        <v>15</v>
      </c>
      <c r="I899" s="6" t="s">
        <v>46</v>
      </c>
      <c r="J899" s="6" t="s">
        <v>35</v>
      </c>
      <c r="K899" s="7">
        <v>29.843292720000001</v>
      </c>
      <c r="L899" s="7">
        <v>-95.546873210000001</v>
      </c>
      <c r="M899" s="6" t="s">
        <v>77</v>
      </c>
      <c r="N899" s="6" t="s">
        <v>24</v>
      </c>
      <c r="O899" s="6" t="s">
        <v>23</v>
      </c>
    </row>
    <row r="900" spans="1:15" x14ac:dyDescent="0.25">
      <c r="A900" s="6" t="s">
        <v>9161</v>
      </c>
      <c r="B900" s="6" t="s">
        <v>9160</v>
      </c>
      <c r="C900" s="6" t="s">
        <v>31</v>
      </c>
      <c r="E900" s="6" t="s">
        <v>9159</v>
      </c>
      <c r="F900" s="6" t="s">
        <v>9158</v>
      </c>
      <c r="G900" s="6" t="s">
        <v>16</v>
      </c>
      <c r="H900" s="6" t="s">
        <v>28</v>
      </c>
      <c r="I900" s="6" t="s">
        <v>27</v>
      </c>
      <c r="J900" s="6" t="s">
        <v>2101</v>
      </c>
      <c r="K900" s="7">
        <v>33.420904999999998</v>
      </c>
      <c r="L900" s="7">
        <v>-96.550421999999998</v>
      </c>
      <c r="M900" s="6" t="s">
        <v>349</v>
      </c>
      <c r="N900" s="6" t="s">
        <v>102</v>
      </c>
      <c r="O900" s="6" t="s">
        <v>42</v>
      </c>
    </row>
    <row r="901" spans="1:15" x14ac:dyDescent="0.25">
      <c r="A901" s="6" t="s">
        <v>4087</v>
      </c>
      <c r="B901" s="6" t="s">
        <v>4086</v>
      </c>
      <c r="C901" s="6" t="s">
        <v>31</v>
      </c>
      <c r="E901" s="6" t="s">
        <v>4085</v>
      </c>
      <c r="F901" s="6" t="s">
        <v>4084</v>
      </c>
      <c r="G901" s="6" t="s">
        <v>16</v>
      </c>
      <c r="H901" s="6" t="s">
        <v>28</v>
      </c>
      <c r="I901" s="6" t="s">
        <v>27</v>
      </c>
      <c r="J901" s="6" t="s">
        <v>4083</v>
      </c>
      <c r="K901" s="7">
        <v>33.145307119999998</v>
      </c>
      <c r="L901" s="7">
        <v>-99.729601340000002</v>
      </c>
      <c r="M901" s="6" t="s">
        <v>4082</v>
      </c>
      <c r="N901" s="6" t="s">
        <v>23</v>
      </c>
      <c r="O901" s="6" t="s">
        <v>95</v>
      </c>
    </row>
    <row r="902" spans="1:15" x14ac:dyDescent="0.25">
      <c r="A902" s="6" t="s">
        <v>10216</v>
      </c>
      <c r="B902" s="6" t="s">
        <v>10215</v>
      </c>
      <c r="C902" s="6" t="s">
        <v>31</v>
      </c>
      <c r="E902" s="6" t="s">
        <v>10214</v>
      </c>
      <c r="F902" s="6" t="s">
        <v>10213</v>
      </c>
      <c r="G902" s="6" t="s">
        <v>16</v>
      </c>
      <c r="H902" s="6" t="s">
        <v>28</v>
      </c>
      <c r="I902" s="6" t="s">
        <v>27</v>
      </c>
      <c r="J902" s="6" t="s">
        <v>781</v>
      </c>
      <c r="K902" s="7">
        <v>32.504300239999999</v>
      </c>
      <c r="L902" s="7">
        <v>-94.547474100000002</v>
      </c>
      <c r="M902" s="6" t="s">
        <v>1218</v>
      </c>
      <c r="N902" s="6" t="s">
        <v>65</v>
      </c>
      <c r="O902" s="6" t="s">
        <v>65</v>
      </c>
    </row>
    <row r="903" spans="1:15" x14ac:dyDescent="0.25">
      <c r="A903" s="6" t="s">
        <v>11086</v>
      </c>
      <c r="B903" s="6" t="s">
        <v>11085</v>
      </c>
      <c r="C903" s="6" t="s">
        <v>31</v>
      </c>
      <c r="E903" s="6" t="s">
        <v>11084</v>
      </c>
      <c r="F903" s="6" t="s">
        <v>11083</v>
      </c>
      <c r="G903" s="6" t="s">
        <v>16</v>
      </c>
      <c r="H903" s="6" t="s">
        <v>15</v>
      </c>
      <c r="I903" s="6" t="s">
        <v>46</v>
      </c>
      <c r="J903" s="6" t="s">
        <v>209</v>
      </c>
      <c r="K903" s="7">
        <v>34.11063807</v>
      </c>
      <c r="L903" s="7">
        <v>-98.554505270000007</v>
      </c>
      <c r="M903" s="6" t="s">
        <v>11082</v>
      </c>
      <c r="N903" s="6" t="s">
        <v>43</v>
      </c>
      <c r="O903" s="6" t="s">
        <v>95</v>
      </c>
    </row>
    <row r="904" spans="1:15" x14ac:dyDescent="0.25">
      <c r="A904" s="6" t="s">
        <v>10614</v>
      </c>
      <c r="B904" s="6" t="s">
        <v>10613</v>
      </c>
      <c r="C904" s="6" t="s">
        <v>31</v>
      </c>
      <c r="E904" s="6" t="s">
        <v>10612</v>
      </c>
      <c r="F904" s="6" t="s">
        <v>10611</v>
      </c>
      <c r="G904" s="6" t="s">
        <v>16</v>
      </c>
      <c r="H904" s="6" t="s">
        <v>28</v>
      </c>
      <c r="I904" s="6" t="s">
        <v>73</v>
      </c>
      <c r="J904" s="6" t="s">
        <v>209</v>
      </c>
      <c r="K904" s="7">
        <v>34.009408999999998</v>
      </c>
      <c r="L904" s="7">
        <v>-98.875743999999997</v>
      </c>
      <c r="M904" s="6" t="s">
        <v>208</v>
      </c>
      <c r="N904" s="6" t="s">
        <v>43</v>
      </c>
      <c r="O904" s="6" t="s">
        <v>95</v>
      </c>
    </row>
    <row r="905" spans="1:15" x14ac:dyDescent="0.25">
      <c r="A905" s="6" t="s">
        <v>980</v>
      </c>
      <c r="B905" s="6" t="s">
        <v>979</v>
      </c>
      <c r="C905" s="6" t="s">
        <v>31</v>
      </c>
      <c r="E905" s="6" t="s">
        <v>978</v>
      </c>
      <c r="F905" s="6" t="s">
        <v>977</v>
      </c>
      <c r="G905" s="6" t="s">
        <v>16</v>
      </c>
      <c r="H905" s="6" t="s">
        <v>28</v>
      </c>
      <c r="I905" s="6" t="s">
        <v>60</v>
      </c>
      <c r="J905" s="6" t="s">
        <v>35</v>
      </c>
      <c r="K905" s="7">
        <v>29.704691</v>
      </c>
      <c r="L905" s="7">
        <v>-95.432969</v>
      </c>
      <c r="M905" s="6" t="s">
        <v>866</v>
      </c>
      <c r="N905" s="6" t="s">
        <v>24</v>
      </c>
      <c r="O905" s="6" t="s">
        <v>23</v>
      </c>
    </row>
    <row r="906" spans="1:15" x14ac:dyDescent="0.25">
      <c r="A906" s="6" t="s">
        <v>257</v>
      </c>
      <c r="B906" s="6" t="s">
        <v>256</v>
      </c>
      <c r="C906" s="6" t="s">
        <v>31</v>
      </c>
      <c r="E906" s="6" t="s">
        <v>255</v>
      </c>
      <c r="F906" s="6" t="s">
        <v>254</v>
      </c>
      <c r="G906" s="6" t="s">
        <v>16</v>
      </c>
      <c r="H906" s="6" t="s">
        <v>28</v>
      </c>
      <c r="I906" s="6" t="s">
        <v>60</v>
      </c>
      <c r="J906" s="6" t="s">
        <v>253</v>
      </c>
      <c r="K906" s="7">
        <v>30.8011512</v>
      </c>
      <c r="L906" s="7">
        <v>-97.420617250000006</v>
      </c>
      <c r="M906" s="6" t="s">
        <v>252</v>
      </c>
      <c r="N906" s="6" t="s">
        <v>23</v>
      </c>
      <c r="O906" s="6" t="s">
        <v>120</v>
      </c>
    </row>
    <row r="907" spans="1:15" x14ac:dyDescent="0.25">
      <c r="A907" s="6" t="s">
        <v>9169</v>
      </c>
      <c r="B907" s="6" t="s">
        <v>9168</v>
      </c>
      <c r="C907" s="6" t="s">
        <v>31</v>
      </c>
      <c r="E907" s="6" t="s">
        <v>9167</v>
      </c>
      <c r="F907" s="6" t="s">
        <v>9166</v>
      </c>
      <c r="G907" s="6" t="s">
        <v>16</v>
      </c>
      <c r="H907" s="6" t="s">
        <v>28</v>
      </c>
      <c r="I907" s="6" t="s">
        <v>73</v>
      </c>
      <c r="J907" s="6" t="s">
        <v>2583</v>
      </c>
      <c r="K907" s="7">
        <v>33.017733999999997</v>
      </c>
      <c r="L907" s="7">
        <v>-94.712631000000002</v>
      </c>
      <c r="M907" s="6" t="s">
        <v>1941</v>
      </c>
      <c r="N907" s="6" t="s">
        <v>42</v>
      </c>
      <c r="O907" s="6" t="s">
        <v>65</v>
      </c>
    </row>
    <row r="908" spans="1:15" x14ac:dyDescent="0.25">
      <c r="A908" s="6" t="s">
        <v>344</v>
      </c>
      <c r="B908" s="6" t="s">
        <v>343</v>
      </c>
      <c r="C908" s="6" t="s">
        <v>31</v>
      </c>
      <c r="E908" s="6" t="s">
        <v>342</v>
      </c>
      <c r="F908" s="6" t="s">
        <v>341</v>
      </c>
      <c r="G908" s="6" t="s">
        <v>16</v>
      </c>
      <c r="H908" s="6" t="s">
        <v>28</v>
      </c>
      <c r="I908" s="6" t="s">
        <v>60</v>
      </c>
      <c r="J908" s="6" t="s">
        <v>26</v>
      </c>
      <c r="K908" s="7">
        <v>30.459174000000001</v>
      </c>
      <c r="L908" s="7">
        <v>-95.568326999999996</v>
      </c>
      <c r="M908" s="6" t="s">
        <v>340</v>
      </c>
      <c r="N908" s="6" t="s">
        <v>24</v>
      </c>
      <c r="O908" s="6" t="s">
        <v>23</v>
      </c>
    </row>
    <row r="909" spans="1:15" x14ac:dyDescent="0.25">
      <c r="A909" s="6" t="s">
        <v>3721</v>
      </c>
      <c r="B909" s="6" t="s">
        <v>3720</v>
      </c>
      <c r="C909" s="6" t="s">
        <v>31</v>
      </c>
      <c r="E909" s="6" t="s">
        <v>3719</v>
      </c>
      <c r="F909" s="6" t="s">
        <v>3718</v>
      </c>
      <c r="G909" s="6" t="s">
        <v>16</v>
      </c>
      <c r="H909" s="6" t="s">
        <v>28</v>
      </c>
      <c r="I909" s="6" t="s">
        <v>36</v>
      </c>
      <c r="J909" s="6" t="s">
        <v>253</v>
      </c>
      <c r="K909" s="7">
        <v>30.92217818</v>
      </c>
      <c r="L909" s="7">
        <v>-97.232116210000001</v>
      </c>
      <c r="M909" s="6" t="s">
        <v>252</v>
      </c>
      <c r="N909" s="6" t="s">
        <v>23</v>
      </c>
      <c r="O909" s="6" t="s">
        <v>120</v>
      </c>
    </row>
    <row r="910" spans="1:15" x14ac:dyDescent="0.25">
      <c r="A910" s="6" t="s">
        <v>6861</v>
      </c>
      <c r="B910" s="6" t="s">
        <v>6860</v>
      </c>
      <c r="C910" s="6" t="s">
        <v>31</v>
      </c>
      <c r="E910" s="6" t="s">
        <v>6859</v>
      </c>
      <c r="F910" s="6" t="s">
        <v>6858</v>
      </c>
      <c r="G910" s="6" t="s">
        <v>16</v>
      </c>
      <c r="H910" s="6" t="s">
        <v>28</v>
      </c>
      <c r="I910" s="6" t="s">
        <v>60</v>
      </c>
      <c r="J910" s="6" t="s">
        <v>35</v>
      </c>
      <c r="K910" s="7">
        <v>29.767880000000002</v>
      </c>
      <c r="L910" s="7">
        <v>-95.106915999999998</v>
      </c>
      <c r="M910" s="6" t="s">
        <v>34</v>
      </c>
      <c r="N910" s="6" t="s">
        <v>24</v>
      </c>
      <c r="O910" s="6" t="s">
        <v>23</v>
      </c>
    </row>
    <row r="911" spans="1:15" x14ac:dyDescent="0.25">
      <c r="A911" s="6" t="s">
        <v>2438</v>
      </c>
      <c r="B911" s="6" t="s">
        <v>2437</v>
      </c>
      <c r="C911" s="6" t="s">
        <v>31</v>
      </c>
      <c r="E911" s="6" t="s">
        <v>2436</v>
      </c>
      <c r="F911" s="6" t="s">
        <v>2435</v>
      </c>
      <c r="G911" s="6" t="s">
        <v>16</v>
      </c>
      <c r="H911" s="6" t="s">
        <v>28</v>
      </c>
      <c r="I911" s="6" t="s">
        <v>60</v>
      </c>
      <c r="J911" s="6" t="s">
        <v>904</v>
      </c>
      <c r="K911" s="7">
        <v>32.686131590000002</v>
      </c>
      <c r="L911" s="7">
        <v>-97.611415140000005</v>
      </c>
      <c r="M911" s="6" t="s">
        <v>2400</v>
      </c>
      <c r="N911" s="6" t="s">
        <v>102</v>
      </c>
      <c r="O911" s="6" t="s">
        <v>42</v>
      </c>
    </row>
    <row r="912" spans="1:15" x14ac:dyDescent="0.25">
      <c r="A912" s="6" t="s">
        <v>3005</v>
      </c>
      <c r="B912" s="6" t="s">
        <v>3004</v>
      </c>
      <c r="C912" s="6" t="s">
        <v>31</v>
      </c>
      <c r="E912" s="6" t="s">
        <v>3003</v>
      </c>
      <c r="F912" s="6" t="s">
        <v>3002</v>
      </c>
      <c r="G912" s="6" t="s">
        <v>16</v>
      </c>
      <c r="H912" s="6" t="s">
        <v>28</v>
      </c>
      <c r="I912" s="6" t="s">
        <v>60</v>
      </c>
      <c r="J912" s="6" t="s">
        <v>1382</v>
      </c>
      <c r="K912" s="7">
        <v>31.123592339999998</v>
      </c>
      <c r="L912" s="7">
        <v>-95.453740199999999</v>
      </c>
      <c r="M912" s="6" t="s">
        <v>317</v>
      </c>
      <c r="N912" s="6" t="s">
        <v>102</v>
      </c>
      <c r="O912" s="6" t="s">
        <v>24</v>
      </c>
    </row>
    <row r="913" spans="1:15" x14ac:dyDescent="0.25">
      <c r="A913" s="6" t="s">
        <v>6935</v>
      </c>
      <c r="B913" s="6" t="s">
        <v>6934</v>
      </c>
      <c r="C913" s="6" t="s">
        <v>31</v>
      </c>
      <c r="E913" s="6" t="s">
        <v>6933</v>
      </c>
      <c r="F913" s="6" t="s">
        <v>6932</v>
      </c>
      <c r="G913" s="6" t="s">
        <v>16</v>
      </c>
      <c r="H913" s="6" t="s">
        <v>28</v>
      </c>
      <c r="I913" s="6" t="s">
        <v>60</v>
      </c>
      <c r="J913" s="6" t="s">
        <v>35</v>
      </c>
      <c r="K913" s="7">
        <v>29.5639</v>
      </c>
      <c r="L913" s="7">
        <v>-95.045816000000002</v>
      </c>
      <c r="M913" s="6" t="s">
        <v>804</v>
      </c>
      <c r="N913" s="6" t="s">
        <v>160</v>
      </c>
      <c r="O913" s="6" t="s">
        <v>23</v>
      </c>
    </row>
    <row r="914" spans="1:15" x14ac:dyDescent="0.25">
      <c r="A914" s="6" t="s">
        <v>6927</v>
      </c>
      <c r="B914" s="6" t="s">
        <v>6926</v>
      </c>
      <c r="C914" s="6" t="s">
        <v>31</v>
      </c>
      <c r="E914" s="6" t="s">
        <v>6925</v>
      </c>
      <c r="F914" s="6" t="s">
        <v>6924</v>
      </c>
      <c r="G914" s="6" t="s">
        <v>16</v>
      </c>
      <c r="H914" s="6" t="s">
        <v>28</v>
      </c>
      <c r="I914" s="6" t="s">
        <v>73</v>
      </c>
      <c r="J914" s="6" t="s">
        <v>3151</v>
      </c>
      <c r="K914" s="7">
        <v>31.240839999999999</v>
      </c>
      <c r="L914" s="7">
        <v>-93.967670999999996</v>
      </c>
      <c r="M914" s="6" t="s">
        <v>644</v>
      </c>
      <c r="N914" s="6" t="s">
        <v>52</v>
      </c>
      <c r="O914" s="6" t="s">
        <v>24</v>
      </c>
    </row>
    <row r="915" spans="1:15" x14ac:dyDescent="0.25">
      <c r="A915" s="6" t="s">
        <v>5436</v>
      </c>
      <c r="B915" s="6" t="s">
        <v>5435</v>
      </c>
      <c r="C915" s="6" t="s">
        <v>31</v>
      </c>
      <c r="E915" s="6" t="s">
        <v>5434</v>
      </c>
      <c r="F915" s="6" t="s">
        <v>5433</v>
      </c>
      <c r="G915" s="6" t="s">
        <v>16</v>
      </c>
      <c r="H915" s="6" t="s">
        <v>28</v>
      </c>
      <c r="I915" s="6" t="s">
        <v>46</v>
      </c>
      <c r="J915" s="6" t="s">
        <v>226</v>
      </c>
      <c r="K915" s="7">
        <v>33.64419358</v>
      </c>
      <c r="L915" s="7">
        <v>-98.016886900000003</v>
      </c>
      <c r="M915" s="6" t="s">
        <v>5432</v>
      </c>
      <c r="N915" s="6" t="s">
        <v>43</v>
      </c>
      <c r="O915" s="6" t="s">
        <v>95</v>
      </c>
    </row>
    <row r="916" spans="1:15" x14ac:dyDescent="0.25">
      <c r="A916" s="6" t="s">
        <v>9546</v>
      </c>
      <c r="B916" s="6" t="s">
        <v>9545</v>
      </c>
      <c r="C916" s="6" t="s">
        <v>31</v>
      </c>
      <c r="E916" s="6" t="s">
        <v>9544</v>
      </c>
      <c r="F916" s="6" t="s">
        <v>9543</v>
      </c>
      <c r="G916" s="6" t="s">
        <v>16</v>
      </c>
      <c r="H916" s="6" t="s">
        <v>15</v>
      </c>
      <c r="I916" s="6" t="s">
        <v>14</v>
      </c>
      <c r="J916" s="6" t="s">
        <v>4455</v>
      </c>
      <c r="K916" s="7">
        <v>30.640424629999998</v>
      </c>
      <c r="L916" s="7">
        <v>-97.001481889999994</v>
      </c>
      <c r="M916" s="6" t="s">
        <v>589</v>
      </c>
      <c r="N916" s="6" t="s">
        <v>23</v>
      </c>
      <c r="O916" s="6" t="s">
        <v>120</v>
      </c>
    </row>
    <row r="917" spans="1:15" x14ac:dyDescent="0.25">
      <c r="A917" s="6" t="s">
        <v>8814</v>
      </c>
      <c r="B917" s="6" t="s">
        <v>8813</v>
      </c>
      <c r="C917" s="6" t="s">
        <v>31</v>
      </c>
      <c r="E917" s="6" t="s">
        <v>8812</v>
      </c>
      <c r="F917" s="6" t="s">
        <v>5708</v>
      </c>
      <c r="G917" s="6" t="s">
        <v>16</v>
      </c>
      <c r="H917" s="6" t="s">
        <v>15</v>
      </c>
      <c r="I917" s="6" t="s">
        <v>799</v>
      </c>
      <c r="J917" s="6" t="s">
        <v>35</v>
      </c>
      <c r="K917" s="7">
        <v>29.66554</v>
      </c>
      <c r="L917" s="7">
        <v>-95.606437</v>
      </c>
      <c r="M917" s="6" t="s">
        <v>866</v>
      </c>
      <c r="N917" s="6" t="s">
        <v>24</v>
      </c>
      <c r="O917" s="6" t="s">
        <v>23</v>
      </c>
    </row>
    <row r="918" spans="1:15" x14ac:dyDescent="0.25">
      <c r="A918" s="6" t="s">
        <v>5555</v>
      </c>
      <c r="B918" s="6" t="s">
        <v>5554</v>
      </c>
      <c r="C918" s="6" t="s">
        <v>31</v>
      </c>
      <c r="E918" s="6" t="s">
        <v>5553</v>
      </c>
      <c r="F918" s="6" t="s">
        <v>5552</v>
      </c>
      <c r="G918" s="6" t="s">
        <v>16</v>
      </c>
      <c r="H918" s="6" t="s">
        <v>28</v>
      </c>
      <c r="I918" s="6" t="s">
        <v>27</v>
      </c>
      <c r="J918" s="6" t="s">
        <v>2101</v>
      </c>
      <c r="K918" s="7">
        <v>33.452328979999997</v>
      </c>
      <c r="L918" s="7">
        <v>-96.749503020000006</v>
      </c>
      <c r="M918" s="6" t="s">
        <v>167</v>
      </c>
      <c r="N918" s="6" t="s">
        <v>102</v>
      </c>
      <c r="O918" s="6" t="s">
        <v>42</v>
      </c>
    </row>
    <row r="919" spans="1:15" x14ac:dyDescent="0.25">
      <c r="A919" s="6" t="s">
        <v>9902</v>
      </c>
      <c r="B919" s="6" t="s">
        <v>9901</v>
      </c>
      <c r="C919" s="6" t="s">
        <v>31</v>
      </c>
      <c r="E919" s="6" t="s">
        <v>9900</v>
      </c>
      <c r="F919" s="6" t="s">
        <v>9899</v>
      </c>
      <c r="G919" s="6" t="s">
        <v>16</v>
      </c>
      <c r="H919" s="6" t="s">
        <v>15</v>
      </c>
      <c r="I919" s="6" t="s">
        <v>14</v>
      </c>
      <c r="J919" s="6" t="s">
        <v>3079</v>
      </c>
      <c r="K919" s="7">
        <v>29.488558319999999</v>
      </c>
      <c r="L919" s="7">
        <v>-97.435587720000001</v>
      </c>
      <c r="M919" s="6" t="s">
        <v>1739</v>
      </c>
      <c r="N919" s="6" t="s">
        <v>559</v>
      </c>
      <c r="O919" s="6" t="s">
        <v>10</v>
      </c>
    </row>
    <row r="920" spans="1:15" x14ac:dyDescent="0.25">
      <c r="A920" s="6" t="s">
        <v>5302</v>
      </c>
      <c r="B920" s="6" t="s">
        <v>5301</v>
      </c>
      <c r="C920" s="6" t="s">
        <v>31</v>
      </c>
      <c r="E920" s="6" t="s">
        <v>5300</v>
      </c>
      <c r="F920" s="6" t="s">
        <v>5299</v>
      </c>
      <c r="G920" s="6" t="s">
        <v>16</v>
      </c>
      <c r="H920" s="6" t="s">
        <v>28</v>
      </c>
      <c r="I920" s="6" t="s">
        <v>60</v>
      </c>
      <c r="J920" s="6" t="s">
        <v>35</v>
      </c>
      <c r="K920" s="7">
        <v>29.679745</v>
      </c>
      <c r="L920" s="7">
        <v>-95.008426</v>
      </c>
      <c r="M920" s="6" t="s">
        <v>5298</v>
      </c>
      <c r="N920" s="6" t="s">
        <v>160</v>
      </c>
      <c r="O920" s="6" t="s">
        <v>23</v>
      </c>
    </row>
    <row r="921" spans="1:15" x14ac:dyDescent="0.25">
      <c r="A921" s="6" t="s">
        <v>7208</v>
      </c>
      <c r="B921" s="6" t="s">
        <v>7207</v>
      </c>
      <c r="C921" s="6" t="s">
        <v>31</v>
      </c>
      <c r="E921" s="6" t="s">
        <v>7206</v>
      </c>
      <c r="F921" s="6" t="s">
        <v>7205</v>
      </c>
      <c r="G921" s="6" t="s">
        <v>16</v>
      </c>
      <c r="H921" s="6" t="s">
        <v>28</v>
      </c>
      <c r="I921" s="6" t="s">
        <v>73</v>
      </c>
      <c r="J921" s="6" t="s">
        <v>26</v>
      </c>
      <c r="K921" s="7">
        <v>30.459771</v>
      </c>
      <c r="L921" s="7">
        <v>-95.550169999999994</v>
      </c>
      <c r="M921" s="6" t="s">
        <v>340</v>
      </c>
      <c r="N921" s="6" t="s">
        <v>24</v>
      </c>
      <c r="O921" s="6" t="s">
        <v>23</v>
      </c>
    </row>
    <row r="922" spans="1:15" x14ac:dyDescent="0.25">
      <c r="A922" s="6" t="s">
        <v>657</v>
      </c>
      <c r="B922" s="6" t="s">
        <v>656</v>
      </c>
      <c r="C922" s="6" t="s">
        <v>31</v>
      </c>
      <c r="E922" s="6" t="s">
        <v>655</v>
      </c>
      <c r="F922" s="6" t="s">
        <v>654</v>
      </c>
      <c r="G922" s="6" t="s">
        <v>16</v>
      </c>
      <c r="H922" s="6" t="s">
        <v>15</v>
      </c>
      <c r="I922" s="6" t="s">
        <v>36</v>
      </c>
      <c r="J922" s="6" t="s">
        <v>35</v>
      </c>
      <c r="K922" s="7">
        <v>29.945081609999999</v>
      </c>
      <c r="L922" s="7">
        <v>-95.563885490000004</v>
      </c>
      <c r="M922" s="6" t="s">
        <v>198</v>
      </c>
      <c r="N922" s="6" t="s">
        <v>24</v>
      </c>
      <c r="O922" s="6" t="s">
        <v>23</v>
      </c>
    </row>
    <row r="923" spans="1:15" x14ac:dyDescent="0.25">
      <c r="A923" s="6" t="s">
        <v>6292</v>
      </c>
      <c r="B923" s="6" t="s">
        <v>6291</v>
      </c>
      <c r="C923" s="6" t="s">
        <v>31</v>
      </c>
      <c r="E923" s="6" t="s">
        <v>6290</v>
      </c>
      <c r="F923" s="6" t="s">
        <v>895</v>
      </c>
      <c r="G923" s="6" t="s">
        <v>16</v>
      </c>
      <c r="H923" s="6" t="s">
        <v>28</v>
      </c>
      <c r="I923" s="6" t="s">
        <v>27</v>
      </c>
      <c r="J923" s="6" t="s">
        <v>26</v>
      </c>
      <c r="K923" s="7">
        <v>30.451004000000001</v>
      </c>
      <c r="L923" s="7">
        <v>-95.564711000000003</v>
      </c>
      <c r="M923" s="6" t="s">
        <v>340</v>
      </c>
      <c r="N923" s="6" t="s">
        <v>24</v>
      </c>
      <c r="O923" s="6" t="s">
        <v>23</v>
      </c>
    </row>
    <row r="924" spans="1:15" x14ac:dyDescent="0.25">
      <c r="A924" s="6" t="s">
        <v>10955</v>
      </c>
      <c r="B924" s="6" t="s">
        <v>10954</v>
      </c>
      <c r="C924" s="6" t="s">
        <v>31</v>
      </c>
      <c r="E924" s="6" t="s">
        <v>10953</v>
      </c>
      <c r="F924" s="6" t="s">
        <v>10952</v>
      </c>
      <c r="G924" s="6" t="s">
        <v>16</v>
      </c>
      <c r="H924" s="6" t="s">
        <v>28</v>
      </c>
      <c r="I924" s="6" t="s">
        <v>60</v>
      </c>
      <c r="J924" s="6" t="s">
        <v>928</v>
      </c>
      <c r="K924" s="7">
        <v>31.032540999999998</v>
      </c>
      <c r="L924" s="7">
        <v>-96.113428999999996</v>
      </c>
      <c r="M924" s="6" t="s">
        <v>317</v>
      </c>
      <c r="N924" s="6" t="s">
        <v>102</v>
      </c>
      <c r="O924" s="6" t="s">
        <v>120</v>
      </c>
    </row>
    <row r="925" spans="1:15" x14ac:dyDescent="0.25">
      <c r="A925" s="6" t="s">
        <v>2434</v>
      </c>
      <c r="B925" s="6" t="s">
        <v>2433</v>
      </c>
      <c r="C925" s="6" t="s">
        <v>31</v>
      </c>
      <c r="E925" s="6" t="s">
        <v>2432</v>
      </c>
      <c r="F925" s="6" t="s">
        <v>2431</v>
      </c>
      <c r="G925" s="6" t="s">
        <v>16</v>
      </c>
      <c r="H925" s="6" t="s">
        <v>28</v>
      </c>
      <c r="I925" s="6" t="s">
        <v>2430</v>
      </c>
      <c r="J925" s="6" t="s">
        <v>1064</v>
      </c>
      <c r="K925" s="7">
        <v>29.114144</v>
      </c>
      <c r="L925" s="7">
        <v>-96.403301999999996</v>
      </c>
      <c r="M925" s="6" t="s">
        <v>2429</v>
      </c>
      <c r="N925" s="6" t="s">
        <v>510</v>
      </c>
      <c r="O925" s="6" t="s">
        <v>23</v>
      </c>
    </row>
    <row r="926" spans="1:15" x14ac:dyDescent="0.25">
      <c r="A926" s="6" t="s">
        <v>143</v>
      </c>
      <c r="B926" s="6" t="s">
        <v>142</v>
      </c>
      <c r="C926" s="6" t="s">
        <v>31</v>
      </c>
      <c r="E926" s="6" t="s">
        <v>141</v>
      </c>
      <c r="F926" s="6" t="s">
        <v>140</v>
      </c>
      <c r="G926" s="6" t="s">
        <v>16</v>
      </c>
      <c r="H926" s="6" t="s">
        <v>28</v>
      </c>
      <c r="I926" s="6" t="s">
        <v>46</v>
      </c>
      <c r="J926" s="6" t="s">
        <v>139</v>
      </c>
      <c r="K926" s="7">
        <v>27.990261669999999</v>
      </c>
      <c r="L926" s="7">
        <v>-97.357071629999993</v>
      </c>
      <c r="M926" s="6" t="s">
        <v>138</v>
      </c>
      <c r="N926" s="6" t="s">
        <v>137</v>
      </c>
      <c r="O926" s="6" t="s">
        <v>10</v>
      </c>
    </row>
    <row r="927" spans="1:15" x14ac:dyDescent="0.25">
      <c r="A927" s="6" t="s">
        <v>4561</v>
      </c>
      <c r="B927" s="6" t="s">
        <v>4560</v>
      </c>
      <c r="C927" s="6" t="s">
        <v>31</v>
      </c>
      <c r="E927" s="6" t="s">
        <v>4559</v>
      </c>
      <c r="F927" s="6" t="s">
        <v>4558</v>
      </c>
      <c r="G927" s="6" t="s">
        <v>16</v>
      </c>
      <c r="H927" s="6" t="s">
        <v>28</v>
      </c>
      <c r="I927" s="6" t="s">
        <v>60</v>
      </c>
      <c r="J927" s="6" t="s">
        <v>2267</v>
      </c>
      <c r="K927" s="7">
        <v>32.302902000000003</v>
      </c>
      <c r="L927" s="7">
        <v>-96.000304999999997</v>
      </c>
      <c r="M927" s="6" t="s">
        <v>193</v>
      </c>
      <c r="N927" s="6" t="s">
        <v>102</v>
      </c>
      <c r="O927" s="6" t="s">
        <v>65</v>
      </c>
    </row>
    <row r="928" spans="1:15" x14ac:dyDescent="0.25">
      <c r="A928" s="6" t="s">
        <v>7362</v>
      </c>
      <c r="B928" s="6" t="s">
        <v>7361</v>
      </c>
      <c r="C928" s="6" t="s">
        <v>31</v>
      </c>
      <c r="E928" s="6" t="s">
        <v>7360</v>
      </c>
      <c r="F928" s="6" t="s">
        <v>7359</v>
      </c>
      <c r="G928" s="6" t="s">
        <v>16</v>
      </c>
      <c r="H928" s="6" t="s">
        <v>28</v>
      </c>
      <c r="I928" s="6" t="s">
        <v>73</v>
      </c>
      <c r="J928" s="6" t="s">
        <v>4114</v>
      </c>
      <c r="K928" s="7">
        <v>28.427361999999999</v>
      </c>
      <c r="L928" s="7">
        <v>-99.220073999999997</v>
      </c>
      <c r="M928" s="6" t="s">
        <v>5841</v>
      </c>
      <c r="N928" s="6" t="s">
        <v>524</v>
      </c>
      <c r="O928" s="6" t="s">
        <v>510</v>
      </c>
    </row>
    <row r="929" spans="1:15" x14ac:dyDescent="0.25">
      <c r="A929" s="6" t="s">
        <v>243</v>
      </c>
      <c r="B929" s="6" t="s">
        <v>242</v>
      </c>
      <c r="C929" s="6" t="s">
        <v>31</v>
      </c>
      <c r="E929" s="6" t="s">
        <v>241</v>
      </c>
      <c r="F929" s="6" t="s">
        <v>240</v>
      </c>
      <c r="G929" s="6" t="s">
        <v>16</v>
      </c>
      <c r="H929" s="6" t="s">
        <v>28</v>
      </c>
      <c r="I929" s="6" t="s">
        <v>73</v>
      </c>
      <c r="J929" s="6" t="s">
        <v>239</v>
      </c>
      <c r="K929" s="7">
        <v>33.065545</v>
      </c>
      <c r="L929" s="7">
        <v>-96.299386999999996</v>
      </c>
      <c r="M929" s="6" t="s">
        <v>109</v>
      </c>
      <c r="N929" s="6" t="s">
        <v>65</v>
      </c>
      <c r="O929" s="6" t="s">
        <v>42</v>
      </c>
    </row>
    <row r="930" spans="1:15" x14ac:dyDescent="0.25">
      <c r="A930" s="6" t="s">
        <v>7134</v>
      </c>
      <c r="B930" s="6" t="s">
        <v>7133</v>
      </c>
      <c r="C930" s="6" t="s">
        <v>31</v>
      </c>
      <c r="E930" s="6" t="s">
        <v>7132</v>
      </c>
      <c r="F930" s="6" t="s">
        <v>7131</v>
      </c>
      <c r="G930" s="6" t="s">
        <v>16</v>
      </c>
      <c r="H930" s="6" t="s">
        <v>15</v>
      </c>
      <c r="I930" s="6" t="s">
        <v>46</v>
      </c>
      <c r="J930" s="6" t="s">
        <v>1288</v>
      </c>
      <c r="K930" s="7">
        <v>32.370600019999998</v>
      </c>
      <c r="L930" s="7">
        <v>-96.832198700000006</v>
      </c>
      <c r="M930" s="6" t="s">
        <v>7130</v>
      </c>
      <c r="N930" s="6" t="s">
        <v>102</v>
      </c>
      <c r="O930" s="6" t="s">
        <v>42</v>
      </c>
    </row>
    <row r="931" spans="1:15" x14ac:dyDescent="0.25">
      <c r="A931" s="6" t="s">
        <v>6877</v>
      </c>
      <c r="B931" s="6" t="s">
        <v>6876</v>
      </c>
      <c r="C931" s="6" t="s">
        <v>31</v>
      </c>
      <c r="E931" s="6" t="s">
        <v>6875</v>
      </c>
      <c r="F931" s="6" t="s">
        <v>6874</v>
      </c>
      <c r="G931" s="6" t="s">
        <v>16</v>
      </c>
      <c r="H931" s="6" t="s">
        <v>28</v>
      </c>
      <c r="I931" s="6" t="s">
        <v>27</v>
      </c>
      <c r="J931" s="6" t="s">
        <v>1787</v>
      </c>
      <c r="K931" s="7">
        <v>32.67164717</v>
      </c>
      <c r="L931" s="7">
        <v>-95.701512109999996</v>
      </c>
      <c r="M931" s="6" t="s">
        <v>423</v>
      </c>
      <c r="N931" s="6" t="s">
        <v>65</v>
      </c>
      <c r="O931" s="6" t="s">
        <v>65</v>
      </c>
    </row>
    <row r="932" spans="1:15" x14ac:dyDescent="0.25">
      <c r="A932" s="6" t="s">
        <v>7523</v>
      </c>
      <c r="B932" s="6" t="s">
        <v>7522</v>
      </c>
      <c r="C932" s="6" t="s">
        <v>31</v>
      </c>
      <c r="E932" s="6" t="s">
        <v>7521</v>
      </c>
      <c r="F932" s="6" t="s">
        <v>7520</v>
      </c>
      <c r="G932" s="6" t="s">
        <v>16</v>
      </c>
      <c r="H932" s="6" t="s">
        <v>15</v>
      </c>
      <c r="I932" s="6" t="s">
        <v>46</v>
      </c>
      <c r="J932" s="6" t="s">
        <v>7519</v>
      </c>
      <c r="K932" s="7">
        <v>35.571825830000002</v>
      </c>
      <c r="L932" s="7">
        <v>-100.92764538</v>
      </c>
      <c r="M932" s="6" t="s">
        <v>691</v>
      </c>
      <c r="N932" s="6" t="s">
        <v>535</v>
      </c>
      <c r="O932" s="6" t="s">
        <v>535</v>
      </c>
    </row>
    <row r="933" spans="1:15" x14ac:dyDescent="0.25">
      <c r="A933" s="6" t="s">
        <v>7817</v>
      </c>
      <c r="B933" s="6" t="s">
        <v>7816</v>
      </c>
      <c r="C933" s="6" t="s">
        <v>31</v>
      </c>
      <c r="E933" s="6" t="s">
        <v>7815</v>
      </c>
      <c r="F933" s="6" t="s">
        <v>7814</v>
      </c>
      <c r="G933" s="6" t="s">
        <v>16</v>
      </c>
      <c r="H933" s="6" t="s">
        <v>28</v>
      </c>
      <c r="I933" s="6" t="s">
        <v>27</v>
      </c>
      <c r="J933" s="6" t="s">
        <v>132</v>
      </c>
      <c r="K933" s="7">
        <v>29.387505999999998</v>
      </c>
      <c r="L933" s="7">
        <v>-95.832245</v>
      </c>
      <c r="M933" s="6" t="s">
        <v>1063</v>
      </c>
      <c r="N933" s="6" t="s">
        <v>231</v>
      </c>
      <c r="O933" s="6" t="s">
        <v>23</v>
      </c>
    </row>
    <row r="934" spans="1:15" x14ac:dyDescent="0.25">
      <c r="A934" s="6" t="s">
        <v>6826</v>
      </c>
      <c r="B934" s="6" t="s">
        <v>6825</v>
      </c>
      <c r="C934" s="6" t="s">
        <v>31</v>
      </c>
      <c r="E934" s="6" t="s">
        <v>6824</v>
      </c>
      <c r="F934" s="6" t="s">
        <v>6823</v>
      </c>
      <c r="G934" s="6" t="s">
        <v>16</v>
      </c>
      <c r="H934" s="6" t="s">
        <v>28</v>
      </c>
      <c r="I934" s="6" t="s">
        <v>27</v>
      </c>
      <c r="J934" s="6" t="s">
        <v>4135</v>
      </c>
      <c r="K934" s="7">
        <v>28.829433999999999</v>
      </c>
      <c r="L934" s="7">
        <v>-96.614975999999999</v>
      </c>
      <c r="M934" s="6" t="s">
        <v>5203</v>
      </c>
      <c r="N934" s="6" t="s">
        <v>510</v>
      </c>
      <c r="O934" s="6" t="s">
        <v>10</v>
      </c>
    </row>
    <row r="935" spans="1:15" x14ac:dyDescent="0.25">
      <c r="A935" s="6" t="s">
        <v>9735</v>
      </c>
      <c r="B935" s="6" t="s">
        <v>6782</v>
      </c>
      <c r="C935" s="6" t="s">
        <v>31</v>
      </c>
      <c r="E935" s="6" t="s">
        <v>6781</v>
      </c>
      <c r="F935" s="6" t="s">
        <v>6780</v>
      </c>
      <c r="G935" s="6" t="s">
        <v>16</v>
      </c>
      <c r="H935" s="6" t="s">
        <v>28</v>
      </c>
      <c r="I935" s="6" t="s">
        <v>14</v>
      </c>
      <c r="J935" s="6" t="s">
        <v>54</v>
      </c>
      <c r="K935" s="7">
        <v>30.939756089999999</v>
      </c>
      <c r="L935" s="7">
        <v>-95.310621249999997</v>
      </c>
      <c r="M935" s="6" t="s">
        <v>317</v>
      </c>
      <c r="N935" s="6" t="s">
        <v>102</v>
      </c>
      <c r="O935" s="6" t="s">
        <v>24</v>
      </c>
    </row>
    <row r="936" spans="1:15" x14ac:dyDescent="0.25">
      <c r="A936" s="6" t="s">
        <v>6783</v>
      </c>
      <c r="B936" s="6" t="s">
        <v>6782</v>
      </c>
      <c r="C936" s="6" t="s">
        <v>19</v>
      </c>
      <c r="E936" s="6" t="s">
        <v>6781</v>
      </c>
      <c r="F936" s="6" t="s">
        <v>6780</v>
      </c>
      <c r="G936" s="6" t="s">
        <v>16</v>
      </c>
      <c r="H936" s="6" t="s">
        <v>28</v>
      </c>
      <c r="I936" s="6" t="s">
        <v>14</v>
      </c>
      <c r="J936" s="6" t="s">
        <v>54</v>
      </c>
      <c r="K936" s="7">
        <v>30.943535860000001</v>
      </c>
      <c r="L936" s="7">
        <v>-95.333253049999996</v>
      </c>
      <c r="M936" s="6" t="s">
        <v>317</v>
      </c>
      <c r="N936" s="6" t="s">
        <v>102</v>
      </c>
      <c r="O936" s="6" t="s">
        <v>24</v>
      </c>
    </row>
    <row r="937" spans="1:15" x14ac:dyDescent="0.25">
      <c r="A937" s="6" t="s">
        <v>1685</v>
      </c>
      <c r="B937" s="6" t="s">
        <v>1684</v>
      </c>
      <c r="C937" s="6" t="s">
        <v>31</v>
      </c>
      <c r="E937" s="6" t="s">
        <v>1683</v>
      </c>
      <c r="F937" s="6" t="s">
        <v>1682</v>
      </c>
      <c r="G937" s="6" t="s">
        <v>16</v>
      </c>
      <c r="H937" s="6" t="s">
        <v>28</v>
      </c>
      <c r="I937" s="6" t="s">
        <v>60</v>
      </c>
      <c r="J937" s="6" t="s">
        <v>312</v>
      </c>
      <c r="K937" s="7">
        <v>32.385621999999998</v>
      </c>
      <c r="L937" s="7">
        <v>-97.915342999999993</v>
      </c>
      <c r="M937" s="6" t="s">
        <v>1681</v>
      </c>
      <c r="N937" s="6" t="s">
        <v>23</v>
      </c>
      <c r="O937" s="6" t="s">
        <v>42</v>
      </c>
    </row>
    <row r="938" spans="1:15" x14ac:dyDescent="0.25">
      <c r="A938" s="6" t="s">
        <v>9047</v>
      </c>
      <c r="B938" s="6" t="s">
        <v>9046</v>
      </c>
      <c r="C938" s="6" t="s">
        <v>31</v>
      </c>
      <c r="E938" s="6" t="s">
        <v>9045</v>
      </c>
      <c r="F938" s="6" t="s">
        <v>9044</v>
      </c>
      <c r="G938" s="6" t="s">
        <v>16</v>
      </c>
      <c r="H938" s="6" t="s">
        <v>28</v>
      </c>
      <c r="I938" s="6" t="s">
        <v>73</v>
      </c>
      <c r="J938" s="6" t="s">
        <v>145</v>
      </c>
      <c r="K938" s="7">
        <v>30.165412450000002</v>
      </c>
      <c r="L938" s="7">
        <v>-94.314652539999997</v>
      </c>
      <c r="M938" s="6" t="s">
        <v>144</v>
      </c>
      <c r="N938" s="6" t="s">
        <v>52</v>
      </c>
      <c r="O938" s="6" t="s">
        <v>24</v>
      </c>
    </row>
    <row r="939" spans="1:15" x14ac:dyDescent="0.25">
      <c r="A939" s="6" t="s">
        <v>202</v>
      </c>
      <c r="B939" s="6" t="s">
        <v>201</v>
      </c>
      <c r="C939" s="6" t="s">
        <v>31</v>
      </c>
      <c r="E939" s="6" t="s">
        <v>200</v>
      </c>
      <c r="F939" s="6" t="s">
        <v>199</v>
      </c>
      <c r="G939" s="6" t="s">
        <v>16</v>
      </c>
      <c r="H939" s="6" t="s">
        <v>28</v>
      </c>
      <c r="I939" s="6" t="s">
        <v>27</v>
      </c>
      <c r="J939" s="6" t="s">
        <v>35</v>
      </c>
      <c r="K939" s="7">
        <v>29.916056000000001</v>
      </c>
      <c r="L939" s="7">
        <v>-95.385771000000005</v>
      </c>
      <c r="M939" s="6" t="s">
        <v>198</v>
      </c>
      <c r="N939" s="6" t="s">
        <v>24</v>
      </c>
      <c r="O939" s="6" t="s">
        <v>23</v>
      </c>
    </row>
    <row r="940" spans="1:15" x14ac:dyDescent="0.25">
      <c r="A940" s="6" t="s">
        <v>2261</v>
      </c>
      <c r="B940" s="6" t="s">
        <v>2260</v>
      </c>
      <c r="C940" s="6" t="s">
        <v>31</v>
      </c>
      <c r="E940" s="6" t="s">
        <v>2259</v>
      </c>
      <c r="F940" s="6" t="s">
        <v>2258</v>
      </c>
      <c r="G940" s="6" t="s">
        <v>16</v>
      </c>
      <c r="H940" s="6" t="s">
        <v>28</v>
      </c>
      <c r="I940" s="6" t="s">
        <v>73</v>
      </c>
      <c r="J940" s="6" t="s">
        <v>239</v>
      </c>
      <c r="K940" s="7">
        <v>33.160620000000002</v>
      </c>
      <c r="L940" s="7">
        <v>-96.825913999999997</v>
      </c>
      <c r="M940" s="6" t="s">
        <v>167</v>
      </c>
      <c r="N940" s="6" t="s">
        <v>102</v>
      </c>
      <c r="O940" s="6" t="s">
        <v>42</v>
      </c>
    </row>
    <row r="941" spans="1:15" x14ac:dyDescent="0.25">
      <c r="A941" s="6" t="s">
        <v>7004</v>
      </c>
      <c r="B941" s="6" t="s">
        <v>7003</v>
      </c>
      <c r="C941" s="6" t="s">
        <v>31</v>
      </c>
      <c r="E941" s="6" t="s">
        <v>7002</v>
      </c>
      <c r="F941" s="6" t="s">
        <v>7001</v>
      </c>
      <c r="G941" s="6" t="s">
        <v>16</v>
      </c>
      <c r="H941" s="6" t="s">
        <v>28</v>
      </c>
      <c r="I941" s="6" t="s">
        <v>73</v>
      </c>
      <c r="J941" s="6" t="s">
        <v>5416</v>
      </c>
      <c r="K941" s="7">
        <v>34.712040000000002</v>
      </c>
      <c r="L941" s="7">
        <v>-100.530552</v>
      </c>
      <c r="M941" s="6" t="s">
        <v>5415</v>
      </c>
      <c r="N941" s="6" t="s">
        <v>43</v>
      </c>
      <c r="O941" s="6" t="s">
        <v>535</v>
      </c>
    </row>
    <row r="942" spans="1:15" x14ac:dyDescent="0.25">
      <c r="A942" s="6" t="s">
        <v>3053</v>
      </c>
      <c r="B942" s="6" t="s">
        <v>3052</v>
      </c>
      <c r="C942" s="6" t="s">
        <v>31</v>
      </c>
      <c r="E942" s="6" t="s">
        <v>3051</v>
      </c>
      <c r="F942" s="6" t="s">
        <v>3050</v>
      </c>
      <c r="G942" s="6" t="s">
        <v>16</v>
      </c>
      <c r="H942" s="6" t="s">
        <v>28</v>
      </c>
      <c r="I942" s="6" t="s">
        <v>14</v>
      </c>
      <c r="J942" s="6" t="s">
        <v>35</v>
      </c>
      <c r="K942" s="7">
        <v>29.970615909999999</v>
      </c>
      <c r="L942" s="7">
        <v>-95.100571970000004</v>
      </c>
      <c r="M942" s="6" t="s">
        <v>716</v>
      </c>
      <c r="N942" s="6" t="s">
        <v>24</v>
      </c>
      <c r="O942" s="6" t="s">
        <v>23</v>
      </c>
    </row>
    <row r="943" spans="1:15" x14ac:dyDescent="0.25">
      <c r="A943" s="6" t="s">
        <v>4477</v>
      </c>
      <c r="B943" s="6" t="s">
        <v>4476</v>
      </c>
      <c r="C943" s="6" t="s">
        <v>31</v>
      </c>
      <c r="E943" s="6" t="s">
        <v>4475</v>
      </c>
      <c r="F943" s="6" t="s">
        <v>4474</v>
      </c>
      <c r="G943" s="6" t="s">
        <v>16</v>
      </c>
      <c r="H943" s="6" t="s">
        <v>15</v>
      </c>
      <c r="I943" s="6" t="s">
        <v>14</v>
      </c>
      <c r="J943" s="6" t="s">
        <v>1853</v>
      </c>
      <c r="K943" s="7">
        <v>28.822985070000001</v>
      </c>
      <c r="L943" s="7">
        <v>-97.841925070000002</v>
      </c>
      <c r="M943" s="6" t="s">
        <v>4473</v>
      </c>
      <c r="N943" s="6" t="s">
        <v>232</v>
      </c>
      <c r="O943" s="6" t="s">
        <v>231</v>
      </c>
    </row>
    <row r="944" spans="1:15" x14ac:dyDescent="0.25">
      <c r="A944" s="6" t="s">
        <v>9944</v>
      </c>
      <c r="B944" s="6" t="s">
        <v>9943</v>
      </c>
      <c r="C944" s="6" t="s">
        <v>31</v>
      </c>
      <c r="E944" s="6" t="s">
        <v>9942</v>
      </c>
      <c r="F944" s="6" t="s">
        <v>9941</v>
      </c>
      <c r="G944" s="6" t="s">
        <v>16</v>
      </c>
      <c r="H944" s="6" t="s">
        <v>28</v>
      </c>
      <c r="I944" s="6" t="s">
        <v>73</v>
      </c>
      <c r="J944" s="6" t="s">
        <v>90</v>
      </c>
      <c r="K944" s="7">
        <v>26.248249019999999</v>
      </c>
      <c r="L944" s="7">
        <v>-97.583724180000004</v>
      </c>
      <c r="M944" s="6" t="s">
        <v>1254</v>
      </c>
      <c r="N944" s="6" t="s">
        <v>11</v>
      </c>
      <c r="O944" s="6" t="s">
        <v>22</v>
      </c>
    </row>
    <row r="945" spans="1:15" x14ac:dyDescent="0.25">
      <c r="A945" s="6" t="s">
        <v>495</v>
      </c>
      <c r="B945" s="6" t="s">
        <v>494</v>
      </c>
      <c r="C945" s="6" t="s">
        <v>31</v>
      </c>
      <c r="E945" s="6" t="s">
        <v>493</v>
      </c>
      <c r="F945" s="6" t="s">
        <v>489</v>
      </c>
      <c r="G945" s="6" t="s">
        <v>16</v>
      </c>
      <c r="H945" s="6" t="s">
        <v>15</v>
      </c>
      <c r="I945" s="6" t="s">
        <v>14</v>
      </c>
      <c r="J945" s="6" t="s">
        <v>215</v>
      </c>
      <c r="K945" s="7">
        <v>29.271228600000001</v>
      </c>
      <c r="L945" s="7">
        <v>-94.847890169999999</v>
      </c>
      <c r="M945" s="6" t="s">
        <v>214</v>
      </c>
      <c r="N945" s="6" t="s">
        <v>160</v>
      </c>
      <c r="O945" s="6" t="s">
        <v>23</v>
      </c>
    </row>
    <row r="946" spans="1:15" x14ac:dyDescent="0.25">
      <c r="A946" s="6" t="s">
        <v>9933</v>
      </c>
      <c r="B946" s="6" t="s">
        <v>9932</v>
      </c>
      <c r="C946" s="6" t="s">
        <v>31</v>
      </c>
      <c r="E946" s="6" t="s">
        <v>9931</v>
      </c>
      <c r="F946" s="6" t="s">
        <v>9930</v>
      </c>
      <c r="G946" s="6" t="s">
        <v>16</v>
      </c>
      <c r="H946" s="6" t="s">
        <v>15</v>
      </c>
      <c r="I946" s="6" t="s">
        <v>46</v>
      </c>
      <c r="J946" s="6" t="s">
        <v>97</v>
      </c>
      <c r="K946" s="7">
        <v>33.759660680000003</v>
      </c>
      <c r="L946" s="7">
        <v>-95.532650689999997</v>
      </c>
      <c r="M946" s="6" t="s">
        <v>44</v>
      </c>
      <c r="N946" s="6" t="s">
        <v>43</v>
      </c>
      <c r="O946" s="6" t="s">
        <v>65</v>
      </c>
    </row>
    <row r="947" spans="1:15" x14ac:dyDescent="0.25">
      <c r="A947" s="6" t="s">
        <v>12256</v>
      </c>
      <c r="B947" s="6" t="s">
        <v>12255</v>
      </c>
      <c r="C947" s="6" t="s">
        <v>31</v>
      </c>
      <c r="E947" s="6" t="s">
        <v>12254</v>
      </c>
      <c r="F947" s="6" t="s">
        <v>12253</v>
      </c>
      <c r="G947" s="6" t="s">
        <v>16</v>
      </c>
      <c r="H947" s="6" t="s">
        <v>28</v>
      </c>
      <c r="I947" s="6" t="s">
        <v>73</v>
      </c>
      <c r="J947" s="6" t="s">
        <v>45</v>
      </c>
      <c r="K947" s="7">
        <v>33.479542000000002</v>
      </c>
      <c r="L947" s="7">
        <v>-96.247709</v>
      </c>
      <c r="M947" s="6" t="s">
        <v>44</v>
      </c>
      <c r="N947" s="6" t="s">
        <v>43</v>
      </c>
      <c r="O947" s="6" t="s">
        <v>42</v>
      </c>
    </row>
    <row r="948" spans="1:15" x14ac:dyDescent="0.25">
      <c r="A948" s="6" t="s">
        <v>8582</v>
      </c>
      <c r="B948" s="6" t="s">
        <v>8581</v>
      </c>
      <c r="C948" s="6" t="s">
        <v>31</v>
      </c>
      <c r="E948" s="6" t="s">
        <v>8580</v>
      </c>
      <c r="F948" s="6" t="s">
        <v>8579</v>
      </c>
      <c r="G948" s="6" t="s">
        <v>16</v>
      </c>
      <c r="H948" s="6" t="s">
        <v>28</v>
      </c>
      <c r="I948" s="6" t="s">
        <v>27</v>
      </c>
      <c r="J948" s="6" t="s">
        <v>4483</v>
      </c>
      <c r="K948" s="7">
        <v>33.359444000000003</v>
      </c>
      <c r="L948" s="7">
        <v>-95.688985000000002</v>
      </c>
      <c r="M948" s="6" t="s">
        <v>4482</v>
      </c>
      <c r="N948" s="6" t="s">
        <v>95</v>
      </c>
      <c r="O948" s="6" t="s">
        <v>65</v>
      </c>
    </row>
    <row r="949" spans="1:15" x14ac:dyDescent="0.25">
      <c r="A949" s="6" t="s">
        <v>667</v>
      </c>
      <c r="B949" s="6" t="s">
        <v>666</v>
      </c>
      <c r="C949" s="6" t="s">
        <v>31</v>
      </c>
      <c r="E949" s="6" t="s">
        <v>665</v>
      </c>
      <c r="F949" s="6" t="s">
        <v>664</v>
      </c>
      <c r="G949" s="6" t="s">
        <v>16</v>
      </c>
      <c r="H949" s="6" t="s">
        <v>28</v>
      </c>
      <c r="I949" s="6" t="s">
        <v>73</v>
      </c>
      <c r="J949" s="6" t="s">
        <v>663</v>
      </c>
      <c r="K949" s="7">
        <v>32.690639150000003</v>
      </c>
      <c r="L949" s="7">
        <v>-94.74862641</v>
      </c>
      <c r="M949" s="6" t="s">
        <v>662</v>
      </c>
      <c r="N949" s="6" t="s">
        <v>42</v>
      </c>
      <c r="O949" s="6" t="s">
        <v>65</v>
      </c>
    </row>
    <row r="950" spans="1:15" x14ac:dyDescent="0.25">
      <c r="A950" s="6" t="s">
        <v>7439</v>
      </c>
      <c r="B950" s="6" t="s">
        <v>7438</v>
      </c>
      <c r="C950" s="6" t="s">
        <v>31</v>
      </c>
      <c r="E950" s="6" t="s">
        <v>7437</v>
      </c>
      <c r="F950" s="6" t="s">
        <v>7436</v>
      </c>
      <c r="G950" s="6" t="s">
        <v>16</v>
      </c>
      <c r="H950" s="6" t="s">
        <v>28</v>
      </c>
      <c r="I950" s="6" t="s">
        <v>73</v>
      </c>
      <c r="J950" s="6" t="s">
        <v>1716</v>
      </c>
      <c r="K950" s="7">
        <v>30.5712774</v>
      </c>
      <c r="L950" s="7">
        <v>-95.475624030000006</v>
      </c>
      <c r="M950" s="6" t="s">
        <v>301</v>
      </c>
      <c r="N950" s="6" t="s">
        <v>24</v>
      </c>
      <c r="O950" s="6" t="s">
        <v>23</v>
      </c>
    </row>
    <row r="951" spans="1:15" x14ac:dyDescent="0.25">
      <c r="A951" s="6" t="s">
        <v>9989</v>
      </c>
      <c r="B951" s="6" t="s">
        <v>9988</v>
      </c>
      <c r="C951" s="6" t="s">
        <v>597</v>
      </c>
      <c r="E951" s="6" t="s">
        <v>9987</v>
      </c>
      <c r="F951" s="6" t="s">
        <v>9986</v>
      </c>
      <c r="G951" s="6" t="s">
        <v>16</v>
      </c>
      <c r="H951" s="6" t="s">
        <v>15</v>
      </c>
      <c r="I951" s="6" t="s">
        <v>36</v>
      </c>
      <c r="J951" s="6" t="s">
        <v>35</v>
      </c>
      <c r="K951" s="7">
        <v>29.93635858</v>
      </c>
      <c r="L951" s="7">
        <v>-95.454836700000001</v>
      </c>
      <c r="M951" s="6" t="s">
        <v>198</v>
      </c>
      <c r="N951" s="6" t="s">
        <v>24</v>
      </c>
      <c r="O951" s="6" t="s">
        <v>23</v>
      </c>
    </row>
    <row r="952" spans="1:15" x14ac:dyDescent="0.25">
      <c r="A952" s="6" t="s">
        <v>1615</v>
      </c>
      <c r="B952" s="6" t="s">
        <v>1614</v>
      </c>
      <c r="C952" s="6" t="s">
        <v>31</v>
      </c>
      <c r="E952" s="6" t="s">
        <v>1613</v>
      </c>
      <c r="F952" s="6" t="s">
        <v>1612</v>
      </c>
      <c r="G952" s="6" t="s">
        <v>16</v>
      </c>
      <c r="H952" s="6" t="s">
        <v>15</v>
      </c>
      <c r="I952" s="6" t="s">
        <v>46</v>
      </c>
      <c r="J952" s="6" t="s">
        <v>1611</v>
      </c>
      <c r="K952" s="7">
        <v>32.452560269999999</v>
      </c>
      <c r="L952" s="7">
        <v>-94.746500519999998</v>
      </c>
      <c r="M952" s="6" t="s">
        <v>1218</v>
      </c>
      <c r="N952" s="6" t="s">
        <v>65</v>
      </c>
      <c r="O952" s="6" t="s">
        <v>65</v>
      </c>
    </row>
    <row r="953" spans="1:15" x14ac:dyDescent="0.25">
      <c r="A953" s="6" t="s">
        <v>9386</v>
      </c>
      <c r="B953" s="6" t="s">
        <v>9384</v>
      </c>
      <c r="C953" s="6" t="s">
        <v>31</v>
      </c>
      <c r="E953" s="6" t="s">
        <v>9383</v>
      </c>
      <c r="F953" s="6" t="s">
        <v>9382</v>
      </c>
      <c r="G953" s="6" t="s">
        <v>16</v>
      </c>
      <c r="H953" s="6" t="s">
        <v>15</v>
      </c>
      <c r="I953" s="6" t="s">
        <v>14</v>
      </c>
      <c r="J953" s="6" t="s">
        <v>873</v>
      </c>
      <c r="K953" s="7">
        <v>29.54196357</v>
      </c>
      <c r="L953" s="7">
        <v>-98.421866269999995</v>
      </c>
      <c r="M953" s="6" t="s">
        <v>9381</v>
      </c>
      <c r="N953" s="6" t="s">
        <v>232</v>
      </c>
      <c r="O953" s="6" t="s">
        <v>231</v>
      </c>
    </row>
    <row r="954" spans="1:15" x14ac:dyDescent="0.25">
      <c r="A954" s="6" t="s">
        <v>9385</v>
      </c>
      <c r="B954" s="6" t="s">
        <v>9384</v>
      </c>
      <c r="C954" s="6" t="s">
        <v>19</v>
      </c>
      <c r="E954" s="6" t="s">
        <v>9383</v>
      </c>
      <c r="F954" s="6" t="s">
        <v>9382</v>
      </c>
      <c r="G954" s="6" t="s">
        <v>16</v>
      </c>
      <c r="H954" s="6" t="s">
        <v>15</v>
      </c>
      <c r="I954" s="6" t="s">
        <v>14</v>
      </c>
      <c r="J954" s="6" t="s">
        <v>873</v>
      </c>
      <c r="K954" s="7">
        <v>29.545365440000001</v>
      </c>
      <c r="L954" s="7">
        <v>-98.428399760000005</v>
      </c>
      <c r="M954" s="6" t="s">
        <v>9381</v>
      </c>
      <c r="N954" s="6" t="s">
        <v>232</v>
      </c>
      <c r="O954" s="6" t="s">
        <v>231</v>
      </c>
    </row>
    <row r="955" spans="1:15" x14ac:dyDescent="0.25">
      <c r="A955" s="6" t="s">
        <v>7101</v>
      </c>
      <c r="B955" s="6" t="s">
        <v>7099</v>
      </c>
      <c r="C955" s="6" t="s">
        <v>31</v>
      </c>
      <c r="E955" s="6" t="s">
        <v>7098</v>
      </c>
      <c r="F955" s="6" t="s">
        <v>7097</v>
      </c>
      <c r="G955" s="6" t="s">
        <v>16</v>
      </c>
      <c r="H955" s="6" t="s">
        <v>16</v>
      </c>
      <c r="I955" s="6" t="s">
        <v>14</v>
      </c>
      <c r="J955" s="6" t="s">
        <v>1275</v>
      </c>
      <c r="K955" s="7">
        <v>31.795896819999999</v>
      </c>
      <c r="L955" s="7">
        <v>-96.073779239999993</v>
      </c>
      <c r="M955" s="6" t="s">
        <v>1031</v>
      </c>
      <c r="N955" s="6" t="s">
        <v>102</v>
      </c>
      <c r="O955" s="6" t="s">
        <v>120</v>
      </c>
    </row>
    <row r="956" spans="1:15" x14ac:dyDescent="0.25">
      <c r="A956" s="6" t="s">
        <v>7100</v>
      </c>
      <c r="B956" s="6" t="s">
        <v>7099</v>
      </c>
      <c r="C956" s="6" t="s">
        <v>19</v>
      </c>
      <c r="E956" s="6" t="s">
        <v>7098</v>
      </c>
      <c r="F956" s="6" t="s">
        <v>7097</v>
      </c>
      <c r="G956" s="6" t="s">
        <v>16</v>
      </c>
      <c r="H956" s="6" t="s">
        <v>15</v>
      </c>
      <c r="I956" s="6" t="s">
        <v>14</v>
      </c>
      <c r="J956" s="6" t="s">
        <v>1275</v>
      </c>
      <c r="K956" s="7">
        <v>31.824631750000002</v>
      </c>
      <c r="L956" s="7">
        <v>-96.043880979999997</v>
      </c>
      <c r="M956" s="6" t="s">
        <v>1031</v>
      </c>
      <c r="N956" s="6" t="s">
        <v>102</v>
      </c>
      <c r="O956" s="6" t="s">
        <v>120</v>
      </c>
    </row>
    <row r="957" spans="1:15" x14ac:dyDescent="0.25">
      <c r="A957" s="6" t="s">
        <v>1050</v>
      </c>
      <c r="B957" s="6" t="s">
        <v>807</v>
      </c>
      <c r="C957" s="6" t="s">
        <v>31</v>
      </c>
      <c r="E957" s="6" t="s">
        <v>806</v>
      </c>
      <c r="F957" s="6" t="s">
        <v>805</v>
      </c>
      <c r="G957" s="6" t="s">
        <v>16</v>
      </c>
      <c r="H957" s="6" t="s">
        <v>15</v>
      </c>
      <c r="I957" s="6" t="s">
        <v>14</v>
      </c>
      <c r="J957" s="6" t="s">
        <v>35</v>
      </c>
      <c r="K957" s="7">
        <v>29.620090699999999</v>
      </c>
      <c r="L957" s="7">
        <v>-95.052983670000003</v>
      </c>
      <c r="M957" s="6" t="s">
        <v>804</v>
      </c>
      <c r="N957" s="6" t="s">
        <v>160</v>
      </c>
      <c r="O957" s="6" t="s">
        <v>23</v>
      </c>
    </row>
    <row r="958" spans="1:15" x14ac:dyDescent="0.25">
      <c r="A958" s="6" t="s">
        <v>809</v>
      </c>
      <c r="B958" s="6" t="s">
        <v>807</v>
      </c>
      <c r="C958" s="6" t="s">
        <v>19</v>
      </c>
      <c r="E958" s="6" t="s">
        <v>806</v>
      </c>
      <c r="F958" s="6" t="s">
        <v>805</v>
      </c>
      <c r="G958" s="6" t="s">
        <v>16</v>
      </c>
      <c r="H958" s="6" t="s">
        <v>15</v>
      </c>
      <c r="I958" s="6" t="s">
        <v>14</v>
      </c>
      <c r="J958" s="6" t="s">
        <v>35</v>
      </c>
      <c r="K958" s="7">
        <v>29.622105810000001</v>
      </c>
      <c r="L958" s="7">
        <v>-95.054147259999993</v>
      </c>
      <c r="M958" s="6" t="s">
        <v>804</v>
      </c>
      <c r="N958" s="6" t="s">
        <v>160</v>
      </c>
      <c r="O958" s="6" t="s">
        <v>23</v>
      </c>
    </row>
    <row r="959" spans="1:15" x14ac:dyDescent="0.25">
      <c r="A959" s="6" t="s">
        <v>808</v>
      </c>
      <c r="B959" s="6" t="s">
        <v>807</v>
      </c>
      <c r="C959" s="6" t="s">
        <v>436</v>
      </c>
      <c r="E959" s="6" t="s">
        <v>806</v>
      </c>
      <c r="F959" s="6" t="s">
        <v>805</v>
      </c>
      <c r="G959" s="6" t="s">
        <v>16</v>
      </c>
      <c r="H959" s="6" t="s">
        <v>15</v>
      </c>
      <c r="I959" s="6" t="s">
        <v>14</v>
      </c>
      <c r="J959" s="6" t="s">
        <v>35</v>
      </c>
      <c r="K959" s="7">
        <v>29.623693930000002</v>
      </c>
      <c r="L959" s="7">
        <v>-95.05507858</v>
      </c>
      <c r="M959" s="6" t="s">
        <v>804</v>
      </c>
      <c r="N959" s="6" t="s">
        <v>160</v>
      </c>
      <c r="O959" s="6" t="s">
        <v>23</v>
      </c>
    </row>
    <row r="960" spans="1:15" x14ac:dyDescent="0.25">
      <c r="A960" s="6" t="s">
        <v>4701</v>
      </c>
      <c r="B960" s="6" t="s">
        <v>4700</v>
      </c>
      <c r="C960" s="6" t="s">
        <v>31</v>
      </c>
      <c r="E960" s="6" t="s">
        <v>4699</v>
      </c>
      <c r="F960" s="6" t="s">
        <v>4698</v>
      </c>
      <c r="G960" s="6" t="s">
        <v>16</v>
      </c>
      <c r="H960" s="6" t="s">
        <v>28</v>
      </c>
      <c r="I960" s="6" t="s">
        <v>27</v>
      </c>
      <c r="J960" s="6" t="s">
        <v>566</v>
      </c>
      <c r="K960" s="7">
        <v>32.313814579999999</v>
      </c>
      <c r="L960" s="7">
        <v>-94.919018269999995</v>
      </c>
      <c r="M960" s="6" t="s">
        <v>1218</v>
      </c>
      <c r="N960" s="6" t="s">
        <v>65</v>
      </c>
      <c r="O960" s="6" t="s">
        <v>65</v>
      </c>
    </row>
    <row r="961" spans="1:15" x14ac:dyDescent="0.25">
      <c r="A961" s="6" t="s">
        <v>9058</v>
      </c>
      <c r="B961" s="6" t="s">
        <v>9057</v>
      </c>
      <c r="C961" s="6" t="s">
        <v>31</v>
      </c>
      <c r="E961" s="6" t="s">
        <v>9056</v>
      </c>
      <c r="F961" s="6" t="s">
        <v>9055</v>
      </c>
      <c r="G961" s="6" t="s">
        <v>16</v>
      </c>
      <c r="H961" s="6" t="s">
        <v>28</v>
      </c>
      <c r="I961" s="6" t="s">
        <v>14</v>
      </c>
      <c r="J961" s="6" t="s">
        <v>4169</v>
      </c>
      <c r="K961" s="7">
        <v>34.07980431</v>
      </c>
      <c r="L961" s="7">
        <v>-99.297210219999997</v>
      </c>
      <c r="M961" s="6" t="s">
        <v>4168</v>
      </c>
      <c r="N961" s="6" t="s">
        <v>43</v>
      </c>
      <c r="O961" s="6" t="s">
        <v>95</v>
      </c>
    </row>
    <row r="962" spans="1:15" x14ac:dyDescent="0.25">
      <c r="A962" s="6" t="s">
        <v>4107</v>
      </c>
      <c r="B962" s="6" t="s">
        <v>4106</v>
      </c>
      <c r="C962" s="6" t="s">
        <v>31</v>
      </c>
      <c r="E962" s="6" t="s">
        <v>4105</v>
      </c>
      <c r="F962" s="6" t="s">
        <v>4104</v>
      </c>
      <c r="G962" s="6" t="s">
        <v>16</v>
      </c>
      <c r="H962" s="6" t="s">
        <v>28</v>
      </c>
      <c r="I962" s="6" t="s">
        <v>60</v>
      </c>
      <c r="J962" s="6" t="s">
        <v>1281</v>
      </c>
      <c r="K962" s="7">
        <v>31.693223</v>
      </c>
      <c r="L962" s="7">
        <v>-96.530259999999998</v>
      </c>
      <c r="M962" s="6" t="s">
        <v>1761</v>
      </c>
      <c r="N962" s="6" t="s">
        <v>23</v>
      </c>
      <c r="O962" s="6" t="s">
        <v>120</v>
      </c>
    </row>
    <row r="963" spans="1:15" x14ac:dyDescent="0.25">
      <c r="A963" s="6" t="s">
        <v>364</v>
      </c>
      <c r="B963" s="6" t="s">
        <v>363</v>
      </c>
      <c r="C963" s="6" t="s">
        <v>31</v>
      </c>
      <c r="E963" s="6" t="s">
        <v>362</v>
      </c>
      <c r="F963" s="6" t="s">
        <v>361</v>
      </c>
      <c r="G963" s="6" t="s">
        <v>16</v>
      </c>
      <c r="H963" s="6" t="s">
        <v>28</v>
      </c>
      <c r="I963" s="6" t="s">
        <v>46</v>
      </c>
      <c r="J963" s="6" t="s">
        <v>145</v>
      </c>
      <c r="K963" s="7">
        <v>30.257809999999999</v>
      </c>
      <c r="L963" s="7">
        <v>-94.564515999999998</v>
      </c>
      <c r="M963" s="6" t="s">
        <v>144</v>
      </c>
      <c r="N963" s="6" t="s">
        <v>52</v>
      </c>
      <c r="O963" s="6" t="s">
        <v>24</v>
      </c>
    </row>
    <row r="964" spans="1:15" x14ac:dyDescent="0.25">
      <c r="A964" s="6" t="s">
        <v>5884</v>
      </c>
      <c r="B964" s="6" t="s">
        <v>1592</v>
      </c>
      <c r="C964" s="6" t="s">
        <v>31</v>
      </c>
      <c r="E964" s="6" t="s">
        <v>1591</v>
      </c>
      <c r="F964" s="6" t="s">
        <v>1590</v>
      </c>
      <c r="G964" s="6" t="s">
        <v>16</v>
      </c>
      <c r="H964" s="6" t="s">
        <v>430</v>
      </c>
      <c r="I964" s="6" t="s">
        <v>14</v>
      </c>
      <c r="J964" s="6" t="s">
        <v>35</v>
      </c>
      <c r="K964" s="7">
        <v>29.722902470000001</v>
      </c>
      <c r="L964" s="7">
        <v>-95.23643337</v>
      </c>
      <c r="M964" s="6" t="s">
        <v>866</v>
      </c>
      <c r="N964" s="6" t="s">
        <v>24</v>
      </c>
      <c r="O964" s="6" t="s">
        <v>23</v>
      </c>
    </row>
    <row r="965" spans="1:15" x14ac:dyDescent="0.25">
      <c r="A965" s="6" t="s">
        <v>1593</v>
      </c>
      <c r="B965" s="6" t="s">
        <v>1592</v>
      </c>
      <c r="C965" s="6" t="s">
        <v>19</v>
      </c>
      <c r="E965" s="6" t="s">
        <v>1591</v>
      </c>
      <c r="F965" s="6" t="s">
        <v>1590</v>
      </c>
      <c r="G965" s="6" t="s">
        <v>16</v>
      </c>
      <c r="H965" s="6" t="s">
        <v>15</v>
      </c>
      <c r="I965" s="6" t="s">
        <v>14</v>
      </c>
      <c r="J965" s="6" t="s">
        <v>35</v>
      </c>
      <c r="K965" s="7">
        <v>29.722979049999999</v>
      </c>
      <c r="L965" s="7">
        <v>-95.236448089999996</v>
      </c>
      <c r="M965" s="6" t="s">
        <v>866</v>
      </c>
      <c r="N965" s="6" t="s">
        <v>24</v>
      </c>
      <c r="O965" s="6" t="s">
        <v>23</v>
      </c>
    </row>
    <row r="966" spans="1:15" x14ac:dyDescent="0.25">
      <c r="A966" s="6" t="s">
        <v>3312</v>
      </c>
      <c r="B966" s="6" t="s">
        <v>3311</v>
      </c>
      <c r="C966" s="6" t="s">
        <v>31</v>
      </c>
      <c r="E966" s="6" t="s">
        <v>3310</v>
      </c>
      <c r="F966" s="6" t="s">
        <v>3309</v>
      </c>
      <c r="G966" s="6" t="s">
        <v>16</v>
      </c>
      <c r="H966" s="6" t="s">
        <v>15</v>
      </c>
      <c r="I966" s="6" t="s">
        <v>14</v>
      </c>
      <c r="J966" s="6" t="s">
        <v>35</v>
      </c>
      <c r="K966" s="7">
        <v>29.748961009999999</v>
      </c>
      <c r="L966" s="7">
        <v>-95.096253189999999</v>
      </c>
      <c r="M966" s="6" t="s">
        <v>34</v>
      </c>
      <c r="N966" s="6" t="s">
        <v>24</v>
      </c>
      <c r="O966" s="6" t="s">
        <v>23</v>
      </c>
    </row>
    <row r="967" spans="1:15" x14ac:dyDescent="0.25">
      <c r="A967" s="6" t="s">
        <v>389</v>
      </c>
      <c r="B967" s="6" t="s">
        <v>388</v>
      </c>
      <c r="C967" s="6" t="s">
        <v>31</v>
      </c>
      <c r="E967" s="6" t="s">
        <v>387</v>
      </c>
      <c r="F967" s="6" t="s">
        <v>386</v>
      </c>
      <c r="G967" s="6" t="s">
        <v>16</v>
      </c>
      <c r="H967" s="6" t="s">
        <v>28</v>
      </c>
      <c r="I967" s="6" t="s">
        <v>27</v>
      </c>
      <c r="J967" s="6" t="s">
        <v>385</v>
      </c>
      <c r="K967" s="7">
        <v>30.066448000000001</v>
      </c>
      <c r="L967" s="7">
        <v>-94.292071000000007</v>
      </c>
      <c r="M967" s="6" t="s">
        <v>384</v>
      </c>
      <c r="N967" s="6" t="s">
        <v>383</v>
      </c>
      <c r="O967" s="6" t="s">
        <v>24</v>
      </c>
    </row>
    <row r="968" spans="1:15" x14ac:dyDescent="0.25">
      <c r="A968" s="6" t="s">
        <v>3620</v>
      </c>
      <c r="B968" s="6" t="s">
        <v>3619</v>
      </c>
      <c r="C968" s="6" t="s">
        <v>31</v>
      </c>
      <c r="E968" s="6" t="s">
        <v>3618</v>
      </c>
      <c r="F968" s="6" t="s">
        <v>3617</v>
      </c>
      <c r="G968" s="6" t="s">
        <v>16</v>
      </c>
      <c r="H968" s="6" t="s">
        <v>28</v>
      </c>
      <c r="I968" s="6" t="s">
        <v>14</v>
      </c>
      <c r="J968" s="6" t="s">
        <v>3079</v>
      </c>
      <c r="K968" s="7">
        <v>29.593272469999999</v>
      </c>
      <c r="L968" s="7">
        <v>-97.583559609999995</v>
      </c>
      <c r="M968" s="6" t="s">
        <v>2149</v>
      </c>
      <c r="N968" s="6" t="s">
        <v>559</v>
      </c>
      <c r="O968" s="6" t="s">
        <v>10</v>
      </c>
    </row>
    <row r="969" spans="1:15" x14ac:dyDescent="0.25">
      <c r="A969" s="6" t="s">
        <v>9146</v>
      </c>
      <c r="B969" s="6" t="s">
        <v>9145</v>
      </c>
      <c r="C969" s="6" t="s">
        <v>31</v>
      </c>
      <c r="E969" s="6" t="s">
        <v>9144</v>
      </c>
      <c r="F969" s="6" t="s">
        <v>9143</v>
      </c>
      <c r="G969" s="6" t="s">
        <v>16</v>
      </c>
      <c r="H969" s="6" t="s">
        <v>28</v>
      </c>
      <c r="I969" s="6" t="s">
        <v>27</v>
      </c>
      <c r="J969" s="6" t="s">
        <v>35</v>
      </c>
      <c r="K969" s="7">
        <v>29.902037</v>
      </c>
      <c r="L969" s="7">
        <v>-95.416721999999993</v>
      </c>
      <c r="M969" s="6" t="s">
        <v>34</v>
      </c>
      <c r="N969" s="6" t="s">
        <v>24</v>
      </c>
      <c r="O969" s="6" t="s">
        <v>23</v>
      </c>
    </row>
    <row r="970" spans="1:15" x14ac:dyDescent="0.25">
      <c r="A970" s="6" t="s">
        <v>11451</v>
      </c>
      <c r="B970" s="6" t="s">
        <v>11450</v>
      </c>
      <c r="C970" s="6" t="s">
        <v>31</v>
      </c>
      <c r="E970" s="6" t="s">
        <v>11449</v>
      </c>
      <c r="F970" s="6" t="s">
        <v>5689</v>
      </c>
      <c r="G970" s="6" t="s">
        <v>16</v>
      </c>
      <c r="H970" s="6" t="s">
        <v>28</v>
      </c>
      <c r="I970" s="6" t="s">
        <v>14</v>
      </c>
      <c r="J970" s="6" t="s">
        <v>274</v>
      </c>
      <c r="K970" s="7">
        <v>29.889579770000001</v>
      </c>
      <c r="L970" s="7">
        <v>-98.221919170000007</v>
      </c>
      <c r="M970" s="6" t="s">
        <v>6347</v>
      </c>
      <c r="N970" s="6" t="s">
        <v>559</v>
      </c>
      <c r="O970" s="6" t="s">
        <v>231</v>
      </c>
    </row>
    <row r="971" spans="1:15" x14ac:dyDescent="0.25">
      <c r="A971" s="6" t="s">
        <v>6289</v>
      </c>
      <c r="B971" s="6" t="s">
        <v>6288</v>
      </c>
      <c r="C971" s="6" t="s">
        <v>31</v>
      </c>
      <c r="E971" s="6" t="s">
        <v>6287</v>
      </c>
      <c r="F971" s="6" t="s">
        <v>6286</v>
      </c>
      <c r="G971" s="6" t="s">
        <v>16</v>
      </c>
      <c r="H971" s="6" t="s">
        <v>28</v>
      </c>
      <c r="I971" s="6" t="s">
        <v>73</v>
      </c>
      <c r="J971" s="6" t="s">
        <v>3151</v>
      </c>
      <c r="K971" s="7">
        <v>31.207556</v>
      </c>
      <c r="L971" s="7">
        <v>-93.647869999999998</v>
      </c>
      <c r="M971" s="6" t="s">
        <v>2695</v>
      </c>
      <c r="N971" s="6" t="s">
        <v>65</v>
      </c>
      <c r="O971" s="6" t="s">
        <v>24</v>
      </c>
    </row>
    <row r="972" spans="1:15" x14ac:dyDescent="0.25">
      <c r="A972" s="6" t="s">
        <v>3324</v>
      </c>
      <c r="B972" s="6" t="s">
        <v>3323</v>
      </c>
      <c r="C972" s="6" t="s">
        <v>31</v>
      </c>
      <c r="E972" s="6" t="s">
        <v>3322</v>
      </c>
      <c r="F972" s="6" t="s">
        <v>3321</v>
      </c>
      <c r="G972" s="6" t="s">
        <v>16</v>
      </c>
      <c r="H972" s="6" t="s">
        <v>28</v>
      </c>
      <c r="I972" s="6" t="s">
        <v>73</v>
      </c>
      <c r="J972" s="6" t="s">
        <v>2287</v>
      </c>
      <c r="K972" s="7">
        <v>31.083500999999998</v>
      </c>
      <c r="L972" s="7">
        <v>-94.161584000000005</v>
      </c>
      <c r="M972" s="6" t="s">
        <v>644</v>
      </c>
      <c r="N972" s="6" t="s">
        <v>52</v>
      </c>
      <c r="O972" s="6" t="s">
        <v>24</v>
      </c>
    </row>
    <row r="973" spans="1:15" x14ac:dyDescent="0.25">
      <c r="A973" s="6" t="s">
        <v>2291</v>
      </c>
      <c r="B973" s="6" t="s">
        <v>2290</v>
      </c>
      <c r="C973" s="6" t="s">
        <v>31</v>
      </c>
      <c r="E973" s="6" t="s">
        <v>2289</v>
      </c>
      <c r="F973" s="6" t="s">
        <v>2288</v>
      </c>
      <c r="G973" s="6" t="s">
        <v>16</v>
      </c>
      <c r="H973" s="6" t="s">
        <v>28</v>
      </c>
      <c r="I973" s="6" t="s">
        <v>60</v>
      </c>
      <c r="J973" s="6" t="s">
        <v>2287</v>
      </c>
      <c r="K973" s="7">
        <v>31.06377655</v>
      </c>
      <c r="L973" s="7">
        <v>-94.047741340000002</v>
      </c>
      <c r="M973" s="6" t="s">
        <v>2286</v>
      </c>
      <c r="N973" s="6" t="s">
        <v>52</v>
      </c>
      <c r="O973" s="6" t="s">
        <v>24</v>
      </c>
    </row>
    <row r="974" spans="1:15" x14ac:dyDescent="0.25">
      <c r="A974" s="6" t="s">
        <v>661</v>
      </c>
      <c r="B974" s="6" t="s">
        <v>660</v>
      </c>
      <c r="C974" s="6" t="s">
        <v>31</v>
      </c>
      <c r="E974" s="6" t="s">
        <v>659</v>
      </c>
      <c r="F974" s="6" t="s">
        <v>658</v>
      </c>
      <c r="G974" s="6" t="s">
        <v>16</v>
      </c>
      <c r="H974" s="6" t="s">
        <v>28</v>
      </c>
      <c r="I974" s="6" t="s">
        <v>73</v>
      </c>
      <c r="J974" s="6" t="s">
        <v>35</v>
      </c>
      <c r="K974" s="7">
        <v>29.937567000000001</v>
      </c>
      <c r="L974" s="7">
        <v>-95.310500000000005</v>
      </c>
      <c r="M974" s="6" t="s">
        <v>198</v>
      </c>
      <c r="N974" s="6" t="s">
        <v>24</v>
      </c>
      <c r="O974" s="6" t="s">
        <v>23</v>
      </c>
    </row>
    <row r="975" spans="1:15" x14ac:dyDescent="0.25">
      <c r="A975" s="6" t="s">
        <v>2490</v>
      </c>
      <c r="B975" s="6" t="s">
        <v>2489</v>
      </c>
      <c r="C975" s="6" t="s">
        <v>31</v>
      </c>
      <c r="E975" s="6" t="s">
        <v>2488</v>
      </c>
      <c r="F975" s="6" t="s">
        <v>2487</v>
      </c>
      <c r="G975" s="6" t="s">
        <v>16</v>
      </c>
      <c r="H975" s="6" t="s">
        <v>15</v>
      </c>
      <c r="I975" s="6" t="s">
        <v>14</v>
      </c>
      <c r="J975" s="6" t="s">
        <v>35</v>
      </c>
      <c r="K975" s="7">
        <v>29.7513881</v>
      </c>
      <c r="L975" s="7">
        <v>-95.100489670000002</v>
      </c>
      <c r="M975" s="6" t="s">
        <v>34</v>
      </c>
      <c r="N975" s="6" t="s">
        <v>24</v>
      </c>
      <c r="O975" s="6" t="s">
        <v>23</v>
      </c>
    </row>
    <row r="976" spans="1:15" x14ac:dyDescent="0.25">
      <c r="A976" s="6" t="s">
        <v>3468</v>
      </c>
      <c r="B976" s="6" t="s">
        <v>2489</v>
      </c>
      <c r="C976" s="6" t="s">
        <v>2869</v>
      </c>
      <c r="E976" s="6" t="s">
        <v>2488</v>
      </c>
      <c r="F976" s="6" t="s">
        <v>2487</v>
      </c>
      <c r="G976" s="6" t="s">
        <v>16</v>
      </c>
      <c r="H976" s="6" t="s">
        <v>15</v>
      </c>
      <c r="I976" s="6" t="s">
        <v>14</v>
      </c>
      <c r="J976" s="6" t="s">
        <v>35</v>
      </c>
      <c r="K976" s="7">
        <v>29.758953170000002</v>
      </c>
      <c r="L976" s="7">
        <v>-95.119931260000001</v>
      </c>
      <c r="M976" s="6" t="s">
        <v>34</v>
      </c>
      <c r="N976" s="6" t="s">
        <v>24</v>
      </c>
      <c r="O976" s="6" t="s">
        <v>23</v>
      </c>
    </row>
    <row r="977" spans="1:15" x14ac:dyDescent="0.25">
      <c r="A977" s="6" t="s">
        <v>266</v>
      </c>
      <c r="B977" s="6" t="s">
        <v>265</v>
      </c>
      <c r="C977" s="6" t="s">
        <v>31</v>
      </c>
      <c r="E977" s="6" t="s">
        <v>264</v>
      </c>
      <c r="F977" s="6" t="s">
        <v>263</v>
      </c>
      <c r="G977" s="6" t="s">
        <v>16</v>
      </c>
      <c r="H977" s="6" t="s">
        <v>28</v>
      </c>
      <c r="I977" s="6" t="s">
        <v>60</v>
      </c>
      <c r="J977" s="6" t="s">
        <v>162</v>
      </c>
      <c r="K977" s="7">
        <v>28.992788000000001</v>
      </c>
      <c r="L977" s="7">
        <v>-95.516520999999997</v>
      </c>
      <c r="M977" s="6" t="s">
        <v>262</v>
      </c>
      <c r="N977" s="6" t="s">
        <v>231</v>
      </c>
      <c r="O977" s="6" t="s">
        <v>23</v>
      </c>
    </row>
    <row r="978" spans="1:15" x14ac:dyDescent="0.25">
      <c r="A978" s="6" t="s">
        <v>2690</v>
      </c>
      <c r="B978" s="6" t="s">
        <v>2689</v>
      </c>
      <c r="C978" s="6" t="s">
        <v>31</v>
      </c>
      <c r="E978" s="6" t="s">
        <v>2688</v>
      </c>
      <c r="F978" s="6" t="s">
        <v>263</v>
      </c>
      <c r="G978" s="6" t="s">
        <v>16</v>
      </c>
      <c r="H978" s="6" t="s">
        <v>15</v>
      </c>
      <c r="I978" s="6" t="s">
        <v>46</v>
      </c>
      <c r="J978" s="6" t="s">
        <v>1249</v>
      </c>
      <c r="K978" s="7">
        <v>31.78068815</v>
      </c>
      <c r="L978" s="7">
        <v>-95.888735909999994</v>
      </c>
      <c r="M978" s="6" t="s">
        <v>1031</v>
      </c>
      <c r="N978" s="6" t="s">
        <v>102</v>
      </c>
      <c r="O978" s="6" t="s">
        <v>65</v>
      </c>
    </row>
    <row r="979" spans="1:15" x14ac:dyDescent="0.25">
      <c r="A979" s="6" t="s">
        <v>4490</v>
      </c>
      <c r="B979" s="6" t="s">
        <v>4489</v>
      </c>
      <c r="C979" s="6" t="s">
        <v>31</v>
      </c>
      <c r="E979" s="6" t="s">
        <v>4488</v>
      </c>
      <c r="F979" s="6" t="s">
        <v>263</v>
      </c>
      <c r="G979" s="6" t="s">
        <v>16</v>
      </c>
      <c r="H979" s="6" t="s">
        <v>28</v>
      </c>
      <c r="I979" s="6" t="s">
        <v>60</v>
      </c>
      <c r="J979" s="6" t="s">
        <v>162</v>
      </c>
      <c r="K979" s="7">
        <v>29.400428000000002</v>
      </c>
      <c r="L979" s="7">
        <v>-95.497811999999996</v>
      </c>
      <c r="M979" s="6" t="s">
        <v>2680</v>
      </c>
      <c r="N979" s="6" t="s">
        <v>160</v>
      </c>
      <c r="O979" s="6" t="s">
        <v>23</v>
      </c>
    </row>
    <row r="980" spans="1:15" x14ac:dyDescent="0.25">
      <c r="A980" s="6" t="s">
        <v>1715</v>
      </c>
      <c r="B980" s="6" t="s">
        <v>1714</v>
      </c>
      <c r="C980" s="6" t="s">
        <v>31</v>
      </c>
      <c r="E980" s="6" t="s">
        <v>1713</v>
      </c>
      <c r="F980" s="6" t="s">
        <v>263</v>
      </c>
      <c r="G980" s="6" t="s">
        <v>16</v>
      </c>
      <c r="H980" s="6" t="s">
        <v>28</v>
      </c>
      <c r="I980" s="6" t="s">
        <v>60</v>
      </c>
      <c r="J980" s="6" t="s">
        <v>1382</v>
      </c>
      <c r="K980" s="7">
        <v>30.972816999999999</v>
      </c>
      <c r="L980" s="7">
        <v>-95.635290999999995</v>
      </c>
      <c r="M980" s="6" t="s">
        <v>317</v>
      </c>
      <c r="N980" s="6" t="s">
        <v>102</v>
      </c>
      <c r="O980" s="6" t="s">
        <v>24</v>
      </c>
    </row>
    <row r="981" spans="1:15" x14ac:dyDescent="0.25">
      <c r="A981" s="6" t="s">
        <v>1722</v>
      </c>
      <c r="B981" s="6" t="s">
        <v>1721</v>
      </c>
      <c r="C981" s="6" t="s">
        <v>31</v>
      </c>
      <c r="E981" s="6" t="s">
        <v>1720</v>
      </c>
      <c r="F981" s="6" t="s">
        <v>263</v>
      </c>
      <c r="G981" s="6" t="s">
        <v>16</v>
      </c>
      <c r="H981" s="6" t="s">
        <v>28</v>
      </c>
      <c r="I981" s="6" t="s">
        <v>60</v>
      </c>
      <c r="J981" s="6" t="s">
        <v>1716</v>
      </c>
      <c r="K981" s="7">
        <v>30.890720999999999</v>
      </c>
      <c r="L981" s="7">
        <v>-95.450365000000005</v>
      </c>
      <c r="M981" s="6" t="s">
        <v>317</v>
      </c>
      <c r="N981" s="6" t="s">
        <v>102</v>
      </c>
      <c r="O981" s="6" t="s">
        <v>23</v>
      </c>
    </row>
    <row r="982" spans="1:15" x14ac:dyDescent="0.25">
      <c r="A982" s="6" t="s">
        <v>1730</v>
      </c>
      <c r="B982" s="6" t="s">
        <v>1729</v>
      </c>
      <c r="C982" s="6" t="s">
        <v>31</v>
      </c>
      <c r="E982" s="6" t="s">
        <v>1728</v>
      </c>
      <c r="F982" s="6" t="s">
        <v>263</v>
      </c>
      <c r="G982" s="6" t="s">
        <v>16</v>
      </c>
      <c r="H982" s="6" t="s">
        <v>28</v>
      </c>
      <c r="I982" s="6" t="s">
        <v>27</v>
      </c>
      <c r="J982" s="6" t="s">
        <v>1727</v>
      </c>
      <c r="K982" s="7">
        <v>30.961296000000001</v>
      </c>
      <c r="L982" s="7">
        <v>-95.700965999999994</v>
      </c>
      <c r="M982" s="6" t="s">
        <v>317</v>
      </c>
      <c r="N982" s="6" t="s">
        <v>102</v>
      </c>
      <c r="O982" s="6" t="s">
        <v>120</v>
      </c>
    </row>
    <row r="983" spans="1:15" x14ac:dyDescent="0.25">
      <c r="A983" s="6" t="s">
        <v>2683</v>
      </c>
      <c r="B983" s="6" t="s">
        <v>2682</v>
      </c>
      <c r="C983" s="6" t="s">
        <v>31</v>
      </c>
      <c r="E983" s="6" t="s">
        <v>2681</v>
      </c>
      <c r="F983" s="6" t="s">
        <v>263</v>
      </c>
      <c r="G983" s="6" t="s">
        <v>16</v>
      </c>
      <c r="H983" s="6" t="s">
        <v>28</v>
      </c>
      <c r="I983" s="6" t="s">
        <v>60</v>
      </c>
      <c r="J983" s="6" t="s">
        <v>162</v>
      </c>
      <c r="K983" s="7">
        <v>29.091728</v>
      </c>
      <c r="L983" s="7">
        <v>-95.476451999999995</v>
      </c>
      <c r="M983" s="6" t="s">
        <v>2680</v>
      </c>
      <c r="N983" s="6" t="s">
        <v>160</v>
      </c>
      <c r="O983" s="6" t="s">
        <v>23</v>
      </c>
    </row>
    <row r="984" spans="1:15" x14ac:dyDescent="0.25">
      <c r="A984" s="6" t="s">
        <v>6364</v>
      </c>
      <c r="B984" s="6" t="s">
        <v>6363</v>
      </c>
      <c r="C984" s="6" t="s">
        <v>31</v>
      </c>
      <c r="E984" s="6" t="s">
        <v>6362</v>
      </c>
      <c r="F984" s="6" t="s">
        <v>263</v>
      </c>
      <c r="G984" s="6" t="s">
        <v>16</v>
      </c>
      <c r="H984" s="6" t="s">
        <v>28</v>
      </c>
      <c r="I984" s="6" t="s">
        <v>60</v>
      </c>
      <c r="J984" s="6" t="s">
        <v>132</v>
      </c>
      <c r="K984" s="7">
        <v>29.633852999999998</v>
      </c>
      <c r="L984" s="7">
        <v>-95.709113000000002</v>
      </c>
      <c r="M984" s="6" t="s">
        <v>616</v>
      </c>
      <c r="N984" s="6" t="s">
        <v>23</v>
      </c>
      <c r="O984" s="6" t="s">
        <v>23</v>
      </c>
    </row>
    <row r="985" spans="1:15" x14ac:dyDescent="0.25">
      <c r="A985" s="6" t="s">
        <v>9910</v>
      </c>
      <c r="B985" s="6" t="s">
        <v>9909</v>
      </c>
      <c r="C985" s="6" t="s">
        <v>31</v>
      </c>
      <c r="E985" s="6" t="s">
        <v>9908</v>
      </c>
      <c r="F985" s="6" t="s">
        <v>9907</v>
      </c>
      <c r="G985" s="6" t="s">
        <v>16</v>
      </c>
      <c r="H985" s="6" t="s">
        <v>15</v>
      </c>
      <c r="I985" s="6" t="s">
        <v>46</v>
      </c>
      <c r="J985" s="6" t="s">
        <v>268</v>
      </c>
      <c r="K985" s="7">
        <v>32.948329000000001</v>
      </c>
      <c r="L985" s="7">
        <v>-97.083470000000005</v>
      </c>
      <c r="M985" s="6" t="s">
        <v>156</v>
      </c>
      <c r="N985" s="6" t="s">
        <v>102</v>
      </c>
      <c r="O985" s="6" t="s">
        <v>42</v>
      </c>
    </row>
    <row r="986" spans="1:15" x14ac:dyDescent="0.25">
      <c r="A986" s="6" t="s">
        <v>5414</v>
      </c>
      <c r="B986" s="6" t="s">
        <v>5413</v>
      </c>
      <c r="C986" s="6" t="s">
        <v>31</v>
      </c>
      <c r="E986" s="6" t="s">
        <v>5412</v>
      </c>
      <c r="F986" s="6" t="s">
        <v>199</v>
      </c>
      <c r="G986" s="6" t="s">
        <v>16</v>
      </c>
      <c r="H986" s="6" t="s">
        <v>28</v>
      </c>
      <c r="I986" s="6" t="s">
        <v>60</v>
      </c>
      <c r="J986" s="6" t="s">
        <v>35</v>
      </c>
      <c r="K986" s="7">
        <v>29.874590000000001</v>
      </c>
      <c r="L986" s="7">
        <v>-95.341622000000001</v>
      </c>
      <c r="M986" s="6" t="s">
        <v>34</v>
      </c>
      <c r="N986" s="6" t="s">
        <v>24</v>
      </c>
      <c r="O986" s="6" t="s">
        <v>23</v>
      </c>
    </row>
    <row r="987" spans="1:15" x14ac:dyDescent="0.25">
      <c r="A987" s="6" t="s">
        <v>4516</v>
      </c>
      <c r="B987" s="6" t="s">
        <v>4515</v>
      </c>
      <c r="C987" s="6" t="s">
        <v>31</v>
      </c>
      <c r="E987" s="6" t="s">
        <v>4514</v>
      </c>
      <c r="F987" s="6" t="s">
        <v>2278</v>
      </c>
      <c r="G987" s="6" t="s">
        <v>16</v>
      </c>
      <c r="H987" s="6" t="s">
        <v>28</v>
      </c>
      <c r="I987" s="6" t="s">
        <v>27</v>
      </c>
      <c r="J987" s="6" t="s">
        <v>35</v>
      </c>
      <c r="K987" s="7">
        <v>29.923956459999999</v>
      </c>
      <c r="L987" s="7">
        <v>-95.301087530000004</v>
      </c>
      <c r="M987" s="6" t="s">
        <v>198</v>
      </c>
      <c r="N987" s="6" t="s">
        <v>24</v>
      </c>
      <c r="O987" s="6" t="s">
        <v>23</v>
      </c>
    </row>
    <row r="988" spans="1:15" x14ac:dyDescent="0.25">
      <c r="A988" s="6" t="s">
        <v>8622</v>
      </c>
      <c r="B988" s="6" t="s">
        <v>8621</v>
      </c>
      <c r="C988" s="6" t="s">
        <v>31</v>
      </c>
      <c r="E988" s="6" t="s">
        <v>8620</v>
      </c>
      <c r="F988" s="6" t="s">
        <v>2278</v>
      </c>
      <c r="G988" s="6" t="s">
        <v>16</v>
      </c>
      <c r="H988" s="6" t="s">
        <v>28</v>
      </c>
      <c r="I988" s="6" t="s">
        <v>60</v>
      </c>
      <c r="J988" s="6" t="s">
        <v>35</v>
      </c>
      <c r="K988" s="7">
        <v>29.894887000000001</v>
      </c>
      <c r="L988" s="7">
        <v>-95.355423000000002</v>
      </c>
      <c r="M988" s="6" t="s">
        <v>34</v>
      </c>
      <c r="N988" s="6" t="s">
        <v>24</v>
      </c>
      <c r="O988" s="6" t="s">
        <v>23</v>
      </c>
    </row>
    <row r="989" spans="1:15" x14ac:dyDescent="0.25">
      <c r="A989" s="6" t="s">
        <v>5849</v>
      </c>
      <c r="B989" s="6" t="s">
        <v>5848</v>
      </c>
      <c r="C989" s="6" t="s">
        <v>31</v>
      </c>
      <c r="E989" s="6" t="s">
        <v>5847</v>
      </c>
      <c r="F989" s="6" t="s">
        <v>5846</v>
      </c>
      <c r="G989" s="6" t="s">
        <v>16</v>
      </c>
      <c r="H989" s="6" t="s">
        <v>28</v>
      </c>
      <c r="I989" s="6" t="s">
        <v>799</v>
      </c>
      <c r="J989" s="6" t="s">
        <v>471</v>
      </c>
      <c r="K989" s="7">
        <v>32.653581729999999</v>
      </c>
      <c r="L989" s="7">
        <v>-96.677104990000004</v>
      </c>
      <c r="M989" s="6" t="s">
        <v>103</v>
      </c>
      <c r="N989" s="6" t="s">
        <v>102</v>
      </c>
      <c r="O989" s="6" t="s">
        <v>3278</v>
      </c>
    </row>
    <row r="990" spans="1:15" x14ac:dyDescent="0.25">
      <c r="A990" s="6" t="s">
        <v>2530</v>
      </c>
      <c r="B990" s="6" t="s">
        <v>2529</v>
      </c>
      <c r="C990" s="6" t="s">
        <v>31</v>
      </c>
      <c r="E990" s="6" t="s">
        <v>2528</v>
      </c>
      <c r="F990" s="6" t="s">
        <v>2527</v>
      </c>
      <c r="G990" s="6" t="s">
        <v>16</v>
      </c>
      <c r="H990" s="6" t="s">
        <v>28</v>
      </c>
      <c r="I990" s="6" t="s">
        <v>14</v>
      </c>
      <c r="J990" s="6" t="s">
        <v>2526</v>
      </c>
      <c r="K990" s="7">
        <v>36.211272999999998</v>
      </c>
      <c r="L990" s="7">
        <v>-101.213368</v>
      </c>
      <c r="M990" s="6" t="s">
        <v>1404</v>
      </c>
      <c r="N990" s="6" t="s">
        <v>535</v>
      </c>
      <c r="O990" s="6" t="s">
        <v>535</v>
      </c>
    </row>
    <row r="991" spans="1:15" x14ac:dyDescent="0.25">
      <c r="A991" s="6" t="s">
        <v>7830</v>
      </c>
      <c r="B991" s="6" t="s">
        <v>7829</v>
      </c>
      <c r="C991" s="6" t="s">
        <v>31</v>
      </c>
      <c r="E991" s="6" t="s">
        <v>7828</v>
      </c>
      <c r="F991" s="6" t="s">
        <v>7827</v>
      </c>
      <c r="G991" s="6" t="s">
        <v>16</v>
      </c>
      <c r="H991" s="6" t="s">
        <v>15</v>
      </c>
      <c r="I991" s="6" t="s">
        <v>46</v>
      </c>
      <c r="J991" s="6" t="s">
        <v>883</v>
      </c>
      <c r="K991" s="7">
        <v>33.102992639999997</v>
      </c>
      <c r="L991" s="7">
        <v>-94.170389909999997</v>
      </c>
      <c r="M991" s="6" t="s">
        <v>7826</v>
      </c>
      <c r="N991" s="6" t="s">
        <v>42</v>
      </c>
      <c r="O991" s="6" t="s">
        <v>65</v>
      </c>
    </row>
    <row r="992" spans="1:15" x14ac:dyDescent="0.25">
      <c r="A992" s="6" t="s">
        <v>12403</v>
      </c>
      <c r="B992" s="6" t="s">
        <v>12402</v>
      </c>
      <c r="C992" s="6" t="s">
        <v>31</v>
      </c>
      <c r="E992" s="6" t="s">
        <v>12401</v>
      </c>
      <c r="F992" s="6" t="s">
        <v>12400</v>
      </c>
      <c r="G992" s="6" t="s">
        <v>16</v>
      </c>
      <c r="H992" s="6" t="s">
        <v>15</v>
      </c>
      <c r="I992" s="6" t="s">
        <v>799</v>
      </c>
      <c r="J992" s="6" t="s">
        <v>1690</v>
      </c>
      <c r="K992" s="7">
        <v>32.158607000000003</v>
      </c>
      <c r="L992" s="7">
        <v>-94.292865000000006</v>
      </c>
      <c r="M992" s="6" t="s">
        <v>1218</v>
      </c>
      <c r="N992" s="6" t="s">
        <v>65</v>
      </c>
      <c r="O992" s="6" t="s">
        <v>65</v>
      </c>
    </row>
    <row r="993" spans="1:15" x14ac:dyDescent="0.25">
      <c r="A993" s="6" t="s">
        <v>7887</v>
      </c>
      <c r="B993" s="6" t="s">
        <v>7886</v>
      </c>
      <c r="C993" s="6" t="s">
        <v>31</v>
      </c>
      <c r="E993" s="6" t="s">
        <v>7885</v>
      </c>
      <c r="F993" s="6" t="s">
        <v>7884</v>
      </c>
      <c r="G993" s="6" t="s">
        <v>16</v>
      </c>
      <c r="H993" s="6" t="s">
        <v>28</v>
      </c>
      <c r="I993" s="6" t="s">
        <v>60</v>
      </c>
      <c r="J993" s="6" t="s">
        <v>4455</v>
      </c>
      <c r="K993" s="7">
        <v>30.606245999999999</v>
      </c>
      <c r="L993" s="7">
        <v>-97.201974000000007</v>
      </c>
      <c r="M993" s="6" t="s">
        <v>3908</v>
      </c>
      <c r="N993" s="6" t="s">
        <v>23</v>
      </c>
      <c r="O993" s="6" t="s">
        <v>120</v>
      </c>
    </row>
    <row r="994" spans="1:15" x14ac:dyDescent="0.25">
      <c r="A994" s="6" t="s">
        <v>8996</v>
      </c>
      <c r="B994" s="6" t="s">
        <v>8995</v>
      </c>
      <c r="C994" s="6" t="s">
        <v>31</v>
      </c>
      <c r="E994" s="6" t="s">
        <v>8994</v>
      </c>
      <c r="F994" s="6" t="s">
        <v>8993</v>
      </c>
      <c r="G994" s="6" t="s">
        <v>16</v>
      </c>
      <c r="H994" s="6" t="s">
        <v>28</v>
      </c>
      <c r="I994" s="6" t="s">
        <v>8992</v>
      </c>
      <c r="J994" s="6" t="s">
        <v>3105</v>
      </c>
      <c r="K994" s="7">
        <v>29.028025</v>
      </c>
      <c r="L994" s="7">
        <v>-98.569462999999999</v>
      </c>
      <c r="M994" s="6" t="s">
        <v>3104</v>
      </c>
      <c r="N994" s="6" t="s">
        <v>524</v>
      </c>
      <c r="O994" s="6" t="s">
        <v>231</v>
      </c>
    </row>
    <row r="995" spans="1:15" x14ac:dyDescent="0.25">
      <c r="A995" s="6" t="s">
        <v>4565</v>
      </c>
      <c r="B995" s="6" t="s">
        <v>4564</v>
      </c>
      <c r="C995" s="6" t="s">
        <v>31</v>
      </c>
      <c r="E995" s="6" t="s">
        <v>4563</v>
      </c>
      <c r="F995" s="6" t="s">
        <v>4562</v>
      </c>
      <c r="G995" s="6" t="s">
        <v>16</v>
      </c>
      <c r="H995" s="6" t="s">
        <v>28</v>
      </c>
      <c r="I995" s="6" t="s">
        <v>60</v>
      </c>
      <c r="J995" s="6" t="s">
        <v>162</v>
      </c>
      <c r="K995" s="7">
        <v>29.295529779999999</v>
      </c>
      <c r="L995" s="7">
        <v>-95.731769639999996</v>
      </c>
      <c r="M995" s="6" t="s">
        <v>355</v>
      </c>
      <c r="N995" s="6" t="s">
        <v>23</v>
      </c>
      <c r="O995" s="6" t="s">
        <v>23</v>
      </c>
    </row>
    <row r="996" spans="1:15" x14ac:dyDescent="0.25">
      <c r="A996" s="6" t="s">
        <v>7872</v>
      </c>
      <c r="B996" s="6" t="s">
        <v>7871</v>
      </c>
      <c r="C996" s="6" t="s">
        <v>31</v>
      </c>
      <c r="E996" s="6" t="s">
        <v>7870</v>
      </c>
      <c r="F996" s="6" t="s">
        <v>7869</v>
      </c>
      <c r="G996" s="6" t="s">
        <v>16</v>
      </c>
      <c r="H996" s="6" t="s">
        <v>28</v>
      </c>
      <c r="I996" s="6" t="s">
        <v>27</v>
      </c>
      <c r="J996" s="6" t="s">
        <v>356</v>
      </c>
      <c r="K996" s="7">
        <v>30.04852</v>
      </c>
      <c r="L996" s="7">
        <v>-95.924031999999997</v>
      </c>
      <c r="M996" s="6" t="s">
        <v>279</v>
      </c>
      <c r="N996" s="6" t="s">
        <v>24</v>
      </c>
      <c r="O996" s="6" t="s">
        <v>23</v>
      </c>
    </row>
    <row r="997" spans="1:15" x14ac:dyDescent="0.25">
      <c r="A997" s="6" t="s">
        <v>7466</v>
      </c>
      <c r="B997" s="6" t="s">
        <v>7465</v>
      </c>
      <c r="C997" s="6" t="s">
        <v>31</v>
      </c>
      <c r="E997" s="6" t="s">
        <v>7464</v>
      </c>
      <c r="F997" s="6" t="s">
        <v>7463</v>
      </c>
      <c r="G997" s="6" t="s">
        <v>16</v>
      </c>
      <c r="H997" s="6" t="s">
        <v>28</v>
      </c>
      <c r="I997" s="6" t="s">
        <v>46</v>
      </c>
      <c r="J997" s="6" t="s">
        <v>67</v>
      </c>
      <c r="K997" s="7">
        <v>32.455716989999999</v>
      </c>
      <c r="L997" s="7">
        <v>-95.183209570000002</v>
      </c>
      <c r="M997" s="6" t="s">
        <v>423</v>
      </c>
      <c r="N997" s="6" t="s">
        <v>65</v>
      </c>
      <c r="O997" s="6" t="s">
        <v>65</v>
      </c>
    </row>
    <row r="998" spans="1:15" x14ac:dyDescent="0.25">
      <c r="A998" s="6" t="s">
        <v>7584</v>
      </c>
      <c r="B998" s="6" t="s">
        <v>7583</v>
      </c>
      <c r="C998" s="6" t="s">
        <v>31</v>
      </c>
      <c r="E998" s="6" t="s">
        <v>7582</v>
      </c>
      <c r="F998" s="6" t="s">
        <v>7581</v>
      </c>
      <c r="G998" s="6" t="s">
        <v>16</v>
      </c>
      <c r="H998" s="6" t="s">
        <v>28</v>
      </c>
      <c r="I998" s="6" t="s">
        <v>36</v>
      </c>
      <c r="J998" s="6" t="s">
        <v>1978</v>
      </c>
      <c r="K998" s="7">
        <v>28.28437602</v>
      </c>
      <c r="L998" s="7">
        <v>-97.264685510000007</v>
      </c>
      <c r="M998" s="6" t="s">
        <v>6177</v>
      </c>
      <c r="N998" s="6" t="s">
        <v>137</v>
      </c>
      <c r="O998" s="6" t="s">
        <v>10</v>
      </c>
    </row>
    <row r="999" spans="1:15" x14ac:dyDescent="0.25">
      <c r="A999" s="6" t="s">
        <v>372</v>
      </c>
      <c r="B999" s="6" t="s">
        <v>371</v>
      </c>
      <c r="C999" s="6" t="s">
        <v>31</v>
      </c>
      <c r="E999" s="6" t="s">
        <v>370</v>
      </c>
      <c r="F999" s="6" t="s">
        <v>369</v>
      </c>
      <c r="G999" s="6" t="s">
        <v>16</v>
      </c>
      <c r="H999" s="6" t="s">
        <v>28</v>
      </c>
      <c r="I999" s="6" t="s">
        <v>60</v>
      </c>
      <c r="J999" s="6" t="s">
        <v>26</v>
      </c>
      <c r="K999" s="7">
        <v>30.410425</v>
      </c>
      <c r="L999" s="7">
        <v>-95.562055000000001</v>
      </c>
      <c r="M999" s="6" t="s">
        <v>340</v>
      </c>
      <c r="N999" s="6" t="s">
        <v>24</v>
      </c>
      <c r="O999" s="6" t="s">
        <v>23</v>
      </c>
    </row>
    <row r="1000" spans="1:15" x14ac:dyDescent="0.25">
      <c r="A1000" s="6" t="s">
        <v>4163</v>
      </c>
      <c r="B1000" s="6" t="s">
        <v>4162</v>
      </c>
      <c r="C1000" s="6" t="s">
        <v>31</v>
      </c>
      <c r="E1000" s="6" t="s">
        <v>4161</v>
      </c>
      <c r="F1000" s="6" t="s">
        <v>4160</v>
      </c>
      <c r="G1000" s="6" t="s">
        <v>16</v>
      </c>
      <c r="H1000" s="6" t="s">
        <v>28</v>
      </c>
      <c r="I1000" s="6" t="s">
        <v>14</v>
      </c>
      <c r="J1000" s="6" t="s">
        <v>1074</v>
      </c>
      <c r="K1000" s="7">
        <v>29.82166805</v>
      </c>
      <c r="L1000" s="7">
        <v>-96.108609329999993</v>
      </c>
      <c r="M1000" s="6" t="s">
        <v>355</v>
      </c>
      <c r="N1000" s="6" t="s">
        <v>23</v>
      </c>
      <c r="O1000" s="6" t="s">
        <v>23</v>
      </c>
    </row>
    <row r="1001" spans="1:15" x14ac:dyDescent="0.25">
      <c r="A1001" s="6" t="s">
        <v>5439</v>
      </c>
      <c r="B1001" s="6" t="s">
        <v>5438</v>
      </c>
      <c r="C1001" s="6" t="s">
        <v>31</v>
      </c>
      <c r="E1001" s="6" t="s">
        <v>5437</v>
      </c>
      <c r="F1001" s="6" t="s">
        <v>4160</v>
      </c>
      <c r="G1001" s="6" t="s">
        <v>16</v>
      </c>
      <c r="H1001" s="6" t="s">
        <v>28</v>
      </c>
      <c r="I1001" s="6" t="s">
        <v>27</v>
      </c>
      <c r="J1001" s="6" t="s">
        <v>5279</v>
      </c>
      <c r="K1001" s="7">
        <v>32.238352999999996</v>
      </c>
      <c r="L1001" s="7">
        <v>-99.876363999999995</v>
      </c>
      <c r="M1001" s="6" t="s">
        <v>3175</v>
      </c>
      <c r="N1001" s="6" t="s">
        <v>23</v>
      </c>
      <c r="O1001" s="6" t="s">
        <v>95</v>
      </c>
    </row>
    <row r="1002" spans="1:15" x14ac:dyDescent="0.25">
      <c r="A1002" s="6" t="s">
        <v>7347</v>
      </c>
      <c r="B1002" s="6" t="s">
        <v>7346</v>
      </c>
      <c r="C1002" s="6" t="s">
        <v>31</v>
      </c>
      <c r="E1002" s="6" t="s">
        <v>7345</v>
      </c>
      <c r="F1002" s="6" t="s">
        <v>7344</v>
      </c>
      <c r="G1002" s="6" t="s">
        <v>16</v>
      </c>
      <c r="H1002" s="6" t="s">
        <v>28</v>
      </c>
      <c r="I1002" s="6" t="s">
        <v>27</v>
      </c>
      <c r="J1002" s="6" t="s">
        <v>1978</v>
      </c>
      <c r="K1002" s="7">
        <v>28.222971000000001</v>
      </c>
      <c r="L1002" s="7">
        <v>-97.316514999999995</v>
      </c>
      <c r="M1002" s="6" t="s">
        <v>7343</v>
      </c>
      <c r="N1002" s="6" t="s">
        <v>137</v>
      </c>
      <c r="O1002" s="6" t="s">
        <v>10</v>
      </c>
    </row>
    <row r="1003" spans="1:15" x14ac:dyDescent="0.25">
      <c r="A1003" s="6" t="s">
        <v>9062</v>
      </c>
      <c r="B1003" s="6" t="s">
        <v>9061</v>
      </c>
      <c r="C1003" s="6" t="s">
        <v>31</v>
      </c>
      <c r="E1003" s="6" t="s">
        <v>9060</v>
      </c>
      <c r="F1003" s="6" t="s">
        <v>9059</v>
      </c>
      <c r="G1003" s="6" t="s">
        <v>16</v>
      </c>
      <c r="H1003" s="6" t="s">
        <v>28</v>
      </c>
      <c r="I1003" s="6" t="s">
        <v>60</v>
      </c>
      <c r="J1003" s="6" t="s">
        <v>904</v>
      </c>
      <c r="K1003" s="7">
        <v>32.968536</v>
      </c>
      <c r="L1003" s="7">
        <v>-97.654544000000001</v>
      </c>
      <c r="M1003" s="6" t="s">
        <v>267</v>
      </c>
      <c r="N1003" s="6" t="s">
        <v>102</v>
      </c>
      <c r="O1003" s="6" t="s">
        <v>42</v>
      </c>
    </row>
    <row r="1004" spans="1:15" x14ac:dyDescent="0.25">
      <c r="A1004" s="6" t="s">
        <v>961</v>
      </c>
      <c r="B1004" s="6" t="s">
        <v>960</v>
      </c>
      <c r="C1004" s="6" t="s">
        <v>31</v>
      </c>
      <c r="E1004" s="6" t="s">
        <v>959</v>
      </c>
      <c r="F1004" s="6" t="s">
        <v>958</v>
      </c>
      <c r="G1004" s="6" t="s">
        <v>16</v>
      </c>
      <c r="H1004" s="6" t="s">
        <v>28</v>
      </c>
      <c r="I1004" s="6" t="s">
        <v>73</v>
      </c>
      <c r="J1004" s="6" t="s">
        <v>957</v>
      </c>
      <c r="K1004" s="7">
        <v>33.046014479999997</v>
      </c>
      <c r="L1004" s="7">
        <v>-95.486223170000002</v>
      </c>
      <c r="M1004" s="6" t="s">
        <v>956</v>
      </c>
      <c r="N1004" s="6" t="s">
        <v>65</v>
      </c>
      <c r="O1004" s="6" t="s">
        <v>65</v>
      </c>
    </row>
    <row r="1005" spans="1:15" x14ac:dyDescent="0.25">
      <c r="A1005" s="6" t="s">
        <v>5453</v>
      </c>
      <c r="B1005" s="6" t="s">
        <v>5452</v>
      </c>
      <c r="C1005" s="6" t="s">
        <v>31</v>
      </c>
      <c r="E1005" s="6" t="s">
        <v>5451</v>
      </c>
      <c r="F1005" s="6" t="s">
        <v>5447</v>
      </c>
      <c r="G1005" s="6" t="s">
        <v>16</v>
      </c>
      <c r="H1005" s="6" t="s">
        <v>15</v>
      </c>
      <c r="I1005" s="6" t="s">
        <v>14</v>
      </c>
      <c r="J1005" s="6" t="s">
        <v>456</v>
      </c>
      <c r="K1005" s="7">
        <v>30.102601119999999</v>
      </c>
      <c r="L1005" s="7">
        <v>-97.319314719999994</v>
      </c>
      <c r="M1005" s="6" t="s">
        <v>455</v>
      </c>
      <c r="N1005" s="6" t="s">
        <v>10</v>
      </c>
      <c r="O1005" s="6" t="s">
        <v>160</v>
      </c>
    </row>
    <row r="1006" spans="1:15" x14ac:dyDescent="0.25">
      <c r="A1006" s="6" t="s">
        <v>183</v>
      </c>
      <c r="B1006" s="6" t="s">
        <v>182</v>
      </c>
      <c r="C1006" s="6" t="s">
        <v>31</v>
      </c>
      <c r="E1006" s="6" t="s">
        <v>181</v>
      </c>
      <c r="F1006" s="6" t="s">
        <v>180</v>
      </c>
      <c r="G1006" s="6" t="s">
        <v>16</v>
      </c>
      <c r="H1006" s="6" t="s">
        <v>28</v>
      </c>
      <c r="I1006" s="6" t="s">
        <v>73</v>
      </c>
      <c r="J1006" s="6" t="s">
        <v>90</v>
      </c>
      <c r="K1006" s="7">
        <v>26.139990999999998</v>
      </c>
      <c r="L1006" s="7">
        <v>-97.831541000000001</v>
      </c>
      <c r="M1006" s="6" t="s">
        <v>179</v>
      </c>
      <c r="N1006" s="6" t="s">
        <v>11</v>
      </c>
      <c r="O1006" s="6" t="s">
        <v>22</v>
      </c>
    </row>
    <row r="1007" spans="1:15" x14ac:dyDescent="0.25">
      <c r="A1007" s="6" t="s">
        <v>7518</v>
      </c>
      <c r="B1007" s="6" t="s">
        <v>7517</v>
      </c>
      <c r="C1007" s="6" t="s">
        <v>31</v>
      </c>
      <c r="E1007" s="6" t="s">
        <v>7516</v>
      </c>
      <c r="F1007" s="6" t="s">
        <v>7515</v>
      </c>
      <c r="G1007" s="6" t="s">
        <v>16</v>
      </c>
      <c r="H1007" s="6" t="s">
        <v>15</v>
      </c>
      <c r="I1007" s="6" t="s">
        <v>73</v>
      </c>
      <c r="J1007" s="6" t="s">
        <v>1676</v>
      </c>
      <c r="K1007" s="7">
        <v>28.883015</v>
      </c>
      <c r="L1007" s="7">
        <v>-99.112171000000004</v>
      </c>
      <c r="M1007" s="6" t="s">
        <v>1644</v>
      </c>
      <c r="N1007" s="6" t="s">
        <v>524</v>
      </c>
      <c r="O1007" s="6" t="s">
        <v>231</v>
      </c>
    </row>
    <row r="1008" spans="1:15" x14ac:dyDescent="0.25">
      <c r="A1008" s="6" t="s">
        <v>10707</v>
      </c>
      <c r="B1008" s="6" t="s">
        <v>10706</v>
      </c>
      <c r="C1008" s="6" t="s">
        <v>31</v>
      </c>
      <c r="E1008" s="6" t="s">
        <v>10705</v>
      </c>
      <c r="F1008" s="6" t="s">
        <v>10691</v>
      </c>
      <c r="G1008" s="6" t="s">
        <v>16</v>
      </c>
      <c r="H1008" s="6" t="s">
        <v>15</v>
      </c>
      <c r="I1008" s="6" t="s">
        <v>14</v>
      </c>
      <c r="J1008" s="6" t="s">
        <v>162</v>
      </c>
      <c r="K1008" s="7">
        <v>29.573799470000001</v>
      </c>
      <c r="L1008" s="7">
        <v>-95.259201390000001</v>
      </c>
      <c r="M1008" s="6" t="s">
        <v>542</v>
      </c>
      <c r="N1008" s="6" t="s">
        <v>160</v>
      </c>
      <c r="O1008" s="6" t="s">
        <v>23</v>
      </c>
    </row>
    <row r="1009" spans="1:15" x14ac:dyDescent="0.25">
      <c r="A1009" s="6" t="s">
        <v>10694</v>
      </c>
      <c r="B1009" s="6" t="s">
        <v>10693</v>
      </c>
      <c r="C1009" s="6" t="s">
        <v>31</v>
      </c>
      <c r="E1009" s="6" t="s">
        <v>10692</v>
      </c>
      <c r="F1009" s="6" t="s">
        <v>10691</v>
      </c>
      <c r="G1009" s="6" t="s">
        <v>16</v>
      </c>
      <c r="H1009" s="6" t="s">
        <v>15</v>
      </c>
      <c r="I1009" s="6" t="s">
        <v>14</v>
      </c>
      <c r="J1009" s="6" t="s">
        <v>162</v>
      </c>
      <c r="K1009" s="7">
        <v>29.556615799999999</v>
      </c>
      <c r="L1009" s="7">
        <v>-95.216317239999995</v>
      </c>
      <c r="M1009" s="6" t="s">
        <v>542</v>
      </c>
      <c r="N1009" s="6" t="s">
        <v>160</v>
      </c>
      <c r="O1009" s="6" t="s">
        <v>23</v>
      </c>
    </row>
    <row r="1010" spans="1:15" x14ac:dyDescent="0.25">
      <c r="A1010" s="6" t="s">
        <v>3295</v>
      </c>
      <c r="B1010" s="6" t="s">
        <v>3294</v>
      </c>
      <c r="C1010" s="6" t="s">
        <v>31</v>
      </c>
      <c r="E1010" s="6" t="s">
        <v>3293</v>
      </c>
      <c r="F1010" s="6" t="s">
        <v>3292</v>
      </c>
      <c r="G1010" s="6" t="s">
        <v>16</v>
      </c>
      <c r="H1010" s="6" t="s">
        <v>15</v>
      </c>
      <c r="I1010" s="6" t="s">
        <v>46</v>
      </c>
      <c r="J1010" s="6" t="s">
        <v>480</v>
      </c>
      <c r="K1010" s="7">
        <v>26.280588000000002</v>
      </c>
      <c r="L1010" s="7">
        <v>-97.867136000000002</v>
      </c>
      <c r="M1010" s="6" t="s">
        <v>89</v>
      </c>
      <c r="N1010" s="6" t="s">
        <v>11</v>
      </c>
      <c r="O1010" s="6" t="s">
        <v>22</v>
      </c>
    </row>
    <row r="1011" spans="1:15" x14ac:dyDescent="0.25">
      <c r="A1011" s="6" t="s">
        <v>1308</v>
      </c>
      <c r="B1011" s="6" t="s">
        <v>1307</v>
      </c>
      <c r="C1011" s="6" t="s">
        <v>31</v>
      </c>
      <c r="E1011" s="6" t="s">
        <v>1306</v>
      </c>
      <c r="F1011" s="6" t="s">
        <v>1305</v>
      </c>
      <c r="G1011" s="6" t="s">
        <v>16</v>
      </c>
      <c r="H1011" s="6" t="s">
        <v>430</v>
      </c>
      <c r="I1011" s="6" t="s">
        <v>14</v>
      </c>
      <c r="J1011" s="6" t="s">
        <v>951</v>
      </c>
      <c r="K1011" s="7">
        <v>27.943332890000001</v>
      </c>
      <c r="L1011" s="7">
        <v>-97.115364540000002</v>
      </c>
      <c r="M1011" s="6" t="s">
        <v>819</v>
      </c>
      <c r="N1011" s="6" t="s">
        <v>137</v>
      </c>
      <c r="O1011" s="6" t="s">
        <v>10</v>
      </c>
    </row>
    <row r="1012" spans="1:15" x14ac:dyDescent="0.25">
      <c r="A1012" s="6" t="s">
        <v>3604</v>
      </c>
      <c r="B1012" s="6" t="s">
        <v>3603</v>
      </c>
      <c r="C1012" s="6" t="s">
        <v>31</v>
      </c>
      <c r="E1012" s="6" t="s">
        <v>3602</v>
      </c>
      <c r="F1012" s="6" t="s">
        <v>3601</v>
      </c>
      <c r="G1012" s="6" t="s">
        <v>16</v>
      </c>
      <c r="H1012" s="6" t="s">
        <v>28</v>
      </c>
      <c r="I1012" s="6" t="s">
        <v>73</v>
      </c>
      <c r="J1012" s="6" t="s">
        <v>2101</v>
      </c>
      <c r="K1012" s="7">
        <v>33.711191999999997</v>
      </c>
      <c r="L1012" s="7">
        <v>-96.606465</v>
      </c>
      <c r="M1012" s="6" t="s">
        <v>44</v>
      </c>
      <c r="N1012" s="6" t="s">
        <v>43</v>
      </c>
      <c r="O1012" s="6" t="s">
        <v>42</v>
      </c>
    </row>
    <row r="1013" spans="1:15" x14ac:dyDescent="0.25">
      <c r="A1013" s="6" t="s">
        <v>6296</v>
      </c>
      <c r="B1013" s="6" t="s">
        <v>6295</v>
      </c>
      <c r="C1013" s="6" t="s">
        <v>31</v>
      </c>
      <c r="E1013" s="6" t="s">
        <v>6294</v>
      </c>
      <c r="F1013" s="6" t="s">
        <v>6293</v>
      </c>
      <c r="G1013" s="6" t="s">
        <v>16</v>
      </c>
      <c r="H1013" s="6" t="s">
        <v>28</v>
      </c>
      <c r="I1013" s="6" t="s">
        <v>1200</v>
      </c>
      <c r="J1013" s="6" t="s">
        <v>35</v>
      </c>
      <c r="K1013" s="7">
        <v>29.946297999999999</v>
      </c>
      <c r="L1013" s="7">
        <v>-95.368581000000006</v>
      </c>
      <c r="M1013" s="6" t="s">
        <v>198</v>
      </c>
      <c r="N1013" s="6" t="s">
        <v>24</v>
      </c>
      <c r="O1013" s="6" t="s">
        <v>23</v>
      </c>
    </row>
    <row r="1014" spans="1:15" x14ac:dyDescent="0.25">
      <c r="A1014" s="6" t="s">
        <v>6132</v>
      </c>
      <c r="B1014" s="6" t="s">
        <v>6131</v>
      </c>
      <c r="C1014" s="6" t="s">
        <v>31</v>
      </c>
      <c r="E1014" s="6" t="s">
        <v>6130</v>
      </c>
      <c r="F1014" s="6" t="s">
        <v>6129</v>
      </c>
      <c r="G1014" s="6" t="s">
        <v>16</v>
      </c>
      <c r="H1014" s="6" t="s">
        <v>28</v>
      </c>
      <c r="I1014" s="6" t="s">
        <v>27</v>
      </c>
      <c r="J1014" s="6" t="s">
        <v>1861</v>
      </c>
      <c r="K1014" s="7">
        <v>30.628209999999999</v>
      </c>
      <c r="L1014" s="7">
        <v>-96.408651000000006</v>
      </c>
      <c r="M1014" s="6" t="s">
        <v>121</v>
      </c>
      <c r="N1014" s="6" t="s">
        <v>23</v>
      </c>
      <c r="O1014" s="6" t="s">
        <v>120</v>
      </c>
    </row>
    <row r="1015" spans="1:15" x14ac:dyDescent="0.25">
      <c r="A1015" s="6" t="s">
        <v>6153</v>
      </c>
      <c r="B1015" s="6" t="s">
        <v>6152</v>
      </c>
      <c r="C1015" s="6" t="s">
        <v>31</v>
      </c>
      <c r="E1015" s="6" t="s">
        <v>6151</v>
      </c>
      <c r="F1015" s="6" t="s">
        <v>6150</v>
      </c>
      <c r="G1015" s="6" t="s">
        <v>16</v>
      </c>
      <c r="H1015" s="6" t="s">
        <v>15</v>
      </c>
      <c r="I1015" s="6" t="s">
        <v>36</v>
      </c>
      <c r="J1015" s="6" t="s">
        <v>35</v>
      </c>
      <c r="K1015" s="7">
        <v>29.971680330000002</v>
      </c>
      <c r="L1015" s="7">
        <v>-95.495408179999998</v>
      </c>
      <c r="M1015" s="6" t="s">
        <v>198</v>
      </c>
      <c r="N1015" s="6" t="s">
        <v>24</v>
      </c>
      <c r="O1015" s="6" t="s">
        <v>23</v>
      </c>
    </row>
    <row r="1016" spans="1:15" x14ac:dyDescent="0.25">
      <c r="A1016" s="6" t="s">
        <v>9069</v>
      </c>
      <c r="B1016" s="6" t="s">
        <v>9068</v>
      </c>
      <c r="C1016" s="6" t="s">
        <v>31</v>
      </c>
      <c r="E1016" s="6" t="s">
        <v>9067</v>
      </c>
      <c r="F1016" s="6" t="s">
        <v>9066</v>
      </c>
      <c r="G1016" s="6" t="s">
        <v>16</v>
      </c>
      <c r="H1016" s="6" t="s">
        <v>28</v>
      </c>
      <c r="I1016" s="6" t="s">
        <v>73</v>
      </c>
      <c r="J1016" s="6" t="s">
        <v>2101</v>
      </c>
      <c r="K1016" s="7">
        <v>33.520738000000001</v>
      </c>
      <c r="L1016" s="7">
        <v>-96.391779999999997</v>
      </c>
      <c r="M1016" s="6" t="s">
        <v>44</v>
      </c>
      <c r="N1016" s="6" t="s">
        <v>43</v>
      </c>
      <c r="O1016" s="6" t="s">
        <v>42</v>
      </c>
    </row>
    <row r="1017" spans="1:15" x14ac:dyDescent="0.25">
      <c r="A1017" s="6" t="s">
        <v>10254</v>
      </c>
      <c r="B1017" s="6" t="s">
        <v>10253</v>
      </c>
      <c r="C1017" s="6" t="s">
        <v>31</v>
      </c>
      <c r="E1017" s="6" t="s">
        <v>10252</v>
      </c>
      <c r="F1017" s="6" t="s">
        <v>10251</v>
      </c>
      <c r="G1017" s="6" t="s">
        <v>16</v>
      </c>
      <c r="H1017" s="6" t="s">
        <v>28</v>
      </c>
      <c r="I1017" s="6" t="s">
        <v>60</v>
      </c>
      <c r="J1017" s="6" t="s">
        <v>663</v>
      </c>
      <c r="K1017" s="7">
        <v>32.575835480000002</v>
      </c>
      <c r="L1017" s="7">
        <v>-95.109314810000001</v>
      </c>
      <c r="M1017" s="6" t="s">
        <v>423</v>
      </c>
      <c r="N1017" s="6" t="s">
        <v>65</v>
      </c>
      <c r="O1017" s="6" t="s">
        <v>65</v>
      </c>
    </row>
    <row r="1018" spans="1:15" x14ac:dyDescent="0.25">
      <c r="A1018" s="6" t="s">
        <v>6881</v>
      </c>
      <c r="B1018" s="6" t="s">
        <v>4266</v>
      </c>
      <c r="C1018" s="6" t="s">
        <v>31</v>
      </c>
      <c r="E1018" s="6" t="s">
        <v>4264</v>
      </c>
      <c r="F1018" s="6" t="s">
        <v>4263</v>
      </c>
      <c r="G1018" s="6" t="s">
        <v>16</v>
      </c>
      <c r="H1018" s="6" t="s">
        <v>28</v>
      </c>
      <c r="I1018" s="6" t="s">
        <v>14</v>
      </c>
      <c r="J1018" s="6" t="s">
        <v>571</v>
      </c>
      <c r="K1018" s="7">
        <v>32.247339220000001</v>
      </c>
      <c r="L1018" s="7">
        <v>-97.738740239999998</v>
      </c>
      <c r="M1018" s="6" t="s">
        <v>1681</v>
      </c>
      <c r="N1018" s="6" t="s">
        <v>23</v>
      </c>
      <c r="O1018" s="6" t="s">
        <v>42</v>
      </c>
    </row>
    <row r="1019" spans="1:15" x14ac:dyDescent="0.25">
      <c r="A1019" s="6" t="s">
        <v>4267</v>
      </c>
      <c r="B1019" s="6" t="s">
        <v>4266</v>
      </c>
      <c r="C1019" s="6" t="s">
        <v>4265</v>
      </c>
      <c r="E1019" s="6" t="s">
        <v>4264</v>
      </c>
      <c r="F1019" s="6" t="s">
        <v>4263</v>
      </c>
      <c r="G1019" s="6" t="s">
        <v>16</v>
      </c>
      <c r="H1019" s="6" t="s">
        <v>28</v>
      </c>
      <c r="I1019" s="6" t="s">
        <v>14</v>
      </c>
      <c r="J1019" s="6" t="s">
        <v>571</v>
      </c>
      <c r="K1019" s="7">
        <v>32.24721023</v>
      </c>
      <c r="L1019" s="7">
        <v>-97.738987949999995</v>
      </c>
      <c r="M1019" s="6" t="s">
        <v>1681</v>
      </c>
      <c r="N1019" s="6" t="s">
        <v>23</v>
      </c>
      <c r="O1019" s="6" t="s">
        <v>42</v>
      </c>
    </row>
    <row r="1020" spans="1:15" x14ac:dyDescent="0.25">
      <c r="A1020" s="6" t="s">
        <v>251</v>
      </c>
      <c r="B1020" s="6" t="s">
        <v>250</v>
      </c>
      <c r="C1020" s="6" t="s">
        <v>31</v>
      </c>
      <c r="E1020" s="6" t="s">
        <v>249</v>
      </c>
      <c r="F1020" s="6" t="s">
        <v>245</v>
      </c>
      <c r="G1020" s="6" t="s">
        <v>16</v>
      </c>
      <c r="H1020" s="6" t="s">
        <v>15</v>
      </c>
      <c r="I1020" s="6" t="s">
        <v>14</v>
      </c>
      <c r="J1020" s="6" t="s">
        <v>162</v>
      </c>
      <c r="K1020" s="7">
        <v>28.94531082</v>
      </c>
      <c r="L1020" s="7">
        <v>-95.379751490000004</v>
      </c>
      <c r="M1020" s="6" t="s">
        <v>244</v>
      </c>
      <c r="N1020" s="6" t="s">
        <v>23</v>
      </c>
      <c r="O1020" s="6" t="s">
        <v>23</v>
      </c>
    </row>
    <row r="1021" spans="1:15" x14ac:dyDescent="0.25">
      <c r="A1021" s="6" t="s">
        <v>248</v>
      </c>
      <c r="B1021" s="6" t="s">
        <v>247</v>
      </c>
      <c r="C1021" s="6" t="s">
        <v>31</v>
      </c>
      <c r="E1021" s="6" t="s">
        <v>246</v>
      </c>
      <c r="F1021" s="6" t="s">
        <v>245</v>
      </c>
      <c r="G1021" s="6" t="s">
        <v>16</v>
      </c>
      <c r="H1021" s="6" t="s">
        <v>28</v>
      </c>
      <c r="I1021" s="6" t="s">
        <v>27</v>
      </c>
      <c r="J1021" s="6" t="s">
        <v>162</v>
      </c>
      <c r="K1021" s="7">
        <v>28.967004299999999</v>
      </c>
      <c r="L1021" s="7">
        <v>-95.399086670000003</v>
      </c>
      <c r="M1021" s="6" t="s">
        <v>244</v>
      </c>
      <c r="N1021" s="6" t="s">
        <v>23</v>
      </c>
      <c r="O1021" s="6" t="s">
        <v>23</v>
      </c>
    </row>
    <row r="1022" spans="1:15" x14ac:dyDescent="0.25">
      <c r="A1022" s="6" t="s">
        <v>7411</v>
      </c>
      <c r="B1022" s="6" t="s">
        <v>7410</v>
      </c>
      <c r="C1022" s="6" t="s">
        <v>31</v>
      </c>
      <c r="E1022" s="6" t="s">
        <v>7409</v>
      </c>
      <c r="F1022" s="6" t="s">
        <v>7408</v>
      </c>
      <c r="G1022" s="6" t="s">
        <v>16</v>
      </c>
      <c r="H1022" s="6" t="s">
        <v>28</v>
      </c>
      <c r="I1022" s="6" t="s">
        <v>60</v>
      </c>
      <c r="J1022" s="6" t="s">
        <v>13</v>
      </c>
      <c r="K1022" s="7">
        <v>27.782005999999999</v>
      </c>
      <c r="L1022" s="7">
        <v>-97.899167000000006</v>
      </c>
      <c r="M1022" s="6" t="s">
        <v>792</v>
      </c>
      <c r="N1022" s="6" t="s">
        <v>11</v>
      </c>
      <c r="O1022" s="6" t="s">
        <v>10</v>
      </c>
    </row>
    <row r="1023" spans="1:15" x14ac:dyDescent="0.25">
      <c r="A1023" s="6" t="s">
        <v>7407</v>
      </c>
      <c r="B1023" s="6" t="s">
        <v>7406</v>
      </c>
      <c r="C1023" s="6" t="s">
        <v>31</v>
      </c>
      <c r="E1023" s="6" t="s">
        <v>7405</v>
      </c>
      <c r="F1023" s="6" t="s">
        <v>7404</v>
      </c>
      <c r="G1023" s="6" t="s">
        <v>16</v>
      </c>
      <c r="H1023" s="6" t="s">
        <v>28</v>
      </c>
      <c r="I1023" s="6" t="s">
        <v>60</v>
      </c>
      <c r="J1023" s="6" t="s">
        <v>3105</v>
      </c>
      <c r="K1023" s="7">
        <v>28.856266260000002</v>
      </c>
      <c r="L1023" s="7">
        <v>-98.715488519999994</v>
      </c>
      <c r="M1023" s="6" t="s">
        <v>1675</v>
      </c>
      <c r="N1023" s="6" t="s">
        <v>524</v>
      </c>
      <c r="O1023" s="6" t="s">
        <v>231</v>
      </c>
    </row>
    <row r="1024" spans="1:15" x14ac:dyDescent="0.25">
      <c r="A1024" s="6" t="s">
        <v>8607</v>
      </c>
      <c r="B1024" s="6" t="s">
        <v>8606</v>
      </c>
      <c r="C1024" s="6" t="s">
        <v>31</v>
      </c>
      <c r="E1024" s="6" t="s">
        <v>8605</v>
      </c>
      <c r="F1024" s="6" t="s">
        <v>8604</v>
      </c>
      <c r="G1024" s="6" t="s">
        <v>16</v>
      </c>
      <c r="H1024" s="6" t="s">
        <v>28</v>
      </c>
      <c r="I1024" s="6" t="s">
        <v>73</v>
      </c>
      <c r="J1024" s="6" t="s">
        <v>1249</v>
      </c>
      <c r="K1024" s="7">
        <v>32.044725069999998</v>
      </c>
      <c r="L1024" s="7">
        <v>-95.496468399999998</v>
      </c>
      <c r="M1024" s="6" t="s">
        <v>53</v>
      </c>
      <c r="N1024" s="6" t="s">
        <v>52</v>
      </c>
      <c r="O1024" s="6" t="s">
        <v>65</v>
      </c>
    </row>
    <row r="1025" spans="1:15" x14ac:dyDescent="0.25">
      <c r="A1025" s="6" t="s">
        <v>2271</v>
      </c>
      <c r="B1025" s="6" t="s">
        <v>2270</v>
      </c>
      <c r="C1025" s="6" t="s">
        <v>31</v>
      </c>
      <c r="E1025" s="6" t="s">
        <v>2269</v>
      </c>
      <c r="F1025" s="6" t="s">
        <v>2268</v>
      </c>
      <c r="G1025" s="6" t="s">
        <v>16</v>
      </c>
      <c r="H1025" s="6" t="s">
        <v>28</v>
      </c>
      <c r="I1025" s="6" t="s">
        <v>73</v>
      </c>
      <c r="J1025" s="6" t="s">
        <v>2267</v>
      </c>
      <c r="K1025" s="7">
        <v>32.294949000000003</v>
      </c>
      <c r="L1025" s="7">
        <v>-95.469337999999993</v>
      </c>
      <c r="M1025" s="6" t="s">
        <v>66</v>
      </c>
      <c r="N1025" s="6" t="s">
        <v>52</v>
      </c>
      <c r="O1025" s="6" t="s">
        <v>65</v>
      </c>
    </row>
    <row r="1026" spans="1:15" x14ac:dyDescent="0.25">
      <c r="A1026" s="6" t="s">
        <v>7882</v>
      </c>
      <c r="B1026" s="6" t="s">
        <v>7881</v>
      </c>
      <c r="C1026" s="6" t="s">
        <v>31</v>
      </c>
      <c r="E1026" s="6" t="s">
        <v>7880</v>
      </c>
      <c r="F1026" s="6" t="s">
        <v>7879</v>
      </c>
      <c r="G1026" s="6" t="s">
        <v>16</v>
      </c>
      <c r="H1026" s="6" t="s">
        <v>28</v>
      </c>
      <c r="I1026" s="6" t="s">
        <v>73</v>
      </c>
      <c r="J1026" s="6" t="s">
        <v>72</v>
      </c>
      <c r="K1026" s="7">
        <v>32.133216539999999</v>
      </c>
      <c r="L1026" s="7">
        <v>-95.114934969999993</v>
      </c>
      <c r="M1026" s="6" t="s">
        <v>203</v>
      </c>
      <c r="N1026" s="6" t="s">
        <v>52</v>
      </c>
      <c r="O1026" s="6" t="s">
        <v>65</v>
      </c>
    </row>
    <row r="1027" spans="1:15" x14ac:dyDescent="0.25">
      <c r="A1027" s="6" t="s">
        <v>2455</v>
      </c>
      <c r="B1027" s="6" t="s">
        <v>2454</v>
      </c>
      <c r="C1027" s="6" t="s">
        <v>31</v>
      </c>
      <c r="E1027" s="6" t="s">
        <v>2453</v>
      </c>
      <c r="F1027" s="6" t="s">
        <v>2452</v>
      </c>
      <c r="G1027" s="6" t="s">
        <v>16</v>
      </c>
      <c r="H1027" s="6" t="s">
        <v>28</v>
      </c>
      <c r="I1027" s="6" t="s">
        <v>60</v>
      </c>
      <c r="J1027" s="6" t="s">
        <v>1064</v>
      </c>
      <c r="K1027" s="7">
        <v>29.263304000000002</v>
      </c>
      <c r="L1027" s="7">
        <v>-95.937175999999994</v>
      </c>
      <c r="M1027" s="6" t="s">
        <v>2451</v>
      </c>
      <c r="N1027" s="6" t="s">
        <v>231</v>
      </c>
      <c r="O1027" s="6" t="s">
        <v>23</v>
      </c>
    </row>
    <row r="1028" spans="1:15" x14ac:dyDescent="0.25">
      <c r="A1028" s="6" t="s">
        <v>11844</v>
      </c>
      <c r="B1028" s="6" t="s">
        <v>11843</v>
      </c>
      <c r="C1028" s="6" t="s">
        <v>31</v>
      </c>
      <c r="E1028" s="6" t="s">
        <v>11842</v>
      </c>
      <c r="F1028" s="6" t="s">
        <v>11841</v>
      </c>
      <c r="G1028" s="6" t="s">
        <v>16</v>
      </c>
      <c r="H1028" s="6" t="s">
        <v>28</v>
      </c>
      <c r="I1028" s="6" t="s">
        <v>27</v>
      </c>
      <c r="J1028" s="6" t="s">
        <v>1209</v>
      </c>
      <c r="K1028" s="7">
        <v>31.783705000000001</v>
      </c>
      <c r="L1028" s="7">
        <v>-97.567407000000003</v>
      </c>
      <c r="M1028" s="6" t="s">
        <v>1208</v>
      </c>
      <c r="N1028" s="6" t="s">
        <v>23</v>
      </c>
      <c r="O1028" s="6" t="s">
        <v>120</v>
      </c>
    </row>
    <row r="1029" spans="1:15" x14ac:dyDescent="0.25">
      <c r="A1029" s="6" t="s">
        <v>9690</v>
      </c>
      <c r="B1029" s="6" t="s">
        <v>9689</v>
      </c>
      <c r="C1029" s="6" t="s">
        <v>31</v>
      </c>
      <c r="E1029" s="6" t="s">
        <v>9688</v>
      </c>
      <c r="F1029" s="6" t="s">
        <v>9687</v>
      </c>
      <c r="G1029" s="6" t="s">
        <v>16</v>
      </c>
      <c r="H1029" s="6" t="s">
        <v>28</v>
      </c>
      <c r="I1029" s="6" t="s">
        <v>14</v>
      </c>
      <c r="J1029" s="6" t="s">
        <v>853</v>
      </c>
      <c r="K1029" s="7">
        <v>29.74544586</v>
      </c>
      <c r="L1029" s="7">
        <v>-94.669446440000002</v>
      </c>
      <c r="M1029" s="6" t="s">
        <v>894</v>
      </c>
      <c r="N1029" s="6" t="s">
        <v>383</v>
      </c>
      <c r="O1029" s="6" t="s">
        <v>23</v>
      </c>
    </row>
    <row r="1030" spans="1:15" x14ac:dyDescent="0.25">
      <c r="A1030" s="6" t="s">
        <v>4435</v>
      </c>
      <c r="B1030" s="6" t="s">
        <v>4434</v>
      </c>
      <c r="C1030" s="6" t="s">
        <v>31</v>
      </c>
      <c r="E1030" s="6" t="s">
        <v>4433</v>
      </c>
      <c r="F1030" s="6" t="s">
        <v>4429</v>
      </c>
      <c r="G1030" s="6" t="s">
        <v>16</v>
      </c>
      <c r="H1030" s="6" t="s">
        <v>15</v>
      </c>
      <c r="I1030" s="6" t="s">
        <v>46</v>
      </c>
      <c r="J1030" s="6" t="s">
        <v>3230</v>
      </c>
      <c r="K1030" s="7">
        <v>27.72305557</v>
      </c>
      <c r="L1030" s="7">
        <v>-98.031111109999998</v>
      </c>
      <c r="M1030" s="6" t="s">
        <v>184</v>
      </c>
      <c r="N1030" s="6" t="s">
        <v>11</v>
      </c>
      <c r="O1030" s="6" t="s">
        <v>10</v>
      </c>
    </row>
    <row r="1031" spans="1:15" x14ac:dyDescent="0.25">
      <c r="A1031" s="6" t="s">
        <v>10712</v>
      </c>
      <c r="B1031" s="6" t="s">
        <v>10711</v>
      </c>
      <c r="C1031" s="6" t="s">
        <v>31</v>
      </c>
      <c r="E1031" s="6" t="s">
        <v>10710</v>
      </c>
      <c r="F1031" s="6" t="s">
        <v>10709</v>
      </c>
      <c r="G1031" s="6" t="s">
        <v>16</v>
      </c>
      <c r="H1031" s="6" t="s">
        <v>28</v>
      </c>
      <c r="I1031" s="6" t="s">
        <v>14</v>
      </c>
      <c r="J1031" s="6" t="s">
        <v>10708</v>
      </c>
      <c r="K1031" s="7">
        <v>31.12882909</v>
      </c>
      <c r="L1031" s="7">
        <v>-99.318509280000001</v>
      </c>
      <c r="M1031" s="6" t="s">
        <v>500</v>
      </c>
      <c r="N1031" s="6" t="s">
        <v>10</v>
      </c>
      <c r="O1031" s="6" t="s">
        <v>102</v>
      </c>
    </row>
    <row r="1032" spans="1:15" x14ac:dyDescent="0.25">
      <c r="A1032" s="6" t="s">
        <v>5324</v>
      </c>
      <c r="B1032" s="6" t="s">
        <v>5323</v>
      </c>
      <c r="C1032" s="6" t="s">
        <v>31</v>
      </c>
      <c r="E1032" s="6" t="s">
        <v>5322</v>
      </c>
      <c r="F1032" s="6" t="s">
        <v>5321</v>
      </c>
      <c r="G1032" s="6" t="s">
        <v>16</v>
      </c>
      <c r="H1032" s="6" t="s">
        <v>15</v>
      </c>
      <c r="I1032" s="6" t="s">
        <v>36</v>
      </c>
      <c r="J1032" s="6" t="s">
        <v>35</v>
      </c>
      <c r="K1032" s="7">
        <v>29.973948140000001</v>
      </c>
      <c r="L1032" s="7">
        <v>-95.275680739999999</v>
      </c>
      <c r="M1032" s="6" t="s">
        <v>198</v>
      </c>
      <c r="N1032" s="6" t="s">
        <v>24</v>
      </c>
      <c r="O1032" s="6" t="s">
        <v>23</v>
      </c>
    </row>
    <row r="1033" spans="1:15" x14ac:dyDescent="0.25">
      <c r="A1033" s="6" t="s">
        <v>7370</v>
      </c>
      <c r="B1033" s="6" t="s">
        <v>7369</v>
      </c>
      <c r="C1033" s="6" t="s">
        <v>31</v>
      </c>
      <c r="E1033" s="6" t="s">
        <v>7368</v>
      </c>
      <c r="F1033" s="6" t="s">
        <v>7367</v>
      </c>
      <c r="G1033" s="6" t="s">
        <v>16</v>
      </c>
      <c r="H1033" s="6" t="s">
        <v>28</v>
      </c>
      <c r="I1033" s="6" t="s">
        <v>27</v>
      </c>
      <c r="J1033" s="6" t="s">
        <v>2101</v>
      </c>
      <c r="K1033" s="7">
        <v>33.551184810000002</v>
      </c>
      <c r="L1033" s="7">
        <v>-96.907057989999998</v>
      </c>
      <c r="M1033" s="6" t="s">
        <v>3701</v>
      </c>
      <c r="N1033" s="6" t="s">
        <v>102</v>
      </c>
      <c r="O1033" s="6" t="s">
        <v>42</v>
      </c>
    </row>
    <row r="1034" spans="1:15" x14ac:dyDescent="0.25">
      <c r="A1034" s="6" t="s">
        <v>5637</v>
      </c>
      <c r="B1034" s="6" t="s">
        <v>5636</v>
      </c>
      <c r="C1034" s="6" t="s">
        <v>31</v>
      </c>
      <c r="E1034" s="6" t="s">
        <v>5635</v>
      </c>
      <c r="F1034" s="6" t="s">
        <v>5634</v>
      </c>
      <c r="G1034" s="6" t="s">
        <v>16</v>
      </c>
      <c r="H1034" s="6" t="s">
        <v>15</v>
      </c>
      <c r="I1034" s="6" t="s">
        <v>14</v>
      </c>
      <c r="J1034" s="6" t="s">
        <v>35</v>
      </c>
      <c r="K1034" s="7">
        <v>29.800242000000001</v>
      </c>
      <c r="L1034" s="7">
        <v>-95.110962999999998</v>
      </c>
      <c r="M1034" s="6" t="s">
        <v>34</v>
      </c>
      <c r="N1034" s="6" t="s">
        <v>24</v>
      </c>
      <c r="O1034" s="6" t="s">
        <v>23</v>
      </c>
    </row>
    <row r="1035" spans="1:15" x14ac:dyDescent="0.25">
      <c r="A1035" s="6" t="s">
        <v>11840</v>
      </c>
      <c r="B1035" s="6" t="s">
        <v>11839</v>
      </c>
      <c r="C1035" s="6" t="s">
        <v>31</v>
      </c>
      <c r="E1035" s="6" t="s">
        <v>11838</v>
      </c>
      <c r="F1035" s="6" t="s">
        <v>11837</v>
      </c>
      <c r="G1035" s="6" t="s">
        <v>16</v>
      </c>
      <c r="H1035" s="6" t="s">
        <v>15</v>
      </c>
      <c r="I1035" s="6" t="s">
        <v>36</v>
      </c>
      <c r="J1035" s="6" t="s">
        <v>162</v>
      </c>
      <c r="K1035" s="7">
        <v>29.01515582</v>
      </c>
      <c r="L1035" s="7">
        <v>-95.390483459999999</v>
      </c>
      <c r="M1035" s="6" t="s">
        <v>1606</v>
      </c>
      <c r="N1035" s="6" t="s">
        <v>160</v>
      </c>
      <c r="O1035" s="6" t="s">
        <v>23</v>
      </c>
    </row>
    <row r="1036" spans="1:15" x14ac:dyDescent="0.25">
      <c r="A1036" s="6" t="s">
        <v>9851</v>
      </c>
      <c r="B1036" s="6" t="s">
        <v>9850</v>
      </c>
      <c r="C1036" s="6" t="s">
        <v>31</v>
      </c>
      <c r="E1036" s="6" t="s">
        <v>9849</v>
      </c>
      <c r="F1036" s="6" t="s">
        <v>9848</v>
      </c>
      <c r="G1036" s="6" t="s">
        <v>16</v>
      </c>
      <c r="H1036" s="6" t="s">
        <v>28</v>
      </c>
      <c r="I1036" s="6" t="s">
        <v>60</v>
      </c>
      <c r="J1036" s="6" t="s">
        <v>3079</v>
      </c>
      <c r="K1036" s="7">
        <v>29.684142000000001</v>
      </c>
      <c r="L1036" s="7">
        <v>-97.292490000000001</v>
      </c>
      <c r="M1036" s="6" t="s">
        <v>1739</v>
      </c>
      <c r="N1036" s="6" t="s">
        <v>559</v>
      </c>
      <c r="O1036" s="6" t="s">
        <v>10</v>
      </c>
    </row>
    <row r="1037" spans="1:15" x14ac:dyDescent="0.25">
      <c r="A1037" s="6" t="s">
        <v>10731</v>
      </c>
      <c r="B1037" s="6" t="s">
        <v>10730</v>
      </c>
      <c r="C1037" s="6" t="s">
        <v>31</v>
      </c>
      <c r="E1037" s="6" t="s">
        <v>10729</v>
      </c>
      <c r="F1037" s="6" t="s">
        <v>10728</v>
      </c>
      <c r="G1037" s="6" t="s">
        <v>16</v>
      </c>
      <c r="H1037" s="6" t="s">
        <v>15</v>
      </c>
      <c r="I1037" s="6" t="s">
        <v>14</v>
      </c>
      <c r="J1037" s="6" t="s">
        <v>290</v>
      </c>
      <c r="K1037" s="7">
        <v>28.95575629</v>
      </c>
      <c r="L1037" s="7">
        <v>-95.957034010000001</v>
      </c>
      <c r="M1037" s="6" t="s">
        <v>4268</v>
      </c>
      <c r="N1037" s="6" t="s">
        <v>231</v>
      </c>
      <c r="O1037" s="6" t="s">
        <v>23</v>
      </c>
    </row>
    <row r="1038" spans="1:15" x14ac:dyDescent="0.25">
      <c r="A1038" s="6" t="s">
        <v>5609</v>
      </c>
      <c r="B1038" s="6" t="s">
        <v>5608</v>
      </c>
      <c r="C1038" s="6" t="s">
        <v>31</v>
      </c>
      <c r="E1038" s="6" t="s">
        <v>5607</v>
      </c>
      <c r="F1038" s="6" t="s">
        <v>5606</v>
      </c>
      <c r="G1038" s="6" t="s">
        <v>16</v>
      </c>
      <c r="H1038" s="6" t="s">
        <v>28</v>
      </c>
      <c r="I1038" s="6" t="s">
        <v>27</v>
      </c>
      <c r="J1038" s="6" t="s">
        <v>1275</v>
      </c>
      <c r="K1038" s="7">
        <v>31.642992</v>
      </c>
      <c r="L1038" s="7">
        <v>-96.274328999999994</v>
      </c>
      <c r="M1038" s="6" t="s">
        <v>1031</v>
      </c>
      <c r="N1038" s="6" t="s">
        <v>102</v>
      </c>
      <c r="O1038" s="6" t="s">
        <v>120</v>
      </c>
    </row>
    <row r="1039" spans="1:15" x14ac:dyDescent="0.25">
      <c r="A1039" s="6" t="s">
        <v>7890</v>
      </c>
      <c r="B1039" s="6" t="s">
        <v>7889</v>
      </c>
      <c r="C1039" s="6" t="s">
        <v>31</v>
      </c>
      <c r="E1039" s="6" t="s">
        <v>7888</v>
      </c>
      <c r="F1039" s="6" t="s">
        <v>5606</v>
      </c>
      <c r="G1039" s="6" t="s">
        <v>16</v>
      </c>
      <c r="H1039" s="6" t="s">
        <v>28</v>
      </c>
      <c r="I1039" s="6" t="s">
        <v>60</v>
      </c>
      <c r="J1039" s="6" t="s">
        <v>1275</v>
      </c>
      <c r="K1039" s="7">
        <v>31.624918999999998</v>
      </c>
      <c r="L1039" s="7">
        <v>-96.301348000000004</v>
      </c>
      <c r="M1039" s="6" t="s">
        <v>1274</v>
      </c>
      <c r="N1039" s="6" t="s">
        <v>23</v>
      </c>
      <c r="O1039" s="6" t="s">
        <v>120</v>
      </c>
    </row>
    <row r="1040" spans="1:15" x14ac:dyDescent="0.25">
      <c r="A1040" s="6" t="s">
        <v>1167</v>
      </c>
      <c r="B1040" s="6" t="s">
        <v>1166</v>
      </c>
      <c r="C1040" s="6" t="s">
        <v>31</v>
      </c>
      <c r="E1040" s="6" t="s">
        <v>1165</v>
      </c>
      <c r="F1040" s="6" t="s">
        <v>1164</v>
      </c>
      <c r="G1040" s="6" t="s">
        <v>16</v>
      </c>
      <c r="H1040" s="6" t="s">
        <v>15</v>
      </c>
      <c r="I1040" s="6" t="s">
        <v>14</v>
      </c>
      <c r="J1040" s="6" t="s">
        <v>26</v>
      </c>
      <c r="K1040" s="7">
        <v>30.31884196</v>
      </c>
      <c r="L1040" s="7">
        <v>-95.41245902</v>
      </c>
      <c r="M1040" s="6" t="s">
        <v>1022</v>
      </c>
      <c r="N1040" s="6" t="s">
        <v>24</v>
      </c>
      <c r="O1040" s="6" t="s">
        <v>23</v>
      </c>
    </row>
    <row r="1041" spans="1:15" x14ac:dyDescent="0.25">
      <c r="A1041" s="6" t="s">
        <v>9328</v>
      </c>
      <c r="B1041" s="6" t="s">
        <v>9326</v>
      </c>
      <c r="C1041" s="6" t="s">
        <v>31</v>
      </c>
      <c r="E1041" s="6" t="s">
        <v>9325</v>
      </c>
      <c r="F1041" s="6" t="s">
        <v>9324</v>
      </c>
      <c r="G1041" s="6" t="s">
        <v>16</v>
      </c>
      <c r="H1041" s="6" t="s">
        <v>15</v>
      </c>
      <c r="I1041" s="6" t="s">
        <v>36</v>
      </c>
      <c r="J1041" s="6" t="s">
        <v>162</v>
      </c>
      <c r="K1041" s="7">
        <v>28.957394000000001</v>
      </c>
      <c r="L1041" s="7">
        <v>-95.331211999999994</v>
      </c>
      <c r="M1041" s="6" t="s">
        <v>244</v>
      </c>
      <c r="N1041" s="6" t="s">
        <v>23</v>
      </c>
      <c r="O1041" s="6" t="s">
        <v>23</v>
      </c>
    </row>
    <row r="1042" spans="1:15" x14ac:dyDescent="0.25">
      <c r="A1042" s="6" t="s">
        <v>9327</v>
      </c>
      <c r="B1042" s="6" t="s">
        <v>9326</v>
      </c>
      <c r="C1042" s="6" t="s">
        <v>19</v>
      </c>
      <c r="E1042" s="6" t="s">
        <v>9325</v>
      </c>
      <c r="F1042" s="6" t="s">
        <v>9324</v>
      </c>
      <c r="G1042" s="6" t="s">
        <v>16</v>
      </c>
      <c r="H1042" s="6" t="s">
        <v>430</v>
      </c>
      <c r="I1042" s="6" t="s">
        <v>36</v>
      </c>
      <c r="J1042" s="6" t="s">
        <v>162</v>
      </c>
      <c r="K1042" s="7">
        <v>28.95590777</v>
      </c>
      <c r="L1042" s="7">
        <v>-95.336803689999996</v>
      </c>
      <c r="M1042" s="6" t="s">
        <v>1606</v>
      </c>
      <c r="N1042" s="6" t="s">
        <v>160</v>
      </c>
      <c r="O1042" s="6" t="s">
        <v>23</v>
      </c>
    </row>
    <row r="1043" spans="1:15" x14ac:dyDescent="0.25">
      <c r="A1043" s="6" t="s">
        <v>5500</v>
      </c>
      <c r="B1043" s="6" t="s">
        <v>5499</v>
      </c>
      <c r="C1043" s="6" t="s">
        <v>31</v>
      </c>
      <c r="E1043" s="6" t="s">
        <v>5498</v>
      </c>
      <c r="F1043" s="6" t="s">
        <v>5497</v>
      </c>
      <c r="G1043" s="6" t="s">
        <v>16</v>
      </c>
      <c r="H1043" s="6" t="s">
        <v>28</v>
      </c>
      <c r="I1043" s="6" t="s">
        <v>27</v>
      </c>
      <c r="J1043" s="6" t="s">
        <v>883</v>
      </c>
      <c r="K1043" s="7">
        <v>33.155977999999998</v>
      </c>
      <c r="L1043" s="7">
        <v>-94.135227</v>
      </c>
      <c r="M1043" s="6" t="s">
        <v>5496</v>
      </c>
      <c r="N1043" s="6" t="s">
        <v>95</v>
      </c>
      <c r="O1043" s="6" t="s">
        <v>65</v>
      </c>
    </row>
    <row r="1044" spans="1:15" x14ac:dyDescent="0.25">
      <c r="A1044" s="6" t="s">
        <v>8836</v>
      </c>
      <c r="B1044" s="6" t="s">
        <v>8835</v>
      </c>
      <c r="C1044" s="6" t="s">
        <v>31</v>
      </c>
      <c r="E1044" s="6" t="s">
        <v>8834</v>
      </c>
      <c r="F1044" s="6" t="s">
        <v>5708</v>
      </c>
      <c r="G1044" s="6" t="s">
        <v>16</v>
      </c>
      <c r="H1044" s="6" t="s">
        <v>15</v>
      </c>
      <c r="I1044" s="6" t="s">
        <v>36</v>
      </c>
      <c r="J1044" s="6" t="s">
        <v>35</v>
      </c>
      <c r="K1044" s="7">
        <v>29.644204370000001</v>
      </c>
      <c r="L1044" s="7">
        <v>-95.262593820000006</v>
      </c>
      <c r="M1044" s="6" t="s">
        <v>866</v>
      </c>
      <c r="N1044" s="6" t="s">
        <v>24</v>
      </c>
      <c r="O1044" s="6" t="s">
        <v>23</v>
      </c>
    </row>
    <row r="1045" spans="1:15" x14ac:dyDescent="0.25">
      <c r="A1045" s="6" t="s">
        <v>8824</v>
      </c>
      <c r="B1045" s="6" t="s">
        <v>8823</v>
      </c>
      <c r="C1045" s="6" t="s">
        <v>31</v>
      </c>
      <c r="E1045" s="6" t="s">
        <v>8822</v>
      </c>
      <c r="F1045" s="6" t="s">
        <v>5708</v>
      </c>
      <c r="G1045" s="6" t="s">
        <v>16</v>
      </c>
      <c r="H1045" s="6" t="s">
        <v>15</v>
      </c>
      <c r="I1045" s="6" t="s">
        <v>36</v>
      </c>
      <c r="J1045" s="6" t="s">
        <v>35</v>
      </c>
      <c r="K1045" s="7">
        <v>29.962215149999999</v>
      </c>
      <c r="L1045" s="7">
        <v>-95.354581749999994</v>
      </c>
      <c r="M1045" s="6" t="s">
        <v>198</v>
      </c>
      <c r="N1045" s="6" t="s">
        <v>24</v>
      </c>
      <c r="O1045" s="6" t="s">
        <v>23</v>
      </c>
    </row>
    <row r="1046" spans="1:15" x14ac:dyDescent="0.25">
      <c r="A1046" s="6" t="s">
        <v>9749</v>
      </c>
      <c r="B1046" s="6" t="s">
        <v>9748</v>
      </c>
      <c r="C1046" s="6" t="s">
        <v>31</v>
      </c>
      <c r="E1046" s="6" t="s">
        <v>9747</v>
      </c>
      <c r="F1046" s="6" t="s">
        <v>5708</v>
      </c>
      <c r="G1046" s="6" t="s">
        <v>16</v>
      </c>
      <c r="H1046" s="6" t="s">
        <v>15</v>
      </c>
      <c r="I1046" s="6" t="s">
        <v>799</v>
      </c>
      <c r="J1046" s="6" t="s">
        <v>35</v>
      </c>
      <c r="K1046" s="7">
        <v>29.628823000000001</v>
      </c>
      <c r="L1046" s="7">
        <v>-95.406227000000001</v>
      </c>
      <c r="M1046" s="6" t="s">
        <v>866</v>
      </c>
      <c r="N1046" s="6" t="s">
        <v>24</v>
      </c>
      <c r="O1046" s="6" t="s">
        <v>23</v>
      </c>
    </row>
    <row r="1047" spans="1:15" x14ac:dyDescent="0.25">
      <c r="A1047" s="6" t="s">
        <v>8821</v>
      </c>
      <c r="B1047" s="6" t="s">
        <v>8820</v>
      </c>
      <c r="C1047" s="6" t="s">
        <v>31</v>
      </c>
      <c r="E1047" s="6" t="s">
        <v>8819</v>
      </c>
      <c r="F1047" s="6" t="s">
        <v>5708</v>
      </c>
      <c r="G1047" s="6" t="s">
        <v>16</v>
      </c>
      <c r="H1047" s="6" t="s">
        <v>15</v>
      </c>
      <c r="I1047" s="6" t="s">
        <v>14</v>
      </c>
      <c r="J1047" s="6" t="s">
        <v>35</v>
      </c>
      <c r="K1047" s="7">
        <v>29.603361629999998</v>
      </c>
      <c r="L1047" s="7">
        <v>-95.236185320000004</v>
      </c>
      <c r="M1047" s="6" t="s">
        <v>542</v>
      </c>
      <c r="N1047" s="6" t="s">
        <v>160</v>
      </c>
      <c r="O1047" s="6" t="s">
        <v>23</v>
      </c>
    </row>
    <row r="1048" spans="1:15" x14ac:dyDescent="0.25">
      <c r="A1048" s="6" t="s">
        <v>8802</v>
      </c>
      <c r="B1048" s="6" t="s">
        <v>8801</v>
      </c>
      <c r="C1048" s="6" t="s">
        <v>31</v>
      </c>
      <c r="E1048" s="6" t="s">
        <v>8800</v>
      </c>
      <c r="F1048" s="6" t="s">
        <v>5708</v>
      </c>
      <c r="G1048" s="6" t="s">
        <v>16</v>
      </c>
      <c r="H1048" s="6" t="s">
        <v>15</v>
      </c>
      <c r="I1048" s="6" t="s">
        <v>60</v>
      </c>
      <c r="J1048" s="6" t="s">
        <v>35</v>
      </c>
      <c r="K1048" s="7">
        <v>29.767029999999998</v>
      </c>
      <c r="L1048" s="7">
        <v>-95.618877999999995</v>
      </c>
      <c r="M1048" s="6" t="s">
        <v>131</v>
      </c>
      <c r="N1048" s="6" t="s">
        <v>24</v>
      </c>
      <c r="O1048" s="6" t="s">
        <v>23</v>
      </c>
    </row>
    <row r="1049" spans="1:15" x14ac:dyDescent="0.25">
      <c r="A1049" s="6" t="s">
        <v>9361</v>
      </c>
      <c r="B1049" s="6" t="s">
        <v>9360</v>
      </c>
      <c r="C1049" s="6" t="s">
        <v>31</v>
      </c>
      <c r="E1049" s="6" t="s">
        <v>9359</v>
      </c>
      <c r="F1049" s="6" t="s">
        <v>5708</v>
      </c>
      <c r="G1049" s="6" t="s">
        <v>16</v>
      </c>
      <c r="H1049" s="6" t="s">
        <v>15</v>
      </c>
      <c r="I1049" s="6" t="s">
        <v>36</v>
      </c>
      <c r="J1049" s="6" t="s">
        <v>35</v>
      </c>
      <c r="K1049" s="7">
        <v>29.725820710000001</v>
      </c>
      <c r="L1049" s="7">
        <v>-95.266717810000003</v>
      </c>
      <c r="M1049" s="6" t="s">
        <v>866</v>
      </c>
      <c r="N1049" s="6" t="s">
        <v>24</v>
      </c>
      <c r="O1049" s="6" t="s">
        <v>23</v>
      </c>
    </row>
    <row r="1050" spans="1:15" x14ac:dyDescent="0.25">
      <c r="A1050" s="6" t="s">
        <v>11367</v>
      </c>
      <c r="B1050" s="6" t="s">
        <v>11366</v>
      </c>
      <c r="C1050" s="6" t="s">
        <v>31</v>
      </c>
      <c r="E1050" s="6" t="s">
        <v>11365</v>
      </c>
      <c r="F1050" s="6" t="s">
        <v>11364</v>
      </c>
      <c r="G1050" s="6" t="s">
        <v>16</v>
      </c>
      <c r="H1050" s="6" t="s">
        <v>28</v>
      </c>
      <c r="I1050" s="6" t="s">
        <v>73</v>
      </c>
      <c r="J1050" s="6" t="s">
        <v>1716</v>
      </c>
      <c r="K1050" s="7">
        <v>30.538221679999999</v>
      </c>
      <c r="L1050" s="7">
        <v>-95.559307340000004</v>
      </c>
      <c r="M1050" s="6" t="s">
        <v>340</v>
      </c>
      <c r="N1050" s="6" t="s">
        <v>24</v>
      </c>
      <c r="O1050" s="6" t="s">
        <v>23</v>
      </c>
    </row>
    <row r="1051" spans="1:15" x14ac:dyDescent="0.25">
      <c r="A1051" s="6" t="s">
        <v>10262</v>
      </c>
      <c r="B1051" s="6" t="s">
        <v>10261</v>
      </c>
      <c r="C1051" s="6" t="s">
        <v>31</v>
      </c>
      <c r="E1051" s="6" t="s">
        <v>10260</v>
      </c>
      <c r="F1051" s="6" t="s">
        <v>10259</v>
      </c>
      <c r="G1051" s="6" t="s">
        <v>16</v>
      </c>
      <c r="H1051" s="6" t="s">
        <v>28</v>
      </c>
      <c r="I1051" s="6" t="s">
        <v>27</v>
      </c>
      <c r="J1051" s="6" t="s">
        <v>2101</v>
      </c>
      <c r="K1051" s="7">
        <v>33.882503</v>
      </c>
      <c r="L1051" s="7">
        <v>-96.898765999999995</v>
      </c>
      <c r="M1051" s="6" t="s">
        <v>2906</v>
      </c>
      <c r="N1051" s="6" t="s">
        <v>43</v>
      </c>
      <c r="O1051" s="6" t="s">
        <v>42</v>
      </c>
    </row>
    <row r="1052" spans="1:15" x14ac:dyDescent="0.25">
      <c r="A1052" s="6" t="s">
        <v>6063</v>
      </c>
      <c r="B1052" s="6" t="s">
        <v>6062</v>
      </c>
      <c r="C1052" s="6" t="s">
        <v>31</v>
      </c>
      <c r="E1052" s="6" t="s">
        <v>6061</v>
      </c>
      <c r="F1052" s="6" t="s">
        <v>6060</v>
      </c>
      <c r="G1052" s="6" t="s">
        <v>16</v>
      </c>
      <c r="H1052" s="6" t="s">
        <v>15</v>
      </c>
      <c r="I1052" s="6" t="s">
        <v>14</v>
      </c>
      <c r="J1052" s="6" t="s">
        <v>132</v>
      </c>
      <c r="K1052" s="7">
        <v>29.570345</v>
      </c>
      <c r="L1052" s="7">
        <v>-95.552622</v>
      </c>
      <c r="M1052" s="6" t="s">
        <v>616</v>
      </c>
      <c r="N1052" s="6" t="s">
        <v>23</v>
      </c>
      <c r="O1052" s="6" t="s">
        <v>23</v>
      </c>
    </row>
    <row r="1053" spans="1:15" x14ac:dyDescent="0.25">
      <c r="A1053" s="6" t="s">
        <v>8404</v>
      </c>
      <c r="B1053" s="6" t="s">
        <v>8403</v>
      </c>
      <c r="C1053" s="6" t="s">
        <v>31</v>
      </c>
      <c r="E1053" s="6" t="s">
        <v>8402</v>
      </c>
      <c r="F1053" s="6" t="s">
        <v>8401</v>
      </c>
      <c r="G1053" s="6" t="s">
        <v>16</v>
      </c>
      <c r="H1053" s="6" t="s">
        <v>28</v>
      </c>
      <c r="I1053" s="6" t="s">
        <v>60</v>
      </c>
      <c r="J1053" s="6" t="s">
        <v>6982</v>
      </c>
      <c r="K1053" s="7">
        <v>33.424188000000001</v>
      </c>
      <c r="L1053" s="7">
        <v>-99.823209000000006</v>
      </c>
      <c r="M1053" s="6" t="s">
        <v>6981</v>
      </c>
      <c r="N1053" s="6" t="s">
        <v>23</v>
      </c>
      <c r="O1053" s="6" t="s">
        <v>95</v>
      </c>
    </row>
    <row r="1054" spans="1:15" x14ac:dyDescent="0.25">
      <c r="A1054" s="6" t="s">
        <v>8962</v>
      </c>
      <c r="B1054" s="6" t="s">
        <v>8961</v>
      </c>
      <c r="C1054" s="6" t="s">
        <v>31</v>
      </c>
      <c r="E1054" s="6" t="s">
        <v>8960</v>
      </c>
      <c r="F1054" s="6" t="s">
        <v>4738</v>
      </c>
      <c r="G1054" s="6" t="s">
        <v>16</v>
      </c>
      <c r="H1054" s="6" t="s">
        <v>28</v>
      </c>
      <c r="I1054" s="6" t="s">
        <v>27</v>
      </c>
      <c r="J1054" s="6" t="s">
        <v>853</v>
      </c>
      <c r="K1054" s="7">
        <v>29.659126000000001</v>
      </c>
      <c r="L1054" s="7">
        <v>-94.896946999999997</v>
      </c>
      <c r="M1054" s="6" t="s">
        <v>894</v>
      </c>
      <c r="N1054" s="6" t="s">
        <v>120</v>
      </c>
      <c r="O1054" s="6" t="s">
        <v>23</v>
      </c>
    </row>
    <row r="1055" spans="1:15" x14ac:dyDescent="0.25">
      <c r="A1055" s="6" t="s">
        <v>8947</v>
      </c>
      <c r="B1055" s="6" t="s">
        <v>8946</v>
      </c>
      <c r="C1055" s="6" t="s">
        <v>31</v>
      </c>
      <c r="E1055" s="6" t="s">
        <v>8945</v>
      </c>
      <c r="F1055" s="6" t="s">
        <v>8944</v>
      </c>
      <c r="G1055" s="6" t="s">
        <v>16</v>
      </c>
      <c r="H1055" s="6" t="s">
        <v>28</v>
      </c>
      <c r="I1055" s="6" t="s">
        <v>27</v>
      </c>
      <c r="J1055" s="6" t="s">
        <v>35</v>
      </c>
      <c r="K1055" s="7">
        <v>30.107752999999999</v>
      </c>
      <c r="L1055" s="7">
        <v>-95.487779000000003</v>
      </c>
      <c r="M1055" s="6" t="s">
        <v>731</v>
      </c>
      <c r="N1055" s="6" t="s">
        <v>24</v>
      </c>
      <c r="O1055" s="6" t="s">
        <v>23</v>
      </c>
    </row>
    <row r="1056" spans="1:15" x14ac:dyDescent="0.25">
      <c r="A1056" s="6" t="s">
        <v>8486</v>
      </c>
      <c r="B1056" s="6" t="s">
        <v>8484</v>
      </c>
      <c r="C1056" s="6" t="s">
        <v>31</v>
      </c>
      <c r="E1056" s="6" t="s">
        <v>8483</v>
      </c>
      <c r="F1056" s="6" t="s">
        <v>8482</v>
      </c>
      <c r="G1056" s="6" t="s">
        <v>16</v>
      </c>
      <c r="H1056" s="6" t="s">
        <v>15</v>
      </c>
      <c r="I1056" s="6" t="s">
        <v>46</v>
      </c>
      <c r="J1056" s="6" t="s">
        <v>35</v>
      </c>
      <c r="K1056" s="7">
        <v>29.917881779999998</v>
      </c>
      <c r="L1056" s="7">
        <v>-95.653611999999995</v>
      </c>
      <c r="M1056" s="6" t="s">
        <v>131</v>
      </c>
      <c r="N1056" s="6" t="s">
        <v>24</v>
      </c>
      <c r="O1056" s="6" t="s">
        <v>23</v>
      </c>
    </row>
    <row r="1057" spans="1:15" x14ac:dyDescent="0.25">
      <c r="A1057" s="6" t="s">
        <v>8485</v>
      </c>
      <c r="B1057" s="6" t="s">
        <v>8484</v>
      </c>
      <c r="C1057" s="6" t="s">
        <v>19</v>
      </c>
      <c r="E1057" s="6" t="s">
        <v>8483</v>
      </c>
      <c r="F1057" s="6" t="s">
        <v>8482</v>
      </c>
      <c r="G1057" s="6" t="s">
        <v>16</v>
      </c>
      <c r="H1057" s="6" t="s">
        <v>15</v>
      </c>
      <c r="I1057" s="6" t="s">
        <v>46</v>
      </c>
      <c r="J1057" s="6" t="s">
        <v>35</v>
      </c>
      <c r="K1057" s="7">
        <v>29.91788785</v>
      </c>
      <c r="L1057" s="7">
        <v>-95.653695380000002</v>
      </c>
      <c r="M1057" s="6" t="s">
        <v>131</v>
      </c>
      <c r="N1057" s="6" t="s">
        <v>24</v>
      </c>
      <c r="O1057" s="6" t="s">
        <v>23</v>
      </c>
    </row>
    <row r="1058" spans="1:15" x14ac:dyDescent="0.25">
      <c r="A1058" s="6" t="s">
        <v>7530</v>
      </c>
      <c r="B1058" s="6" t="s">
        <v>7529</v>
      </c>
      <c r="C1058" s="6" t="s">
        <v>31</v>
      </c>
      <c r="E1058" s="6" t="s">
        <v>7528</v>
      </c>
      <c r="F1058" s="6" t="s">
        <v>7524</v>
      </c>
      <c r="G1058" s="6" t="s">
        <v>16</v>
      </c>
      <c r="H1058" s="6" t="s">
        <v>28</v>
      </c>
      <c r="I1058" s="6" t="s">
        <v>73</v>
      </c>
      <c r="J1058" s="6" t="s">
        <v>4338</v>
      </c>
      <c r="K1058" s="7">
        <v>33.792206</v>
      </c>
      <c r="L1058" s="7">
        <v>-97.739259000000004</v>
      </c>
      <c r="M1058" s="6" t="s">
        <v>5432</v>
      </c>
      <c r="N1058" s="6" t="s">
        <v>43</v>
      </c>
      <c r="O1058" s="6" t="s">
        <v>95</v>
      </c>
    </row>
    <row r="1059" spans="1:15" x14ac:dyDescent="0.25">
      <c r="A1059" s="6" t="s">
        <v>7527</v>
      </c>
      <c r="B1059" s="6" t="s">
        <v>7526</v>
      </c>
      <c r="C1059" s="6" t="s">
        <v>31</v>
      </c>
      <c r="E1059" s="6" t="s">
        <v>7525</v>
      </c>
      <c r="F1059" s="6" t="s">
        <v>7524</v>
      </c>
      <c r="G1059" s="6" t="s">
        <v>16</v>
      </c>
      <c r="H1059" s="6" t="s">
        <v>28</v>
      </c>
      <c r="I1059" s="6" t="s">
        <v>73</v>
      </c>
      <c r="J1059" s="6" t="s">
        <v>4338</v>
      </c>
      <c r="K1059" s="7">
        <v>33.774970000000003</v>
      </c>
      <c r="L1059" s="7">
        <v>-97.722138000000001</v>
      </c>
      <c r="M1059" s="6" t="s">
        <v>5432</v>
      </c>
      <c r="N1059" s="6" t="s">
        <v>43</v>
      </c>
      <c r="O1059" s="6" t="s">
        <v>95</v>
      </c>
    </row>
    <row r="1060" spans="1:15" x14ac:dyDescent="0.25">
      <c r="A1060" s="6" t="s">
        <v>7445</v>
      </c>
      <c r="B1060" s="6" t="s">
        <v>7444</v>
      </c>
      <c r="C1060" s="6" t="s">
        <v>31</v>
      </c>
      <c r="E1060" s="6" t="s">
        <v>7443</v>
      </c>
      <c r="F1060" s="6" t="s">
        <v>269</v>
      </c>
      <c r="G1060" s="6" t="s">
        <v>16</v>
      </c>
      <c r="H1060" s="6" t="s">
        <v>15</v>
      </c>
      <c r="I1060" s="6" t="s">
        <v>14</v>
      </c>
      <c r="J1060" s="6" t="s">
        <v>312</v>
      </c>
      <c r="K1060" s="7">
        <v>32.401941059999999</v>
      </c>
      <c r="L1060" s="7">
        <v>-97.725601819999994</v>
      </c>
      <c r="M1060" s="6" t="s">
        <v>311</v>
      </c>
      <c r="N1060" s="6" t="s">
        <v>23</v>
      </c>
      <c r="O1060" s="6" t="s">
        <v>42</v>
      </c>
    </row>
    <row r="1061" spans="1:15" x14ac:dyDescent="0.25">
      <c r="A1061" s="6" t="s">
        <v>4159</v>
      </c>
      <c r="B1061" s="6" t="s">
        <v>4158</v>
      </c>
      <c r="C1061" s="6" t="s">
        <v>31</v>
      </c>
      <c r="E1061" s="6" t="s">
        <v>4157</v>
      </c>
      <c r="F1061" s="6" t="s">
        <v>4156</v>
      </c>
      <c r="G1061" s="6" t="s">
        <v>16</v>
      </c>
      <c r="H1061" s="6" t="s">
        <v>28</v>
      </c>
      <c r="I1061" s="6" t="s">
        <v>36</v>
      </c>
      <c r="J1061" s="6" t="s">
        <v>253</v>
      </c>
      <c r="K1061" s="7">
        <v>30.878859219999999</v>
      </c>
      <c r="L1061" s="7">
        <v>-97.394624530000002</v>
      </c>
      <c r="M1061" s="6" t="s">
        <v>252</v>
      </c>
      <c r="N1061" s="6" t="s">
        <v>23</v>
      </c>
      <c r="O1061" s="6" t="s">
        <v>120</v>
      </c>
    </row>
    <row r="1062" spans="1:15" x14ac:dyDescent="0.25">
      <c r="A1062" s="6" t="s">
        <v>331</v>
      </c>
      <c r="B1062" s="6" t="s">
        <v>330</v>
      </c>
      <c r="C1062" s="6" t="s">
        <v>31</v>
      </c>
      <c r="E1062" s="6" t="s">
        <v>329</v>
      </c>
      <c r="F1062" s="6" t="s">
        <v>328</v>
      </c>
      <c r="G1062" s="6" t="s">
        <v>16</v>
      </c>
      <c r="H1062" s="6" t="s">
        <v>15</v>
      </c>
      <c r="I1062" s="6" t="s">
        <v>27</v>
      </c>
      <c r="J1062" s="6" t="s">
        <v>35</v>
      </c>
      <c r="K1062" s="7">
        <v>29.830590000000001</v>
      </c>
      <c r="L1062" s="7">
        <v>-95.655713000000006</v>
      </c>
      <c r="M1062" s="6" t="s">
        <v>131</v>
      </c>
      <c r="N1062" s="6" t="s">
        <v>24</v>
      </c>
      <c r="O1062" s="6" t="s">
        <v>23</v>
      </c>
    </row>
    <row r="1063" spans="1:15" x14ac:dyDescent="0.25">
      <c r="A1063" s="6" t="s">
        <v>4713</v>
      </c>
      <c r="B1063" s="6" t="s">
        <v>4712</v>
      </c>
      <c r="C1063" s="6" t="s">
        <v>31</v>
      </c>
      <c r="E1063" s="6" t="s">
        <v>4711</v>
      </c>
      <c r="F1063" s="6" t="s">
        <v>4710</v>
      </c>
      <c r="G1063" s="6" t="s">
        <v>16</v>
      </c>
      <c r="H1063" s="6" t="s">
        <v>15</v>
      </c>
      <c r="I1063" s="6" t="s">
        <v>36</v>
      </c>
      <c r="J1063" s="6" t="s">
        <v>35</v>
      </c>
      <c r="K1063" s="7">
        <v>30.01147667</v>
      </c>
      <c r="L1063" s="7">
        <v>-95.498728889999995</v>
      </c>
      <c r="M1063" s="6" t="s">
        <v>279</v>
      </c>
      <c r="N1063" s="6" t="s">
        <v>24</v>
      </c>
      <c r="O1063" s="6" t="s">
        <v>23</v>
      </c>
    </row>
    <row r="1064" spans="1:15" x14ac:dyDescent="0.25">
      <c r="A1064" s="6" t="s">
        <v>6176</v>
      </c>
      <c r="B1064" s="6" t="s">
        <v>6175</v>
      </c>
      <c r="C1064" s="6" t="s">
        <v>31</v>
      </c>
      <c r="E1064" s="6" t="s">
        <v>6174</v>
      </c>
      <c r="F1064" s="6" t="s">
        <v>6173</v>
      </c>
      <c r="G1064" s="6" t="s">
        <v>16</v>
      </c>
      <c r="H1064" s="6" t="s">
        <v>15</v>
      </c>
      <c r="I1064" s="6" t="s">
        <v>36</v>
      </c>
      <c r="J1064" s="6" t="s">
        <v>35</v>
      </c>
      <c r="K1064" s="7">
        <v>30.071313020000002</v>
      </c>
      <c r="L1064" s="7">
        <v>-95.471463839999998</v>
      </c>
      <c r="M1064" s="6" t="s">
        <v>279</v>
      </c>
      <c r="N1064" s="6" t="s">
        <v>24</v>
      </c>
      <c r="O1064" s="6" t="s">
        <v>23</v>
      </c>
    </row>
    <row r="1065" spans="1:15" x14ac:dyDescent="0.25">
      <c r="A1065" s="6" t="s">
        <v>6067</v>
      </c>
      <c r="B1065" s="6" t="s">
        <v>6066</v>
      </c>
      <c r="C1065" s="6" t="s">
        <v>31</v>
      </c>
      <c r="E1065" s="6" t="s">
        <v>6065</v>
      </c>
      <c r="F1065" s="6" t="s">
        <v>6064</v>
      </c>
      <c r="G1065" s="6" t="s">
        <v>16</v>
      </c>
      <c r="H1065" s="6" t="s">
        <v>28</v>
      </c>
      <c r="I1065" s="6" t="s">
        <v>27</v>
      </c>
      <c r="J1065" s="6" t="s">
        <v>35</v>
      </c>
      <c r="K1065" s="7">
        <v>30.033218999999999</v>
      </c>
      <c r="L1065" s="7">
        <v>-95.395863000000006</v>
      </c>
      <c r="M1065" s="6" t="s">
        <v>279</v>
      </c>
      <c r="N1065" s="6" t="s">
        <v>24</v>
      </c>
      <c r="O1065" s="6" t="s">
        <v>23</v>
      </c>
    </row>
    <row r="1066" spans="1:15" x14ac:dyDescent="0.25">
      <c r="A1066" s="6" t="s">
        <v>4545</v>
      </c>
      <c r="B1066" s="6" t="s">
        <v>4544</v>
      </c>
      <c r="C1066" s="6" t="s">
        <v>31</v>
      </c>
      <c r="E1066" s="6" t="s">
        <v>4543</v>
      </c>
      <c r="F1066" s="6" t="s">
        <v>4542</v>
      </c>
      <c r="G1066" s="6" t="s">
        <v>16</v>
      </c>
      <c r="H1066" s="6" t="s">
        <v>15</v>
      </c>
      <c r="I1066" s="6" t="s">
        <v>36</v>
      </c>
      <c r="J1066" s="6" t="s">
        <v>35</v>
      </c>
      <c r="K1066" s="7">
        <v>30.04002388</v>
      </c>
      <c r="L1066" s="7">
        <v>-95.387593929999994</v>
      </c>
      <c r="M1066" s="6" t="s">
        <v>279</v>
      </c>
      <c r="N1066" s="6" t="s">
        <v>24</v>
      </c>
      <c r="O1066" s="6" t="s">
        <v>23</v>
      </c>
    </row>
    <row r="1067" spans="1:15" x14ac:dyDescent="0.25">
      <c r="A1067" s="6" t="s">
        <v>4737</v>
      </c>
      <c r="B1067" s="6" t="s">
        <v>4736</v>
      </c>
      <c r="C1067" s="6" t="s">
        <v>31</v>
      </c>
      <c r="E1067" s="6" t="s">
        <v>4735</v>
      </c>
      <c r="F1067" s="6" t="s">
        <v>4734</v>
      </c>
      <c r="G1067" s="6" t="s">
        <v>16</v>
      </c>
      <c r="H1067" s="6" t="s">
        <v>28</v>
      </c>
      <c r="I1067" s="6" t="s">
        <v>60</v>
      </c>
      <c r="J1067" s="6" t="s">
        <v>35</v>
      </c>
      <c r="K1067" s="7">
        <v>29.985703000000001</v>
      </c>
      <c r="L1067" s="7">
        <v>-95.56147</v>
      </c>
      <c r="M1067" s="6" t="s">
        <v>279</v>
      </c>
      <c r="N1067" s="6" t="s">
        <v>24</v>
      </c>
      <c r="O1067" s="6" t="s">
        <v>23</v>
      </c>
    </row>
    <row r="1068" spans="1:15" x14ac:dyDescent="0.25">
      <c r="A1068" s="6" t="s">
        <v>3608</v>
      </c>
      <c r="B1068" s="6" t="s">
        <v>3607</v>
      </c>
      <c r="C1068" s="6" t="s">
        <v>31</v>
      </c>
      <c r="E1068" s="6" t="s">
        <v>3606</v>
      </c>
      <c r="F1068" s="6" t="s">
        <v>3605</v>
      </c>
      <c r="G1068" s="6" t="s">
        <v>16</v>
      </c>
      <c r="H1068" s="6" t="s">
        <v>15</v>
      </c>
      <c r="I1068" s="6" t="s">
        <v>36</v>
      </c>
      <c r="J1068" s="6" t="s">
        <v>35</v>
      </c>
      <c r="K1068" s="7">
        <v>30.000398449999999</v>
      </c>
      <c r="L1068" s="7">
        <v>-95.526951490000002</v>
      </c>
      <c r="M1068" s="6" t="s">
        <v>279</v>
      </c>
      <c r="N1068" s="6" t="s">
        <v>24</v>
      </c>
      <c r="O1068" s="6" t="s">
        <v>23</v>
      </c>
    </row>
    <row r="1069" spans="1:15" x14ac:dyDescent="0.25">
      <c r="A1069" s="6" t="s">
        <v>4549</v>
      </c>
      <c r="B1069" s="6" t="s">
        <v>4548</v>
      </c>
      <c r="C1069" s="6" t="s">
        <v>31</v>
      </c>
      <c r="E1069" s="6" t="s">
        <v>4547</v>
      </c>
      <c r="F1069" s="6" t="s">
        <v>4546</v>
      </c>
      <c r="G1069" s="6" t="s">
        <v>16</v>
      </c>
      <c r="H1069" s="6" t="s">
        <v>15</v>
      </c>
      <c r="I1069" s="6" t="s">
        <v>36</v>
      </c>
      <c r="J1069" s="6" t="s">
        <v>35</v>
      </c>
      <c r="K1069" s="7">
        <v>30.034718999999999</v>
      </c>
      <c r="L1069" s="7">
        <v>-95.361718999999994</v>
      </c>
      <c r="M1069" s="6" t="s">
        <v>279</v>
      </c>
      <c r="N1069" s="6" t="s">
        <v>24</v>
      </c>
      <c r="O1069" s="6" t="s">
        <v>23</v>
      </c>
    </row>
    <row r="1070" spans="1:15" x14ac:dyDescent="0.25">
      <c r="A1070" s="6" t="s">
        <v>6269</v>
      </c>
      <c r="B1070" s="6" t="s">
        <v>6268</v>
      </c>
      <c r="C1070" s="6" t="s">
        <v>31</v>
      </c>
      <c r="E1070" s="6" t="s">
        <v>6267</v>
      </c>
      <c r="F1070" s="6" t="s">
        <v>6266</v>
      </c>
      <c r="G1070" s="6" t="s">
        <v>16</v>
      </c>
      <c r="H1070" s="6" t="s">
        <v>28</v>
      </c>
      <c r="I1070" s="6" t="s">
        <v>1200</v>
      </c>
      <c r="J1070" s="6" t="s">
        <v>35</v>
      </c>
      <c r="K1070" s="7">
        <v>30.037655999999998</v>
      </c>
      <c r="L1070" s="7">
        <v>-95.416642999999993</v>
      </c>
      <c r="M1070" s="6" t="s">
        <v>279</v>
      </c>
      <c r="N1070" s="6" t="s">
        <v>24</v>
      </c>
      <c r="O1070" s="6" t="s">
        <v>23</v>
      </c>
    </row>
    <row r="1071" spans="1:15" x14ac:dyDescent="0.25">
      <c r="A1071" s="6" t="s">
        <v>944</v>
      </c>
      <c r="B1071" s="6" t="s">
        <v>943</v>
      </c>
      <c r="C1071" s="6" t="s">
        <v>31</v>
      </c>
      <c r="E1071" s="6" t="s">
        <v>942</v>
      </c>
      <c r="F1071" s="6" t="s">
        <v>895</v>
      </c>
      <c r="G1071" s="6" t="s">
        <v>16</v>
      </c>
      <c r="H1071" s="6" t="s">
        <v>28</v>
      </c>
      <c r="I1071" s="6" t="s">
        <v>14</v>
      </c>
      <c r="J1071" s="6" t="s">
        <v>35</v>
      </c>
      <c r="K1071" s="7">
        <v>30.037744400000001</v>
      </c>
      <c r="L1071" s="7">
        <v>-95.451644270000003</v>
      </c>
      <c r="M1071" s="6" t="s">
        <v>279</v>
      </c>
      <c r="N1071" s="6" t="s">
        <v>24</v>
      </c>
      <c r="O1071" s="6" t="s">
        <v>23</v>
      </c>
    </row>
    <row r="1072" spans="1:15" x14ac:dyDescent="0.25">
      <c r="A1072" s="6" t="s">
        <v>5368</v>
      </c>
      <c r="B1072" s="6" t="s">
        <v>5367</v>
      </c>
      <c r="C1072" s="6" t="s">
        <v>31</v>
      </c>
      <c r="E1072" s="6" t="s">
        <v>5366</v>
      </c>
      <c r="F1072" s="6" t="s">
        <v>5365</v>
      </c>
      <c r="G1072" s="6" t="s">
        <v>16</v>
      </c>
      <c r="H1072" s="6" t="s">
        <v>15</v>
      </c>
      <c r="I1072" s="6" t="s">
        <v>36</v>
      </c>
      <c r="J1072" s="6" t="s">
        <v>35</v>
      </c>
      <c r="K1072" s="7">
        <v>30.028993360000001</v>
      </c>
      <c r="L1072" s="7">
        <v>-95.466624960000004</v>
      </c>
      <c r="M1072" s="6" t="s">
        <v>279</v>
      </c>
      <c r="N1072" s="6" t="s">
        <v>24</v>
      </c>
      <c r="O1072" s="6" t="s">
        <v>23</v>
      </c>
    </row>
    <row r="1073" spans="1:15" x14ac:dyDescent="0.25">
      <c r="A1073" s="6" t="s">
        <v>4782</v>
      </c>
      <c r="B1073" s="6" t="s">
        <v>4781</v>
      </c>
      <c r="C1073" s="6" t="s">
        <v>31</v>
      </c>
      <c r="E1073" s="6" t="s">
        <v>4780</v>
      </c>
      <c r="F1073" s="6" t="s">
        <v>4779</v>
      </c>
      <c r="G1073" s="6" t="s">
        <v>16</v>
      </c>
      <c r="H1073" s="6" t="s">
        <v>28</v>
      </c>
      <c r="I1073" s="6" t="s">
        <v>1200</v>
      </c>
      <c r="J1073" s="6" t="s">
        <v>35</v>
      </c>
      <c r="K1073" s="7">
        <v>30.009530000000002</v>
      </c>
      <c r="L1073" s="7">
        <v>-95.505973999999995</v>
      </c>
      <c r="M1073" s="6" t="s">
        <v>279</v>
      </c>
      <c r="N1073" s="6" t="s">
        <v>24</v>
      </c>
      <c r="O1073" s="6" t="s">
        <v>23</v>
      </c>
    </row>
    <row r="1074" spans="1:15" x14ac:dyDescent="0.25">
      <c r="A1074" s="6" t="s">
        <v>6311</v>
      </c>
      <c r="B1074" s="6" t="s">
        <v>6310</v>
      </c>
      <c r="C1074" s="6" t="s">
        <v>31</v>
      </c>
      <c r="E1074" s="6" t="s">
        <v>6309</v>
      </c>
      <c r="F1074" s="6" t="s">
        <v>6308</v>
      </c>
      <c r="G1074" s="6" t="s">
        <v>16</v>
      </c>
      <c r="H1074" s="6" t="s">
        <v>15</v>
      </c>
      <c r="I1074" s="6" t="s">
        <v>36</v>
      </c>
      <c r="J1074" s="6" t="s">
        <v>35</v>
      </c>
      <c r="K1074" s="7">
        <v>30.002331699999999</v>
      </c>
      <c r="L1074" s="7">
        <v>-95.523941629999996</v>
      </c>
      <c r="M1074" s="6" t="s">
        <v>279</v>
      </c>
      <c r="N1074" s="6" t="s">
        <v>24</v>
      </c>
      <c r="O1074" s="6" t="s">
        <v>23</v>
      </c>
    </row>
    <row r="1075" spans="1:15" x14ac:dyDescent="0.25">
      <c r="A1075" s="6" t="s">
        <v>5364</v>
      </c>
      <c r="B1075" s="6" t="s">
        <v>5363</v>
      </c>
      <c r="C1075" s="6" t="s">
        <v>31</v>
      </c>
      <c r="E1075" s="6" t="s">
        <v>5362</v>
      </c>
      <c r="F1075" s="6" t="s">
        <v>5361</v>
      </c>
      <c r="G1075" s="6" t="s">
        <v>16</v>
      </c>
      <c r="H1075" s="6" t="s">
        <v>15</v>
      </c>
      <c r="I1075" s="6" t="s">
        <v>36</v>
      </c>
      <c r="J1075" s="6" t="s">
        <v>35</v>
      </c>
      <c r="K1075" s="7">
        <v>29.987781999999999</v>
      </c>
      <c r="L1075" s="7">
        <v>-95.578513999999998</v>
      </c>
      <c r="M1075" s="6" t="s">
        <v>279</v>
      </c>
      <c r="N1075" s="6" t="s">
        <v>24</v>
      </c>
      <c r="O1075" s="6" t="s">
        <v>23</v>
      </c>
    </row>
    <row r="1076" spans="1:15" x14ac:dyDescent="0.25">
      <c r="A1076" s="6" t="s">
        <v>6307</v>
      </c>
      <c r="B1076" s="6" t="s">
        <v>6306</v>
      </c>
      <c r="C1076" s="6" t="s">
        <v>31</v>
      </c>
      <c r="E1076" s="6" t="s">
        <v>6305</v>
      </c>
      <c r="F1076" s="6" t="s">
        <v>6304</v>
      </c>
      <c r="G1076" s="6" t="s">
        <v>16</v>
      </c>
      <c r="H1076" s="6" t="s">
        <v>15</v>
      </c>
      <c r="I1076" s="6" t="s">
        <v>36</v>
      </c>
      <c r="J1076" s="6" t="s">
        <v>35</v>
      </c>
      <c r="K1076" s="7">
        <v>30.000891280000001</v>
      </c>
      <c r="L1076" s="7">
        <v>-95.570242730000004</v>
      </c>
      <c r="M1076" s="6" t="s">
        <v>279</v>
      </c>
      <c r="N1076" s="6" t="s">
        <v>24</v>
      </c>
      <c r="O1076" s="6" t="s">
        <v>23</v>
      </c>
    </row>
    <row r="1077" spans="1:15" x14ac:dyDescent="0.25">
      <c r="A1077" s="6" t="s">
        <v>5407</v>
      </c>
      <c r="B1077" s="6" t="s">
        <v>5406</v>
      </c>
      <c r="C1077" s="6" t="s">
        <v>31</v>
      </c>
      <c r="E1077" s="6" t="s">
        <v>5405</v>
      </c>
      <c r="F1077" s="6" t="s">
        <v>5404</v>
      </c>
      <c r="G1077" s="6" t="s">
        <v>16</v>
      </c>
      <c r="H1077" s="6" t="s">
        <v>28</v>
      </c>
      <c r="I1077" s="6" t="s">
        <v>27</v>
      </c>
      <c r="J1077" s="6" t="s">
        <v>35</v>
      </c>
      <c r="K1077" s="7">
        <v>29.962703000000001</v>
      </c>
      <c r="L1077" s="7">
        <v>-95.619478999999998</v>
      </c>
      <c r="M1077" s="6" t="s">
        <v>279</v>
      </c>
      <c r="N1077" s="6" t="s">
        <v>24</v>
      </c>
      <c r="O1077" s="6" t="s">
        <v>23</v>
      </c>
    </row>
    <row r="1078" spans="1:15" x14ac:dyDescent="0.25">
      <c r="A1078" s="6" t="s">
        <v>9964</v>
      </c>
      <c r="B1078" s="6" t="s">
        <v>5851</v>
      </c>
      <c r="C1078" s="6" t="s">
        <v>31</v>
      </c>
      <c r="E1078" s="6" t="s">
        <v>5850</v>
      </c>
      <c r="F1078" s="6" t="s">
        <v>553</v>
      </c>
      <c r="G1078" s="6" t="s">
        <v>16</v>
      </c>
      <c r="H1078" s="6" t="s">
        <v>15</v>
      </c>
      <c r="I1078" s="6" t="s">
        <v>46</v>
      </c>
      <c r="J1078" s="6" t="s">
        <v>3151</v>
      </c>
      <c r="K1078" s="7">
        <v>31.245003180000001</v>
      </c>
      <c r="L1078" s="7">
        <v>-93.965386690000003</v>
      </c>
      <c r="M1078" s="6" t="s">
        <v>644</v>
      </c>
      <c r="N1078" s="6" t="s">
        <v>52</v>
      </c>
      <c r="O1078" s="6" t="s">
        <v>24</v>
      </c>
    </row>
    <row r="1079" spans="1:15" x14ac:dyDescent="0.25">
      <c r="A1079" s="6" t="s">
        <v>9963</v>
      </c>
      <c r="B1079" s="6" t="s">
        <v>5851</v>
      </c>
      <c r="C1079" s="6" t="s">
        <v>19</v>
      </c>
      <c r="E1079" s="6" t="s">
        <v>5850</v>
      </c>
      <c r="F1079" s="6" t="s">
        <v>553</v>
      </c>
      <c r="G1079" s="6" t="s">
        <v>16</v>
      </c>
      <c r="H1079" s="6" t="s">
        <v>15</v>
      </c>
      <c r="I1079" s="6" t="s">
        <v>46</v>
      </c>
      <c r="J1079" s="6" t="s">
        <v>3151</v>
      </c>
      <c r="K1079" s="7">
        <v>31.248208980000001</v>
      </c>
      <c r="L1079" s="7">
        <v>-93.965730089999994</v>
      </c>
      <c r="M1079" s="6" t="s">
        <v>644</v>
      </c>
      <c r="N1079" s="6" t="s">
        <v>52</v>
      </c>
      <c r="O1079" s="6" t="s">
        <v>24</v>
      </c>
    </row>
    <row r="1080" spans="1:15" x14ac:dyDescent="0.25">
      <c r="A1080" s="6" t="s">
        <v>9962</v>
      </c>
      <c r="B1080" s="6" t="s">
        <v>5851</v>
      </c>
      <c r="C1080" s="6" t="s">
        <v>436</v>
      </c>
      <c r="E1080" s="6" t="s">
        <v>5850</v>
      </c>
      <c r="F1080" s="6" t="s">
        <v>553</v>
      </c>
      <c r="G1080" s="6" t="s">
        <v>16</v>
      </c>
      <c r="H1080" s="6" t="s">
        <v>15</v>
      </c>
      <c r="I1080" s="6" t="s">
        <v>46</v>
      </c>
      <c r="J1080" s="6" t="s">
        <v>3151</v>
      </c>
      <c r="K1080" s="7">
        <v>31.243521749999999</v>
      </c>
      <c r="L1080" s="7">
        <v>-93.971174689999998</v>
      </c>
      <c r="M1080" s="6" t="s">
        <v>644</v>
      </c>
      <c r="N1080" s="6" t="s">
        <v>52</v>
      </c>
      <c r="O1080" s="6" t="s">
        <v>24</v>
      </c>
    </row>
    <row r="1081" spans="1:15" x14ac:dyDescent="0.25">
      <c r="A1081" s="6" t="s">
        <v>5852</v>
      </c>
      <c r="B1081" s="6" t="s">
        <v>5851</v>
      </c>
      <c r="C1081" s="6" t="s">
        <v>433</v>
      </c>
      <c r="E1081" s="6" t="s">
        <v>5850</v>
      </c>
      <c r="F1081" s="6" t="s">
        <v>553</v>
      </c>
      <c r="G1081" s="6" t="s">
        <v>16</v>
      </c>
      <c r="H1081" s="6" t="s">
        <v>15</v>
      </c>
      <c r="I1081" s="6" t="s">
        <v>46</v>
      </c>
      <c r="J1081" s="6" t="s">
        <v>3151</v>
      </c>
      <c r="K1081" s="7">
        <v>31.249390819999999</v>
      </c>
      <c r="L1081" s="7">
        <v>-93.964741439999997</v>
      </c>
      <c r="M1081" s="6" t="s">
        <v>644</v>
      </c>
      <c r="N1081" s="6" t="s">
        <v>52</v>
      </c>
      <c r="O1081" s="6" t="s">
        <v>24</v>
      </c>
    </row>
    <row r="1082" spans="1:15" x14ac:dyDescent="0.25">
      <c r="A1082" s="6" t="s">
        <v>9320</v>
      </c>
      <c r="B1082" s="6" t="s">
        <v>9318</v>
      </c>
      <c r="C1082" s="6" t="s">
        <v>31</v>
      </c>
      <c r="E1082" s="6" t="s">
        <v>9317</v>
      </c>
      <c r="F1082" s="6" t="s">
        <v>9316</v>
      </c>
      <c r="G1082" s="6" t="s">
        <v>16</v>
      </c>
      <c r="H1082" s="6" t="s">
        <v>15</v>
      </c>
      <c r="I1082" s="6" t="s">
        <v>14</v>
      </c>
      <c r="J1082" s="6" t="s">
        <v>162</v>
      </c>
      <c r="K1082" s="7">
        <v>28.95579871</v>
      </c>
      <c r="L1082" s="7">
        <v>-95.33680794</v>
      </c>
      <c r="M1082" s="6" t="s">
        <v>244</v>
      </c>
      <c r="N1082" s="6" t="s">
        <v>23</v>
      </c>
      <c r="O1082" s="6" t="s">
        <v>23</v>
      </c>
    </row>
    <row r="1083" spans="1:15" x14ac:dyDescent="0.25">
      <c r="A1083" s="6" t="s">
        <v>9319</v>
      </c>
      <c r="B1083" s="6" t="s">
        <v>9318</v>
      </c>
      <c r="C1083" s="6" t="s">
        <v>19</v>
      </c>
      <c r="E1083" s="6" t="s">
        <v>9317</v>
      </c>
      <c r="F1083" s="6" t="s">
        <v>9316</v>
      </c>
      <c r="G1083" s="6" t="s">
        <v>16</v>
      </c>
      <c r="H1083" s="6" t="s">
        <v>430</v>
      </c>
      <c r="I1083" s="6" t="s">
        <v>14</v>
      </c>
      <c r="J1083" s="6" t="s">
        <v>162</v>
      </c>
      <c r="K1083" s="7">
        <v>28.95424118</v>
      </c>
      <c r="L1083" s="7">
        <v>-95.338590379999999</v>
      </c>
      <c r="M1083" s="6" t="s">
        <v>1606</v>
      </c>
      <c r="N1083" s="6" t="s">
        <v>160</v>
      </c>
      <c r="O1083" s="6" t="s">
        <v>23</v>
      </c>
    </row>
    <row r="1084" spans="1:15" x14ac:dyDescent="0.25">
      <c r="A1084" s="6" t="s">
        <v>5680</v>
      </c>
      <c r="B1084" s="6" t="s">
        <v>5679</v>
      </c>
      <c r="C1084" s="6" t="s">
        <v>31</v>
      </c>
      <c r="E1084" s="6" t="s">
        <v>5678</v>
      </c>
      <c r="F1084" s="6" t="s">
        <v>410</v>
      </c>
      <c r="G1084" s="6" t="s">
        <v>16</v>
      </c>
      <c r="H1084" s="6" t="s">
        <v>15</v>
      </c>
      <c r="I1084" s="6" t="s">
        <v>14</v>
      </c>
      <c r="J1084" s="6" t="s">
        <v>409</v>
      </c>
      <c r="K1084" s="7">
        <v>30.262653069999999</v>
      </c>
      <c r="L1084" s="7">
        <v>-97.658893750000004</v>
      </c>
      <c r="M1084" s="6" t="s">
        <v>408</v>
      </c>
      <c r="N1084" s="6" t="s">
        <v>10</v>
      </c>
      <c r="O1084" s="6" t="s">
        <v>160</v>
      </c>
    </row>
    <row r="1085" spans="1:15" x14ac:dyDescent="0.25">
      <c r="A1085" s="6" t="s">
        <v>9165</v>
      </c>
      <c r="B1085" s="6" t="s">
        <v>9164</v>
      </c>
      <c r="C1085" s="6" t="s">
        <v>31</v>
      </c>
      <c r="E1085" s="6" t="s">
        <v>9163</v>
      </c>
      <c r="F1085" s="6" t="s">
        <v>9162</v>
      </c>
      <c r="G1085" s="6" t="s">
        <v>16</v>
      </c>
      <c r="H1085" s="6" t="s">
        <v>15</v>
      </c>
      <c r="I1085" s="6" t="s">
        <v>14</v>
      </c>
      <c r="J1085" s="6" t="s">
        <v>385</v>
      </c>
      <c r="K1085" s="7">
        <v>29.990290860000002</v>
      </c>
      <c r="L1085" s="7">
        <v>-94.134787099999997</v>
      </c>
      <c r="M1085" s="6" t="s">
        <v>2473</v>
      </c>
      <c r="N1085" s="6" t="s">
        <v>383</v>
      </c>
      <c r="O1085" s="6" t="s">
        <v>24</v>
      </c>
    </row>
    <row r="1086" spans="1:15" x14ac:dyDescent="0.25">
      <c r="A1086" s="6" t="s">
        <v>10727</v>
      </c>
      <c r="B1086" s="6" t="s">
        <v>10726</v>
      </c>
      <c r="C1086" s="6" t="s">
        <v>31</v>
      </c>
      <c r="E1086" s="6" t="s">
        <v>10725</v>
      </c>
      <c r="F1086" s="6" t="s">
        <v>10721</v>
      </c>
      <c r="G1086" s="6" t="s">
        <v>16</v>
      </c>
      <c r="H1086" s="6" t="s">
        <v>15</v>
      </c>
      <c r="I1086" s="6" t="s">
        <v>14</v>
      </c>
      <c r="J1086" s="6" t="s">
        <v>4377</v>
      </c>
      <c r="K1086" s="7">
        <v>28.390934000000001</v>
      </c>
      <c r="L1086" s="7">
        <v>-97.721019589999997</v>
      </c>
      <c r="M1086" s="6" t="s">
        <v>4376</v>
      </c>
      <c r="N1086" s="6" t="s">
        <v>137</v>
      </c>
      <c r="O1086" s="6" t="s">
        <v>10</v>
      </c>
    </row>
    <row r="1087" spans="1:15" x14ac:dyDescent="0.25">
      <c r="A1087" s="6" t="s">
        <v>12418</v>
      </c>
      <c r="B1087" s="6" t="s">
        <v>12417</v>
      </c>
      <c r="C1087" s="6" t="s">
        <v>31</v>
      </c>
      <c r="E1087" s="6" t="s">
        <v>12416</v>
      </c>
      <c r="F1087" s="6" t="s">
        <v>12412</v>
      </c>
      <c r="G1087" s="6" t="s">
        <v>16</v>
      </c>
      <c r="H1087" s="6" t="s">
        <v>15</v>
      </c>
      <c r="I1087" s="6" t="s">
        <v>14</v>
      </c>
      <c r="J1087" s="6" t="s">
        <v>3250</v>
      </c>
      <c r="K1087" s="7">
        <v>32.25619648</v>
      </c>
      <c r="L1087" s="7">
        <v>-101.42702491999999</v>
      </c>
      <c r="M1087" s="6" t="s">
        <v>1801</v>
      </c>
      <c r="N1087" s="6" t="s">
        <v>10</v>
      </c>
      <c r="O1087" s="6" t="s">
        <v>383</v>
      </c>
    </row>
    <row r="1088" spans="1:15" x14ac:dyDescent="0.25">
      <c r="A1088" s="6" t="s">
        <v>4439</v>
      </c>
      <c r="B1088" s="6" t="s">
        <v>4438</v>
      </c>
      <c r="C1088" s="6" t="s">
        <v>31</v>
      </c>
      <c r="E1088" s="6" t="s">
        <v>4437</v>
      </c>
      <c r="F1088" s="6" t="s">
        <v>4436</v>
      </c>
      <c r="G1088" s="6" t="s">
        <v>16</v>
      </c>
      <c r="H1088" s="6" t="s">
        <v>15</v>
      </c>
      <c r="I1088" s="6" t="s">
        <v>799</v>
      </c>
      <c r="J1088" s="6" t="s">
        <v>692</v>
      </c>
      <c r="K1088" s="7">
        <v>35.668944000000003</v>
      </c>
      <c r="L1088" s="7">
        <v>-101.405603</v>
      </c>
      <c r="M1088" s="6" t="s">
        <v>691</v>
      </c>
      <c r="N1088" s="6" t="s">
        <v>535</v>
      </c>
      <c r="O1088" s="6" t="s">
        <v>535</v>
      </c>
    </row>
    <row r="1089" spans="1:15" x14ac:dyDescent="0.25">
      <c r="A1089" s="6" t="s">
        <v>5629</v>
      </c>
      <c r="B1089" s="6" t="s">
        <v>5628</v>
      </c>
      <c r="C1089" s="6" t="s">
        <v>31</v>
      </c>
      <c r="E1089" s="6" t="s">
        <v>5627</v>
      </c>
      <c r="F1089" s="6" t="s">
        <v>5626</v>
      </c>
      <c r="G1089" s="6" t="s">
        <v>16</v>
      </c>
      <c r="H1089" s="6" t="s">
        <v>15</v>
      </c>
      <c r="I1089" s="6" t="s">
        <v>14</v>
      </c>
      <c r="J1089" s="6" t="s">
        <v>626</v>
      </c>
      <c r="K1089" s="7">
        <v>31.693706729999999</v>
      </c>
      <c r="L1089" s="7">
        <v>-98.948131439999997</v>
      </c>
      <c r="M1089" s="6" t="s">
        <v>5625</v>
      </c>
      <c r="N1089" s="6" t="s">
        <v>10</v>
      </c>
      <c r="O1089" s="6" t="s">
        <v>95</v>
      </c>
    </row>
    <row r="1090" spans="1:15" x14ac:dyDescent="0.25">
      <c r="A1090" s="6" t="s">
        <v>9672</v>
      </c>
      <c r="B1090" s="6" t="s">
        <v>9671</v>
      </c>
      <c r="C1090" s="6" t="s">
        <v>31</v>
      </c>
      <c r="E1090" s="6" t="s">
        <v>9670</v>
      </c>
      <c r="F1090" s="6" t="s">
        <v>5117</v>
      </c>
      <c r="G1090" s="6" t="s">
        <v>16</v>
      </c>
      <c r="H1090" s="6" t="s">
        <v>15</v>
      </c>
      <c r="I1090" s="6" t="s">
        <v>46</v>
      </c>
      <c r="J1090" s="6" t="s">
        <v>13</v>
      </c>
      <c r="K1090" s="7">
        <v>27.709895400000001</v>
      </c>
      <c r="L1090" s="7">
        <v>-97.337912700000004</v>
      </c>
      <c r="M1090" s="6" t="s">
        <v>1309</v>
      </c>
      <c r="N1090" s="6" t="s">
        <v>11</v>
      </c>
      <c r="O1090" s="6" t="s">
        <v>10</v>
      </c>
    </row>
    <row r="1091" spans="1:15" x14ac:dyDescent="0.25">
      <c r="A1091" s="6" t="s">
        <v>8465</v>
      </c>
      <c r="B1091" s="6" t="s">
        <v>5119</v>
      </c>
      <c r="C1091" s="6" t="s">
        <v>31</v>
      </c>
      <c r="E1091" s="6" t="s">
        <v>5118</v>
      </c>
      <c r="F1091" s="6" t="s">
        <v>5117</v>
      </c>
      <c r="G1091" s="6" t="s">
        <v>16</v>
      </c>
      <c r="H1091" s="6" t="s">
        <v>15</v>
      </c>
      <c r="I1091" s="6" t="s">
        <v>36</v>
      </c>
      <c r="J1091" s="6" t="s">
        <v>13</v>
      </c>
      <c r="K1091" s="7">
        <v>27.811575000000001</v>
      </c>
      <c r="L1091" s="7">
        <v>-97.409422000000006</v>
      </c>
      <c r="M1091" s="6" t="s">
        <v>12</v>
      </c>
      <c r="N1091" s="6" t="s">
        <v>11</v>
      </c>
      <c r="O1091" s="6" t="s">
        <v>10</v>
      </c>
    </row>
    <row r="1092" spans="1:15" x14ac:dyDescent="0.25">
      <c r="A1092" s="6" t="s">
        <v>5120</v>
      </c>
      <c r="B1092" s="6" t="s">
        <v>5119</v>
      </c>
      <c r="C1092" s="6" t="s">
        <v>19</v>
      </c>
      <c r="E1092" s="6" t="s">
        <v>5118</v>
      </c>
      <c r="F1092" s="6" t="s">
        <v>5117</v>
      </c>
      <c r="G1092" s="6" t="s">
        <v>16</v>
      </c>
      <c r="H1092" s="6" t="s">
        <v>15</v>
      </c>
      <c r="I1092" s="6" t="s">
        <v>36</v>
      </c>
      <c r="J1092" s="6" t="s">
        <v>13</v>
      </c>
      <c r="K1092" s="7">
        <v>27.806699940000001</v>
      </c>
      <c r="L1092" s="7">
        <v>-97.405442829999998</v>
      </c>
      <c r="M1092" s="6" t="s">
        <v>12</v>
      </c>
      <c r="N1092" s="6" t="s">
        <v>11</v>
      </c>
      <c r="O1092" s="6" t="s">
        <v>10</v>
      </c>
    </row>
    <row r="1093" spans="1:15" x14ac:dyDescent="0.25">
      <c r="A1093" s="6" t="s">
        <v>9675</v>
      </c>
      <c r="B1093" s="6" t="s">
        <v>9674</v>
      </c>
      <c r="C1093" s="6" t="s">
        <v>31</v>
      </c>
      <c r="E1093" s="6" t="s">
        <v>9673</v>
      </c>
      <c r="F1093" s="6" t="s">
        <v>5117</v>
      </c>
      <c r="G1093" s="6" t="s">
        <v>16</v>
      </c>
      <c r="H1093" s="6" t="s">
        <v>15</v>
      </c>
      <c r="I1093" s="6" t="s">
        <v>36</v>
      </c>
      <c r="J1093" s="6" t="s">
        <v>13</v>
      </c>
      <c r="K1093" s="7">
        <v>27.719656669999999</v>
      </c>
      <c r="L1093" s="7">
        <v>-97.460264809999998</v>
      </c>
      <c r="M1093" s="6" t="s">
        <v>1309</v>
      </c>
      <c r="N1093" s="6" t="s">
        <v>11</v>
      </c>
      <c r="O1093" s="6" t="s">
        <v>10</v>
      </c>
    </row>
    <row r="1094" spans="1:15" x14ac:dyDescent="0.25">
      <c r="A1094" s="6" t="s">
        <v>8464</v>
      </c>
      <c r="B1094" s="6" t="s">
        <v>8462</v>
      </c>
      <c r="C1094" s="6" t="s">
        <v>31</v>
      </c>
      <c r="E1094" s="6" t="s">
        <v>8461</v>
      </c>
      <c r="F1094" s="6" t="s">
        <v>5117</v>
      </c>
      <c r="G1094" s="6" t="s">
        <v>16</v>
      </c>
      <c r="H1094" s="6" t="s">
        <v>15</v>
      </c>
      <c r="I1094" s="6" t="s">
        <v>14</v>
      </c>
      <c r="J1094" s="6" t="s">
        <v>13</v>
      </c>
      <c r="K1094" s="7">
        <v>27.85916667</v>
      </c>
      <c r="L1094" s="7">
        <v>-97.565555560000007</v>
      </c>
      <c r="M1094" s="6" t="s">
        <v>8126</v>
      </c>
      <c r="N1094" s="6" t="s">
        <v>524</v>
      </c>
      <c r="O1094" s="6" t="s">
        <v>10</v>
      </c>
    </row>
    <row r="1095" spans="1:15" x14ac:dyDescent="0.25">
      <c r="A1095" s="6" t="s">
        <v>8463</v>
      </c>
      <c r="B1095" s="6" t="s">
        <v>8462</v>
      </c>
      <c r="C1095" s="6" t="s">
        <v>19</v>
      </c>
      <c r="E1095" s="6" t="s">
        <v>8461</v>
      </c>
      <c r="F1095" s="6" t="s">
        <v>5117</v>
      </c>
      <c r="G1095" s="6" t="s">
        <v>16</v>
      </c>
      <c r="H1095" s="6" t="s">
        <v>15</v>
      </c>
      <c r="I1095" s="6" t="s">
        <v>14</v>
      </c>
      <c r="J1095" s="6" t="s">
        <v>13</v>
      </c>
      <c r="K1095" s="7">
        <v>27.865277769999999</v>
      </c>
      <c r="L1095" s="7">
        <v>-97.559444490000004</v>
      </c>
      <c r="M1095" s="6" t="s">
        <v>4722</v>
      </c>
      <c r="N1095" s="6" t="s">
        <v>11</v>
      </c>
      <c r="O1095" s="6" t="s">
        <v>10</v>
      </c>
    </row>
    <row r="1096" spans="1:15" x14ac:dyDescent="0.25">
      <c r="A1096" s="6" t="s">
        <v>8460</v>
      </c>
      <c r="B1096" s="6" t="s">
        <v>8459</v>
      </c>
      <c r="C1096" s="6" t="s">
        <v>31</v>
      </c>
      <c r="E1096" s="6" t="s">
        <v>8458</v>
      </c>
      <c r="F1096" s="6" t="s">
        <v>5117</v>
      </c>
      <c r="G1096" s="6" t="s">
        <v>16</v>
      </c>
      <c r="H1096" s="6" t="s">
        <v>15</v>
      </c>
      <c r="I1096" s="6" t="s">
        <v>14</v>
      </c>
      <c r="J1096" s="6" t="s">
        <v>13</v>
      </c>
      <c r="K1096" s="7">
        <v>27.669520380000002</v>
      </c>
      <c r="L1096" s="7">
        <v>-97.269519040000006</v>
      </c>
      <c r="M1096" s="6" t="s">
        <v>1168</v>
      </c>
      <c r="N1096" s="6" t="s">
        <v>11</v>
      </c>
      <c r="O1096" s="6" t="s">
        <v>10</v>
      </c>
    </row>
    <row r="1097" spans="1:15" x14ac:dyDescent="0.25">
      <c r="A1097" s="6" t="s">
        <v>8457</v>
      </c>
      <c r="B1097" s="6" t="s">
        <v>8456</v>
      </c>
      <c r="C1097" s="6" t="s">
        <v>31</v>
      </c>
      <c r="E1097" s="6" t="s">
        <v>8455</v>
      </c>
      <c r="F1097" s="6" t="s">
        <v>5117</v>
      </c>
      <c r="G1097" s="6" t="s">
        <v>16</v>
      </c>
      <c r="H1097" s="6" t="s">
        <v>15</v>
      </c>
      <c r="I1097" s="6" t="s">
        <v>36</v>
      </c>
      <c r="J1097" s="6" t="s">
        <v>13</v>
      </c>
      <c r="K1097" s="7">
        <v>27.60316899</v>
      </c>
      <c r="L1097" s="7">
        <v>-97.250986109999999</v>
      </c>
      <c r="M1097" s="6" t="s">
        <v>89</v>
      </c>
      <c r="N1097" s="6" t="s">
        <v>11</v>
      </c>
      <c r="O1097" s="6" t="s">
        <v>10</v>
      </c>
    </row>
    <row r="1098" spans="1:15" x14ac:dyDescent="0.25">
      <c r="A1098" s="6" t="s">
        <v>11073</v>
      </c>
      <c r="B1098" s="6" t="s">
        <v>4463</v>
      </c>
      <c r="C1098" s="6" t="s">
        <v>31</v>
      </c>
      <c r="E1098" s="6" t="s">
        <v>4462</v>
      </c>
      <c r="F1098" s="6" t="s">
        <v>4461</v>
      </c>
      <c r="G1098" s="6" t="s">
        <v>16</v>
      </c>
      <c r="H1098" s="6" t="s">
        <v>15</v>
      </c>
      <c r="I1098" s="6" t="s">
        <v>14</v>
      </c>
      <c r="J1098" s="6" t="s">
        <v>2768</v>
      </c>
      <c r="K1098" s="7">
        <v>32.311987770000002</v>
      </c>
      <c r="L1098" s="7">
        <v>-97.395002539999993</v>
      </c>
      <c r="M1098" s="6" t="s">
        <v>3337</v>
      </c>
      <c r="N1098" s="6" t="s">
        <v>23</v>
      </c>
      <c r="O1098" s="6" t="s">
        <v>42</v>
      </c>
    </row>
    <row r="1099" spans="1:15" x14ac:dyDescent="0.25">
      <c r="A1099" s="6" t="s">
        <v>11072</v>
      </c>
      <c r="B1099" s="6" t="s">
        <v>4463</v>
      </c>
      <c r="C1099" s="6" t="s">
        <v>19</v>
      </c>
      <c r="E1099" s="6" t="s">
        <v>4462</v>
      </c>
      <c r="F1099" s="6" t="s">
        <v>4461</v>
      </c>
      <c r="G1099" s="6" t="s">
        <v>16</v>
      </c>
      <c r="H1099" s="6" t="s">
        <v>28</v>
      </c>
      <c r="I1099" s="6" t="s">
        <v>14</v>
      </c>
      <c r="J1099" s="6" t="s">
        <v>2768</v>
      </c>
      <c r="K1099" s="7">
        <v>32.386083139999997</v>
      </c>
      <c r="L1099" s="7">
        <v>-97.405344380000003</v>
      </c>
      <c r="M1099" s="6" t="s">
        <v>3337</v>
      </c>
      <c r="N1099" s="6" t="s">
        <v>23</v>
      </c>
      <c r="O1099" s="6" t="s">
        <v>42</v>
      </c>
    </row>
    <row r="1100" spans="1:15" x14ac:dyDescent="0.25">
      <c r="A1100" s="6" t="s">
        <v>4464</v>
      </c>
      <c r="B1100" s="6" t="s">
        <v>4463</v>
      </c>
      <c r="C1100" s="6" t="s">
        <v>436</v>
      </c>
      <c r="E1100" s="6" t="s">
        <v>4462</v>
      </c>
      <c r="F1100" s="6" t="s">
        <v>4461</v>
      </c>
      <c r="G1100" s="6" t="s">
        <v>16</v>
      </c>
      <c r="H1100" s="6" t="s">
        <v>15</v>
      </c>
      <c r="I1100" s="6" t="s">
        <v>14</v>
      </c>
      <c r="J1100" s="6" t="s">
        <v>2768</v>
      </c>
      <c r="K1100" s="7">
        <v>32.326078039999999</v>
      </c>
      <c r="L1100" s="7">
        <v>-97.447132179999997</v>
      </c>
      <c r="M1100" s="6" t="s">
        <v>4460</v>
      </c>
      <c r="N1100" s="6" t="s">
        <v>23</v>
      </c>
      <c r="O1100" s="6" t="s">
        <v>42</v>
      </c>
    </row>
    <row r="1101" spans="1:15" x14ac:dyDescent="0.25">
      <c r="A1101" s="6" t="s">
        <v>10599</v>
      </c>
      <c r="B1101" s="6" t="s">
        <v>10598</v>
      </c>
      <c r="C1101" s="6" t="s">
        <v>31</v>
      </c>
      <c r="E1101" s="6" t="s">
        <v>10597</v>
      </c>
      <c r="F1101" s="6" t="s">
        <v>8008</v>
      </c>
      <c r="G1101" s="6" t="s">
        <v>16</v>
      </c>
      <c r="H1101" s="6" t="s">
        <v>15</v>
      </c>
      <c r="I1101" s="6" t="s">
        <v>14</v>
      </c>
      <c r="J1101" s="6" t="s">
        <v>1861</v>
      </c>
      <c r="K1101" s="7">
        <v>30.61493604</v>
      </c>
      <c r="L1101" s="7">
        <v>-96.276483209999995</v>
      </c>
      <c r="M1101" s="6" t="s">
        <v>927</v>
      </c>
      <c r="N1101" s="6" t="s">
        <v>23</v>
      </c>
      <c r="O1101" s="6" t="s">
        <v>120</v>
      </c>
    </row>
    <row r="1102" spans="1:15" x14ac:dyDescent="0.25">
      <c r="A1102" s="6" t="s">
        <v>10460</v>
      </c>
      <c r="B1102" s="6" t="s">
        <v>10459</v>
      </c>
      <c r="C1102" s="6" t="s">
        <v>31</v>
      </c>
      <c r="E1102" s="6" t="s">
        <v>10458</v>
      </c>
      <c r="F1102" s="6" t="s">
        <v>1366</v>
      </c>
      <c r="G1102" s="6" t="s">
        <v>16</v>
      </c>
      <c r="H1102" s="6" t="s">
        <v>15</v>
      </c>
      <c r="I1102" s="6" t="s">
        <v>46</v>
      </c>
      <c r="J1102" s="6" t="s">
        <v>168</v>
      </c>
      <c r="K1102" s="7">
        <v>33.196319000000003</v>
      </c>
      <c r="L1102" s="7">
        <v>-97.072187999999997</v>
      </c>
      <c r="M1102" s="6" t="s">
        <v>167</v>
      </c>
      <c r="N1102" s="6" t="s">
        <v>102</v>
      </c>
      <c r="O1102" s="6" t="s">
        <v>42</v>
      </c>
    </row>
    <row r="1103" spans="1:15" x14ac:dyDescent="0.25">
      <c r="A1103" s="6" t="s">
        <v>7338</v>
      </c>
      <c r="B1103" s="6" t="s">
        <v>7337</v>
      </c>
      <c r="C1103" s="6" t="s">
        <v>31</v>
      </c>
      <c r="E1103" s="6" t="s">
        <v>7336</v>
      </c>
      <c r="F1103" s="6" t="s">
        <v>7332</v>
      </c>
      <c r="G1103" s="6" t="s">
        <v>16</v>
      </c>
      <c r="H1103" s="6" t="s">
        <v>15</v>
      </c>
      <c r="I1103" s="6" t="s">
        <v>46</v>
      </c>
      <c r="J1103" s="6" t="s">
        <v>1345</v>
      </c>
      <c r="K1103" s="7">
        <v>29.30805565</v>
      </c>
      <c r="L1103" s="7">
        <v>-100.88611127999999</v>
      </c>
      <c r="M1103" s="6" t="s">
        <v>511</v>
      </c>
      <c r="N1103" s="6" t="s">
        <v>373</v>
      </c>
      <c r="O1103" s="6" t="s">
        <v>510</v>
      </c>
    </row>
    <row r="1104" spans="1:15" x14ac:dyDescent="0.25">
      <c r="A1104" s="6" t="s">
        <v>11559</v>
      </c>
      <c r="B1104" s="6" t="s">
        <v>11558</v>
      </c>
      <c r="C1104" s="6" t="s">
        <v>31</v>
      </c>
      <c r="E1104" s="6" t="s">
        <v>11557</v>
      </c>
      <c r="F1104" s="6" t="s">
        <v>11556</v>
      </c>
      <c r="G1104" s="6" t="s">
        <v>16</v>
      </c>
      <c r="H1104" s="6" t="s">
        <v>28</v>
      </c>
      <c r="I1104" s="6" t="s">
        <v>73</v>
      </c>
      <c r="J1104" s="6" t="s">
        <v>2101</v>
      </c>
      <c r="K1104" s="7">
        <v>33.718092890000001</v>
      </c>
      <c r="L1104" s="7">
        <v>-96.662157199999996</v>
      </c>
      <c r="M1104" s="6" t="s">
        <v>2906</v>
      </c>
      <c r="N1104" s="6" t="s">
        <v>43</v>
      </c>
      <c r="O1104" s="6" t="s">
        <v>42</v>
      </c>
    </row>
    <row r="1105" spans="1:15" x14ac:dyDescent="0.25">
      <c r="A1105" s="6" t="s">
        <v>11562</v>
      </c>
      <c r="B1105" s="6" t="s">
        <v>11561</v>
      </c>
      <c r="C1105" s="6" t="s">
        <v>31</v>
      </c>
      <c r="E1105" s="6" t="s">
        <v>11560</v>
      </c>
      <c r="F1105" s="6" t="s">
        <v>11556</v>
      </c>
      <c r="G1105" s="6" t="s">
        <v>16</v>
      </c>
      <c r="H1105" s="6" t="s">
        <v>15</v>
      </c>
      <c r="I1105" s="6" t="s">
        <v>46</v>
      </c>
      <c r="J1105" s="6" t="s">
        <v>2101</v>
      </c>
      <c r="K1105" s="7">
        <v>33.772631130000001</v>
      </c>
      <c r="L1105" s="7">
        <v>-96.500301179999994</v>
      </c>
      <c r="M1105" s="6" t="s">
        <v>44</v>
      </c>
      <c r="N1105" s="6" t="s">
        <v>43</v>
      </c>
      <c r="O1105" s="6" t="s">
        <v>42</v>
      </c>
    </row>
    <row r="1106" spans="1:15" x14ac:dyDescent="0.25">
      <c r="A1106" s="6" t="s">
        <v>8597</v>
      </c>
      <c r="B1106" s="6" t="s">
        <v>8596</v>
      </c>
      <c r="C1106" s="6" t="s">
        <v>31</v>
      </c>
      <c r="E1106" s="6" t="s">
        <v>8595</v>
      </c>
      <c r="F1106" s="6" t="s">
        <v>8591</v>
      </c>
      <c r="G1106" s="6" t="s">
        <v>16</v>
      </c>
      <c r="H1106" s="6" t="s">
        <v>15</v>
      </c>
      <c r="I1106" s="6" t="s">
        <v>27</v>
      </c>
      <c r="J1106" s="6" t="s">
        <v>1288</v>
      </c>
      <c r="K1106" s="7">
        <v>32.301456989999998</v>
      </c>
      <c r="L1106" s="7">
        <v>-96.616769970000007</v>
      </c>
      <c r="M1106" s="6" t="s">
        <v>2048</v>
      </c>
      <c r="N1106" s="6" t="s">
        <v>102</v>
      </c>
      <c r="O1106" s="6" t="s">
        <v>42</v>
      </c>
    </row>
    <row r="1107" spans="1:15" x14ac:dyDescent="0.25">
      <c r="A1107" s="6" t="s">
        <v>9754</v>
      </c>
      <c r="B1107" s="6" t="s">
        <v>9753</v>
      </c>
      <c r="C1107" s="6" t="s">
        <v>31</v>
      </c>
      <c r="E1107" s="6" t="s">
        <v>9752</v>
      </c>
      <c r="F1107" s="6" t="s">
        <v>5067</v>
      </c>
      <c r="G1107" s="6" t="s">
        <v>16</v>
      </c>
      <c r="H1107" s="6" t="s">
        <v>15</v>
      </c>
      <c r="I1107" s="6" t="s">
        <v>46</v>
      </c>
      <c r="J1107" s="6" t="s">
        <v>268</v>
      </c>
      <c r="K1107" s="7">
        <v>32.779744700000002</v>
      </c>
      <c r="L1107" s="7">
        <v>-97.143851159999997</v>
      </c>
      <c r="M1107" s="6" t="s">
        <v>5209</v>
      </c>
      <c r="N1107" s="6" t="s">
        <v>102</v>
      </c>
      <c r="O1107" s="6" t="s">
        <v>42</v>
      </c>
    </row>
    <row r="1108" spans="1:15" x14ac:dyDescent="0.25">
      <c r="A1108" s="6" t="s">
        <v>499</v>
      </c>
      <c r="B1108" s="6" t="s">
        <v>498</v>
      </c>
      <c r="C1108" s="6" t="s">
        <v>31</v>
      </c>
      <c r="E1108" s="6" t="s">
        <v>497</v>
      </c>
      <c r="F1108" s="6" t="s">
        <v>489</v>
      </c>
      <c r="G1108" s="6" t="s">
        <v>16</v>
      </c>
      <c r="H1108" s="6" t="s">
        <v>15</v>
      </c>
      <c r="I1108" s="6" t="s">
        <v>14</v>
      </c>
      <c r="J1108" s="6" t="s">
        <v>215</v>
      </c>
      <c r="K1108" s="7">
        <v>29.300367170000001</v>
      </c>
      <c r="L1108" s="7">
        <v>-94.828922410000004</v>
      </c>
      <c r="M1108" s="6" t="s">
        <v>496</v>
      </c>
      <c r="N1108" s="6" t="s">
        <v>160</v>
      </c>
      <c r="O1108" s="6" t="s">
        <v>23</v>
      </c>
    </row>
    <row r="1109" spans="1:15" x14ac:dyDescent="0.25">
      <c r="A1109" s="6" t="s">
        <v>4221</v>
      </c>
      <c r="B1109" s="6" t="s">
        <v>4220</v>
      </c>
      <c r="C1109" s="6" t="s">
        <v>31</v>
      </c>
      <c r="E1109" s="6" t="s">
        <v>4219</v>
      </c>
      <c r="F1109" s="6" t="s">
        <v>4218</v>
      </c>
      <c r="G1109" s="6" t="s">
        <v>16</v>
      </c>
      <c r="H1109" s="6" t="s">
        <v>15</v>
      </c>
      <c r="I1109" s="6" t="s">
        <v>46</v>
      </c>
      <c r="J1109" s="6" t="s">
        <v>561</v>
      </c>
      <c r="K1109" s="7">
        <v>30.025393829999999</v>
      </c>
      <c r="L1109" s="7">
        <v>-99.110826590000002</v>
      </c>
      <c r="M1109" s="6" t="s">
        <v>560</v>
      </c>
      <c r="N1109" s="6" t="s">
        <v>559</v>
      </c>
      <c r="O1109" s="6" t="s">
        <v>231</v>
      </c>
    </row>
    <row r="1110" spans="1:15" x14ac:dyDescent="0.25">
      <c r="A1110" s="6" t="s">
        <v>4192</v>
      </c>
      <c r="B1110" s="6" t="s">
        <v>4191</v>
      </c>
      <c r="C1110" s="6" t="s">
        <v>31</v>
      </c>
      <c r="E1110" s="6" t="s">
        <v>4190</v>
      </c>
      <c r="F1110" s="6" t="s">
        <v>4189</v>
      </c>
      <c r="G1110" s="6" t="s">
        <v>16</v>
      </c>
      <c r="H1110" s="6" t="s">
        <v>15</v>
      </c>
      <c r="I1110" s="6" t="s">
        <v>14</v>
      </c>
      <c r="J1110" s="6" t="s">
        <v>776</v>
      </c>
      <c r="K1110" s="7">
        <v>32.78648956</v>
      </c>
      <c r="L1110" s="7">
        <v>-98.134218430000004</v>
      </c>
      <c r="M1110" s="6" t="s">
        <v>775</v>
      </c>
      <c r="N1110" s="6" t="s">
        <v>23</v>
      </c>
      <c r="O1110" s="6" t="s">
        <v>42</v>
      </c>
    </row>
    <row r="1111" spans="1:15" x14ac:dyDescent="0.25">
      <c r="A1111" s="6" t="s">
        <v>11355</v>
      </c>
      <c r="B1111" s="6" t="s">
        <v>11354</v>
      </c>
      <c r="C1111" s="6" t="s">
        <v>31</v>
      </c>
      <c r="E1111" s="6" t="s">
        <v>11353</v>
      </c>
      <c r="F1111" s="6" t="s">
        <v>116</v>
      </c>
      <c r="G1111" s="6" t="s">
        <v>16</v>
      </c>
      <c r="H1111" s="6" t="s">
        <v>15</v>
      </c>
      <c r="I1111" s="6" t="s">
        <v>46</v>
      </c>
      <c r="J1111" s="6" t="s">
        <v>471</v>
      </c>
      <c r="K1111" s="7">
        <v>32.708885479999999</v>
      </c>
      <c r="L1111" s="7">
        <v>-96.540471229999994</v>
      </c>
      <c r="M1111" s="6" t="s">
        <v>450</v>
      </c>
      <c r="N1111" s="6" t="s">
        <v>102</v>
      </c>
      <c r="O1111" s="6" t="s">
        <v>42</v>
      </c>
    </row>
    <row r="1112" spans="1:15" x14ac:dyDescent="0.25">
      <c r="A1112" s="6" t="s">
        <v>9090</v>
      </c>
      <c r="B1112" s="6" t="s">
        <v>9089</v>
      </c>
      <c r="C1112" s="6" t="s">
        <v>31</v>
      </c>
      <c r="E1112" s="6" t="s">
        <v>9088</v>
      </c>
      <c r="F1112" s="6" t="s">
        <v>9084</v>
      </c>
      <c r="G1112" s="6" t="s">
        <v>16</v>
      </c>
      <c r="H1112" s="6" t="s">
        <v>15</v>
      </c>
      <c r="I1112" s="6" t="s">
        <v>14</v>
      </c>
      <c r="J1112" s="6" t="s">
        <v>480</v>
      </c>
      <c r="K1112" s="7">
        <v>26.172225050000002</v>
      </c>
      <c r="L1112" s="7">
        <v>-98.275371430000007</v>
      </c>
      <c r="M1112" s="6" t="s">
        <v>179</v>
      </c>
      <c r="N1112" s="6" t="s">
        <v>11</v>
      </c>
      <c r="O1112" s="6" t="s">
        <v>22</v>
      </c>
    </row>
    <row r="1113" spans="1:15" x14ac:dyDescent="0.25">
      <c r="A1113" s="6" t="s">
        <v>4196</v>
      </c>
      <c r="B1113" s="6" t="s">
        <v>4195</v>
      </c>
      <c r="C1113" s="6" t="s">
        <v>31</v>
      </c>
      <c r="E1113" s="6" t="s">
        <v>4194</v>
      </c>
      <c r="F1113" s="6" t="s">
        <v>4193</v>
      </c>
      <c r="G1113" s="6" t="s">
        <v>16</v>
      </c>
      <c r="H1113" s="6" t="s">
        <v>15</v>
      </c>
      <c r="I1113" s="6" t="s">
        <v>14</v>
      </c>
      <c r="J1113" s="6" t="s">
        <v>35</v>
      </c>
      <c r="K1113" s="7">
        <v>29.746827</v>
      </c>
      <c r="L1113" s="7">
        <v>-95.507174000000006</v>
      </c>
      <c r="M1113" s="6" t="s">
        <v>131</v>
      </c>
      <c r="N1113" s="6" t="s">
        <v>24</v>
      </c>
      <c r="O1113" s="6" t="s">
        <v>23</v>
      </c>
    </row>
    <row r="1114" spans="1:15" x14ac:dyDescent="0.25">
      <c r="A1114" s="6" t="s">
        <v>7504</v>
      </c>
      <c r="B1114" s="6" t="s">
        <v>7503</v>
      </c>
      <c r="C1114" s="6" t="s">
        <v>31</v>
      </c>
      <c r="E1114" s="6" t="s">
        <v>7502</v>
      </c>
      <c r="F1114" s="6" t="s">
        <v>7494</v>
      </c>
      <c r="G1114" s="6" t="s">
        <v>16</v>
      </c>
      <c r="H1114" s="6" t="s">
        <v>15</v>
      </c>
      <c r="I1114" s="6" t="s">
        <v>14</v>
      </c>
      <c r="J1114" s="6" t="s">
        <v>385</v>
      </c>
      <c r="K1114" s="7">
        <v>29.914480560000001</v>
      </c>
      <c r="L1114" s="7">
        <v>-94.040542470000005</v>
      </c>
      <c r="M1114" s="6" t="s">
        <v>384</v>
      </c>
      <c r="N1114" s="6" t="s">
        <v>383</v>
      </c>
      <c r="O1114" s="6" t="s">
        <v>24</v>
      </c>
    </row>
    <row r="1115" spans="1:15" x14ac:dyDescent="0.25">
      <c r="A1115" s="6" t="s">
        <v>7588</v>
      </c>
      <c r="B1115" s="6" t="s">
        <v>7587</v>
      </c>
      <c r="C1115" s="6" t="s">
        <v>31</v>
      </c>
      <c r="E1115" s="6" t="s">
        <v>7586</v>
      </c>
      <c r="F1115" s="6" t="s">
        <v>7585</v>
      </c>
      <c r="G1115" s="6" t="s">
        <v>16</v>
      </c>
      <c r="H1115" s="6" t="s">
        <v>15</v>
      </c>
      <c r="I1115" s="6" t="s">
        <v>46</v>
      </c>
      <c r="J1115" s="6" t="s">
        <v>84</v>
      </c>
      <c r="K1115" s="7">
        <v>28.624673959999999</v>
      </c>
      <c r="L1115" s="7">
        <v>-96.629978789999996</v>
      </c>
      <c r="M1115" s="6" t="s">
        <v>1272</v>
      </c>
      <c r="N1115" s="6" t="s">
        <v>82</v>
      </c>
      <c r="O1115" s="6" t="s">
        <v>10</v>
      </c>
    </row>
    <row r="1116" spans="1:15" x14ac:dyDescent="0.25">
      <c r="A1116" s="6" t="s">
        <v>4428</v>
      </c>
      <c r="B1116" s="6" t="s">
        <v>4427</v>
      </c>
      <c r="C1116" s="6" t="s">
        <v>31</v>
      </c>
      <c r="E1116" s="6" t="s">
        <v>4426</v>
      </c>
      <c r="F1116" s="6" t="s">
        <v>4425</v>
      </c>
      <c r="G1116" s="6" t="s">
        <v>16</v>
      </c>
      <c r="H1116" s="6" t="s">
        <v>15</v>
      </c>
      <c r="I1116" s="6" t="s">
        <v>14</v>
      </c>
      <c r="J1116" s="6" t="s">
        <v>4424</v>
      </c>
      <c r="K1116" s="7">
        <v>34.169170010000002</v>
      </c>
      <c r="L1116" s="7">
        <v>-101.67686175999999</v>
      </c>
      <c r="M1116" s="6" t="s">
        <v>4423</v>
      </c>
      <c r="N1116" s="6" t="s">
        <v>23</v>
      </c>
      <c r="O1116" s="6" t="s">
        <v>43</v>
      </c>
    </row>
    <row r="1117" spans="1:15" x14ac:dyDescent="0.25">
      <c r="A1117" s="6" t="s">
        <v>7507</v>
      </c>
      <c r="B1117" s="6" t="s">
        <v>7506</v>
      </c>
      <c r="C1117" s="6" t="s">
        <v>31</v>
      </c>
      <c r="E1117" s="6" t="s">
        <v>7505</v>
      </c>
      <c r="F1117" s="6" t="s">
        <v>7494</v>
      </c>
      <c r="G1117" s="6" t="s">
        <v>16</v>
      </c>
      <c r="H1117" s="6" t="s">
        <v>15</v>
      </c>
      <c r="I1117" s="6" t="s">
        <v>14</v>
      </c>
      <c r="J1117" s="6" t="s">
        <v>385</v>
      </c>
      <c r="K1117" s="7">
        <v>29.922441030000002</v>
      </c>
      <c r="L1117" s="7">
        <v>-93.882774900000001</v>
      </c>
      <c r="M1117" s="6" t="s">
        <v>610</v>
      </c>
      <c r="N1117" s="6" t="s">
        <v>383</v>
      </c>
      <c r="O1117" s="6" t="s">
        <v>24</v>
      </c>
    </row>
    <row r="1118" spans="1:15" x14ac:dyDescent="0.25">
      <c r="A1118" s="6" t="s">
        <v>9956</v>
      </c>
      <c r="B1118" s="6" t="s">
        <v>9955</v>
      </c>
      <c r="C1118" s="6" t="s">
        <v>31</v>
      </c>
      <c r="E1118" s="6" t="s">
        <v>9954</v>
      </c>
      <c r="F1118" s="6" t="s">
        <v>9953</v>
      </c>
      <c r="G1118" s="6" t="s">
        <v>16</v>
      </c>
      <c r="H1118" s="6" t="s">
        <v>15</v>
      </c>
      <c r="I1118" s="6" t="s">
        <v>14</v>
      </c>
      <c r="J1118" s="6" t="s">
        <v>253</v>
      </c>
      <c r="K1118" s="7">
        <v>31.07722184</v>
      </c>
      <c r="L1118" s="7">
        <v>-97.316810309999994</v>
      </c>
      <c r="M1118" s="6" t="s">
        <v>252</v>
      </c>
      <c r="N1118" s="6" t="s">
        <v>23</v>
      </c>
      <c r="O1118" s="6" t="s">
        <v>120</v>
      </c>
    </row>
    <row r="1119" spans="1:15" x14ac:dyDescent="0.25">
      <c r="A1119" s="6" t="s">
        <v>9554</v>
      </c>
      <c r="B1119" s="6" t="s">
        <v>3165</v>
      </c>
      <c r="C1119" s="6" t="s">
        <v>31</v>
      </c>
      <c r="E1119" s="6" t="s">
        <v>3164</v>
      </c>
      <c r="F1119" s="6" t="s">
        <v>3041</v>
      </c>
      <c r="G1119" s="6" t="s">
        <v>16</v>
      </c>
      <c r="H1119" s="6" t="s">
        <v>15</v>
      </c>
      <c r="I1119" s="6" t="s">
        <v>36</v>
      </c>
      <c r="J1119" s="6" t="s">
        <v>209</v>
      </c>
      <c r="K1119" s="7">
        <v>33.924356969999998</v>
      </c>
      <c r="L1119" s="7">
        <v>-98.474366059999994</v>
      </c>
      <c r="M1119" s="6" t="s">
        <v>208</v>
      </c>
      <c r="N1119" s="6" t="s">
        <v>43</v>
      </c>
      <c r="O1119" s="6" t="s">
        <v>95</v>
      </c>
    </row>
    <row r="1120" spans="1:15" x14ac:dyDescent="0.25">
      <c r="A1120" s="6" t="s">
        <v>3166</v>
      </c>
      <c r="B1120" s="6" t="s">
        <v>3165</v>
      </c>
      <c r="C1120" s="6" t="s">
        <v>19</v>
      </c>
      <c r="E1120" s="6" t="s">
        <v>3164</v>
      </c>
      <c r="F1120" s="6" t="s">
        <v>3041</v>
      </c>
      <c r="G1120" s="6" t="s">
        <v>16</v>
      </c>
      <c r="H1120" s="6" t="s">
        <v>15</v>
      </c>
      <c r="I1120" s="6" t="s">
        <v>36</v>
      </c>
      <c r="J1120" s="6" t="s">
        <v>226</v>
      </c>
      <c r="K1120" s="7">
        <v>33.724265520000003</v>
      </c>
      <c r="L1120" s="7">
        <v>-98.36595466</v>
      </c>
      <c r="M1120" s="6" t="s">
        <v>305</v>
      </c>
      <c r="N1120" s="6" t="s">
        <v>43</v>
      </c>
      <c r="O1120" s="6" t="s">
        <v>95</v>
      </c>
    </row>
    <row r="1121" spans="1:15" x14ac:dyDescent="0.25">
      <c r="A1121" s="6" t="s">
        <v>7129</v>
      </c>
      <c r="B1121" s="6" t="s">
        <v>1517</v>
      </c>
      <c r="C1121" s="6" t="s">
        <v>31</v>
      </c>
      <c r="E1121" s="6" t="s">
        <v>1516</v>
      </c>
      <c r="F1121" s="6" t="s">
        <v>1515</v>
      </c>
      <c r="G1121" s="6" t="s">
        <v>16</v>
      </c>
      <c r="H1121" s="6" t="s">
        <v>15</v>
      </c>
      <c r="I1121" s="6" t="s">
        <v>14</v>
      </c>
      <c r="J1121" s="6" t="s">
        <v>904</v>
      </c>
      <c r="K1121" s="7">
        <v>32.746638590000003</v>
      </c>
      <c r="L1121" s="7">
        <v>-97.768091639999994</v>
      </c>
      <c r="M1121" s="6" t="s">
        <v>2400</v>
      </c>
      <c r="N1121" s="6" t="s">
        <v>102</v>
      </c>
      <c r="O1121" s="6" t="s">
        <v>42</v>
      </c>
    </row>
    <row r="1122" spans="1:15" x14ac:dyDescent="0.25">
      <c r="A1122" s="6" t="s">
        <v>1518</v>
      </c>
      <c r="B1122" s="6" t="s">
        <v>1517</v>
      </c>
      <c r="C1122" s="6" t="s">
        <v>19</v>
      </c>
      <c r="E1122" s="6" t="s">
        <v>1516</v>
      </c>
      <c r="F1122" s="6" t="s">
        <v>1515</v>
      </c>
      <c r="G1122" s="6" t="s">
        <v>16</v>
      </c>
      <c r="H1122" s="6" t="s">
        <v>15</v>
      </c>
      <c r="I1122" s="6" t="s">
        <v>14</v>
      </c>
      <c r="J1122" s="6" t="s">
        <v>904</v>
      </c>
      <c r="K1122" s="7">
        <v>32.793057490000002</v>
      </c>
      <c r="L1122" s="7">
        <v>-97.70086929</v>
      </c>
      <c r="M1122" s="6" t="s">
        <v>1514</v>
      </c>
      <c r="N1122" s="6" t="s">
        <v>102</v>
      </c>
      <c r="O1122" s="6" t="s">
        <v>42</v>
      </c>
    </row>
    <row r="1123" spans="1:15" x14ac:dyDescent="0.25">
      <c r="A1123" s="6" t="s">
        <v>6401</v>
      </c>
      <c r="B1123" s="6" t="s">
        <v>1517</v>
      </c>
      <c r="C1123" s="6" t="s">
        <v>436</v>
      </c>
      <c r="E1123" s="6" t="s">
        <v>1516</v>
      </c>
      <c r="F1123" s="6" t="s">
        <v>1515</v>
      </c>
      <c r="G1123" s="6" t="s">
        <v>284</v>
      </c>
      <c r="H1123" s="6" t="s">
        <v>15</v>
      </c>
      <c r="I1123" s="6" t="s">
        <v>14</v>
      </c>
      <c r="J1123" s="6" t="s">
        <v>904</v>
      </c>
      <c r="K1123" s="7">
        <v>32.7941687</v>
      </c>
      <c r="L1123" s="7">
        <v>-97.701390419999996</v>
      </c>
      <c r="M1123" s="6" t="s">
        <v>1514</v>
      </c>
      <c r="N1123" s="6" t="s">
        <v>102</v>
      </c>
      <c r="O1123" s="6" t="s">
        <v>42</v>
      </c>
    </row>
    <row r="1124" spans="1:15" x14ac:dyDescent="0.25">
      <c r="A1124" s="6" t="s">
        <v>1580</v>
      </c>
      <c r="B1124" s="6" t="s">
        <v>1578</v>
      </c>
      <c r="C1124" s="6" t="s">
        <v>31</v>
      </c>
      <c r="E1124" s="6" t="s">
        <v>1577</v>
      </c>
      <c r="F1124" s="6" t="s">
        <v>1576</v>
      </c>
      <c r="G1124" s="6" t="s">
        <v>16</v>
      </c>
      <c r="H1124" s="6" t="s">
        <v>15</v>
      </c>
      <c r="I1124" s="6" t="s">
        <v>14</v>
      </c>
      <c r="J1124" s="6" t="s">
        <v>982</v>
      </c>
      <c r="K1124" s="7">
        <v>31.91815304</v>
      </c>
      <c r="L1124" s="7">
        <v>-96.354036359999995</v>
      </c>
      <c r="M1124" s="6" t="s">
        <v>981</v>
      </c>
      <c r="N1124" s="6" t="s">
        <v>102</v>
      </c>
      <c r="O1124" s="6" t="s">
        <v>42</v>
      </c>
    </row>
    <row r="1125" spans="1:15" x14ac:dyDescent="0.25">
      <c r="A1125" s="6" t="s">
        <v>1579</v>
      </c>
      <c r="B1125" s="6" t="s">
        <v>1578</v>
      </c>
      <c r="C1125" s="6" t="s">
        <v>19</v>
      </c>
      <c r="E1125" s="6" t="s">
        <v>1577</v>
      </c>
      <c r="F1125" s="6" t="s">
        <v>1576</v>
      </c>
      <c r="G1125" s="6" t="s">
        <v>16</v>
      </c>
      <c r="H1125" s="6" t="s">
        <v>430</v>
      </c>
      <c r="I1125" s="6" t="s">
        <v>14</v>
      </c>
      <c r="J1125" s="6" t="s">
        <v>982</v>
      </c>
      <c r="K1125" s="7">
        <v>31.90979029</v>
      </c>
      <c r="L1125" s="7">
        <v>-96.346818420000005</v>
      </c>
      <c r="M1125" s="6" t="s">
        <v>981</v>
      </c>
      <c r="N1125" s="6" t="s">
        <v>102</v>
      </c>
      <c r="O1125" s="6" t="s">
        <v>42</v>
      </c>
    </row>
    <row r="1126" spans="1:15" x14ac:dyDescent="0.25">
      <c r="A1126" s="6" t="s">
        <v>11772</v>
      </c>
      <c r="B1126" s="6" t="s">
        <v>11771</v>
      </c>
      <c r="C1126" s="6" t="s">
        <v>31</v>
      </c>
      <c r="E1126" s="6" t="s">
        <v>11770</v>
      </c>
      <c r="F1126" s="6" t="s">
        <v>5580</v>
      </c>
      <c r="G1126" s="6" t="s">
        <v>16</v>
      </c>
      <c r="H1126" s="6" t="s">
        <v>15</v>
      </c>
      <c r="I1126" s="6" t="s">
        <v>799</v>
      </c>
      <c r="J1126" s="6" t="s">
        <v>471</v>
      </c>
      <c r="K1126" s="7">
        <v>32.729263000000003</v>
      </c>
      <c r="L1126" s="7">
        <v>-96.762771000000001</v>
      </c>
      <c r="M1126" s="6" t="s">
        <v>103</v>
      </c>
      <c r="N1126" s="6" t="s">
        <v>102</v>
      </c>
      <c r="O1126" s="6" t="s">
        <v>42</v>
      </c>
    </row>
    <row r="1127" spans="1:15" x14ac:dyDescent="0.25">
      <c r="A1127" s="6" t="s">
        <v>11763</v>
      </c>
      <c r="B1127" s="6" t="s">
        <v>11762</v>
      </c>
      <c r="C1127" s="6" t="s">
        <v>31</v>
      </c>
      <c r="E1127" s="6" t="s">
        <v>11761</v>
      </c>
      <c r="F1127" s="6" t="s">
        <v>5580</v>
      </c>
      <c r="G1127" s="6" t="s">
        <v>16</v>
      </c>
      <c r="H1127" s="6" t="s">
        <v>15</v>
      </c>
      <c r="I1127" s="6" t="s">
        <v>14</v>
      </c>
      <c r="J1127" s="6" t="s">
        <v>471</v>
      </c>
      <c r="K1127" s="7">
        <v>32.637428800000002</v>
      </c>
      <c r="L1127" s="7">
        <v>-96.646602329999993</v>
      </c>
      <c r="M1127" s="6" t="s">
        <v>103</v>
      </c>
      <c r="N1127" s="6" t="s">
        <v>102</v>
      </c>
      <c r="O1127" s="6" t="s">
        <v>42</v>
      </c>
    </row>
    <row r="1128" spans="1:15" x14ac:dyDescent="0.25">
      <c r="A1128" s="6" t="s">
        <v>11790</v>
      </c>
      <c r="B1128" s="6" t="s">
        <v>11789</v>
      </c>
      <c r="C1128" s="6" t="s">
        <v>31</v>
      </c>
      <c r="E1128" s="6" t="s">
        <v>11788</v>
      </c>
      <c r="F1128" s="6" t="s">
        <v>11787</v>
      </c>
      <c r="G1128" s="6" t="s">
        <v>16</v>
      </c>
      <c r="H1128" s="6" t="s">
        <v>15</v>
      </c>
      <c r="I1128" s="6" t="s">
        <v>14</v>
      </c>
      <c r="J1128" s="6" t="s">
        <v>11786</v>
      </c>
      <c r="K1128" s="7">
        <v>32.6909901</v>
      </c>
      <c r="L1128" s="7">
        <v>-100.90211595</v>
      </c>
      <c r="M1128" s="6" t="s">
        <v>1801</v>
      </c>
      <c r="N1128" s="6" t="s">
        <v>10</v>
      </c>
      <c r="O1128" s="6" t="s">
        <v>95</v>
      </c>
    </row>
    <row r="1129" spans="1:15" x14ac:dyDescent="0.25">
      <c r="A1129" s="6" t="s">
        <v>7510</v>
      </c>
      <c r="B1129" s="6" t="s">
        <v>7509</v>
      </c>
      <c r="C1129" s="6" t="s">
        <v>31</v>
      </c>
      <c r="E1129" s="6" t="s">
        <v>7508</v>
      </c>
      <c r="F1129" s="6" t="s">
        <v>116</v>
      </c>
      <c r="G1129" s="6" t="s">
        <v>16</v>
      </c>
      <c r="H1129" s="6" t="s">
        <v>15</v>
      </c>
      <c r="I1129" s="6" t="s">
        <v>46</v>
      </c>
      <c r="J1129" s="6" t="s">
        <v>239</v>
      </c>
      <c r="K1129" s="7">
        <v>33.017718729999999</v>
      </c>
      <c r="L1129" s="7">
        <v>-96.647051020000006</v>
      </c>
      <c r="M1129" s="6" t="s">
        <v>5476</v>
      </c>
      <c r="N1129" s="6" t="s">
        <v>102</v>
      </c>
      <c r="O1129" s="6" t="s">
        <v>42</v>
      </c>
    </row>
    <row r="1130" spans="1:15" x14ac:dyDescent="0.25">
      <c r="A1130" s="6" t="s">
        <v>9884</v>
      </c>
      <c r="B1130" s="6" t="s">
        <v>9883</v>
      </c>
      <c r="C1130" s="6" t="s">
        <v>31</v>
      </c>
      <c r="E1130" s="6" t="s">
        <v>9882</v>
      </c>
      <c r="F1130" s="6" t="s">
        <v>9881</v>
      </c>
      <c r="G1130" s="6" t="s">
        <v>16</v>
      </c>
      <c r="H1130" s="6" t="s">
        <v>15</v>
      </c>
      <c r="I1130" s="6" t="s">
        <v>14</v>
      </c>
      <c r="J1130" s="6" t="s">
        <v>90</v>
      </c>
      <c r="K1130" s="7">
        <v>26.18228238</v>
      </c>
      <c r="L1130" s="7">
        <v>-97.640332709999996</v>
      </c>
      <c r="M1130" s="6" t="s">
        <v>179</v>
      </c>
      <c r="N1130" s="6" t="s">
        <v>11</v>
      </c>
      <c r="O1130" s="6" t="s">
        <v>22</v>
      </c>
    </row>
    <row r="1131" spans="1:15" x14ac:dyDescent="0.25">
      <c r="A1131" s="6" t="s">
        <v>7988</v>
      </c>
      <c r="B1131" s="6" t="s">
        <v>7987</v>
      </c>
      <c r="C1131" s="6" t="s">
        <v>31</v>
      </c>
      <c r="E1131" s="6" t="s">
        <v>7986</v>
      </c>
      <c r="F1131" s="6" t="s">
        <v>7985</v>
      </c>
      <c r="G1131" s="6" t="s">
        <v>16</v>
      </c>
      <c r="H1131" s="6" t="s">
        <v>15</v>
      </c>
      <c r="I1131" s="6" t="s">
        <v>36</v>
      </c>
      <c r="J1131" s="6" t="s">
        <v>753</v>
      </c>
      <c r="K1131" s="7">
        <v>29.864234440000001</v>
      </c>
      <c r="L1131" s="7">
        <v>-97.925712779999998</v>
      </c>
      <c r="M1131" s="6" t="s">
        <v>7984</v>
      </c>
      <c r="N1131" s="6" t="s">
        <v>559</v>
      </c>
      <c r="O1131" s="6" t="s">
        <v>160</v>
      </c>
    </row>
    <row r="1132" spans="1:15" x14ac:dyDescent="0.25">
      <c r="A1132" s="6" t="s">
        <v>9553</v>
      </c>
      <c r="B1132" s="6" t="s">
        <v>9552</v>
      </c>
      <c r="C1132" s="6" t="s">
        <v>31</v>
      </c>
      <c r="E1132" s="6" t="s">
        <v>9551</v>
      </c>
      <c r="F1132" s="6" t="s">
        <v>9051</v>
      </c>
      <c r="G1132" s="6" t="s">
        <v>16</v>
      </c>
      <c r="H1132" s="6" t="s">
        <v>15</v>
      </c>
      <c r="I1132" s="6" t="s">
        <v>46</v>
      </c>
      <c r="J1132" s="6" t="s">
        <v>67</v>
      </c>
      <c r="K1132" s="7">
        <v>32.25531153</v>
      </c>
      <c r="L1132" s="7">
        <v>-95.323526759999993</v>
      </c>
      <c r="M1132" s="6" t="s">
        <v>203</v>
      </c>
      <c r="N1132" s="6" t="s">
        <v>52</v>
      </c>
      <c r="O1132" s="6" t="s">
        <v>65</v>
      </c>
    </row>
    <row r="1133" spans="1:15" x14ac:dyDescent="0.25">
      <c r="A1133" s="6" t="s">
        <v>9054</v>
      </c>
      <c r="B1133" s="6" t="s">
        <v>9053</v>
      </c>
      <c r="C1133" s="6" t="s">
        <v>31</v>
      </c>
      <c r="E1133" s="6" t="s">
        <v>9052</v>
      </c>
      <c r="F1133" s="6" t="s">
        <v>9051</v>
      </c>
      <c r="G1133" s="6" t="s">
        <v>16</v>
      </c>
      <c r="H1133" s="6" t="s">
        <v>15</v>
      </c>
      <c r="I1133" s="6" t="s">
        <v>14</v>
      </c>
      <c r="J1133" s="6" t="s">
        <v>67</v>
      </c>
      <c r="K1133" s="7">
        <v>32.395860910000003</v>
      </c>
      <c r="L1133" s="7">
        <v>-95.412606100000005</v>
      </c>
      <c r="M1133" s="6" t="s">
        <v>765</v>
      </c>
      <c r="N1133" s="6" t="s">
        <v>52</v>
      </c>
      <c r="O1133" s="6" t="s">
        <v>65</v>
      </c>
    </row>
    <row r="1134" spans="1:15" x14ac:dyDescent="0.25">
      <c r="A1134" s="6" t="s">
        <v>4577</v>
      </c>
      <c r="B1134" s="6" t="s">
        <v>4576</v>
      </c>
      <c r="C1134" s="6" t="s">
        <v>31</v>
      </c>
      <c r="E1134" s="6" t="s">
        <v>4575</v>
      </c>
      <c r="F1134" s="6" t="s">
        <v>4574</v>
      </c>
      <c r="G1134" s="6" t="s">
        <v>16</v>
      </c>
      <c r="H1134" s="6" t="s">
        <v>28</v>
      </c>
      <c r="I1134" s="6" t="s">
        <v>27</v>
      </c>
      <c r="J1134" s="6" t="s">
        <v>1978</v>
      </c>
      <c r="K1134" s="7">
        <v>28.394272999999998</v>
      </c>
      <c r="L1134" s="7">
        <v>-96.841716000000005</v>
      </c>
      <c r="M1134" s="6" t="s">
        <v>1977</v>
      </c>
      <c r="N1134" s="6" t="s">
        <v>137</v>
      </c>
      <c r="O1134" s="6" t="s">
        <v>10</v>
      </c>
    </row>
    <row r="1135" spans="1:15" x14ac:dyDescent="0.25">
      <c r="A1135" s="6" t="s">
        <v>3304</v>
      </c>
      <c r="B1135" s="6" t="s">
        <v>3303</v>
      </c>
      <c r="C1135" s="6" t="s">
        <v>31</v>
      </c>
      <c r="E1135" s="6" t="s">
        <v>3302</v>
      </c>
      <c r="F1135" s="6" t="s">
        <v>1038</v>
      </c>
      <c r="G1135" s="6" t="s">
        <v>16</v>
      </c>
      <c r="H1135" s="6" t="s">
        <v>15</v>
      </c>
      <c r="I1135" s="6" t="s">
        <v>14</v>
      </c>
      <c r="J1135" s="6" t="s">
        <v>35</v>
      </c>
      <c r="K1135" s="7">
        <v>29.72363468</v>
      </c>
      <c r="L1135" s="7">
        <v>-95.219978220000002</v>
      </c>
      <c r="M1135" s="6" t="s">
        <v>866</v>
      </c>
      <c r="N1135" s="6" t="s">
        <v>24</v>
      </c>
      <c r="O1135" s="6" t="s">
        <v>23</v>
      </c>
    </row>
    <row r="1136" spans="1:15" x14ac:dyDescent="0.25">
      <c r="A1136" s="6" t="s">
        <v>8347</v>
      </c>
      <c r="B1136" s="6" t="s">
        <v>3303</v>
      </c>
      <c r="C1136" s="6" t="s">
        <v>19</v>
      </c>
      <c r="E1136" s="6" t="s">
        <v>3302</v>
      </c>
      <c r="F1136" s="6" t="s">
        <v>1038</v>
      </c>
      <c r="G1136" s="6" t="s">
        <v>16</v>
      </c>
      <c r="H1136" s="6" t="s">
        <v>15</v>
      </c>
      <c r="I1136" s="6" t="s">
        <v>14</v>
      </c>
      <c r="J1136" s="6" t="s">
        <v>35</v>
      </c>
      <c r="K1136" s="7">
        <v>29.723568929999999</v>
      </c>
      <c r="L1136" s="7">
        <v>-95.219679659999997</v>
      </c>
      <c r="M1136" s="6" t="s">
        <v>866</v>
      </c>
      <c r="N1136" s="6" t="s">
        <v>24</v>
      </c>
      <c r="O1136" s="6" t="s">
        <v>23</v>
      </c>
    </row>
    <row r="1137" spans="1:15" x14ac:dyDescent="0.25">
      <c r="A1137" s="6" t="s">
        <v>6634</v>
      </c>
      <c r="B1137" s="6" t="s">
        <v>6633</v>
      </c>
      <c r="C1137" s="6" t="s">
        <v>31</v>
      </c>
      <c r="E1137" s="6" t="s">
        <v>6632</v>
      </c>
      <c r="F1137" s="6" t="s">
        <v>6631</v>
      </c>
      <c r="G1137" s="6" t="s">
        <v>16</v>
      </c>
      <c r="H1137" s="6" t="s">
        <v>15</v>
      </c>
      <c r="I1137" s="6" t="s">
        <v>14</v>
      </c>
      <c r="J1137" s="6" t="s">
        <v>873</v>
      </c>
      <c r="K1137" s="7">
        <v>29.275319939999999</v>
      </c>
      <c r="L1137" s="7">
        <v>-98.513008679999999</v>
      </c>
      <c r="M1137" s="6" t="s">
        <v>4655</v>
      </c>
      <c r="N1137" s="6" t="s">
        <v>232</v>
      </c>
      <c r="O1137" s="6" t="s">
        <v>231</v>
      </c>
    </row>
    <row r="1138" spans="1:15" x14ac:dyDescent="0.25">
      <c r="A1138" s="6" t="s">
        <v>10690</v>
      </c>
      <c r="B1138" s="6" t="s">
        <v>6633</v>
      </c>
      <c r="C1138" s="6" t="s">
        <v>19</v>
      </c>
      <c r="E1138" s="6" t="s">
        <v>6632</v>
      </c>
      <c r="F1138" s="6" t="s">
        <v>6631</v>
      </c>
      <c r="G1138" s="6" t="s">
        <v>16</v>
      </c>
      <c r="H1138" s="6" t="s">
        <v>15</v>
      </c>
      <c r="I1138" s="6" t="s">
        <v>14</v>
      </c>
      <c r="J1138" s="6" t="s">
        <v>873</v>
      </c>
      <c r="K1138" s="7">
        <v>29.276389210000001</v>
      </c>
      <c r="L1138" s="7">
        <v>-98.495012310000007</v>
      </c>
      <c r="M1138" s="6" t="s">
        <v>233</v>
      </c>
      <c r="N1138" s="6" t="s">
        <v>232</v>
      </c>
      <c r="O1138" s="6" t="s">
        <v>231</v>
      </c>
    </row>
    <row r="1139" spans="1:15" x14ac:dyDescent="0.25">
      <c r="A1139" s="6" t="s">
        <v>12119</v>
      </c>
      <c r="B1139" s="6" t="s">
        <v>12118</v>
      </c>
      <c r="C1139" s="6" t="s">
        <v>31</v>
      </c>
      <c r="E1139" s="6" t="s">
        <v>12117</v>
      </c>
      <c r="F1139" s="6" t="s">
        <v>6631</v>
      </c>
      <c r="G1139" s="6" t="s">
        <v>16</v>
      </c>
      <c r="H1139" s="6" t="s">
        <v>15</v>
      </c>
      <c r="I1139" s="6" t="s">
        <v>14</v>
      </c>
      <c r="J1139" s="6" t="s">
        <v>873</v>
      </c>
      <c r="K1139" s="7">
        <v>29.275560129999999</v>
      </c>
      <c r="L1139" s="7">
        <v>-98.428978420000007</v>
      </c>
      <c r="M1139" s="6" t="s">
        <v>1792</v>
      </c>
      <c r="N1139" s="6" t="s">
        <v>232</v>
      </c>
      <c r="O1139" s="6" t="s">
        <v>231</v>
      </c>
    </row>
    <row r="1140" spans="1:15" x14ac:dyDescent="0.25">
      <c r="A1140" s="6" t="s">
        <v>6857</v>
      </c>
      <c r="B1140" s="6" t="s">
        <v>6856</v>
      </c>
      <c r="C1140" s="6" t="s">
        <v>31</v>
      </c>
      <c r="E1140" s="6" t="s">
        <v>6855</v>
      </c>
      <c r="F1140" s="6" t="s">
        <v>6851</v>
      </c>
      <c r="G1140" s="6" t="s">
        <v>16</v>
      </c>
      <c r="H1140" s="6" t="s">
        <v>15</v>
      </c>
      <c r="I1140" s="6" t="s">
        <v>46</v>
      </c>
      <c r="J1140" s="6" t="s">
        <v>566</v>
      </c>
      <c r="K1140" s="7">
        <v>32.112501999999999</v>
      </c>
      <c r="L1140" s="7">
        <v>-94.816402999999994</v>
      </c>
      <c r="M1140" s="6" t="s">
        <v>203</v>
      </c>
      <c r="N1140" s="6" t="s">
        <v>52</v>
      </c>
      <c r="O1140" s="6" t="s">
        <v>65</v>
      </c>
    </row>
    <row r="1141" spans="1:15" x14ac:dyDescent="0.25">
      <c r="A1141" s="6" t="s">
        <v>9116</v>
      </c>
      <c r="B1141" s="6" t="s">
        <v>9115</v>
      </c>
      <c r="C1141" s="6" t="s">
        <v>31</v>
      </c>
      <c r="E1141" s="6" t="s">
        <v>9114</v>
      </c>
      <c r="F1141" s="6" t="s">
        <v>9110</v>
      </c>
      <c r="G1141" s="6" t="s">
        <v>16</v>
      </c>
      <c r="H1141" s="6" t="s">
        <v>15</v>
      </c>
      <c r="I1141" s="6" t="s">
        <v>14</v>
      </c>
      <c r="J1141" s="6" t="s">
        <v>480</v>
      </c>
      <c r="K1141" s="7">
        <v>26.18487666</v>
      </c>
      <c r="L1141" s="7">
        <v>-97.971014240000002</v>
      </c>
      <c r="M1141" s="6" t="s">
        <v>89</v>
      </c>
      <c r="N1141" s="6" t="s">
        <v>11</v>
      </c>
      <c r="O1141" s="6" t="s">
        <v>22</v>
      </c>
    </row>
    <row r="1142" spans="1:15" x14ac:dyDescent="0.25">
      <c r="A1142" s="6" t="s">
        <v>9323</v>
      </c>
      <c r="B1142" s="6" t="s">
        <v>9322</v>
      </c>
      <c r="C1142" s="6" t="s">
        <v>31</v>
      </c>
      <c r="E1142" s="6" t="s">
        <v>9321</v>
      </c>
      <c r="F1142" s="6" t="s">
        <v>987</v>
      </c>
      <c r="G1142" s="6" t="s">
        <v>16</v>
      </c>
      <c r="H1142" s="6" t="s">
        <v>15</v>
      </c>
      <c r="I1142" s="6" t="s">
        <v>46</v>
      </c>
      <c r="J1142" s="6" t="s">
        <v>385</v>
      </c>
      <c r="K1142" s="7">
        <v>30.061369320000001</v>
      </c>
      <c r="L1142" s="7">
        <v>-94.055059380000003</v>
      </c>
      <c r="M1142" s="6" t="s">
        <v>429</v>
      </c>
      <c r="N1142" s="6" t="s">
        <v>52</v>
      </c>
      <c r="O1142" s="6" t="s">
        <v>24</v>
      </c>
    </row>
    <row r="1143" spans="1:15" x14ac:dyDescent="0.25">
      <c r="A1143" s="6" t="s">
        <v>8559</v>
      </c>
      <c r="B1143" s="6" t="s">
        <v>8558</v>
      </c>
      <c r="C1143" s="6" t="s">
        <v>31</v>
      </c>
      <c r="E1143" s="6" t="s">
        <v>8557</v>
      </c>
      <c r="F1143" s="6" t="s">
        <v>8553</v>
      </c>
      <c r="G1143" s="6" t="s">
        <v>16</v>
      </c>
      <c r="H1143" s="6" t="s">
        <v>28</v>
      </c>
      <c r="I1143" s="6" t="s">
        <v>60</v>
      </c>
      <c r="J1143" s="6" t="s">
        <v>8552</v>
      </c>
      <c r="K1143" s="7">
        <v>31.44475091</v>
      </c>
      <c r="L1143" s="7">
        <v>-98.582190269999998</v>
      </c>
      <c r="M1143" s="6" t="s">
        <v>5913</v>
      </c>
      <c r="N1143" s="6" t="s">
        <v>10</v>
      </c>
      <c r="O1143" s="6" t="s">
        <v>120</v>
      </c>
    </row>
    <row r="1144" spans="1:15" x14ac:dyDescent="0.25">
      <c r="A1144" s="6" t="s">
        <v>5411</v>
      </c>
      <c r="B1144" s="6" t="s">
        <v>5410</v>
      </c>
      <c r="C1144" s="6" t="s">
        <v>31</v>
      </c>
      <c r="E1144" s="6" t="s">
        <v>5409</v>
      </c>
      <c r="F1144" s="6" t="s">
        <v>5408</v>
      </c>
      <c r="G1144" s="6" t="s">
        <v>16</v>
      </c>
      <c r="H1144" s="6" t="s">
        <v>28</v>
      </c>
      <c r="I1144" s="6" t="s">
        <v>27</v>
      </c>
      <c r="J1144" s="6" t="s">
        <v>3688</v>
      </c>
      <c r="K1144" s="7">
        <v>29.358083000000001</v>
      </c>
      <c r="L1144" s="7">
        <v>-98.102659000000003</v>
      </c>
      <c r="M1144" s="6" t="s">
        <v>3582</v>
      </c>
      <c r="N1144" s="6" t="s">
        <v>232</v>
      </c>
      <c r="O1144" s="6" t="s">
        <v>231</v>
      </c>
    </row>
    <row r="1145" spans="1:15" x14ac:dyDescent="0.25">
      <c r="A1145" s="6" t="s">
        <v>8408</v>
      </c>
      <c r="B1145" s="6" t="s">
        <v>8407</v>
      </c>
      <c r="C1145" s="6" t="s">
        <v>31</v>
      </c>
      <c r="E1145" s="6" t="s">
        <v>8406</v>
      </c>
      <c r="F1145" s="6" t="s">
        <v>8405</v>
      </c>
      <c r="G1145" s="6" t="s">
        <v>16</v>
      </c>
      <c r="H1145" s="6" t="s">
        <v>28</v>
      </c>
      <c r="I1145" s="6" t="s">
        <v>73</v>
      </c>
      <c r="J1145" s="6" t="s">
        <v>883</v>
      </c>
      <c r="K1145" s="7">
        <v>32.993682999999997</v>
      </c>
      <c r="L1145" s="7">
        <v>-94.612764999999996</v>
      </c>
      <c r="M1145" s="6" t="s">
        <v>2619</v>
      </c>
      <c r="N1145" s="6" t="s">
        <v>42</v>
      </c>
      <c r="O1145" s="6" t="s">
        <v>65</v>
      </c>
    </row>
    <row r="1146" spans="1:15" x14ac:dyDescent="0.25">
      <c r="A1146" s="6" t="s">
        <v>9542</v>
      </c>
      <c r="B1146" s="6" t="s">
        <v>9541</v>
      </c>
      <c r="C1146" s="6" t="s">
        <v>31</v>
      </c>
      <c r="E1146" s="6" t="s">
        <v>9540</v>
      </c>
      <c r="F1146" s="6" t="s">
        <v>9539</v>
      </c>
      <c r="G1146" s="6" t="s">
        <v>16</v>
      </c>
      <c r="H1146" s="6" t="s">
        <v>15</v>
      </c>
      <c r="I1146" s="6" t="s">
        <v>36</v>
      </c>
      <c r="J1146" s="6" t="s">
        <v>168</v>
      </c>
      <c r="K1146" s="7">
        <v>33.056627519999999</v>
      </c>
      <c r="L1146" s="7">
        <v>-96.975281929999994</v>
      </c>
      <c r="M1146" s="6" t="s">
        <v>7449</v>
      </c>
      <c r="N1146" s="6" t="s">
        <v>102</v>
      </c>
      <c r="O1146" s="6" t="s">
        <v>42</v>
      </c>
    </row>
    <row r="1147" spans="1:15" x14ac:dyDescent="0.25">
      <c r="A1147" s="6" t="s">
        <v>2235</v>
      </c>
      <c r="B1147" s="6" t="s">
        <v>2234</v>
      </c>
      <c r="C1147" s="6" t="s">
        <v>31</v>
      </c>
      <c r="E1147" s="6" t="s">
        <v>2233</v>
      </c>
      <c r="F1147" s="6" t="s">
        <v>2232</v>
      </c>
      <c r="G1147" s="6" t="s">
        <v>16</v>
      </c>
      <c r="H1147" s="6" t="s">
        <v>15</v>
      </c>
      <c r="I1147" s="6" t="s">
        <v>14</v>
      </c>
      <c r="J1147" s="6" t="s">
        <v>35</v>
      </c>
      <c r="K1147" s="7">
        <v>29.862057289999999</v>
      </c>
      <c r="L1147" s="7">
        <v>-95.637927160000004</v>
      </c>
      <c r="M1147" s="6" t="s">
        <v>131</v>
      </c>
      <c r="N1147" s="6" t="s">
        <v>24</v>
      </c>
      <c r="O1147" s="6" t="s">
        <v>23</v>
      </c>
    </row>
    <row r="1148" spans="1:15" x14ac:dyDescent="0.25">
      <c r="A1148" s="6" t="s">
        <v>213</v>
      </c>
      <c r="B1148" s="6" t="s">
        <v>212</v>
      </c>
      <c r="C1148" s="6" t="s">
        <v>31</v>
      </c>
      <c r="E1148" s="6" t="s">
        <v>211</v>
      </c>
      <c r="F1148" s="6" t="s">
        <v>210</v>
      </c>
      <c r="G1148" s="6" t="s">
        <v>16</v>
      </c>
      <c r="H1148" s="6" t="s">
        <v>15</v>
      </c>
      <c r="I1148" s="6" t="s">
        <v>27</v>
      </c>
      <c r="J1148" s="6" t="s">
        <v>209</v>
      </c>
      <c r="K1148" s="7">
        <v>33.941073299999999</v>
      </c>
      <c r="L1148" s="7">
        <v>-98.678909520000005</v>
      </c>
      <c r="M1148" s="6" t="s">
        <v>208</v>
      </c>
      <c r="N1148" s="6" t="s">
        <v>43</v>
      </c>
      <c r="O1148" s="6" t="s">
        <v>95</v>
      </c>
    </row>
    <row r="1149" spans="1:15" x14ac:dyDescent="0.25">
      <c r="A1149" s="6" t="s">
        <v>8419</v>
      </c>
      <c r="B1149" s="6" t="s">
        <v>8418</v>
      </c>
      <c r="C1149" s="6" t="s">
        <v>31</v>
      </c>
      <c r="E1149" s="6" t="s">
        <v>8417</v>
      </c>
      <c r="F1149" s="6" t="s">
        <v>8413</v>
      </c>
      <c r="G1149" s="6" t="s">
        <v>16</v>
      </c>
      <c r="H1149" s="6" t="s">
        <v>15</v>
      </c>
      <c r="I1149" s="6" t="s">
        <v>46</v>
      </c>
      <c r="J1149" s="6" t="s">
        <v>67</v>
      </c>
      <c r="K1149" s="7">
        <v>32.52722533</v>
      </c>
      <c r="L1149" s="7">
        <v>-95.402596099999997</v>
      </c>
      <c r="M1149" s="6" t="s">
        <v>423</v>
      </c>
      <c r="N1149" s="6" t="s">
        <v>65</v>
      </c>
      <c r="O1149" s="6" t="s">
        <v>65</v>
      </c>
    </row>
    <row r="1150" spans="1:15" x14ac:dyDescent="0.25">
      <c r="A1150" s="6" t="s">
        <v>4213</v>
      </c>
      <c r="B1150" s="6" t="s">
        <v>4212</v>
      </c>
      <c r="C1150" s="6" t="s">
        <v>31</v>
      </c>
      <c r="E1150" s="6" t="s">
        <v>4211</v>
      </c>
      <c r="F1150" s="6" t="s">
        <v>4207</v>
      </c>
      <c r="G1150" s="6" t="s">
        <v>16</v>
      </c>
      <c r="H1150" s="6" t="s">
        <v>28</v>
      </c>
      <c r="I1150" s="6" t="s">
        <v>73</v>
      </c>
      <c r="J1150" s="6" t="s">
        <v>104</v>
      </c>
      <c r="K1150" s="7">
        <v>32.362951000000002</v>
      </c>
      <c r="L1150" s="7">
        <v>-96.120853999999994</v>
      </c>
      <c r="M1150" s="6" t="s">
        <v>193</v>
      </c>
      <c r="N1150" s="6" t="s">
        <v>102</v>
      </c>
      <c r="O1150" s="6" t="s">
        <v>42</v>
      </c>
    </row>
    <row r="1151" spans="1:15" x14ac:dyDescent="0.25">
      <c r="A1151" s="6" t="s">
        <v>8380</v>
      </c>
      <c r="B1151" s="6" t="s">
        <v>8379</v>
      </c>
      <c r="C1151" s="6" t="s">
        <v>31</v>
      </c>
      <c r="E1151" s="6" t="s">
        <v>8378</v>
      </c>
      <c r="F1151" s="6" t="s">
        <v>8377</v>
      </c>
      <c r="G1151" s="6" t="s">
        <v>16</v>
      </c>
      <c r="H1151" s="6" t="s">
        <v>28</v>
      </c>
      <c r="I1151" s="6" t="s">
        <v>27</v>
      </c>
      <c r="J1151" s="6" t="s">
        <v>4816</v>
      </c>
      <c r="K1151" s="7">
        <v>30.285921999999999</v>
      </c>
      <c r="L1151" s="7">
        <v>-98.402135999999999</v>
      </c>
      <c r="M1151" s="6" t="s">
        <v>7303</v>
      </c>
      <c r="N1151" s="6" t="s">
        <v>10</v>
      </c>
      <c r="O1151" s="6" t="s">
        <v>160</v>
      </c>
    </row>
    <row r="1152" spans="1:15" x14ac:dyDescent="0.25">
      <c r="A1152" s="6" t="s">
        <v>9650</v>
      </c>
      <c r="B1152" s="6" t="s">
        <v>9649</v>
      </c>
      <c r="C1152" s="6" t="s">
        <v>31</v>
      </c>
      <c r="E1152" s="6" t="s">
        <v>9648</v>
      </c>
      <c r="F1152" s="6" t="s">
        <v>9647</v>
      </c>
      <c r="G1152" s="6" t="s">
        <v>16</v>
      </c>
      <c r="H1152" s="6" t="s">
        <v>28</v>
      </c>
      <c r="I1152" s="6" t="s">
        <v>73</v>
      </c>
      <c r="J1152" s="6" t="s">
        <v>957</v>
      </c>
      <c r="K1152" s="7">
        <v>33.134341999999997</v>
      </c>
      <c r="L1152" s="7">
        <v>-95.828121999999993</v>
      </c>
      <c r="M1152" s="6" t="s">
        <v>956</v>
      </c>
      <c r="N1152" s="6" t="s">
        <v>65</v>
      </c>
      <c r="O1152" s="6" t="s">
        <v>65</v>
      </c>
    </row>
    <row r="1153" spans="1:15" x14ac:dyDescent="0.25">
      <c r="A1153" s="6" t="s">
        <v>7000</v>
      </c>
      <c r="B1153" s="6" t="s">
        <v>6999</v>
      </c>
      <c r="C1153" s="6" t="s">
        <v>31</v>
      </c>
      <c r="E1153" s="6" t="s">
        <v>6998</v>
      </c>
      <c r="F1153" s="6" t="s">
        <v>6997</v>
      </c>
      <c r="G1153" s="6" t="s">
        <v>16</v>
      </c>
      <c r="H1153" s="6" t="s">
        <v>15</v>
      </c>
      <c r="I1153" s="6" t="s">
        <v>14</v>
      </c>
      <c r="J1153" s="6" t="s">
        <v>1281</v>
      </c>
      <c r="K1153" s="7">
        <v>31.66026682</v>
      </c>
      <c r="L1153" s="7">
        <v>-96.477962289999994</v>
      </c>
      <c r="M1153" s="6" t="s">
        <v>1761</v>
      </c>
      <c r="N1153" s="6" t="s">
        <v>23</v>
      </c>
      <c r="O1153" s="6" t="s">
        <v>120</v>
      </c>
    </row>
    <row r="1154" spans="1:15" x14ac:dyDescent="0.25">
      <c r="A1154" s="6" t="s">
        <v>10676</v>
      </c>
      <c r="B1154" s="6" t="s">
        <v>10668</v>
      </c>
      <c r="C1154" s="6" t="s">
        <v>31</v>
      </c>
      <c r="E1154" s="6" t="s">
        <v>10667</v>
      </c>
      <c r="F1154" s="6" t="s">
        <v>10666</v>
      </c>
      <c r="G1154" s="6" t="s">
        <v>16</v>
      </c>
      <c r="H1154" s="6" t="s">
        <v>15</v>
      </c>
      <c r="I1154" s="6" t="s">
        <v>14</v>
      </c>
      <c r="J1154" s="6" t="s">
        <v>35</v>
      </c>
      <c r="K1154" s="7">
        <v>29.744100249999999</v>
      </c>
      <c r="L1154" s="7">
        <v>-95.160434350000003</v>
      </c>
      <c r="M1154" s="6" t="s">
        <v>34</v>
      </c>
      <c r="N1154" s="6" t="s">
        <v>24</v>
      </c>
      <c r="O1154" s="6" t="s">
        <v>23</v>
      </c>
    </row>
    <row r="1155" spans="1:15" x14ac:dyDescent="0.25">
      <c r="A1155" s="6" t="s">
        <v>10675</v>
      </c>
      <c r="B1155" s="6" t="s">
        <v>10668</v>
      </c>
      <c r="C1155" s="6" t="s">
        <v>19</v>
      </c>
      <c r="E1155" s="6" t="s">
        <v>10667</v>
      </c>
      <c r="F1155" s="6" t="s">
        <v>10666</v>
      </c>
      <c r="G1155" s="6" t="s">
        <v>16</v>
      </c>
      <c r="H1155" s="6" t="s">
        <v>430</v>
      </c>
      <c r="I1155" s="6" t="s">
        <v>14</v>
      </c>
      <c r="J1155" s="6" t="s">
        <v>35</v>
      </c>
      <c r="K1155" s="7">
        <v>29.88041205</v>
      </c>
      <c r="L1155" s="7">
        <v>-95.096773650000003</v>
      </c>
      <c r="M1155" s="6" t="s">
        <v>716</v>
      </c>
      <c r="N1155" s="6" t="s">
        <v>24</v>
      </c>
      <c r="O1155" s="6" t="s">
        <v>23</v>
      </c>
    </row>
    <row r="1156" spans="1:15" x14ac:dyDescent="0.25">
      <c r="A1156" s="6" t="s">
        <v>10670</v>
      </c>
      <c r="B1156" s="6" t="s">
        <v>10668</v>
      </c>
      <c r="C1156" s="6" t="s">
        <v>436</v>
      </c>
      <c r="E1156" s="6" t="s">
        <v>10667</v>
      </c>
      <c r="F1156" s="6" t="s">
        <v>10666</v>
      </c>
      <c r="G1156" s="6" t="s">
        <v>16</v>
      </c>
      <c r="H1156" s="6" t="s">
        <v>430</v>
      </c>
      <c r="I1156" s="6" t="s">
        <v>14</v>
      </c>
      <c r="J1156" s="6" t="s">
        <v>35</v>
      </c>
      <c r="K1156" s="7">
        <v>29.877450029999999</v>
      </c>
      <c r="L1156" s="7">
        <v>-95.097308609999999</v>
      </c>
      <c r="M1156" s="6" t="s">
        <v>716</v>
      </c>
      <c r="N1156" s="6" t="s">
        <v>24</v>
      </c>
      <c r="O1156" s="6" t="s">
        <v>23</v>
      </c>
    </row>
    <row r="1157" spans="1:15" x14ac:dyDescent="0.25">
      <c r="A1157" s="6" t="s">
        <v>10669</v>
      </c>
      <c r="B1157" s="6" t="s">
        <v>10668</v>
      </c>
      <c r="C1157" s="6" t="s">
        <v>597</v>
      </c>
      <c r="E1157" s="6" t="s">
        <v>10667</v>
      </c>
      <c r="F1157" s="6" t="s">
        <v>10666</v>
      </c>
      <c r="G1157" s="6" t="s">
        <v>16</v>
      </c>
      <c r="H1157" s="6" t="s">
        <v>430</v>
      </c>
      <c r="I1157" s="6" t="s">
        <v>14</v>
      </c>
      <c r="J1157" s="6" t="s">
        <v>35</v>
      </c>
      <c r="K1157" s="7">
        <v>29.883500649999998</v>
      </c>
      <c r="L1157" s="7">
        <v>-95.098131269999996</v>
      </c>
      <c r="M1157" s="6" t="s">
        <v>716</v>
      </c>
      <c r="N1157" s="6" t="s">
        <v>24</v>
      </c>
      <c r="O1157" s="6" t="s">
        <v>23</v>
      </c>
    </row>
    <row r="1158" spans="1:15" x14ac:dyDescent="0.25">
      <c r="A1158" s="6" t="s">
        <v>9073</v>
      </c>
      <c r="B1158" s="6" t="s">
        <v>9072</v>
      </c>
      <c r="C1158" s="6" t="s">
        <v>31</v>
      </c>
      <c r="E1158" s="6" t="s">
        <v>9071</v>
      </c>
      <c r="F1158" s="6" t="s">
        <v>9070</v>
      </c>
      <c r="G1158" s="6" t="s">
        <v>16</v>
      </c>
      <c r="H1158" s="6" t="s">
        <v>28</v>
      </c>
      <c r="I1158" s="6" t="s">
        <v>73</v>
      </c>
      <c r="J1158" s="6" t="s">
        <v>3204</v>
      </c>
      <c r="K1158" s="7">
        <v>34.260923869999999</v>
      </c>
      <c r="L1158" s="7">
        <v>-99.529571090000005</v>
      </c>
      <c r="M1158" s="6" t="s">
        <v>3203</v>
      </c>
      <c r="N1158" s="6" t="s">
        <v>43</v>
      </c>
      <c r="O1158" s="6" t="s">
        <v>95</v>
      </c>
    </row>
    <row r="1159" spans="1:15" x14ac:dyDescent="0.25">
      <c r="A1159" s="6" t="s">
        <v>5400</v>
      </c>
      <c r="B1159" s="6" t="s">
        <v>5399</v>
      </c>
      <c r="C1159" s="6" t="s">
        <v>31</v>
      </c>
      <c r="E1159" s="6" t="s">
        <v>5398</v>
      </c>
      <c r="F1159" s="6" t="s">
        <v>5388</v>
      </c>
      <c r="G1159" s="6" t="s">
        <v>16</v>
      </c>
      <c r="H1159" s="6" t="s">
        <v>15</v>
      </c>
      <c r="I1159" s="6" t="s">
        <v>14</v>
      </c>
      <c r="J1159" s="6" t="s">
        <v>873</v>
      </c>
      <c r="K1159" s="7">
        <v>29.507152349999998</v>
      </c>
      <c r="L1159" s="7">
        <v>-98.298652219999994</v>
      </c>
      <c r="M1159" s="6" t="s">
        <v>3582</v>
      </c>
      <c r="N1159" s="6" t="s">
        <v>232</v>
      </c>
      <c r="O1159" s="6" t="s">
        <v>231</v>
      </c>
    </row>
    <row r="1160" spans="1:15" x14ac:dyDescent="0.25">
      <c r="A1160" s="6" t="s">
        <v>348</v>
      </c>
      <c r="B1160" s="6" t="s">
        <v>347</v>
      </c>
      <c r="C1160" s="6" t="s">
        <v>31</v>
      </c>
      <c r="E1160" s="6" t="s">
        <v>346</v>
      </c>
      <c r="F1160" s="6" t="s">
        <v>345</v>
      </c>
      <c r="G1160" s="6" t="s">
        <v>16</v>
      </c>
      <c r="H1160" s="6" t="s">
        <v>15</v>
      </c>
      <c r="I1160" s="6" t="s">
        <v>14</v>
      </c>
      <c r="J1160" s="6" t="s">
        <v>35</v>
      </c>
      <c r="K1160" s="7">
        <v>29.802236709999999</v>
      </c>
      <c r="L1160" s="7">
        <v>-95.704172670000005</v>
      </c>
      <c r="M1160" s="6" t="s">
        <v>131</v>
      </c>
      <c r="N1160" s="6" t="s">
        <v>24</v>
      </c>
      <c r="O1160" s="6" t="s">
        <v>23</v>
      </c>
    </row>
    <row r="1161" spans="1:15" x14ac:dyDescent="0.25">
      <c r="A1161" s="6" t="s">
        <v>1045</v>
      </c>
      <c r="B1161" s="6" t="s">
        <v>1044</v>
      </c>
      <c r="C1161" s="6" t="s">
        <v>31</v>
      </c>
      <c r="E1161" s="6" t="s">
        <v>1043</v>
      </c>
      <c r="F1161" s="6" t="s">
        <v>1042</v>
      </c>
      <c r="G1161" s="6" t="s">
        <v>16</v>
      </c>
      <c r="H1161" s="6" t="s">
        <v>15</v>
      </c>
      <c r="I1161" s="6" t="s">
        <v>46</v>
      </c>
      <c r="J1161" s="6" t="s">
        <v>168</v>
      </c>
      <c r="K1161" s="7">
        <v>33.106334940000004</v>
      </c>
      <c r="L1161" s="7">
        <v>-96.889763869999996</v>
      </c>
      <c r="M1161" s="6" t="s">
        <v>167</v>
      </c>
      <c r="N1161" s="6" t="s">
        <v>102</v>
      </c>
      <c r="O1161" s="6" t="s">
        <v>42</v>
      </c>
    </row>
    <row r="1162" spans="1:15" x14ac:dyDescent="0.25">
      <c r="A1162" s="6" t="s">
        <v>6992</v>
      </c>
      <c r="B1162" s="6" t="s">
        <v>6991</v>
      </c>
      <c r="C1162" s="6" t="s">
        <v>31</v>
      </c>
      <c r="E1162" s="6" t="s">
        <v>6990</v>
      </c>
      <c r="F1162" s="6" t="s">
        <v>6989</v>
      </c>
      <c r="G1162" s="6" t="s">
        <v>16</v>
      </c>
      <c r="H1162" s="6" t="s">
        <v>28</v>
      </c>
      <c r="I1162" s="6" t="s">
        <v>60</v>
      </c>
      <c r="J1162" s="6" t="s">
        <v>6988</v>
      </c>
      <c r="K1162" s="7">
        <v>29.570708</v>
      </c>
      <c r="L1162" s="7">
        <v>-97.141277000000002</v>
      </c>
      <c r="M1162" s="6" t="s">
        <v>6987</v>
      </c>
      <c r="N1162" s="6" t="s">
        <v>510</v>
      </c>
      <c r="O1162" s="6" t="s">
        <v>10</v>
      </c>
    </row>
    <row r="1163" spans="1:15" x14ac:dyDescent="0.25">
      <c r="A1163" s="6" t="s">
        <v>4443</v>
      </c>
      <c r="B1163" s="6" t="s">
        <v>4442</v>
      </c>
      <c r="C1163" s="6" t="s">
        <v>31</v>
      </c>
      <c r="E1163" s="6" t="s">
        <v>4441</v>
      </c>
      <c r="F1163" s="6" t="s">
        <v>4440</v>
      </c>
      <c r="G1163" s="6" t="s">
        <v>16</v>
      </c>
      <c r="H1163" s="6" t="s">
        <v>28</v>
      </c>
      <c r="I1163" s="6" t="s">
        <v>60</v>
      </c>
      <c r="J1163" s="6" t="s">
        <v>1451</v>
      </c>
      <c r="K1163" s="7">
        <v>31.83538098</v>
      </c>
      <c r="L1163" s="7">
        <v>-96.792242920000007</v>
      </c>
      <c r="M1163" s="6" t="s">
        <v>981</v>
      </c>
      <c r="N1163" s="6" t="s">
        <v>102</v>
      </c>
      <c r="O1163" s="6" t="s">
        <v>120</v>
      </c>
    </row>
    <row r="1164" spans="1:15" x14ac:dyDescent="0.25">
      <c r="A1164" s="6" t="s">
        <v>10951</v>
      </c>
      <c r="B1164" s="6" t="s">
        <v>10950</v>
      </c>
      <c r="C1164" s="6" t="s">
        <v>31</v>
      </c>
      <c r="E1164" s="6" t="s">
        <v>10949</v>
      </c>
      <c r="F1164" s="6" t="s">
        <v>10948</v>
      </c>
      <c r="G1164" s="6" t="s">
        <v>16</v>
      </c>
      <c r="H1164" s="6" t="s">
        <v>15</v>
      </c>
      <c r="I1164" s="6" t="s">
        <v>14</v>
      </c>
      <c r="J1164" s="6" t="s">
        <v>853</v>
      </c>
      <c r="K1164" s="7">
        <v>29.841703899999999</v>
      </c>
      <c r="L1164" s="7">
        <v>-94.848079290000001</v>
      </c>
      <c r="M1164" s="6" t="s">
        <v>894</v>
      </c>
      <c r="N1164" s="6" t="s">
        <v>120</v>
      </c>
      <c r="O1164" s="6" t="s">
        <v>23</v>
      </c>
    </row>
    <row r="1165" spans="1:15" x14ac:dyDescent="0.25">
      <c r="A1165" s="6" t="s">
        <v>2176</v>
      </c>
      <c r="B1165" s="6" t="s">
        <v>2175</v>
      </c>
      <c r="C1165" s="6" t="s">
        <v>31</v>
      </c>
      <c r="E1165" s="6" t="s">
        <v>2174</v>
      </c>
      <c r="F1165" s="6" t="s">
        <v>2173</v>
      </c>
      <c r="G1165" s="6" t="s">
        <v>16</v>
      </c>
      <c r="H1165" s="6" t="s">
        <v>15</v>
      </c>
      <c r="I1165" s="6" t="s">
        <v>14</v>
      </c>
      <c r="J1165" s="6" t="s">
        <v>35</v>
      </c>
      <c r="K1165" s="7">
        <v>29.923835390000001</v>
      </c>
      <c r="L1165" s="7">
        <v>-95.568623830000007</v>
      </c>
      <c r="M1165" s="6" t="s">
        <v>77</v>
      </c>
      <c r="N1165" s="6" t="s">
        <v>24</v>
      </c>
      <c r="O1165" s="6" t="s">
        <v>23</v>
      </c>
    </row>
    <row r="1166" spans="1:15" x14ac:dyDescent="0.25">
      <c r="A1166" s="6" t="s">
        <v>10720</v>
      </c>
      <c r="B1166" s="6" t="s">
        <v>10719</v>
      </c>
      <c r="C1166" s="6" t="s">
        <v>31</v>
      </c>
      <c r="E1166" s="6" t="s">
        <v>10718</v>
      </c>
      <c r="F1166" s="6" t="s">
        <v>10717</v>
      </c>
      <c r="G1166" s="6" t="s">
        <v>16</v>
      </c>
      <c r="H1166" s="6" t="s">
        <v>28</v>
      </c>
      <c r="I1166" s="6" t="s">
        <v>60</v>
      </c>
      <c r="J1166" s="6" t="s">
        <v>2101</v>
      </c>
      <c r="K1166" s="7">
        <v>33.620725</v>
      </c>
      <c r="L1166" s="7">
        <v>-96.412295999999998</v>
      </c>
      <c r="M1166" s="6" t="s">
        <v>44</v>
      </c>
      <c r="N1166" s="6" t="s">
        <v>43</v>
      </c>
      <c r="O1166" s="6" t="s">
        <v>42</v>
      </c>
    </row>
    <row r="1167" spans="1:15" x14ac:dyDescent="0.25">
      <c r="A1167" s="6" t="s">
        <v>10622</v>
      </c>
      <c r="B1167" s="6" t="s">
        <v>10621</v>
      </c>
      <c r="C1167" s="6" t="s">
        <v>31</v>
      </c>
      <c r="E1167" s="6" t="s">
        <v>10620</v>
      </c>
      <c r="F1167" s="6" t="s">
        <v>10619</v>
      </c>
      <c r="G1167" s="6" t="s">
        <v>16</v>
      </c>
      <c r="H1167" s="6" t="s">
        <v>28</v>
      </c>
      <c r="I1167" s="6" t="s">
        <v>60</v>
      </c>
      <c r="J1167" s="6" t="s">
        <v>2646</v>
      </c>
      <c r="K1167" s="7">
        <v>31.208116</v>
      </c>
      <c r="L1167" s="7">
        <v>-97.040002000000001</v>
      </c>
      <c r="M1167" s="6" t="s">
        <v>121</v>
      </c>
      <c r="N1167" s="6" t="s">
        <v>23</v>
      </c>
      <c r="O1167" s="6" t="s">
        <v>120</v>
      </c>
    </row>
    <row r="1168" spans="1:15" x14ac:dyDescent="0.25">
      <c r="A1168" s="6" t="s">
        <v>10453</v>
      </c>
      <c r="B1168" s="6" t="s">
        <v>10452</v>
      </c>
      <c r="C1168" s="6" t="s">
        <v>31</v>
      </c>
      <c r="E1168" s="6" t="s">
        <v>10451</v>
      </c>
      <c r="F1168" s="6" t="s">
        <v>10450</v>
      </c>
      <c r="G1168" s="6" t="s">
        <v>16</v>
      </c>
      <c r="H1168" s="6" t="s">
        <v>15</v>
      </c>
      <c r="I1168" s="6" t="s">
        <v>36</v>
      </c>
      <c r="J1168" s="6" t="s">
        <v>2624</v>
      </c>
      <c r="K1168" s="7">
        <v>28.69043752</v>
      </c>
      <c r="L1168" s="7">
        <v>-99.839018190000004</v>
      </c>
      <c r="M1168" s="6" t="s">
        <v>5841</v>
      </c>
      <c r="N1168" s="6" t="s">
        <v>524</v>
      </c>
      <c r="O1168" s="6" t="s">
        <v>510</v>
      </c>
    </row>
    <row r="1169" spans="1:15" x14ac:dyDescent="0.25">
      <c r="A1169" s="6" t="s">
        <v>6839</v>
      </c>
      <c r="B1169" s="6" t="s">
        <v>6838</v>
      </c>
      <c r="C1169" s="6" t="s">
        <v>31</v>
      </c>
      <c r="E1169" s="6" t="s">
        <v>6837</v>
      </c>
      <c r="F1169" s="6" t="s">
        <v>6836</v>
      </c>
      <c r="G1169" s="6" t="s">
        <v>16</v>
      </c>
      <c r="H1169" s="6" t="s">
        <v>28</v>
      </c>
      <c r="I1169" s="6" t="s">
        <v>27</v>
      </c>
      <c r="J1169" s="6" t="s">
        <v>1013</v>
      </c>
      <c r="K1169" s="7">
        <v>31.26849434</v>
      </c>
      <c r="L1169" s="7">
        <v>-94.558449699999997</v>
      </c>
      <c r="M1169" s="6" t="s">
        <v>53</v>
      </c>
      <c r="N1169" s="6" t="s">
        <v>52</v>
      </c>
      <c r="O1169" s="6" t="s">
        <v>24</v>
      </c>
    </row>
    <row r="1170" spans="1:15" x14ac:dyDescent="0.25">
      <c r="A1170" s="6" t="s">
        <v>10465</v>
      </c>
      <c r="B1170" s="6" t="s">
        <v>10464</v>
      </c>
      <c r="C1170" s="6" t="s">
        <v>31</v>
      </c>
      <c r="E1170" s="6" t="s">
        <v>10463</v>
      </c>
      <c r="F1170" s="6" t="s">
        <v>10462</v>
      </c>
      <c r="G1170" s="6" t="s">
        <v>16</v>
      </c>
      <c r="H1170" s="6" t="s">
        <v>28</v>
      </c>
      <c r="I1170" s="6" t="s">
        <v>73</v>
      </c>
      <c r="J1170" s="6" t="s">
        <v>982</v>
      </c>
      <c r="K1170" s="7">
        <v>31.891414210000001</v>
      </c>
      <c r="L1170" s="7">
        <v>-96.70298391</v>
      </c>
      <c r="M1170" s="6" t="s">
        <v>10461</v>
      </c>
      <c r="N1170" s="6" t="s">
        <v>102</v>
      </c>
      <c r="O1170" s="6" t="s">
        <v>42</v>
      </c>
    </row>
    <row r="1171" spans="1:15" x14ac:dyDescent="0.25">
      <c r="A1171" s="6" t="s">
        <v>7813</v>
      </c>
      <c r="B1171" s="6" t="s">
        <v>7812</v>
      </c>
      <c r="C1171" s="6" t="s">
        <v>31</v>
      </c>
      <c r="E1171" s="6" t="s">
        <v>7811</v>
      </c>
      <c r="F1171" s="6" t="s">
        <v>7810</v>
      </c>
      <c r="G1171" s="6" t="s">
        <v>16</v>
      </c>
      <c r="H1171" s="6" t="s">
        <v>28</v>
      </c>
      <c r="I1171" s="6" t="s">
        <v>27</v>
      </c>
      <c r="J1171" s="6" t="s">
        <v>122</v>
      </c>
      <c r="K1171" s="7">
        <v>31.674358000000002</v>
      </c>
      <c r="L1171" s="7">
        <v>-97.082323000000002</v>
      </c>
      <c r="M1171" s="6" t="s">
        <v>121</v>
      </c>
      <c r="N1171" s="6" t="s">
        <v>23</v>
      </c>
      <c r="O1171" s="6" t="s">
        <v>120</v>
      </c>
    </row>
    <row r="1172" spans="1:15" x14ac:dyDescent="0.25">
      <c r="A1172" s="6" t="s">
        <v>5316</v>
      </c>
      <c r="B1172" s="6" t="s">
        <v>5315</v>
      </c>
      <c r="C1172" s="6" t="s">
        <v>31</v>
      </c>
      <c r="E1172" s="6" t="s">
        <v>5314</v>
      </c>
      <c r="F1172" s="6" t="s">
        <v>4984</v>
      </c>
      <c r="G1172" s="6" t="s">
        <v>16</v>
      </c>
      <c r="H1172" s="6" t="s">
        <v>28</v>
      </c>
      <c r="I1172" s="6" t="s">
        <v>27</v>
      </c>
      <c r="J1172" s="6" t="s">
        <v>1519</v>
      </c>
      <c r="K1172" s="7">
        <v>30.334261099999999</v>
      </c>
      <c r="L1172" s="7">
        <v>-95.101972239999995</v>
      </c>
      <c r="M1172" s="6" t="s">
        <v>301</v>
      </c>
      <c r="N1172" s="6" t="s">
        <v>24</v>
      </c>
      <c r="O1172" s="6" t="s">
        <v>23</v>
      </c>
    </row>
    <row r="1173" spans="1:15" x14ac:dyDescent="0.25">
      <c r="A1173" s="6" t="s">
        <v>5313</v>
      </c>
      <c r="B1173" s="6" t="s">
        <v>5312</v>
      </c>
      <c r="C1173" s="6" t="s">
        <v>31</v>
      </c>
      <c r="E1173" s="6" t="s">
        <v>5311</v>
      </c>
      <c r="F1173" s="6" t="s">
        <v>4984</v>
      </c>
      <c r="G1173" s="6" t="s">
        <v>16</v>
      </c>
      <c r="H1173" s="6" t="s">
        <v>28</v>
      </c>
      <c r="I1173" s="6" t="s">
        <v>60</v>
      </c>
      <c r="J1173" s="6" t="s">
        <v>1519</v>
      </c>
      <c r="K1173" s="7">
        <v>30.333708999999999</v>
      </c>
      <c r="L1173" s="7">
        <v>-95.052310000000006</v>
      </c>
      <c r="M1173" s="6" t="s">
        <v>1766</v>
      </c>
      <c r="N1173" s="6" t="s">
        <v>24</v>
      </c>
      <c r="O1173" s="6" t="s">
        <v>23</v>
      </c>
    </row>
    <row r="1174" spans="1:15" x14ac:dyDescent="0.25">
      <c r="A1174" s="6" t="s">
        <v>3009</v>
      </c>
      <c r="B1174" s="6" t="s">
        <v>3008</v>
      </c>
      <c r="C1174" s="6" t="s">
        <v>31</v>
      </c>
      <c r="E1174" s="6" t="s">
        <v>3007</v>
      </c>
      <c r="F1174" s="6" t="s">
        <v>3006</v>
      </c>
      <c r="G1174" s="6" t="s">
        <v>16</v>
      </c>
      <c r="H1174" s="6" t="s">
        <v>28</v>
      </c>
      <c r="I1174" s="6" t="s">
        <v>73</v>
      </c>
      <c r="J1174" s="6" t="s">
        <v>395</v>
      </c>
      <c r="K1174" s="7">
        <v>33.561978000000003</v>
      </c>
      <c r="L1174" s="7">
        <v>-94.776447000000005</v>
      </c>
      <c r="M1174" s="6" t="s">
        <v>44</v>
      </c>
      <c r="N1174" s="6" t="s">
        <v>43</v>
      </c>
      <c r="O1174" s="6" t="s">
        <v>65</v>
      </c>
    </row>
    <row r="1175" spans="1:15" x14ac:dyDescent="0.25">
      <c r="A1175" s="6" t="s">
        <v>10735</v>
      </c>
      <c r="B1175" s="6" t="s">
        <v>10734</v>
      </c>
      <c r="C1175" s="6" t="s">
        <v>31</v>
      </c>
      <c r="E1175" s="6" t="s">
        <v>10733</v>
      </c>
      <c r="F1175" s="6" t="s">
        <v>10732</v>
      </c>
      <c r="G1175" s="6" t="s">
        <v>16</v>
      </c>
      <c r="H1175" s="6" t="s">
        <v>28</v>
      </c>
      <c r="I1175" s="6" t="s">
        <v>60</v>
      </c>
      <c r="J1175" s="6" t="s">
        <v>626</v>
      </c>
      <c r="K1175" s="7">
        <v>31.698128000000001</v>
      </c>
      <c r="L1175" s="7">
        <v>-99.130146999999994</v>
      </c>
      <c r="M1175" s="6" t="s">
        <v>5913</v>
      </c>
      <c r="N1175" s="6" t="s">
        <v>10</v>
      </c>
      <c r="O1175" s="6" t="s">
        <v>95</v>
      </c>
    </row>
    <row r="1176" spans="1:15" x14ac:dyDescent="0.25">
      <c r="A1176" s="6" t="s">
        <v>2712</v>
      </c>
      <c r="B1176" s="6" t="s">
        <v>2711</v>
      </c>
      <c r="C1176" s="6" t="s">
        <v>31</v>
      </c>
      <c r="E1176" s="6" t="s">
        <v>2710</v>
      </c>
      <c r="F1176" s="6" t="s">
        <v>2709</v>
      </c>
      <c r="G1176" s="6" t="s">
        <v>16</v>
      </c>
      <c r="H1176" s="6" t="s">
        <v>28</v>
      </c>
      <c r="I1176" s="6" t="s">
        <v>36</v>
      </c>
      <c r="J1176" s="6" t="s">
        <v>2646</v>
      </c>
      <c r="K1176" s="7">
        <v>31.268877150000002</v>
      </c>
      <c r="L1176" s="7">
        <v>-97.059855540000001</v>
      </c>
      <c r="M1176" s="6" t="s">
        <v>121</v>
      </c>
      <c r="N1176" s="6" t="s">
        <v>23</v>
      </c>
      <c r="O1176" s="6" t="s">
        <v>120</v>
      </c>
    </row>
    <row r="1177" spans="1:15" x14ac:dyDescent="0.25">
      <c r="A1177" s="6" t="s">
        <v>7046</v>
      </c>
      <c r="B1177" s="6" t="s">
        <v>7045</v>
      </c>
      <c r="C1177" s="6" t="s">
        <v>31</v>
      </c>
      <c r="E1177" s="6" t="s">
        <v>7044</v>
      </c>
      <c r="F1177" s="6" t="s">
        <v>7043</v>
      </c>
      <c r="G1177" s="6" t="s">
        <v>16</v>
      </c>
      <c r="H1177" s="6" t="s">
        <v>28</v>
      </c>
      <c r="I1177" s="6" t="s">
        <v>27</v>
      </c>
      <c r="J1177" s="6" t="s">
        <v>97</v>
      </c>
      <c r="K1177" s="7">
        <v>33.536354000000003</v>
      </c>
      <c r="L1177" s="7">
        <v>-95.721917000000005</v>
      </c>
      <c r="M1177" s="6" t="s">
        <v>2115</v>
      </c>
      <c r="N1177" s="6" t="s">
        <v>95</v>
      </c>
      <c r="O1177" s="6" t="s">
        <v>65</v>
      </c>
    </row>
    <row r="1178" spans="1:15" x14ac:dyDescent="0.25">
      <c r="A1178" s="6" t="s">
        <v>4520</v>
      </c>
      <c r="B1178" s="6" t="s">
        <v>4519</v>
      </c>
      <c r="C1178" s="6" t="s">
        <v>31</v>
      </c>
      <c r="E1178" s="6" t="s">
        <v>4518</v>
      </c>
      <c r="F1178" s="6" t="s">
        <v>4517</v>
      </c>
      <c r="G1178" s="6" t="s">
        <v>16</v>
      </c>
      <c r="H1178" s="6" t="s">
        <v>28</v>
      </c>
      <c r="I1178" s="6" t="s">
        <v>73</v>
      </c>
      <c r="J1178" s="6" t="s">
        <v>632</v>
      </c>
      <c r="K1178" s="7">
        <v>30.161168</v>
      </c>
      <c r="L1178" s="7">
        <v>-93.751779999999997</v>
      </c>
      <c r="M1178" s="6" t="s">
        <v>631</v>
      </c>
      <c r="N1178" s="6" t="s">
        <v>65</v>
      </c>
      <c r="O1178" s="6" t="s">
        <v>24</v>
      </c>
    </row>
    <row r="1179" spans="1:15" x14ac:dyDescent="0.25">
      <c r="A1179" s="6" t="s">
        <v>8756</v>
      </c>
      <c r="B1179" s="6" t="s">
        <v>8755</v>
      </c>
      <c r="C1179" s="6" t="s">
        <v>31</v>
      </c>
      <c r="E1179" s="6" t="s">
        <v>8754</v>
      </c>
      <c r="F1179" s="6" t="s">
        <v>8753</v>
      </c>
      <c r="G1179" s="6" t="s">
        <v>16</v>
      </c>
      <c r="H1179" s="6" t="s">
        <v>28</v>
      </c>
      <c r="I1179" s="6" t="s">
        <v>27</v>
      </c>
      <c r="J1179" s="6" t="s">
        <v>1288</v>
      </c>
      <c r="K1179" s="7">
        <v>32.303904119999999</v>
      </c>
      <c r="L1179" s="7">
        <v>-97.00707586</v>
      </c>
      <c r="M1179" s="6" t="s">
        <v>2048</v>
      </c>
      <c r="N1179" s="6" t="s">
        <v>102</v>
      </c>
      <c r="O1179" s="6" t="s">
        <v>42</v>
      </c>
    </row>
    <row r="1180" spans="1:15" x14ac:dyDescent="0.25">
      <c r="A1180" s="6" t="s">
        <v>10610</v>
      </c>
      <c r="B1180" s="6" t="s">
        <v>10609</v>
      </c>
      <c r="C1180" s="6" t="s">
        <v>31</v>
      </c>
      <c r="E1180" s="6" t="s">
        <v>10608</v>
      </c>
      <c r="F1180" s="6" t="s">
        <v>10607</v>
      </c>
      <c r="G1180" s="6" t="s">
        <v>16</v>
      </c>
      <c r="H1180" s="6" t="s">
        <v>28</v>
      </c>
      <c r="I1180" s="6" t="s">
        <v>60</v>
      </c>
      <c r="J1180" s="6" t="s">
        <v>928</v>
      </c>
      <c r="K1180" s="7">
        <v>31.470983</v>
      </c>
      <c r="L1180" s="7">
        <v>-96.061610999999999</v>
      </c>
      <c r="M1180" s="6" t="s">
        <v>1031</v>
      </c>
      <c r="N1180" s="6" t="s">
        <v>102</v>
      </c>
      <c r="O1180" s="6" t="s">
        <v>120</v>
      </c>
    </row>
    <row r="1181" spans="1:15" x14ac:dyDescent="0.25">
      <c r="A1181" s="6" t="s">
        <v>2190</v>
      </c>
      <c r="B1181" s="6" t="s">
        <v>2189</v>
      </c>
      <c r="C1181" s="6" t="s">
        <v>31</v>
      </c>
      <c r="E1181" s="6" t="s">
        <v>2188</v>
      </c>
      <c r="F1181" s="6" t="s">
        <v>2187</v>
      </c>
      <c r="G1181" s="6" t="s">
        <v>16</v>
      </c>
      <c r="H1181" s="6" t="s">
        <v>15</v>
      </c>
      <c r="I1181" s="6" t="s">
        <v>36</v>
      </c>
      <c r="J1181" s="6" t="s">
        <v>132</v>
      </c>
      <c r="K1181" s="7">
        <v>29.600214260000001</v>
      </c>
      <c r="L1181" s="7">
        <v>-95.509211739999998</v>
      </c>
      <c r="M1181" s="6" t="s">
        <v>866</v>
      </c>
      <c r="N1181" s="6" t="s">
        <v>24</v>
      </c>
      <c r="O1181" s="6" t="s">
        <v>23</v>
      </c>
    </row>
    <row r="1182" spans="1:15" x14ac:dyDescent="0.25">
      <c r="A1182" s="6" t="s">
        <v>11081</v>
      </c>
      <c r="B1182" s="6" t="s">
        <v>11080</v>
      </c>
      <c r="C1182" s="6" t="s">
        <v>31</v>
      </c>
      <c r="E1182" s="6" t="s">
        <v>11079</v>
      </c>
      <c r="F1182" s="6" t="s">
        <v>11078</v>
      </c>
      <c r="G1182" s="6" t="s">
        <v>16</v>
      </c>
      <c r="H1182" s="6" t="s">
        <v>15</v>
      </c>
      <c r="I1182" s="6" t="s">
        <v>14</v>
      </c>
      <c r="J1182" s="6" t="s">
        <v>4455</v>
      </c>
      <c r="K1182" s="7">
        <v>30.845286269999999</v>
      </c>
      <c r="L1182" s="7">
        <v>-96.966099510000006</v>
      </c>
      <c r="M1182" s="6" t="s">
        <v>252</v>
      </c>
      <c r="N1182" s="6" t="s">
        <v>23</v>
      </c>
      <c r="O1182" s="6" t="s">
        <v>120</v>
      </c>
    </row>
    <row r="1183" spans="1:15" x14ac:dyDescent="0.25">
      <c r="A1183" s="6" t="s">
        <v>10756</v>
      </c>
      <c r="B1183" s="6" t="s">
        <v>10755</v>
      </c>
      <c r="C1183" s="6" t="s">
        <v>31</v>
      </c>
      <c r="E1183" s="6" t="s">
        <v>10754</v>
      </c>
      <c r="F1183" s="6" t="s">
        <v>10753</v>
      </c>
      <c r="G1183" s="6" t="s">
        <v>16</v>
      </c>
      <c r="H1183" s="6" t="s">
        <v>28</v>
      </c>
      <c r="I1183" s="6" t="s">
        <v>27</v>
      </c>
      <c r="J1183" s="6" t="s">
        <v>1209</v>
      </c>
      <c r="K1183" s="7">
        <v>31.919072</v>
      </c>
      <c r="L1183" s="7">
        <v>-97.653842999999995</v>
      </c>
      <c r="M1183" s="6" t="s">
        <v>1208</v>
      </c>
      <c r="N1183" s="6" t="s">
        <v>23</v>
      </c>
      <c r="O1183" s="6" t="s">
        <v>120</v>
      </c>
    </row>
    <row r="1184" spans="1:15" x14ac:dyDescent="0.25">
      <c r="A1184" s="6" t="s">
        <v>686</v>
      </c>
      <c r="B1184" s="6" t="s">
        <v>685</v>
      </c>
      <c r="C1184" s="6" t="s">
        <v>31</v>
      </c>
      <c r="E1184" s="6" t="s">
        <v>684</v>
      </c>
      <c r="F1184" s="6" t="s">
        <v>683</v>
      </c>
      <c r="G1184" s="6" t="s">
        <v>16</v>
      </c>
      <c r="H1184" s="6" t="s">
        <v>28</v>
      </c>
      <c r="I1184" s="6" t="s">
        <v>14</v>
      </c>
      <c r="J1184" s="6" t="s">
        <v>682</v>
      </c>
      <c r="K1184" s="7">
        <v>32.396059379999997</v>
      </c>
      <c r="L1184" s="7">
        <v>-98.978454850000006</v>
      </c>
      <c r="M1184" s="6" t="s">
        <v>681</v>
      </c>
      <c r="N1184" s="6" t="s">
        <v>23</v>
      </c>
      <c r="O1184" s="6" t="s">
        <v>95</v>
      </c>
    </row>
    <row r="1185" spans="1:15" x14ac:dyDescent="0.25">
      <c r="A1185" s="6" t="s">
        <v>12399</v>
      </c>
      <c r="B1185" s="6" t="s">
        <v>12398</v>
      </c>
      <c r="C1185" s="6" t="s">
        <v>31</v>
      </c>
      <c r="E1185" s="6" t="s">
        <v>12397</v>
      </c>
      <c r="F1185" s="6" t="s">
        <v>12396</v>
      </c>
      <c r="G1185" s="6" t="s">
        <v>16</v>
      </c>
      <c r="H1185" s="6" t="s">
        <v>28</v>
      </c>
      <c r="I1185" s="6" t="s">
        <v>46</v>
      </c>
      <c r="J1185" s="6" t="s">
        <v>168</v>
      </c>
      <c r="K1185" s="7">
        <v>33.167055300000001</v>
      </c>
      <c r="L1185" s="7">
        <v>-96.911036589999995</v>
      </c>
      <c r="M1185" s="6" t="s">
        <v>167</v>
      </c>
      <c r="N1185" s="6" t="s">
        <v>102</v>
      </c>
      <c r="O1185" s="6" t="s">
        <v>42</v>
      </c>
    </row>
    <row r="1186" spans="1:15" x14ac:dyDescent="0.25">
      <c r="A1186" s="6" t="s">
        <v>5788</v>
      </c>
      <c r="B1186" s="6" t="s">
        <v>3158</v>
      </c>
      <c r="C1186" s="6" t="s">
        <v>31</v>
      </c>
      <c r="E1186" s="6" t="s">
        <v>3157</v>
      </c>
      <c r="F1186" s="6" t="s">
        <v>3156</v>
      </c>
      <c r="G1186" s="6" t="s">
        <v>16</v>
      </c>
      <c r="H1186" s="6" t="s">
        <v>15</v>
      </c>
      <c r="I1186" s="6" t="s">
        <v>14</v>
      </c>
      <c r="J1186" s="6" t="s">
        <v>162</v>
      </c>
      <c r="K1186" s="7">
        <v>28.983935679999998</v>
      </c>
      <c r="L1186" s="7">
        <v>-95.363055040000006</v>
      </c>
      <c r="M1186" s="6" t="s">
        <v>244</v>
      </c>
      <c r="N1186" s="6" t="s">
        <v>23</v>
      </c>
      <c r="O1186" s="6" t="s">
        <v>23</v>
      </c>
    </row>
    <row r="1187" spans="1:15" x14ac:dyDescent="0.25">
      <c r="A1187" s="6" t="s">
        <v>5740</v>
      </c>
      <c r="B1187" s="6" t="s">
        <v>3158</v>
      </c>
      <c r="C1187" s="6" t="s">
        <v>19</v>
      </c>
      <c r="E1187" s="6" t="s">
        <v>3157</v>
      </c>
      <c r="F1187" s="6" t="s">
        <v>3156</v>
      </c>
      <c r="G1187" s="6" t="s">
        <v>16</v>
      </c>
      <c r="H1187" s="6" t="s">
        <v>430</v>
      </c>
      <c r="I1187" s="6" t="s">
        <v>14</v>
      </c>
      <c r="J1187" s="6" t="s">
        <v>162</v>
      </c>
      <c r="K1187" s="7">
        <v>28.990923590000001</v>
      </c>
      <c r="L1187" s="7">
        <v>-95.355792309999998</v>
      </c>
      <c r="M1187" s="6" t="s">
        <v>1606</v>
      </c>
      <c r="N1187" s="6" t="s">
        <v>160</v>
      </c>
      <c r="O1187" s="6" t="s">
        <v>23</v>
      </c>
    </row>
    <row r="1188" spans="1:15" x14ac:dyDescent="0.25">
      <c r="A1188" s="6" t="s">
        <v>5741</v>
      </c>
      <c r="B1188" s="6" t="s">
        <v>3158</v>
      </c>
      <c r="C1188" s="6" t="s">
        <v>436</v>
      </c>
      <c r="E1188" s="6" t="s">
        <v>3157</v>
      </c>
      <c r="F1188" s="6" t="s">
        <v>3156</v>
      </c>
      <c r="G1188" s="6" t="s">
        <v>16</v>
      </c>
      <c r="H1188" s="6" t="s">
        <v>430</v>
      </c>
      <c r="I1188" s="6" t="s">
        <v>14</v>
      </c>
      <c r="J1188" s="6" t="s">
        <v>162</v>
      </c>
      <c r="K1188" s="7">
        <v>28.99152634</v>
      </c>
      <c r="L1188" s="7">
        <v>-95.357802609999993</v>
      </c>
      <c r="M1188" s="6" t="s">
        <v>1606</v>
      </c>
      <c r="N1188" s="6" t="s">
        <v>160</v>
      </c>
      <c r="O1188" s="6" t="s">
        <v>23</v>
      </c>
    </row>
    <row r="1189" spans="1:15" x14ac:dyDescent="0.25">
      <c r="A1189" s="6" t="s">
        <v>5787</v>
      </c>
      <c r="B1189" s="6" t="s">
        <v>3158</v>
      </c>
      <c r="C1189" s="6" t="s">
        <v>597</v>
      </c>
      <c r="E1189" s="6" t="s">
        <v>3157</v>
      </c>
      <c r="F1189" s="6" t="s">
        <v>3156</v>
      </c>
      <c r="G1189" s="6" t="s">
        <v>16</v>
      </c>
      <c r="H1189" s="6" t="s">
        <v>15</v>
      </c>
      <c r="I1189" s="6" t="s">
        <v>14</v>
      </c>
      <c r="J1189" s="6" t="s">
        <v>162</v>
      </c>
      <c r="K1189" s="7">
        <v>28.983935679999998</v>
      </c>
      <c r="L1189" s="7">
        <v>-95.363055040000006</v>
      </c>
      <c r="M1189" s="6" t="s">
        <v>244</v>
      </c>
      <c r="N1189" s="6" t="s">
        <v>23</v>
      </c>
      <c r="O1189" s="6" t="s">
        <v>23</v>
      </c>
    </row>
    <row r="1190" spans="1:15" x14ac:dyDescent="0.25">
      <c r="A1190" s="6" t="s">
        <v>5744</v>
      </c>
      <c r="B1190" s="6" t="s">
        <v>3158</v>
      </c>
      <c r="C1190" s="6" t="s">
        <v>557</v>
      </c>
      <c r="E1190" s="6" t="s">
        <v>3157</v>
      </c>
      <c r="F1190" s="6" t="s">
        <v>3156</v>
      </c>
      <c r="G1190" s="6" t="s">
        <v>16</v>
      </c>
      <c r="H1190" s="6" t="s">
        <v>430</v>
      </c>
      <c r="I1190" s="6" t="s">
        <v>14</v>
      </c>
      <c r="J1190" s="6" t="s">
        <v>162</v>
      </c>
      <c r="K1190" s="7">
        <v>28.99860893</v>
      </c>
      <c r="L1190" s="7">
        <v>-95.354164490000002</v>
      </c>
      <c r="M1190" s="6" t="s">
        <v>1606</v>
      </c>
      <c r="N1190" s="6" t="s">
        <v>160</v>
      </c>
      <c r="O1190" s="6" t="s">
        <v>23</v>
      </c>
    </row>
    <row r="1191" spans="1:15" x14ac:dyDescent="0.25">
      <c r="A1191" s="6" t="s">
        <v>3159</v>
      </c>
      <c r="B1191" s="6" t="s">
        <v>3158</v>
      </c>
      <c r="C1191" s="6" t="s">
        <v>433</v>
      </c>
      <c r="E1191" s="6" t="s">
        <v>3157</v>
      </c>
      <c r="F1191" s="6" t="s">
        <v>3156</v>
      </c>
      <c r="G1191" s="6" t="s">
        <v>16</v>
      </c>
      <c r="H1191" s="6" t="s">
        <v>15</v>
      </c>
      <c r="I1191" s="6" t="s">
        <v>14</v>
      </c>
      <c r="J1191" s="6" t="s">
        <v>162</v>
      </c>
      <c r="K1191" s="7">
        <v>28.983935679999998</v>
      </c>
      <c r="L1191" s="7">
        <v>-95.363055040000006</v>
      </c>
      <c r="M1191" s="6" t="s">
        <v>244</v>
      </c>
      <c r="N1191" s="6" t="s">
        <v>23</v>
      </c>
      <c r="O1191" s="6" t="s">
        <v>23</v>
      </c>
    </row>
    <row r="1192" spans="1:15" x14ac:dyDescent="0.25">
      <c r="A1192" s="6" t="s">
        <v>5743</v>
      </c>
      <c r="B1192" s="6" t="s">
        <v>3158</v>
      </c>
      <c r="C1192" s="6" t="s">
        <v>1098</v>
      </c>
      <c r="E1192" s="6" t="s">
        <v>3157</v>
      </c>
      <c r="F1192" s="6" t="s">
        <v>3156</v>
      </c>
      <c r="G1192" s="6" t="s">
        <v>16</v>
      </c>
      <c r="H1192" s="6" t="s">
        <v>430</v>
      </c>
      <c r="I1192" s="6" t="s">
        <v>14</v>
      </c>
      <c r="J1192" s="6" t="s">
        <v>162</v>
      </c>
      <c r="K1192" s="7">
        <v>28.99860893</v>
      </c>
      <c r="L1192" s="7">
        <v>-95.354164490000002</v>
      </c>
      <c r="M1192" s="6" t="s">
        <v>1606</v>
      </c>
      <c r="N1192" s="6" t="s">
        <v>160</v>
      </c>
      <c r="O1192" s="6" t="s">
        <v>23</v>
      </c>
    </row>
    <row r="1193" spans="1:15" x14ac:dyDescent="0.25">
      <c r="A1193" s="6" t="s">
        <v>5742</v>
      </c>
      <c r="B1193" s="6" t="s">
        <v>3158</v>
      </c>
      <c r="C1193" s="6" t="s">
        <v>1096</v>
      </c>
      <c r="E1193" s="6" t="s">
        <v>3157</v>
      </c>
      <c r="F1193" s="6" t="s">
        <v>3156</v>
      </c>
      <c r="G1193" s="6" t="s">
        <v>16</v>
      </c>
      <c r="H1193" s="6" t="s">
        <v>430</v>
      </c>
      <c r="I1193" s="6" t="s">
        <v>14</v>
      </c>
      <c r="J1193" s="6" t="s">
        <v>162</v>
      </c>
      <c r="K1193" s="7">
        <v>28.998618140000001</v>
      </c>
      <c r="L1193" s="7">
        <v>-95.35809562</v>
      </c>
      <c r="M1193" s="6" t="s">
        <v>1606</v>
      </c>
      <c r="N1193" s="6" t="s">
        <v>160</v>
      </c>
      <c r="O1193" s="6" t="s">
        <v>23</v>
      </c>
    </row>
    <row r="1194" spans="1:15" x14ac:dyDescent="0.25">
      <c r="A1194" s="6" t="s">
        <v>7335</v>
      </c>
      <c r="B1194" s="6" t="s">
        <v>7334</v>
      </c>
      <c r="C1194" s="6" t="s">
        <v>31</v>
      </c>
      <c r="E1194" s="6" t="s">
        <v>7333</v>
      </c>
      <c r="F1194" s="6" t="s">
        <v>7332</v>
      </c>
      <c r="G1194" s="6" t="s">
        <v>16</v>
      </c>
      <c r="H1194" s="6" t="s">
        <v>15</v>
      </c>
      <c r="I1194" s="6" t="s">
        <v>46</v>
      </c>
      <c r="J1194" s="6" t="s">
        <v>1345</v>
      </c>
      <c r="K1194" s="7">
        <v>29.344255870000001</v>
      </c>
      <c r="L1194" s="7">
        <v>-100.94423114999999</v>
      </c>
      <c r="M1194" s="6" t="s">
        <v>511</v>
      </c>
      <c r="N1194" s="6" t="s">
        <v>373</v>
      </c>
      <c r="O1194" s="6" t="s">
        <v>510</v>
      </c>
    </row>
    <row r="1195" spans="1:15" x14ac:dyDescent="0.25">
      <c r="A1195" s="6" t="s">
        <v>6075</v>
      </c>
      <c r="B1195" s="6" t="s">
        <v>6074</v>
      </c>
      <c r="C1195" s="6" t="s">
        <v>31</v>
      </c>
      <c r="E1195" s="6" t="s">
        <v>6073</v>
      </c>
      <c r="F1195" s="6" t="s">
        <v>6072</v>
      </c>
      <c r="G1195" s="6" t="s">
        <v>16</v>
      </c>
      <c r="H1195" s="6" t="s">
        <v>15</v>
      </c>
      <c r="I1195" s="6" t="s">
        <v>36</v>
      </c>
      <c r="J1195" s="6" t="s">
        <v>35</v>
      </c>
      <c r="K1195" s="7">
        <v>29.655591680000001</v>
      </c>
      <c r="L1195" s="7">
        <v>-95.587159869999994</v>
      </c>
      <c r="M1195" s="6" t="s">
        <v>866</v>
      </c>
      <c r="N1195" s="6" t="s">
        <v>24</v>
      </c>
      <c r="O1195" s="6" t="s">
        <v>23</v>
      </c>
    </row>
    <row r="1196" spans="1:15" x14ac:dyDescent="0.25">
      <c r="A1196" s="6" t="s">
        <v>8619</v>
      </c>
      <c r="B1196" s="6" t="s">
        <v>8618</v>
      </c>
      <c r="C1196" s="6" t="s">
        <v>31</v>
      </c>
      <c r="E1196" s="6" t="s">
        <v>8617</v>
      </c>
      <c r="F1196" s="6" t="s">
        <v>8616</v>
      </c>
      <c r="G1196" s="6" t="s">
        <v>16</v>
      </c>
      <c r="H1196" s="6" t="s">
        <v>28</v>
      </c>
      <c r="I1196" s="6" t="s">
        <v>27</v>
      </c>
      <c r="J1196" s="6" t="s">
        <v>645</v>
      </c>
      <c r="K1196" s="7">
        <v>31.814920999999998</v>
      </c>
      <c r="L1196" s="7">
        <v>-94.835673999999997</v>
      </c>
      <c r="M1196" s="6" t="s">
        <v>203</v>
      </c>
      <c r="N1196" s="6" t="s">
        <v>52</v>
      </c>
      <c r="O1196" s="6" t="s">
        <v>24</v>
      </c>
    </row>
    <row r="1197" spans="1:15" x14ac:dyDescent="0.25">
      <c r="A1197" s="6" t="s">
        <v>6258</v>
      </c>
      <c r="B1197" s="6" t="s">
        <v>6257</v>
      </c>
      <c r="C1197" s="6" t="s">
        <v>31</v>
      </c>
      <c r="E1197" s="6" t="s">
        <v>6256</v>
      </c>
      <c r="F1197" s="6" t="s">
        <v>6255</v>
      </c>
      <c r="G1197" s="6" t="s">
        <v>16</v>
      </c>
      <c r="H1197" s="6" t="s">
        <v>28</v>
      </c>
      <c r="I1197" s="6" t="s">
        <v>73</v>
      </c>
      <c r="J1197" s="6" t="s">
        <v>132</v>
      </c>
      <c r="K1197" s="7">
        <v>29.488136059999999</v>
      </c>
      <c r="L1197" s="7">
        <v>-95.920674649999995</v>
      </c>
      <c r="M1197" s="6" t="s">
        <v>1063</v>
      </c>
      <c r="N1197" s="6" t="s">
        <v>231</v>
      </c>
      <c r="O1197" s="6" t="s">
        <v>23</v>
      </c>
    </row>
    <row r="1198" spans="1:15" x14ac:dyDescent="0.25">
      <c r="A1198" s="6" t="s">
        <v>9843</v>
      </c>
      <c r="B1198" s="6" t="s">
        <v>9842</v>
      </c>
      <c r="C1198" s="6" t="s">
        <v>31</v>
      </c>
      <c r="E1198" s="6" t="s">
        <v>9841</v>
      </c>
      <c r="F1198" s="6" t="s">
        <v>9840</v>
      </c>
      <c r="G1198" s="6" t="s">
        <v>16</v>
      </c>
      <c r="H1198" s="6" t="s">
        <v>28</v>
      </c>
      <c r="I1198" s="6" t="s">
        <v>46</v>
      </c>
      <c r="J1198" s="6" t="s">
        <v>9839</v>
      </c>
      <c r="K1198" s="7">
        <v>35.919388779999998</v>
      </c>
      <c r="L1198" s="7">
        <v>-100.36197232000001</v>
      </c>
      <c r="M1198" s="6" t="s">
        <v>691</v>
      </c>
      <c r="N1198" s="6" t="s">
        <v>535</v>
      </c>
      <c r="O1198" s="6" t="s">
        <v>535</v>
      </c>
    </row>
    <row r="1199" spans="1:15" x14ac:dyDescent="0.25">
      <c r="A1199" s="6" t="s">
        <v>6830</v>
      </c>
      <c r="B1199" s="6" t="s">
        <v>6829</v>
      </c>
      <c r="C1199" s="6" t="s">
        <v>31</v>
      </c>
      <c r="E1199" s="6" t="s">
        <v>6828</v>
      </c>
      <c r="F1199" s="6" t="s">
        <v>6827</v>
      </c>
      <c r="G1199" s="6" t="s">
        <v>16</v>
      </c>
      <c r="H1199" s="6" t="s">
        <v>15</v>
      </c>
      <c r="I1199" s="6" t="s">
        <v>36</v>
      </c>
      <c r="J1199" s="6" t="s">
        <v>35</v>
      </c>
      <c r="K1199" s="7">
        <v>29.766632999999999</v>
      </c>
      <c r="L1199" s="7">
        <v>-95.224087999999995</v>
      </c>
      <c r="M1199" s="6" t="s">
        <v>866</v>
      </c>
      <c r="N1199" s="6" t="s">
        <v>24</v>
      </c>
      <c r="O1199" s="6" t="s">
        <v>23</v>
      </c>
    </row>
    <row r="1200" spans="1:15" x14ac:dyDescent="0.25">
      <c r="A1200" s="6" t="s">
        <v>10100</v>
      </c>
      <c r="B1200" s="6" t="s">
        <v>10099</v>
      </c>
      <c r="C1200" s="6" t="s">
        <v>31</v>
      </c>
      <c r="E1200" s="6" t="s">
        <v>10098</v>
      </c>
      <c r="F1200" s="6" t="s">
        <v>10097</v>
      </c>
      <c r="G1200" s="6" t="s">
        <v>16</v>
      </c>
      <c r="H1200" s="6" t="s">
        <v>28</v>
      </c>
      <c r="I1200" s="6" t="s">
        <v>27</v>
      </c>
      <c r="J1200" s="6" t="s">
        <v>3459</v>
      </c>
      <c r="K1200" s="7">
        <v>30.971771</v>
      </c>
      <c r="L1200" s="7">
        <v>-96.683751999999998</v>
      </c>
      <c r="M1200" s="6" t="s">
        <v>121</v>
      </c>
      <c r="N1200" s="6" t="s">
        <v>23</v>
      </c>
      <c r="O1200" s="6" t="s">
        <v>120</v>
      </c>
    </row>
    <row r="1201" spans="1:15" x14ac:dyDescent="0.25">
      <c r="A1201" s="6" t="s">
        <v>4134</v>
      </c>
      <c r="B1201" s="6" t="s">
        <v>4133</v>
      </c>
      <c r="C1201" s="6" t="s">
        <v>31</v>
      </c>
      <c r="E1201" s="6" t="s">
        <v>4132</v>
      </c>
      <c r="F1201" s="6" t="s">
        <v>4131</v>
      </c>
      <c r="G1201" s="6" t="s">
        <v>16</v>
      </c>
      <c r="H1201" s="6" t="s">
        <v>28</v>
      </c>
      <c r="I1201" s="6" t="s">
        <v>14</v>
      </c>
      <c r="J1201" s="6" t="s">
        <v>290</v>
      </c>
      <c r="K1201" s="7">
        <v>28.69142974</v>
      </c>
      <c r="L1201" s="7">
        <v>-95.9629549</v>
      </c>
      <c r="M1201" s="6" t="s">
        <v>2092</v>
      </c>
      <c r="N1201" s="6" t="s">
        <v>10</v>
      </c>
      <c r="O1201" s="6" t="s">
        <v>23</v>
      </c>
    </row>
    <row r="1202" spans="1:15" x14ac:dyDescent="0.25">
      <c r="A1202" s="6" t="s">
        <v>7147</v>
      </c>
      <c r="B1202" s="6" t="s">
        <v>7146</v>
      </c>
      <c r="C1202" s="6" t="s">
        <v>31</v>
      </c>
      <c r="E1202" s="6" t="s">
        <v>7145</v>
      </c>
      <c r="F1202" s="6" t="s">
        <v>7144</v>
      </c>
      <c r="G1202" s="6" t="s">
        <v>16</v>
      </c>
      <c r="H1202" s="6" t="s">
        <v>28</v>
      </c>
      <c r="I1202" s="6" t="s">
        <v>60</v>
      </c>
      <c r="J1202" s="6" t="s">
        <v>1787</v>
      </c>
      <c r="K1202" s="7">
        <v>32.509079999999997</v>
      </c>
      <c r="L1202" s="7">
        <v>-95.631767999999994</v>
      </c>
      <c r="M1202" s="6" t="s">
        <v>765</v>
      </c>
      <c r="N1202" s="6" t="s">
        <v>52</v>
      </c>
      <c r="O1202" s="6" t="s">
        <v>65</v>
      </c>
    </row>
    <row r="1203" spans="1:15" x14ac:dyDescent="0.25">
      <c r="A1203" s="6" t="s">
        <v>7580</v>
      </c>
      <c r="B1203" s="6" t="s">
        <v>7579</v>
      </c>
      <c r="C1203" s="6" t="s">
        <v>31</v>
      </c>
      <c r="E1203" s="6" t="s">
        <v>7578</v>
      </c>
      <c r="F1203" s="6" t="s">
        <v>7577</v>
      </c>
      <c r="G1203" s="6" t="s">
        <v>16</v>
      </c>
      <c r="H1203" s="6" t="s">
        <v>28</v>
      </c>
      <c r="I1203" s="6" t="s">
        <v>27</v>
      </c>
      <c r="J1203" s="6" t="s">
        <v>1978</v>
      </c>
      <c r="K1203" s="7">
        <v>28.45273869</v>
      </c>
      <c r="L1203" s="7">
        <v>-96.892238739999996</v>
      </c>
      <c r="M1203" s="6" t="s">
        <v>1977</v>
      </c>
      <c r="N1203" s="6" t="s">
        <v>137</v>
      </c>
      <c r="O1203" s="6" t="s">
        <v>10</v>
      </c>
    </row>
    <row r="1204" spans="1:15" x14ac:dyDescent="0.25">
      <c r="A1204" s="6" t="s">
        <v>1017</v>
      </c>
      <c r="B1204" s="6" t="s">
        <v>1016</v>
      </c>
      <c r="C1204" s="6" t="s">
        <v>31</v>
      </c>
      <c r="E1204" s="6" t="s">
        <v>1015</v>
      </c>
      <c r="F1204" s="6" t="s">
        <v>1014</v>
      </c>
      <c r="G1204" s="6" t="s">
        <v>16</v>
      </c>
      <c r="H1204" s="6" t="s">
        <v>28</v>
      </c>
      <c r="I1204" s="6" t="s">
        <v>73</v>
      </c>
      <c r="J1204" s="6" t="s">
        <v>1013</v>
      </c>
      <c r="K1204" s="7">
        <v>31.377512979999999</v>
      </c>
      <c r="L1204" s="7">
        <v>-94.661233780000003</v>
      </c>
      <c r="M1204" s="6" t="s">
        <v>1012</v>
      </c>
      <c r="N1204" s="6" t="s">
        <v>52</v>
      </c>
      <c r="O1204" s="6" t="s">
        <v>24</v>
      </c>
    </row>
    <row r="1205" spans="1:15" x14ac:dyDescent="0.25">
      <c r="A1205" s="6" t="s">
        <v>4630</v>
      </c>
      <c r="B1205" s="6" t="s">
        <v>4629</v>
      </c>
      <c r="C1205" s="6" t="s">
        <v>31</v>
      </c>
      <c r="E1205" s="6" t="s">
        <v>4628</v>
      </c>
      <c r="F1205" s="6" t="s">
        <v>4627</v>
      </c>
      <c r="G1205" s="6" t="s">
        <v>16</v>
      </c>
      <c r="H1205" s="6" t="s">
        <v>15</v>
      </c>
      <c r="I1205" s="6" t="s">
        <v>14</v>
      </c>
      <c r="J1205" s="6" t="s">
        <v>35</v>
      </c>
      <c r="K1205" s="7">
        <v>29.907401490000002</v>
      </c>
      <c r="L1205" s="7">
        <v>-95.073276669999998</v>
      </c>
      <c r="M1205" s="6" t="s">
        <v>716</v>
      </c>
      <c r="N1205" s="6" t="s">
        <v>24</v>
      </c>
      <c r="O1205" s="6" t="s">
        <v>23</v>
      </c>
    </row>
    <row r="1206" spans="1:15" x14ac:dyDescent="0.25">
      <c r="A1206" s="6" t="s">
        <v>2172</v>
      </c>
      <c r="B1206" s="6" t="s">
        <v>2171</v>
      </c>
      <c r="C1206" s="6" t="s">
        <v>31</v>
      </c>
      <c r="E1206" s="6" t="s">
        <v>2170</v>
      </c>
      <c r="F1206" s="6" t="s">
        <v>2169</v>
      </c>
      <c r="G1206" s="6" t="s">
        <v>16</v>
      </c>
      <c r="H1206" s="6" t="s">
        <v>28</v>
      </c>
      <c r="I1206" s="6" t="s">
        <v>60</v>
      </c>
      <c r="J1206" s="6" t="s">
        <v>385</v>
      </c>
      <c r="K1206" s="7">
        <v>30.043662999999999</v>
      </c>
      <c r="L1206" s="7">
        <v>-94.423733999999996</v>
      </c>
      <c r="M1206" s="6" t="s">
        <v>144</v>
      </c>
      <c r="N1206" s="6" t="s">
        <v>52</v>
      </c>
      <c r="O1206" s="6" t="s">
        <v>24</v>
      </c>
    </row>
    <row r="1207" spans="1:15" x14ac:dyDescent="0.25">
      <c r="A1207" s="6" t="s">
        <v>5605</v>
      </c>
      <c r="B1207" s="6" t="s">
        <v>5604</v>
      </c>
      <c r="C1207" s="6" t="s">
        <v>31</v>
      </c>
      <c r="E1207" s="6" t="s">
        <v>5603</v>
      </c>
      <c r="F1207" s="6" t="s">
        <v>5602</v>
      </c>
      <c r="G1207" s="6" t="s">
        <v>16</v>
      </c>
      <c r="H1207" s="6" t="s">
        <v>15</v>
      </c>
      <c r="I1207" s="6" t="s">
        <v>36</v>
      </c>
      <c r="J1207" s="6" t="s">
        <v>26</v>
      </c>
      <c r="K1207" s="7">
        <v>30.13494687</v>
      </c>
      <c r="L1207" s="7">
        <v>-95.477460460000003</v>
      </c>
      <c r="M1207" s="6" t="s">
        <v>731</v>
      </c>
      <c r="N1207" s="6" t="s">
        <v>24</v>
      </c>
      <c r="O1207" s="6" t="s">
        <v>23</v>
      </c>
    </row>
    <row r="1208" spans="1:15" x14ac:dyDescent="0.25">
      <c r="A1208" s="6" t="s">
        <v>6612</v>
      </c>
      <c r="B1208" s="6" t="s">
        <v>5604</v>
      </c>
      <c r="C1208" s="6" t="s">
        <v>19</v>
      </c>
      <c r="E1208" s="6" t="s">
        <v>5603</v>
      </c>
      <c r="F1208" s="6" t="s">
        <v>5602</v>
      </c>
      <c r="G1208" s="6" t="s">
        <v>16</v>
      </c>
      <c r="H1208" s="6" t="s">
        <v>15</v>
      </c>
      <c r="I1208" s="6" t="s">
        <v>36</v>
      </c>
      <c r="J1208" s="6" t="s">
        <v>26</v>
      </c>
      <c r="K1208" s="7">
        <v>30.142362219999999</v>
      </c>
      <c r="L1208" s="7">
        <v>-95.471060940000001</v>
      </c>
      <c r="M1208" s="6" t="s">
        <v>731</v>
      </c>
      <c r="N1208" s="6" t="s">
        <v>24</v>
      </c>
      <c r="O1208" s="6" t="s">
        <v>23</v>
      </c>
    </row>
    <row r="1209" spans="1:15" x14ac:dyDescent="0.25">
      <c r="A1209" s="6" t="s">
        <v>3040</v>
      </c>
      <c r="B1209" s="6" t="s">
        <v>3039</v>
      </c>
      <c r="C1209" s="6" t="s">
        <v>31</v>
      </c>
      <c r="E1209" s="6" t="s">
        <v>3038</v>
      </c>
      <c r="F1209" s="6" t="s">
        <v>3037</v>
      </c>
      <c r="G1209" s="6" t="s">
        <v>16</v>
      </c>
      <c r="H1209" s="6" t="s">
        <v>28</v>
      </c>
      <c r="I1209" s="6" t="s">
        <v>73</v>
      </c>
      <c r="J1209" s="6" t="s">
        <v>67</v>
      </c>
      <c r="K1209" s="7">
        <v>32.216490759999999</v>
      </c>
      <c r="L1209" s="7">
        <v>-95.06035765</v>
      </c>
      <c r="M1209" s="6" t="s">
        <v>203</v>
      </c>
      <c r="N1209" s="6" t="s">
        <v>52</v>
      </c>
      <c r="O1209" s="6" t="s">
        <v>65</v>
      </c>
    </row>
    <row r="1210" spans="1:15" x14ac:dyDescent="0.25">
      <c r="A1210" s="6" t="s">
        <v>3853</v>
      </c>
      <c r="B1210" s="6" t="s">
        <v>3852</v>
      </c>
      <c r="C1210" s="6" t="s">
        <v>31</v>
      </c>
      <c r="E1210" s="6" t="s">
        <v>3851</v>
      </c>
      <c r="F1210" s="6" t="s">
        <v>3850</v>
      </c>
      <c r="G1210" s="6" t="s">
        <v>16</v>
      </c>
      <c r="H1210" s="6" t="s">
        <v>28</v>
      </c>
      <c r="I1210" s="6" t="s">
        <v>27</v>
      </c>
      <c r="J1210" s="6" t="s">
        <v>45</v>
      </c>
      <c r="K1210" s="7">
        <v>33.370013999999998</v>
      </c>
      <c r="L1210" s="7">
        <v>-96.240063000000006</v>
      </c>
      <c r="M1210" s="6" t="s">
        <v>349</v>
      </c>
      <c r="N1210" s="6" t="s">
        <v>102</v>
      </c>
      <c r="O1210" s="6" t="s">
        <v>42</v>
      </c>
    </row>
    <row r="1211" spans="1:15" x14ac:dyDescent="0.25">
      <c r="A1211" s="6" t="s">
        <v>7902</v>
      </c>
      <c r="B1211" s="6" t="s">
        <v>7901</v>
      </c>
      <c r="C1211" s="6" t="s">
        <v>31</v>
      </c>
      <c r="E1211" s="6" t="s">
        <v>7900</v>
      </c>
      <c r="F1211" s="6" t="s">
        <v>7899</v>
      </c>
      <c r="G1211" s="6" t="s">
        <v>16</v>
      </c>
      <c r="H1211" s="6" t="s">
        <v>28</v>
      </c>
      <c r="I1211" s="6" t="s">
        <v>14</v>
      </c>
      <c r="J1211" s="6" t="s">
        <v>3688</v>
      </c>
      <c r="K1211" s="7">
        <v>29.232758879999999</v>
      </c>
      <c r="L1211" s="7">
        <v>-97.979735829999996</v>
      </c>
      <c r="M1211" s="6" t="s">
        <v>3582</v>
      </c>
      <c r="N1211" s="6" t="s">
        <v>232</v>
      </c>
      <c r="O1211" s="6" t="s">
        <v>231</v>
      </c>
    </row>
    <row r="1212" spans="1:15" x14ac:dyDescent="0.25">
      <c r="A1212" s="6" t="s">
        <v>8442</v>
      </c>
      <c r="B1212" s="6" t="s">
        <v>8441</v>
      </c>
      <c r="C1212" s="6" t="s">
        <v>31</v>
      </c>
      <c r="E1212" s="6" t="s">
        <v>8440</v>
      </c>
      <c r="F1212" s="6" t="s">
        <v>8439</v>
      </c>
      <c r="G1212" s="6" t="s">
        <v>16</v>
      </c>
      <c r="H1212" s="6" t="s">
        <v>28</v>
      </c>
      <c r="I1212" s="6" t="s">
        <v>27</v>
      </c>
      <c r="J1212" s="6" t="s">
        <v>3656</v>
      </c>
      <c r="K1212" s="7">
        <v>32.064155</v>
      </c>
      <c r="L1212" s="7">
        <v>-98.340073000000004</v>
      </c>
      <c r="M1212" s="6" t="s">
        <v>1322</v>
      </c>
      <c r="N1212" s="6" t="s">
        <v>23</v>
      </c>
      <c r="O1212" s="6" t="s">
        <v>42</v>
      </c>
    </row>
    <row r="1213" spans="1:15" x14ac:dyDescent="0.25">
      <c r="A1213" s="6" t="s">
        <v>1049</v>
      </c>
      <c r="B1213" s="6" t="s">
        <v>1048</v>
      </c>
      <c r="C1213" s="6" t="s">
        <v>31</v>
      </c>
      <c r="E1213" s="6" t="s">
        <v>1047</v>
      </c>
      <c r="F1213" s="6" t="s">
        <v>1046</v>
      </c>
      <c r="G1213" s="6" t="s">
        <v>16</v>
      </c>
      <c r="H1213" s="6" t="s">
        <v>28</v>
      </c>
      <c r="I1213" s="6" t="s">
        <v>27</v>
      </c>
      <c r="J1213" s="6" t="s">
        <v>26</v>
      </c>
      <c r="K1213" s="7">
        <v>30.422176</v>
      </c>
      <c r="L1213" s="7">
        <v>-95.564051000000006</v>
      </c>
      <c r="M1213" s="6" t="s">
        <v>340</v>
      </c>
      <c r="N1213" s="6" t="s">
        <v>24</v>
      </c>
      <c r="O1213" s="6" t="s">
        <v>23</v>
      </c>
    </row>
    <row r="1214" spans="1:15" x14ac:dyDescent="0.25">
      <c r="A1214" s="6" t="s">
        <v>8586</v>
      </c>
      <c r="B1214" s="6" t="s">
        <v>8585</v>
      </c>
      <c r="C1214" s="6" t="s">
        <v>31</v>
      </c>
      <c r="E1214" s="6" t="s">
        <v>8584</v>
      </c>
      <c r="F1214" s="6" t="s">
        <v>8583</v>
      </c>
      <c r="G1214" s="6" t="s">
        <v>16</v>
      </c>
      <c r="H1214" s="6" t="s">
        <v>15</v>
      </c>
      <c r="I1214" s="6" t="s">
        <v>14</v>
      </c>
      <c r="J1214" s="6" t="s">
        <v>72</v>
      </c>
      <c r="K1214" s="7">
        <v>31.773583460000001</v>
      </c>
      <c r="L1214" s="7">
        <v>-95.154392830000006</v>
      </c>
      <c r="M1214" s="6" t="s">
        <v>53</v>
      </c>
      <c r="N1214" s="6" t="s">
        <v>52</v>
      </c>
      <c r="O1214" s="6" t="s">
        <v>65</v>
      </c>
    </row>
    <row r="1215" spans="1:15" x14ac:dyDescent="0.25">
      <c r="A1215" s="6" t="s">
        <v>10626</v>
      </c>
      <c r="B1215" s="6" t="s">
        <v>10625</v>
      </c>
      <c r="C1215" s="6" t="s">
        <v>31</v>
      </c>
      <c r="E1215" s="6" t="s">
        <v>10624</v>
      </c>
      <c r="F1215" s="6" t="s">
        <v>10623</v>
      </c>
      <c r="G1215" s="6" t="s">
        <v>16</v>
      </c>
      <c r="H1215" s="6" t="s">
        <v>28</v>
      </c>
      <c r="I1215" s="6" t="s">
        <v>36</v>
      </c>
      <c r="J1215" s="6" t="s">
        <v>590</v>
      </c>
      <c r="K1215" s="7">
        <v>30.407929790000001</v>
      </c>
      <c r="L1215" s="7">
        <v>-97.014338499999994</v>
      </c>
      <c r="M1215" s="6" t="s">
        <v>589</v>
      </c>
      <c r="N1215" s="6" t="s">
        <v>23</v>
      </c>
      <c r="O1215" s="6" t="s">
        <v>160</v>
      </c>
    </row>
    <row r="1216" spans="1:15" x14ac:dyDescent="0.25">
      <c r="A1216" s="6" t="s">
        <v>2027</v>
      </c>
      <c r="B1216" s="6" t="s">
        <v>2026</v>
      </c>
      <c r="C1216" s="6" t="s">
        <v>31</v>
      </c>
      <c r="E1216" s="6" t="s">
        <v>2025</v>
      </c>
      <c r="F1216" s="6" t="s">
        <v>2024</v>
      </c>
      <c r="G1216" s="6" t="s">
        <v>16</v>
      </c>
      <c r="H1216" s="6" t="s">
        <v>28</v>
      </c>
      <c r="I1216" s="6" t="s">
        <v>60</v>
      </c>
      <c r="J1216" s="6" t="s">
        <v>1281</v>
      </c>
      <c r="K1216" s="7">
        <v>31.529084000000001</v>
      </c>
      <c r="L1216" s="7">
        <v>-96.520480000000006</v>
      </c>
      <c r="M1216" s="6" t="s">
        <v>1761</v>
      </c>
      <c r="N1216" s="6" t="s">
        <v>23</v>
      </c>
      <c r="O1216" s="6" t="s">
        <v>120</v>
      </c>
    </row>
    <row r="1217" spans="1:15" x14ac:dyDescent="0.25">
      <c r="A1217" s="6" t="s">
        <v>9982</v>
      </c>
      <c r="B1217" s="6" t="s">
        <v>9981</v>
      </c>
      <c r="C1217" s="6" t="s">
        <v>31</v>
      </c>
      <c r="E1217" s="6" t="s">
        <v>9980</v>
      </c>
      <c r="F1217" s="6" t="s">
        <v>269</v>
      </c>
      <c r="G1217" s="6" t="s">
        <v>16</v>
      </c>
      <c r="H1217" s="6" t="s">
        <v>15</v>
      </c>
      <c r="I1217" s="6" t="s">
        <v>27</v>
      </c>
      <c r="J1217" s="6" t="s">
        <v>566</v>
      </c>
      <c r="K1217" s="7">
        <v>32.229672000000001</v>
      </c>
      <c r="L1217" s="7">
        <v>-94.582751999999999</v>
      </c>
      <c r="M1217" s="6" t="s">
        <v>1218</v>
      </c>
      <c r="N1217" s="6" t="s">
        <v>65</v>
      </c>
      <c r="O1217" s="6" t="s">
        <v>65</v>
      </c>
    </row>
    <row r="1218" spans="1:15" x14ac:dyDescent="0.25">
      <c r="A1218" s="6" t="s">
        <v>9706</v>
      </c>
      <c r="B1218" s="6" t="s">
        <v>9705</v>
      </c>
      <c r="C1218" s="6" t="s">
        <v>31</v>
      </c>
      <c r="E1218" s="6" t="s">
        <v>9704</v>
      </c>
      <c r="F1218" s="6" t="s">
        <v>6539</v>
      </c>
      <c r="G1218" s="6" t="s">
        <v>16</v>
      </c>
      <c r="H1218" s="6" t="s">
        <v>28</v>
      </c>
      <c r="I1218" s="6" t="s">
        <v>60</v>
      </c>
      <c r="J1218" s="6" t="s">
        <v>306</v>
      </c>
      <c r="K1218" s="7">
        <v>33.606598660000003</v>
      </c>
      <c r="L1218" s="7">
        <v>-98.616226339999997</v>
      </c>
      <c r="M1218" s="6" t="s">
        <v>305</v>
      </c>
      <c r="N1218" s="6" t="s">
        <v>43</v>
      </c>
      <c r="O1218" s="6" t="s">
        <v>95</v>
      </c>
    </row>
    <row r="1219" spans="1:15" x14ac:dyDescent="0.25">
      <c r="A1219" s="6" t="s">
        <v>2194</v>
      </c>
      <c r="B1219" s="6" t="s">
        <v>2193</v>
      </c>
      <c r="C1219" s="6" t="s">
        <v>31</v>
      </c>
      <c r="E1219" s="6" t="s">
        <v>2192</v>
      </c>
      <c r="F1219" s="6" t="s">
        <v>2191</v>
      </c>
      <c r="G1219" s="6" t="s">
        <v>16</v>
      </c>
      <c r="H1219" s="6" t="s">
        <v>28</v>
      </c>
      <c r="I1219" s="6" t="s">
        <v>27</v>
      </c>
      <c r="J1219" s="6" t="s">
        <v>385</v>
      </c>
      <c r="K1219" s="7">
        <v>30.164573610000001</v>
      </c>
      <c r="L1219" s="7">
        <v>-94.263900899999996</v>
      </c>
      <c r="M1219" s="6" t="s">
        <v>144</v>
      </c>
      <c r="N1219" s="6" t="s">
        <v>52</v>
      </c>
      <c r="O1219" s="6" t="s">
        <v>24</v>
      </c>
    </row>
    <row r="1220" spans="1:15" x14ac:dyDescent="0.25">
      <c r="A1220" s="6" t="s">
        <v>8540</v>
      </c>
      <c r="B1220" s="6" t="s">
        <v>8539</v>
      </c>
      <c r="C1220" s="6" t="s">
        <v>31</v>
      </c>
      <c r="E1220" s="6" t="s">
        <v>8538</v>
      </c>
      <c r="F1220" s="6" t="s">
        <v>8537</v>
      </c>
      <c r="G1220" s="6" t="s">
        <v>16</v>
      </c>
      <c r="H1220" s="6" t="s">
        <v>28</v>
      </c>
      <c r="I1220" s="6" t="s">
        <v>60</v>
      </c>
      <c r="J1220" s="6" t="s">
        <v>2267</v>
      </c>
      <c r="K1220" s="7">
        <v>32.136809999999997</v>
      </c>
      <c r="L1220" s="7">
        <v>-96.071659999999994</v>
      </c>
      <c r="M1220" s="6" t="s">
        <v>1031</v>
      </c>
      <c r="N1220" s="6" t="s">
        <v>102</v>
      </c>
      <c r="O1220" s="6" t="s">
        <v>65</v>
      </c>
    </row>
    <row r="1221" spans="1:15" x14ac:dyDescent="0.25">
      <c r="A1221" s="6" t="s">
        <v>5655</v>
      </c>
      <c r="B1221" s="6" t="s">
        <v>4819</v>
      </c>
      <c r="C1221" s="6" t="s">
        <v>31</v>
      </c>
      <c r="D1221" s="6" t="s">
        <v>16</v>
      </c>
      <c r="E1221" s="6" t="s">
        <v>4818</v>
      </c>
      <c r="F1221" s="6" t="s">
        <v>4817</v>
      </c>
      <c r="G1221" s="6" t="s">
        <v>16</v>
      </c>
      <c r="H1221" s="6" t="s">
        <v>28</v>
      </c>
      <c r="I1221" s="6" t="s">
        <v>36</v>
      </c>
      <c r="J1221" s="6" t="s">
        <v>4816</v>
      </c>
      <c r="K1221" s="7">
        <v>30.102582259999998</v>
      </c>
      <c r="L1221" s="7">
        <v>-98.409007840000001</v>
      </c>
      <c r="M1221" s="6" t="s">
        <v>3450</v>
      </c>
      <c r="N1221" s="6" t="s">
        <v>559</v>
      </c>
      <c r="O1221" s="6" t="s">
        <v>160</v>
      </c>
    </row>
    <row r="1222" spans="1:15" x14ac:dyDescent="0.25">
      <c r="A1222" s="6" t="s">
        <v>4820</v>
      </c>
      <c r="B1222" s="6" t="s">
        <v>4819</v>
      </c>
      <c r="C1222" s="6" t="s">
        <v>436</v>
      </c>
      <c r="D1222" s="6" t="s">
        <v>284</v>
      </c>
      <c r="E1222" s="6" t="s">
        <v>4818</v>
      </c>
      <c r="F1222" s="6" t="s">
        <v>4817</v>
      </c>
      <c r="G1222" s="6" t="s">
        <v>16</v>
      </c>
      <c r="H1222" s="6" t="s">
        <v>15</v>
      </c>
      <c r="I1222" s="6" t="s">
        <v>36</v>
      </c>
      <c r="J1222" s="6" t="s">
        <v>4816</v>
      </c>
      <c r="K1222" s="7">
        <v>30.103154849999999</v>
      </c>
      <c r="L1222" s="7">
        <v>-98.410842590000001</v>
      </c>
      <c r="M1222" s="6" t="s">
        <v>3450</v>
      </c>
      <c r="N1222" s="6" t="s">
        <v>559</v>
      </c>
      <c r="O1222" s="6" t="s">
        <v>160</v>
      </c>
    </row>
    <row r="1223" spans="1:15" x14ac:dyDescent="0.25">
      <c r="A1223" s="6" t="s">
        <v>7848</v>
      </c>
      <c r="B1223" s="6" t="s">
        <v>7847</v>
      </c>
      <c r="C1223" s="6" t="s">
        <v>31</v>
      </c>
      <c r="E1223" s="6" t="s">
        <v>7846</v>
      </c>
      <c r="F1223" s="6" t="s">
        <v>7845</v>
      </c>
      <c r="G1223" s="6" t="s">
        <v>16</v>
      </c>
      <c r="H1223" s="6" t="s">
        <v>28</v>
      </c>
      <c r="I1223" s="6" t="s">
        <v>14</v>
      </c>
      <c r="J1223" s="6" t="s">
        <v>7844</v>
      </c>
      <c r="K1223" s="7">
        <v>28.971439780000001</v>
      </c>
      <c r="L1223" s="7">
        <v>-97.501425510000004</v>
      </c>
      <c r="M1223" s="6" t="s">
        <v>3862</v>
      </c>
      <c r="N1223" s="6" t="s">
        <v>559</v>
      </c>
      <c r="O1223" s="6" t="s">
        <v>10</v>
      </c>
    </row>
    <row r="1224" spans="1:15" x14ac:dyDescent="0.25">
      <c r="A1224" s="6" t="s">
        <v>7856</v>
      </c>
      <c r="B1224" s="6" t="s">
        <v>7855</v>
      </c>
      <c r="C1224" s="6" t="s">
        <v>31</v>
      </c>
      <c r="E1224" s="6" t="s">
        <v>7854</v>
      </c>
      <c r="F1224" s="6" t="s">
        <v>7853</v>
      </c>
      <c r="G1224" s="6" t="s">
        <v>16</v>
      </c>
      <c r="H1224" s="6" t="s">
        <v>15</v>
      </c>
      <c r="I1224" s="6" t="s">
        <v>46</v>
      </c>
      <c r="J1224" s="6" t="s">
        <v>424</v>
      </c>
      <c r="K1224" s="7">
        <v>32.930574999999997</v>
      </c>
      <c r="L1224" s="7">
        <v>-95.298642999999998</v>
      </c>
      <c r="M1224" s="6" t="s">
        <v>5803</v>
      </c>
      <c r="N1224" s="6" t="s">
        <v>65</v>
      </c>
      <c r="O1224" s="6" t="s">
        <v>65</v>
      </c>
    </row>
    <row r="1225" spans="1:15" x14ac:dyDescent="0.25">
      <c r="A1225" s="6" t="s">
        <v>9550</v>
      </c>
      <c r="B1225" s="6" t="s">
        <v>9549</v>
      </c>
      <c r="C1225" s="6" t="s">
        <v>31</v>
      </c>
      <c r="E1225" s="6" t="s">
        <v>9548</v>
      </c>
      <c r="F1225" s="6" t="s">
        <v>9547</v>
      </c>
      <c r="G1225" s="6" t="s">
        <v>16</v>
      </c>
      <c r="H1225" s="6" t="s">
        <v>28</v>
      </c>
      <c r="I1225" s="6" t="s">
        <v>27</v>
      </c>
      <c r="J1225" s="6" t="s">
        <v>122</v>
      </c>
      <c r="K1225" s="7">
        <v>31.531485</v>
      </c>
      <c r="L1225" s="7">
        <v>-97.433231000000006</v>
      </c>
      <c r="M1225" s="6" t="s">
        <v>7005</v>
      </c>
      <c r="N1225" s="6" t="s">
        <v>23</v>
      </c>
      <c r="O1225" s="6" t="s">
        <v>120</v>
      </c>
    </row>
    <row r="1226" spans="1:15" x14ac:dyDescent="0.25">
      <c r="A1226" s="6" t="s">
        <v>9679</v>
      </c>
      <c r="B1226" s="6" t="s">
        <v>9678</v>
      </c>
      <c r="C1226" s="6" t="s">
        <v>31</v>
      </c>
      <c r="E1226" s="6" t="s">
        <v>9677</v>
      </c>
      <c r="F1226" s="6" t="s">
        <v>9676</v>
      </c>
      <c r="G1226" s="6" t="s">
        <v>16</v>
      </c>
      <c r="H1226" s="6" t="s">
        <v>28</v>
      </c>
      <c r="I1226" s="6" t="s">
        <v>27</v>
      </c>
      <c r="J1226" s="6" t="s">
        <v>1853</v>
      </c>
      <c r="K1226" s="7">
        <v>28.987933250000001</v>
      </c>
      <c r="L1226" s="7">
        <v>-98.021164310000003</v>
      </c>
      <c r="M1226" s="6" t="s">
        <v>4473</v>
      </c>
      <c r="N1226" s="6" t="s">
        <v>232</v>
      </c>
      <c r="O1226" s="6" t="s">
        <v>231</v>
      </c>
    </row>
    <row r="1227" spans="1:15" x14ac:dyDescent="0.25">
      <c r="A1227" s="6" t="s">
        <v>6181</v>
      </c>
      <c r="B1227" s="6" t="s">
        <v>6180</v>
      </c>
      <c r="C1227" s="6" t="s">
        <v>31</v>
      </c>
      <c r="E1227" s="6" t="s">
        <v>6179</v>
      </c>
      <c r="F1227" s="6" t="s">
        <v>6178</v>
      </c>
      <c r="G1227" s="6" t="s">
        <v>16</v>
      </c>
      <c r="H1227" s="6" t="s">
        <v>28</v>
      </c>
      <c r="I1227" s="6" t="s">
        <v>73</v>
      </c>
      <c r="J1227" s="6" t="s">
        <v>4377</v>
      </c>
      <c r="K1227" s="7">
        <v>28.608754650000002</v>
      </c>
      <c r="L1227" s="7">
        <v>-97.805552039999995</v>
      </c>
      <c r="M1227" s="6" t="s">
        <v>6177</v>
      </c>
      <c r="N1227" s="6" t="s">
        <v>137</v>
      </c>
      <c r="O1227" s="6" t="s">
        <v>10</v>
      </c>
    </row>
    <row r="1228" spans="1:15" x14ac:dyDescent="0.25">
      <c r="A1228" s="6" t="s">
        <v>1011</v>
      </c>
      <c r="B1228" s="6" t="s">
        <v>1010</v>
      </c>
      <c r="C1228" s="6" t="s">
        <v>31</v>
      </c>
      <c r="E1228" s="6" t="s">
        <v>1009</v>
      </c>
      <c r="F1228" s="6" t="s">
        <v>1008</v>
      </c>
      <c r="G1228" s="6" t="s">
        <v>16</v>
      </c>
      <c r="H1228" s="6" t="s">
        <v>28</v>
      </c>
      <c r="I1228" s="6" t="s">
        <v>60</v>
      </c>
      <c r="J1228" s="6" t="s">
        <v>632</v>
      </c>
      <c r="K1228" s="7">
        <v>30.185864209999998</v>
      </c>
      <c r="L1228" s="7">
        <v>-93.763917079999999</v>
      </c>
      <c r="M1228" s="6" t="s">
        <v>631</v>
      </c>
      <c r="N1228" s="6" t="s">
        <v>65</v>
      </c>
      <c r="O1228" s="6" t="s">
        <v>24</v>
      </c>
    </row>
    <row r="1229" spans="1:15" x14ac:dyDescent="0.25">
      <c r="A1229" s="6" t="s">
        <v>6943</v>
      </c>
      <c r="B1229" s="6" t="s">
        <v>6942</v>
      </c>
      <c r="C1229" s="6" t="s">
        <v>31</v>
      </c>
      <c r="E1229" s="6" t="s">
        <v>6941</v>
      </c>
      <c r="F1229" s="6" t="s">
        <v>6940</v>
      </c>
      <c r="G1229" s="6" t="s">
        <v>16</v>
      </c>
      <c r="H1229" s="6" t="s">
        <v>15</v>
      </c>
      <c r="I1229" s="6" t="s">
        <v>46</v>
      </c>
      <c r="J1229" s="6" t="s">
        <v>632</v>
      </c>
      <c r="K1229" s="7">
        <v>30.086563649999999</v>
      </c>
      <c r="L1229" s="7">
        <v>-93.746777739999999</v>
      </c>
      <c r="M1229" s="6" t="s">
        <v>3217</v>
      </c>
      <c r="N1229" s="6" t="s">
        <v>65</v>
      </c>
      <c r="O1229" s="6" t="s">
        <v>24</v>
      </c>
    </row>
    <row r="1230" spans="1:15" x14ac:dyDescent="0.25">
      <c r="A1230" s="6" t="s">
        <v>11566</v>
      </c>
      <c r="B1230" s="6" t="s">
        <v>11565</v>
      </c>
      <c r="C1230" s="6" t="s">
        <v>31</v>
      </c>
      <c r="E1230" s="6" t="s">
        <v>11564</v>
      </c>
      <c r="F1230" s="6" t="s">
        <v>11563</v>
      </c>
      <c r="G1230" s="6" t="s">
        <v>16</v>
      </c>
      <c r="H1230" s="6" t="s">
        <v>28</v>
      </c>
      <c r="I1230" s="6" t="s">
        <v>60</v>
      </c>
      <c r="J1230" s="6" t="s">
        <v>1323</v>
      </c>
      <c r="K1230" s="7">
        <v>32.111229049999999</v>
      </c>
      <c r="L1230" s="7">
        <v>-98.524505379999994</v>
      </c>
      <c r="M1230" s="6" t="s">
        <v>8722</v>
      </c>
      <c r="N1230" s="6" t="s">
        <v>23</v>
      </c>
      <c r="O1230" s="6" t="s">
        <v>95</v>
      </c>
    </row>
    <row r="1231" spans="1:15" x14ac:dyDescent="0.25">
      <c r="A1231" s="6" t="s">
        <v>2227</v>
      </c>
      <c r="B1231" s="6" t="s">
        <v>2226</v>
      </c>
      <c r="C1231" s="6" t="s">
        <v>31</v>
      </c>
      <c r="E1231" s="6" t="s">
        <v>2225</v>
      </c>
      <c r="F1231" s="6" t="s">
        <v>1370</v>
      </c>
      <c r="G1231" s="6" t="s">
        <v>16</v>
      </c>
      <c r="H1231" s="6" t="s">
        <v>28</v>
      </c>
      <c r="I1231" s="6" t="s">
        <v>60</v>
      </c>
      <c r="J1231" s="6" t="s">
        <v>853</v>
      </c>
      <c r="K1231" s="7">
        <v>29.663360000000001</v>
      </c>
      <c r="L1231" s="7">
        <v>-94.686966999999996</v>
      </c>
      <c r="M1231" s="6" t="s">
        <v>894</v>
      </c>
      <c r="N1231" s="6" t="s">
        <v>383</v>
      </c>
      <c r="O1231" s="6" t="s">
        <v>23</v>
      </c>
    </row>
    <row r="1232" spans="1:15" x14ac:dyDescent="0.25">
      <c r="A1232" s="6" t="s">
        <v>10435</v>
      </c>
      <c r="B1232" s="6" t="s">
        <v>10434</v>
      </c>
      <c r="C1232" s="6" t="s">
        <v>31</v>
      </c>
      <c r="E1232" s="6" t="s">
        <v>10433</v>
      </c>
      <c r="F1232" s="6" t="s">
        <v>10432</v>
      </c>
      <c r="G1232" s="6" t="s">
        <v>16</v>
      </c>
      <c r="H1232" s="6" t="s">
        <v>28</v>
      </c>
      <c r="I1232" s="6" t="s">
        <v>60</v>
      </c>
      <c r="J1232" s="6" t="s">
        <v>6982</v>
      </c>
      <c r="K1232" s="7">
        <v>33.468972000000001</v>
      </c>
      <c r="L1232" s="7">
        <v>-99.514004</v>
      </c>
      <c r="M1232" s="6" t="s">
        <v>6981</v>
      </c>
      <c r="N1232" s="6" t="s">
        <v>23</v>
      </c>
      <c r="O1232" s="6" t="s">
        <v>95</v>
      </c>
    </row>
    <row r="1233" spans="1:15" x14ac:dyDescent="0.25">
      <c r="A1233" s="6" t="s">
        <v>2666</v>
      </c>
      <c r="B1233" s="6" t="s">
        <v>2665</v>
      </c>
      <c r="C1233" s="6" t="s">
        <v>31</v>
      </c>
      <c r="E1233" s="6" t="s">
        <v>2664</v>
      </c>
      <c r="F1233" s="6" t="s">
        <v>2663</v>
      </c>
      <c r="G1233" s="6" t="s">
        <v>16</v>
      </c>
      <c r="H1233" s="6" t="s">
        <v>28</v>
      </c>
      <c r="I1233" s="6" t="s">
        <v>27</v>
      </c>
      <c r="J1233" s="6" t="s">
        <v>296</v>
      </c>
      <c r="K1233" s="7">
        <v>29.905449000000001</v>
      </c>
      <c r="L1233" s="7">
        <v>-96.666495999999995</v>
      </c>
      <c r="M1233" s="6" t="s">
        <v>295</v>
      </c>
      <c r="N1233" s="6" t="s">
        <v>10</v>
      </c>
      <c r="O1233" s="6" t="s">
        <v>160</v>
      </c>
    </row>
    <row r="1234" spans="1:15" x14ac:dyDescent="0.25">
      <c r="A1234" s="6" t="s">
        <v>7821</v>
      </c>
      <c r="B1234" s="6" t="s">
        <v>7820</v>
      </c>
      <c r="C1234" s="6" t="s">
        <v>31</v>
      </c>
      <c r="E1234" s="6" t="s">
        <v>7819</v>
      </c>
      <c r="F1234" s="6" t="s">
        <v>7818</v>
      </c>
      <c r="G1234" s="6" t="s">
        <v>16</v>
      </c>
      <c r="H1234" s="6" t="s">
        <v>15</v>
      </c>
      <c r="I1234" s="6" t="s">
        <v>36</v>
      </c>
      <c r="J1234" s="6" t="s">
        <v>645</v>
      </c>
      <c r="K1234" s="7">
        <v>31.55759372</v>
      </c>
      <c r="L1234" s="7">
        <v>-94.649206149999998</v>
      </c>
      <c r="M1234" s="6" t="s">
        <v>203</v>
      </c>
      <c r="N1234" s="6" t="s">
        <v>52</v>
      </c>
      <c r="O1234" s="6" t="s">
        <v>24</v>
      </c>
    </row>
    <row r="1235" spans="1:15" x14ac:dyDescent="0.25">
      <c r="A1235" s="6" t="s">
        <v>5427</v>
      </c>
      <c r="B1235" s="6" t="s">
        <v>5426</v>
      </c>
      <c r="C1235" s="6" t="s">
        <v>31</v>
      </c>
      <c r="E1235" s="6" t="s">
        <v>5425</v>
      </c>
      <c r="F1235" s="6" t="s">
        <v>5424</v>
      </c>
      <c r="G1235" s="6" t="s">
        <v>16</v>
      </c>
      <c r="H1235" s="6" t="s">
        <v>15</v>
      </c>
      <c r="I1235" s="6" t="s">
        <v>36</v>
      </c>
      <c r="J1235" s="6" t="s">
        <v>35</v>
      </c>
      <c r="K1235" s="7">
        <v>30.03415145</v>
      </c>
      <c r="L1235" s="7">
        <v>-95.438332380000006</v>
      </c>
      <c r="M1235" s="6" t="s">
        <v>279</v>
      </c>
      <c r="N1235" s="6" t="s">
        <v>24</v>
      </c>
      <c r="O1235" s="6" t="s">
        <v>23</v>
      </c>
    </row>
    <row r="1236" spans="1:15" x14ac:dyDescent="0.25">
      <c r="A1236" s="6" t="s">
        <v>11785</v>
      </c>
      <c r="B1236" s="6" t="s">
        <v>11784</v>
      </c>
      <c r="C1236" s="6" t="s">
        <v>31</v>
      </c>
      <c r="E1236" s="6" t="s">
        <v>11783</v>
      </c>
      <c r="F1236" s="6" t="s">
        <v>11782</v>
      </c>
      <c r="G1236" s="6" t="s">
        <v>16</v>
      </c>
      <c r="H1236" s="6" t="s">
        <v>28</v>
      </c>
      <c r="I1236" s="6" t="s">
        <v>60</v>
      </c>
      <c r="J1236" s="6" t="s">
        <v>2101</v>
      </c>
      <c r="K1236" s="7">
        <v>33.514634729999997</v>
      </c>
      <c r="L1236" s="7">
        <v>-96.477180829999995</v>
      </c>
      <c r="M1236" s="6" t="s">
        <v>349</v>
      </c>
      <c r="N1236" s="6" t="s">
        <v>102</v>
      </c>
      <c r="O1236" s="6" t="s">
        <v>42</v>
      </c>
    </row>
    <row r="1237" spans="1:15" x14ac:dyDescent="0.25">
      <c r="A1237" s="6" t="s">
        <v>8335</v>
      </c>
      <c r="B1237" s="6" t="s">
        <v>8334</v>
      </c>
      <c r="C1237" s="6" t="s">
        <v>31</v>
      </c>
      <c r="E1237" s="6" t="s">
        <v>8333</v>
      </c>
      <c r="F1237" s="6" t="s">
        <v>8332</v>
      </c>
      <c r="G1237" s="6" t="s">
        <v>16</v>
      </c>
      <c r="H1237" s="6" t="s">
        <v>28</v>
      </c>
      <c r="I1237" s="6" t="s">
        <v>73</v>
      </c>
      <c r="J1237" s="6" t="s">
        <v>2101</v>
      </c>
      <c r="K1237" s="7">
        <v>33.458401000000002</v>
      </c>
      <c r="L1237" s="7">
        <v>-96.922940999999994</v>
      </c>
      <c r="M1237" s="6" t="s">
        <v>3701</v>
      </c>
      <c r="N1237" s="6" t="s">
        <v>102</v>
      </c>
      <c r="O1237" s="6" t="s">
        <v>42</v>
      </c>
    </row>
    <row r="1238" spans="1:15" x14ac:dyDescent="0.25">
      <c r="A1238" s="6" t="s">
        <v>1386</v>
      </c>
      <c r="B1238" s="6" t="s">
        <v>1385</v>
      </c>
      <c r="C1238" s="6" t="s">
        <v>31</v>
      </c>
      <c r="E1238" s="6" t="s">
        <v>1384</v>
      </c>
      <c r="F1238" s="6" t="s">
        <v>1383</v>
      </c>
      <c r="G1238" s="6" t="s">
        <v>16</v>
      </c>
      <c r="H1238" s="6" t="s">
        <v>15</v>
      </c>
      <c r="I1238" s="6" t="s">
        <v>27</v>
      </c>
      <c r="J1238" s="6" t="s">
        <v>1382</v>
      </c>
      <c r="K1238" s="7">
        <v>31.490199149999999</v>
      </c>
      <c r="L1238" s="7">
        <v>-95.469189270000001</v>
      </c>
      <c r="M1238" s="6" t="s">
        <v>53</v>
      </c>
      <c r="N1238" s="6" t="s">
        <v>52</v>
      </c>
      <c r="O1238" s="6" t="s">
        <v>24</v>
      </c>
    </row>
    <row r="1239" spans="1:15" x14ac:dyDescent="0.25">
      <c r="A1239" s="6" t="s">
        <v>8808</v>
      </c>
      <c r="B1239" s="6" t="s">
        <v>8807</v>
      </c>
      <c r="C1239" s="6" t="s">
        <v>31</v>
      </c>
      <c r="E1239" s="6" t="s">
        <v>8806</v>
      </c>
      <c r="F1239" s="6" t="s">
        <v>5708</v>
      </c>
      <c r="G1239" s="6" t="s">
        <v>16</v>
      </c>
      <c r="H1239" s="6" t="s">
        <v>15</v>
      </c>
      <c r="I1239" s="6" t="s">
        <v>36</v>
      </c>
      <c r="J1239" s="6" t="s">
        <v>35</v>
      </c>
      <c r="K1239" s="7">
        <v>29.948351819999999</v>
      </c>
      <c r="L1239" s="7">
        <v>-95.401567040000003</v>
      </c>
      <c r="M1239" s="6" t="s">
        <v>198</v>
      </c>
      <c r="N1239" s="6" t="s">
        <v>24</v>
      </c>
      <c r="O1239" s="6" t="s">
        <v>23</v>
      </c>
    </row>
    <row r="1240" spans="1:15" x14ac:dyDescent="0.25">
      <c r="A1240" s="6" t="s">
        <v>6136</v>
      </c>
      <c r="B1240" s="6" t="s">
        <v>6135</v>
      </c>
      <c r="C1240" s="6" t="s">
        <v>31</v>
      </c>
      <c r="E1240" s="6" t="s">
        <v>6134</v>
      </c>
      <c r="F1240" s="6" t="s">
        <v>6133</v>
      </c>
      <c r="G1240" s="6" t="s">
        <v>16</v>
      </c>
      <c r="H1240" s="6" t="s">
        <v>28</v>
      </c>
      <c r="I1240" s="6" t="s">
        <v>73</v>
      </c>
      <c r="J1240" s="6" t="s">
        <v>2101</v>
      </c>
      <c r="K1240" s="7">
        <v>33.681401999999999</v>
      </c>
      <c r="L1240" s="7">
        <v>-96.840036999999995</v>
      </c>
      <c r="M1240" s="6" t="s">
        <v>2906</v>
      </c>
      <c r="N1240" s="6" t="s">
        <v>43</v>
      </c>
      <c r="O1240" s="6" t="s">
        <v>42</v>
      </c>
    </row>
    <row r="1241" spans="1:15" x14ac:dyDescent="0.25">
      <c r="A1241" s="6" t="s">
        <v>9940</v>
      </c>
      <c r="B1241" s="6" t="s">
        <v>9939</v>
      </c>
      <c r="C1241" s="6" t="s">
        <v>31</v>
      </c>
      <c r="E1241" s="6" t="s">
        <v>9938</v>
      </c>
      <c r="F1241" s="6" t="s">
        <v>9937</v>
      </c>
      <c r="G1241" s="6" t="s">
        <v>16</v>
      </c>
      <c r="H1241" s="6" t="s">
        <v>15</v>
      </c>
      <c r="I1241" s="6" t="s">
        <v>14</v>
      </c>
      <c r="J1241" s="6" t="s">
        <v>139</v>
      </c>
      <c r="K1241" s="7">
        <v>27.877193380000001</v>
      </c>
      <c r="L1241" s="7">
        <v>-97.332507079999999</v>
      </c>
      <c r="M1241" s="6" t="s">
        <v>4722</v>
      </c>
      <c r="N1241" s="6" t="s">
        <v>137</v>
      </c>
      <c r="O1241" s="6" t="s">
        <v>10</v>
      </c>
    </row>
    <row r="1242" spans="1:15" x14ac:dyDescent="0.25">
      <c r="A1242" s="6" t="s">
        <v>9686</v>
      </c>
      <c r="B1242" s="6" t="s">
        <v>9685</v>
      </c>
      <c r="C1242" s="6" t="s">
        <v>31</v>
      </c>
      <c r="E1242" s="6" t="s">
        <v>9684</v>
      </c>
      <c r="F1242" s="6" t="s">
        <v>1411</v>
      </c>
      <c r="G1242" s="6" t="s">
        <v>16</v>
      </c>
      <c r="H1242" s="6" t="s">
        <v>15</v>
      </c>
      <c r="I1242" s="6" t="s">
        <v>46</v>
      </c>
      <c r="J1242" s="6" t="s">
        <v>90</v>
      </c>
      <c r="K1242" s="7">
        <v>25.870654680000001</v>
      </c>
      <c r="L1242" s="7">
        <v>-97.451275570000007</v>
      </c>
      <c r="M1242" s="6" t="s">
        <v>9683</v>
      </c>
      <c r="N1242" s="6" t="s">
        <v>373</v>
      </c>
      <c r="O1242" s="6" t="s">
        <v>22</v>
      </c>
    </row>
    <row r="1243" spans="1:15" x14ac:dyDescent="0.25">
      <c r="A1243" s="6" t="s">
        <v>7171</v>
      </c>
      <c r="B1243" s="6" t="s">
        <v>7170</v>
      </c>
      <c r="C1243" s="6" t="s">
        <v>31</v>
      </c>
      <c r="E1243" s="6" t="s">
        <v>7169</v>
      </c>
      <c r="F1243" s="6" t="s">
        <v>7168</v>
      </c>
      <c r="G1243" s="6" t="s">
        <v>16</v>
      </c>
      <c r="H1243" s="6" t="s">
        <v>28</v>
      </c>
      <c r="I1243" s="6" t="s">
        <v>60</v>
      </c>
      <c r="J1243" s="6" t="s">
        <v>2340</v>
      </c>
      <c r="K1243" s="7">
        <v>30.351067</v>
      </c>
      <c r="L1243" s="7">
        <v>-96.522811000000004</v>
      </c>
      <c r="M1243" s="6" t="s">
        <v>2339</v>
      </c>
      <c r="N1243" s="6" t="s">
        <v>23</v>
      </c>
      <c r="O1243" s="6" t="s">
        <v>120</v>
      </c>
    </row>
    <row r="1244" spans="1:15" x14ac:dyDescent="0.25">
      <c r="A1244" s="6" t="s">
        <v>2277</v>
      </c>
      <c r="B1244" s="6" t="s">
        <v>2276</v>
      </c>
      <c r="C1244" s="6" t="s">
        <v>31</v>
      </c>
      <c r="E1244" s="6" t="s">
        <v>2275</v>
      </c>
      <c r="F1244" s="6" t="s">
        <v>2274</v>
      </c>
      <c r="G1244" s="6" t="s">
        <v>16</v>
      </c>
      <c r="H1244" s="6" t="s">
        <v>28</v>
      </c>
      <c r="I1244" s="6" t="s">
        <v>27</v>
      </c>
      <c r="J1244" s="6" t="s">
        <v>2273</v>
      </c>
      <c r="K1244" s="7">
        <v>31.471250999999999</v>
      </c>
      <c r="L1244" s="7">
        <v>-98.146124999999998</v>
      </c>
      <c r="M1244" s="6" t="s">
        <v>2272</v>
      </c>
      <c r="N1244" s="6" t="s">
        <v>23</v>
      </c>
      <c r="O1244" s="6" t="s">
        <v>120</v>
      </c>
    </row>
    <row r="1245" spans="1:15" x14ac:dyDescent="0.25">
      <c r="A1245" s="6" t="s">
        <v>4095</v>
      </c>
      <c r="B1245" s="6" t="s">
        <v>4094</v>
      </c>
      <c r="C1245" s="6" t="s">
        <v>31</v>
      </c>
      <c r="E1245" s="6" t="s">
        <v>4093</v>
      </c>
      <c r="F1245" s="6" t="s">
        <v>4092</v>
      </c>
      <c r="G1245" s="6" t="s">
        <v>16</v>
      </c>
      <c r="H1245" s="6" t="s">
        <v>28</v>
      </c>
      <c r="I1245" s="6" t="s">
        <v>60</v>
      </c>
      <c r="J1245" s="6" t="s">
        <v>395</v>
      </c>
      <c r="K1245" s="7">
        <v>33.657755999999999</v>
      </c>
      <c r="L1245" s="7">
        <v>-95.254600999999994</v>
      </c>
      <c r="M1245" s="6" t="s">
        <v>96</v>
      </c>
      <c r="N1245" s="6" t="s">
        <v>95</v>
      </c>
      <c r="O1245" s="6" t="s">
        <v>65</v>
      </c>
    </row>
    <row r="1246" spans="1:15" x14ac:dyDescent="0.25">
      <c r="A1246" s="6" t="s">
        <v>9914</v>
      </c>
      <c r="B1246" s="6" t="s">
        <v>9913</v>
      </c>
      <c r="C1246" s="6" t="s">
        <v>31</v>
      </c>
      <c r="E1246" s="6" t="s">
        <v>9912</v>
      </c>
      <c r="F1246" s="6" t="s">
        <v>9911</v>
      </c>
      <c r="G1246" s="6" t="s">
        <v>16</v>
      </c>
      <c r="H1246" s="6" t="s">
        <v>15</v>
      </c>
      <c r="I1246" s="6" t="s">
        <v>27</v>
      </c>
      <c r="J1246" s="6" t="s">
        <v>461</v>
      </c>
      <c r="K1246" s="7">
        <v>33.120017539999999</v>
      </c>
      <c r="L1246" s="7">
        <v>-96.071333390000007</v>
      </c>
      <c r="M1246" s="6" t="s">
        <v>109</v>
      </c>
      <c r="N1246" s="6" t="s">
        <v>65</v>
      </c>
      <c r="O1246" s="6" t="s">
        <v>42</v>
      </c>
    </row>
    <row r="1247" spans="1:15" x14ac:dyDescent="0.25">
      <c r="A1247" s="6" t="s">
        <v>7415</v>
      </c>
      <c r="B1247" s="6" t="s">
        <v>7414</v>
      </c>
      <c r="C1247" s="6" t="s">
        <v>31</v>
      </c>
      <c r="E1247" s="6" t="s">
        <v>7413</v>
      </c>
      <c r="F1247" s="6" t="s">
        <v>6631</v>
      </c>
      <c r="G1247" s="6" t="s">
        <v>16</v>
      </c>
      <c r="H1247" s="6" t="s">
        <v>15</v>
      </c>
      <c r="I1247" s="6" t="s">
        <v>4968</v>
      </c>
      <c r="J1247" s="6" t="s">
        <v>873</v>
      </c>
      <c r="K1247" s="7">
        <v>29.39887452</v>
      </c>
      <c r="L1247" s="7">
        <v>-98.670100169999998</v>
      </c>
      <c r="M1247" s="6" t="s">
        <v>7412</v>
      </c>
      <c r="N1247" s="6" t="s">
        <v>232</v>
      </c>
      <c r="O1247" s="6" t="s">
        <v>231</v>
      </c>
    </row>
    <row r="1248" spans="1:15" x14ac:dyDescent="0.25">
      <c r="A1248" s="6" t="s">
        <v>1007</v>
      </c>
      <c r="B1248" s="6" t="s">
        <v>1006</v>
      </c>
      <c r="C1248" s="6" t="s">
        <v>31</v>
      </c>
      <c r="E1248" s="6" t="s">
        <v>1005</v>
      </c>
      <c r="F1248" s="6" t="s">
        <v>1004</v>
      </c>
      <c r="G1248" s="6" t="s">
        <v>16</v>
      </c>
      <c r="H1248" s="6" t="s">
        <v>15</v>
      </c>
      <c r="I1248" s="6" t="s">
        <v>27</v>
      </c>
      <c r="J1248" s="6" t="s">
        <v>168</v>
      </c>
      <c r="K1248" s="7">
        <v>33.004768120000001</v>
      </c>
      <c r="L1248" s="7">
        <v>-97.184430820000003</v>
      </c>
      <c r="M1248" s="6" t="s">
        <v>156</v>
      </c>
      <c r="N1248" s="6" t="s">
        <v>102</v>
      </c>
      <c r="O1248" s="6" t="s">
        <v>42</v>
      </c>
    </row>
    <row r="1249" spans="1:15" x14ac:dyDescent="0.25">
      <c r="A1249" s="6" t="s">
        <v>8780</v>
      </c>
      <c r="B1249" s="6" t="s">
        <v>8779</v>
      </c>
      <c r="C1249" s="6" t="s">
        <v>31</v>
      </c>
      <c r="E1249" s="6" t="s">
        <v>8778</v>
      </c>
      <c r="F1249" s="6" t="s">
        <v>8777</v>
      </c>
      <c r="G1249" s="6" t="s">
        <v>16</v>
      </c>
      <c r="H1249" s="6" t="s">
        <v>28</v>
      </c>
      <c r="I1249" s="6" t="s">
        <v>27</v>
      </c>
      <c r="J1249" s="6" t="s">
        <v>162</v>
      </c>
      <c r="K1249" s="7">
        <v>29.398139</v>
      </c>
      <c r="L1249" s="7">
        <v>-95.222817000000006</v>
      </c>
      <c r="M1249" s="6" t="s">
        <v>706</v>
      </c>
      <c r="N1249" s="6" t="s">
        <v>160</v>
      </c>
      <c r="O1249" s="6" t="s">
        <v>23</v>
      </c>
    </row>
    <row r="1250" spans="1:15" x14ac:dyDescent="0.25">
      <c r="A1250" s="6" t="s">
        <v>12387</v>
      </c>
      <c r="B1250" s="6" t="s">
        <v>12386</v>
      </c>
      <c r="C1250" s="6" t="s">
        <v>31</v>
      </c>
      <c r="E1250" s="6" t="s">
        <v>12385</v>
      </c>
      <c r="F1250" s="6" t="s">
        <v>12384</v>
      </c>
      <c r="G1250" s="6" t="s">
        <v>16</v>
      </c>
      <c r="H1250" s="6" t="s">
        <v>28</v>
      </c>
      <c r="I1250" s="6" t="s">
        <v>73</v>
      </c>
      <c r="J1250" s="6" t="s">
        <v>1013</v>
      </c>
      <c r="K1250" s="7">
        <v>31.390459440000001</v>
      </c>
      <c r="L1250" s="7">
        <v>-94.762587010000004</v>
      </c>
      <c r="M1250" s="6" t="s">
        <v>1012</v>
      </c>
      <c r="N1250" s="6" t="s">
        <v>52</v>
      </c>
      <c r="O1250" s="6" t="s">
        <v>24</v>
      </c>
    </row>
    <row r="1251" spans="1:15" x14ac:dyDescent="0.25">
      <c r="A1251" s="6" t="s">
        <v>6281</v>
      </c>
      <c r="B1251" s="6" t="s">
        <v>6280</v>
      </c>
      <c r="C1251" s="6" t="s">
        <v>31</v>
      </c>
      <c r="E1251" s="6" t="s">
        <v>6279</v>
      </c>
      <c r="F1251" s="6" t="s">
        <v>6278</v>
      </c>
      <c r="G1251" s="6" t="s">
        <v>16</v>
      </c>
      <c r="H1251" s="6" t="s">
        <v>28</v>
      </c>
      <c r="I1251" s="6" t="s">
        <v>14</v>
      </c>
      <c r="J1251" s="6" t="s">
        <v>2340</v>
      </c>
      <c r="K1251" s="7">
        <v>30.504339309999999</v>
      </c>
      <c r="L1251" s="7">
        <v>-96.448907039999995</v>
      </c>
      <c r="M1251" s="6" t="s">
        <v>121</v>
      </c>
      <c r="N1251" s="6" t="s">
        <v>23</v>
      </c>
      <c r="O1251" s="6" t="s">
        <v>120</v>
      </c>
    </row>
    <row r="1252" spans="1:15" x14ac:dyDescent="0.25">
      <c r="A1252" s="6" t="s">
        <v>10283</v>
      </c>
      <c r="B1252" s="6" t="s">
        <v>10282</v>
      </c>
      <c r="C1252" s="6" t="s">
        <v>31</v>
      </c>
      <c r="E1252" s="6" t="s">
        <v>10281</v>
      </c>
      <c r="F1252" s="6" t="s">
        <v>10280</v>
      </c>
      <c r="G1252" s="6" t="s">
        <v>16</v>
      </c>
      <c r="H1252" s="6" t="s">
        <v>28</v>
      </c>
      <c r="I1252" s="6" t="s">
        <v>60</v>
      </c>
      <c r="J1252" s="6" t="s">
        <v>3688</v>
      </c>
      <c r="K1252" s="7">
        <v>29.129154</v>
      </c>
      <c r="L1252" s="7">
        <v>-98.172934999999995</v>
      </c>
      <c r="M1252" s="6" t="s">
        <v>1792</v>
      </c>
      <c r="N1252" s="6" t="s">
        <v>232</v>
      </c>
      <c r="O1252" s="6" t="s">
        <v>231</v>
      </c>
    </row>
    <row r="1253" spans="1:15" x14ac:dyDescent="0.25">
      <c r="A1253" s="6" t="s">
        <v>3840</v>
      </c>
      <c r="B1253" s="6" t="s">
        <v>3839</v>
      </c>
      <c r="C1253" s="6" t="s">
        <v>31</v>
      </c>
      <c r="E1253" s="6" t="s">
        <v>3838</v>
      </c>
      <c r="F1253" s="6" t="s">
        <v>3837</v>
      </c>
      <c r="G1253" s="6" t="s">
        <v>16</v>
      </c>
      <c r="H1253" s="6" t="s">
        <v>28</v>
      </c>
      <c r="I1253" s="6" t="s">
        <v>60</v>
      </c>
      <c r="J1253" s="6" t="s">
        <v>548</v>
      </c>
      <c r="K1253" s="7">
        <v>33.350205709999997</v>
      </c>
      <c r="L1253" s="7">
        <v>-94.250039900000004</v>
      </c>
      <c r="M1253" s="6" t="s">
        <v>547</v>
      </c>
      <c r="N1253" s="6" t="s">
        <v>95</v>
      </c>
      <c r="O1253" s="6" t="s">
        <v>65</v>
      </c>
    </row>
    <row r="1254" spans="1:15" x14ac:dyDescent="0.25">
      <c r="A1254" s="6" t="s">
        <v>5659</v>
      </c>
      <c r="B1254" s="6" t="s">
        <v>5658</v>
      </c>
      <c r="C1254" s="6" t="s">
        <v>31</v>
      </c>
      <c r="E1254" s="6" t="s">
        <v>5657</v>
      </c>
      <c r="F1254" s="6" t="s">
        <v>5656</v>
      </c>
      <c r="G1254" s="6" t="s">
        <v>16</v>
      </c>
      <c r="H1254" s="6" t="s">
        <v>15</v>
      </c>
      <c r="I1254" s="6" t="s">
        <v>14</v>
      </c>
      <c r="J1254" s="6" t="s">
        <v>162</v>
      </c>
      <c r="K1254" s="7">
        <v>29.158146590000001</v>
      </c>
      <c r="L1254" s="7">
        <v>-95.460677939999997</v>
      </c>
      <c r="M1254" s="6" t="s">
        <v>2680</v>
      </c>
      <c r="N1254" s="6" t="s">
        <v>160</v>
      </c>
      <c r="O1254" s="6" t="s">
        <v>23</v>
      </c>
    </row>
    <row r="1255" spans="1:15" x14ac:dyDescent="0.25">
      <c r="A1255" s="6" t="s">
        <v>12364</v>
      </c>
      <c r="B1255" s="6" t="s">
        <v>12363</v>
      </c>
      <c r="C1255" s="6" t="s">
        <v>31</v>
      </c>
      <c r="E1255" s="6" t="s">
        <v>12362</v>
      </c>
      <c r="F1255" s="6" t="s">
        <v>12361</v>
      </c>
      <c r="G1255" s="6" t="s">
        <v>16</v>
      </c>
      <c r="H1255" s="6" t="s">
        <v>15</v>
      </c>
      <c r="I1255" s="6" t="s">
        <v>14</v>
      </c>
      <c r="J1255" s="6" t="s">
        <v>132</v>
      </c>
      <c r="K1255" s="7">
        <v>29.616187669999999</v>
      </c>
      <c r="L1255" s="7">
        <v>-95.741091269999998</v>
      </c>
      <c r="M1255" s="6" t="s">
        <v>355</v>
      </c>
      <c r="N1255" s="6" t="s">
        <v>23</v>
      </c>
      <c r="O1255" s="6" t="s">
        <v>23</v>
      </c>
    </row>
    <row r="1256" spans="1:15" x14ac:dyDescent="0.25">
      <c r="A1256" s="6" t="s">
        <v>1365</v>
      </c>
      <c r="B1256" s="6" t="s">
        <v>1364</v>
      </c>
      <c r="C1256" s="6" t="s">
        <v>31</v>
      </c>
      <c r="E1256" s="6" t="s">
        <v>1363</v>
      </c>
      <c r="F1256" s="6" t="s">
        <v>1362</v>
      </c>
      <c r="G1256" s="6" t="s">
        <v>16</v>
      </c>
      <c r="H1256" s="6" t="s">
        <v>15</v>
      </c>
      <c r="I1256" s="6" t="s">
        <v>36</v>
      </c>
      <c r="J1256" s="6" t="s">
        <v>35</v>
      </c>
      <c r="K1256" s="7">
        <v>29.70730468</v>
      </c>
      <c r="L1256" s="7">
        <v>-95.651874530000001</v>
      </c>
      <c r="M1256" s="6" t="s">
        <v>866</v>
      </c>
      <c r="N1256" s="6" t="s">
        <v>24</v>
      </c>
      <c r="O1256" s="6" t="s">
        <v>23</v>
      </c>
    </row>
    <row r="1257" spans="1:15" x14ac:dyDescent="0.25">
      <c r="A1257" s="6" t="s">
        <v>6319</v>
      </c>
      <c r="B1257" s="6" t="s">
        <v>6318</v>
      </c>
      <c r="C1257" s="6" t="s">
        <v>31</v>
      </c>
      <c r="E1257" s="6" t="s">
        <v>6317</v>
      </c>
      <c r="F1257" s="6" t="s">
        <v>6316</v>
      </c>
      <c r="G1257" s="6" t="s">
        <v>16</v>
      </c>
      <c r="H1257" s="6" t="s">
        <v>15</v>
      </c>
      <c r="I1257" s="6" t="s">
        <v>36</v>
      </c>
      <c r="J1257" s="6" t="s">
        <v>35</v>
      </c>
      <c r="K1257" s="7">
        <v>30.031776000000001</v>
      </c>
      <c r="L1257" s="7">
        <v>-95.302954999999997</v>
      </c>
      <c r="M1257" s="6" t="s">
        <v>731</v>
      </c>
      <c r="N1257" s="6" t="s">
        <v>24</v>
      </c>
      <c r="O1257" s="6" t="s">
        <v>23</v>
      </c>
    </row>
    <row r="1258" spans="1:15" x14ac:dyDescent="0.25">
      <c r="A1258" s="6" t="s">
        <v>12342</v>
      </c>
      <c r="B1258" s="6" t="s">
        <v>12341</v>
      </c>
      <c r="C1258" s="6" t="s">
        <v>31</v>
      </c>
      <c r="E1258" s="6" t="s">
        <v>12340</v>
      </c>
      <c r="F1258" s="6" t="s">
        <v>12339</v>
      </c>
      <c r="G1258" s="6" t="s">
        <v>16</v>
      </c>
      <c r="H1258" s="6" t="s">
        <v>28</v>
      </c>
      <c r="I1258" s="6" t="s">
        <v>60</v>
      </c>
      <c r="J1258" s="6" t="s">
        <v>26</v>
      </c>
      <c r="K1258" s="7">
        <v>30.373115819999999</v>
      </c>
      <c r="L1258" s="7">
        <v>-95.631565670000001</v>
      </c>
      <c r="M1258" s="6" t="s">
        <v>340</v>
      </c>
      <c r="N1258" s="6" t="s">
        <v>24</v>
      </c>
      <c r="O1258" s="6" t="s">
        <v>23</v>
      </c>
    </row>
    <row r="1259" spans="1:15" x14ac:dyDescent="0.25">
      <c r="A1259" s="6" t="s">
        <v>8951</v>
      </c>
      <c r="B1259" s="6" t="s">
        <v>8950</v>
      </c>
      <c r="C1259" s="6" t="s">
        <v>31</v>
      </c>
      <c r="E1259" s="6" t="s">
        <v>8949</v>
      </c>
      <c r="F1259" s="6" t="s">
        <v>8948</v>
      </c>
      <c r="G1259" s="6" t="s">
        <v>16</v>
      </c>
      <c r="H1259" s="6" t="s">
        <v>28</v>
      </c>
      <c r="I1259" s="6" t="s">
        <v>46</v>
      </c>
      <c r="J1259" s="6" t="s">
        <v>168</v>
      </c>
      <c r="K1259" s="7">
        <v>33.299758799999999</v>
      </c>
      <c r="L1259" s="7">
        <v>-96.992086650000005</v>
      </c>
      <c r="M1259" s="6" t="s">
        <v>725</v>
      </c>
      <c r="N1259" s="6" t="s">
        <v>102</v>
      </c>
      <c r="O1259" s="6" t="s">
        <v>42</v>
      </c>
    </row>
    <row r="1260" spans="1:15" x14ac:dyDescent="0.25">
      <c r="A1260" s="6" t="s">
        <v>6368</v>
      </c>
      <c r="B1260" s="6" t="s">
        <v>6367</v>
      </c>
      <c r="C1260" s="6" t="s">
        <v>31</v>
      </c>
      <c r="E1260" s="6" t="s">
        <v>6366</v>
      </c>
      <c r="F1260" s="6" t="s">
        <v>6365</v>
      </c>
      <c r="G1260" s="6" t="s">
        <v>16</v>
      </c>
      <c r="H1260" s="6" t="s">
        <v>28</v>
      </c>
      <c r="I1260" s="6" t="s">
        <v>60</v>
      </c>
      <c r="J1260" s="6" t="s">
        <v>1382</v>
      </c>
      <c r="K1260" s="7">
        <v>31.354808999999999</v>
      </c>
      <c r="L1260" s="7">
        <v>-95.180031</v>
      </c>
      <c r="M1260" s="6" t="s">
        <v>53</v>
      </c>
      <c r="N1260" s="6" t="s">
        <v>52</v>
      </c>
      <c r="O1260" s="6" t="s">
        <v>24</v>
      </c>
    </row>
    <row r="1261" spans="1:15" x14ac:dyDescent="0.25">
      <c r="A1261" s="6" t="s">
        <v>11024</v>
      </c>
      <c r="B1261" s="6" t="s">
        <v>11023</v>
      </c>
      <c r="C1261" s="6" t="s">
        <v>31</v>
      </c>
      <c r="E1261" s="6" t="s">
        <v>11022</v>
      </c>
      <c r="F1261" s="6" t="s">
        <v>11021</v>
      </c>
      <c r="G1261" s="6" t="s">
        <v>16</v>
      </c>
      <c r="H1261" s="6" t="s">
        <v>28</v>
      </c>
      <c r="I1261" s="6" t="s">
        <v>60</v>
      </c>
      <c r="J1261" s="6" t="s">
        <v>1209</v>
      </c>
      <c r="K1261" s="7">
        <v>32.008847000000003</v>
      </c>
      <c r="L1261" s="7">
        <v>-97.609806000000006</v>
      </c>
      <c r="M1261" s="6" t="s">
        <v>1450</v>
      </c>
      <c r="N1261" s="6" t="s">
        <v>23</v>
      </c>
      <c r="O1261" s="6" t="s">
        <v>120</v>
      </c>
    </row>
    <row r="1262" spans="1:15" x14ac:dyDescent="0.25">
      <c r="A1262" s="6" t="s">
        <v>354</v>
      </c>
      <c r="B1262" s="6" t="s">
        <v>353</v>
      </c>
      <c r="C1262" s="6" t="s">
        <v>31</v>
      </c>
      <c r="E1262" s="6" t="s">
        <v>352</v>
      </c>
      <c r="F1262" s="6" t="s">
        <v>351</v>
      </c>
      <c r="G1262" s="6" t="s">
        <v>16</v>
      </c>
      <c r="H1262" s="6" t="s">
        <v>28</v>
      </c>
      <c r="I1262" s="6" t="s">
        <v>350</v>
      </c>
      <c r="J1262" s="6" t="s">
        <v>239</v>
      </c>
      <c r="K1262" s="7">
        <v>33.331986999999998</v>
      </c>
      <c r="L1262" s="7">
        <v>-96.566728999999995</v>
      </c>
      <c r="M1262" s="6" t="s">
        <v>349</v>
      </c>
      <c r="N1262" s="6" t="s">
        <v>102</v>
      </c>
      <c r="O1262" s="6" t="s">
        <v>42</v>
      </c>
    </row>
    <row r="1263" spans="1:15" x14ac:dyDescent="0.25">
      <c r="A1263" s="6" t="s">
        <v>6474</v>
      </c>
      <c r="B1263" s="6" t="s">
        <v>353</v>
      </c>
      <c r="C1263" s="6" t="s">
        <v>19</v>
      </c>
      <c r="E1263" s="6" t="s">
        <v>352</v>
      </c>
      <c r="F1263" s="6" t="s">
        <v>351</v>
      </c>
      <c r="G1263" s="6" t="s">
        <v>16</v>
      </c>
      <c r="H1263" s="6" t="s">
        <v>28</v>
      </c>
      <c r="I1263" s="6" t="s">
        <v>60</v>
      </c>
      <c r="J1263" s="6" t="s">
        <v>239</v>
      </c>
      <c r="K1263" s="7">
        <v>33.331412</v>
      </c>
      <c r="L1263" s="7">
        <v>-96.566299000000001</v>
      </c>
      <c r="M1263" s="6" t="s">
        <v>349</v>
      </c>
      <c r="N1263" s="6" t="s">
        <v>102</v>
      </c>
      <c r="O1263" s="6" t="s">
        <v>42</v>
      </c>
    </row>
    <row r="1264" spans="1:15" x14ac:dyDescent="0.25">
      <c r="A1264" s="6" t="s">
        <v>6164</v>
      </c>
      <c r="B1264" s="6" t="s">
        <v>6163</v>
      </c>
      <c r="C1264" s="6" t="s">
        <v>31</v>
      </c>
      <c r="E1264" s="6" t="s">
        <v>6162</v>
      </c>
      <c r="F1264" s="6" t="s">
        <v>6158</v>
      </c>
      <c r="G1264" s="6" t="s">
        <v>16</v>
      </c>
      <c r="H1264" s="6" t="s">
        <v>28</v>
      </c>
      <c r="I1264" s="6" t="s">
        <v>60</v>
      </c>
      <c r="J1264" s="6" t="s">
        <v>1716</v>
      </c>
      <c r="K1264" s="7">
        <v>30.528920809999999</v>
      </c>
      <c r="L1264" s="7">
        <v>-95.472657639999994</v>
      </c>
      <c r="M1264" s="6" t="s">
        <v>59</v>
      </c>
      <c r="N1264" s="6" t="s">
        <v>24</v>
      </c>
      <c r="O1264" s="6" t="s">
        <v>23</v>
      </c>
    </row>
    <row r="1265" spans="1:15" x14ac:dyDescent="0.25">
      <c r="A1265" s="6" t="s">
        <v>6326</v>
      </c>
      <c r="B1265" s="6" t="s">
        <v>6325</v>
      </c>
      <c r="C1265" s="6" t="s">
        <v>31</v>
      </c>
      <c r="E1265" s="6" t="s">
        <v>6324</v>
      </c>
      <c r="F1265" s="6" t="s">
        <v>2871</v>
      </c>
      <c r="G1265" s="6" t="s">
        <v>16</v>
      </c>
      <c r="H1265" s="6" t="s">
        <v>28</v>
      </c>
      <c r="I1265" s="6" t="s">
        <v>73</v>
      </c>
      <c r="J1265" s="6" t="s">
        <v>26</v>
      </c>
      <c r="K1265" s="7">
        <v>30.398897139999999</v>
      </c>
      <c r="L1265" s="7">
        <v>-95.699414649999994</v>
      </c>
      <c r="M1265" s="6" t="s">
        <v>340</v>
      </c>
      <c r="N1265" s="6" t="s">
        <v>24</v>
      </c>
      <c r="O1265" s="6" t="s">
        <v>23</v>
      </c>
    </row>
    <row r="1266" spans="1:15" x14ac:dyDescent="0.25">
      <c r="A1266" s="6" t="s">
        <v>7342</v>
      </c>
      <c r="B1266" s="6" t="s">
        <v>7341</v>
      </c>
      <c r="C1266" s="6" t="s">
        <v>31</v>
      </c>
      <c r="E1266" s="6" t="s">
        <v>7340</v>
      </c>
      <c r="F1266" s="6" t="s">
        <v>7339</v>
      </c>
      <c r="G1266" s="6" t="s">
        <v>16</v>
      </c>
      <c r="H1266" s="6" t="s">
        <v>28</v>
      </c>
      <c r="I1266" s="6" t="s">
        <v>27</v>
      </c>
      <c r="J1266" s="6" t="s">
        <v>162</v>
      </c>
      <c r="K1266" s="7">
        <v>29.224388000000001</v>
      </c>
      <c r="L1266" s="7">
        <v>-95.355102000000002</v>
      </c>
      <c r="M1266" s="6" t="s">
        <v>1999</v>
      </c>
      <c r="N1266" s="6" t="s">
        <v>160</v>
      </c>
      <c r="O1266" s="6" t="s">
        <v>23</v>
      </c>
    </row>
    <row r="1267" spans="1:15" x14ac:dyDescent="0.25">
      <c r="A1267" s="6" t="s">
        <v>8454</v>
      </c>
      <c r="B1267" s="6" t="s">
        <v>8452</v>
      </c>
      <c r="C1267" s="6" t="s">
        <v>31</v>
      </c>
      <c r="E1267" s="6" t="s">
        <v>8451</v>
      </c>
      <c r="F1267" s="6" t="s">
        <v>8450</v>
      </c>
      <c r="G1267" s="6" t="s">
        <v>16</v>
      </c>
      <c r="H1267" s="6" t="s">
        <v>15</v>
      </c>
      <c r="I1267" s="6" t="s">
        <v>46</v>
      </c>
      <c r="J1267" s="6" t="s">
        <v>982</v>
      </c>
      <c r="K1267" s="7">
        <v>32.091794630000003</v>
      </c>
      <c r="L1267" s="7">
        <v>-96.409063090000004</v>
      </c>
      <c r="M1267" s="6" t="s">
        <v>981</v>
      </c>
      <c r="N1267" s="6" t="s">
        <v>102</v>
      </c>
      <c r="O1267" s="6" t="s">
        <v>42</v>
      </c>
    </row>
    <row r="1268" spans="1:15" x14ac:dyDescent="0.25">
      <c r="A1268" s="6" t="s">
        <v>8453</v>
      </c>
      <c r="B1268" s="6" t="s">
        <v>8452</v>
      </c>
      <c r="C1268" s="6" t="s">
        <v>19</v>
      </c>
      <c r="E1268" s="6" t="s">
        <v>8451</v>
      </c>
      <c r="F1268" s="6" t="s">
        <v>8450</v>
      </c>
      <c r="G1268" s="6" t="s">
        <v>16</v>
      </c>
      <c r="H1268" s="6" t="s">
        <v>15</v>
      </c>
      <c r="I1268" s="6" t="s">
        <v>46</v>
      </c>
      <c r="J1268" s="6" t="s">
        <v>982</v>
      </c>
      <c r="K1268" s="7">
        <v>32.081834999999998</v>
      </c>
      <c r="L1268" s="7">
        <v>-96.413409000000001</v>
      </c>
      <c r="M1268" s="6" t="s">
        <v>981</v>
      </c>
      <c r="N1268" s="6" t="s">
        <v>102</v>
      </c>
      <c r="O1268" s="6" t="s">
        <v>42</v>
      </c>
    </row>
    <row r="1269" spans="1:15" x14ac:dyDescent="0.25">
      <c r="A1269" s="6" t="s">
        <v>11135</v>
      </c>
      <c r="B1269" s="6" t="s">
        <v>11134</v>
      </c>
      <c r="C1269" s="6" t="s">
        <v>31</v>
      </c>
      <c r="E1269" s="6" t="s">
        <v>11133</v>
      </c>
      <c r="F1269" s="6" t="s">
        <v>4913</v>
      </c>
      <c r="G1269" s="6" t="s">
        <v>16</v>
      </c>
      <c r="H1269" s="6" t="s">
        <v>28</v>
      </c>
      <c r="I1269" s="6" t="s">
        <v>60</v>
      </c>
      <c r="J1269" s="6" t="s">
        <v>90</v>
      </c>
      <c r="K1269" s="7">
        <v>26.153037000000001</v>
      </c>
      <c r="L1269" s="7">
        <v>-97.333087000000006</v>
      </c>
      <c r="M1269" s="6" t="s">
        <v>89</v>
      </c>
      <c r="N1269" s="6" t="s">
        <v>11</v>
      </c>
      <c r="O1269" s="6" t="s">
        <v>22</v>
      </c>
    </row>
    <row r="1270" spans="1:15" x14ac:dyDescent="0.25">
      <c r="A1270" s="6" t="s">
        <v>6250</v>
      </c>
      <c r="B1270" s="6" t="s">
        <v>6249</v>
      </c>
      <c r="C1270" s="6" t="s">
        <v>31</v>
      </c>
      <c r="E1270" s="6" t="s">
        <v>6248</v>
      </c>
      <c r="F1270" s="6" t="s">
        <v>6247</v>
      </c>
      <c r="G1270" s="6" t="s">
        <v>16</v>
      </c>
      <c r="H1270" s="6" t="s">
        <v>28</v>
      </c>
      <c r="I1270" s="6" t="s">
        <v>60</v>
      </c>
      <c r="J1270" s="6" t="s">
        <v>35</v>
      </c>
      <c r="K1270" s="7">
        <v>29.675018609999999</v>
      </c>
      <c r="L1270" s="7">
        <v>-95.610005200000003</v>
      </c>
      <c r="M1270" s="6" t="s">
        <v>866</v>
      </c>
      <c r="N1270" s="6" t="s">
        <v>24</v>
      </c>
      <c r="O1270" s="6" t="s">
        <v>23</v>
      </c>
    </row>
    <row r="1271" spans="1:15" x14ac:dyDescent="0.25">
      <c r="A1271" s="6" t="s">
        <v>10338</v>
      </c>
      <c r="B1271" s="6" t="s">
        <v>10337</v>
      </c>
      <c r="C1271" s="6" t="s">
        <v>31</v>
      </c>
      <c r="E1271" s="6" t="s">
        <v>10336</v>
      </c>
      <c r="F1271" s="6" t="s">
        <v>10335</v>
      </c>
      <c r="G1271" s="6" t="s">
        <v>16</v>
      </c>
      <c r="H1271" s="6" t="s">
        <v>15</v>
      </c>
      <c r="I1271" s="6" t="s">
        <v>27</v>
      </c>
      <c r="J1271" s="6" t="s">
        <v>45</v>
      </c>
      <c r="K1271" s="7">
        <v>33.412053540000002</v>
      </c>
      <c r="L1271" s="7">
        <v>-95.938973559999994</v>
      </c>
      <c r="M1271" s="6" t="s">
        <v>4482</v>
      </c>
      <c r="N1271" s="6" t="s">
        <v>95</v>
      </c>
      <c r="O1271" s="6" t="s">
        <v>42</v>
      </c>
    </row>
    <row r="1272" spans="1:15" x14ac:dyDescent="0.25">
      <c r="A1272" s="6" t="s">
        <v>2224</v>
      </c>
      <c r="B1272" s="6" t="s">
        <v>2223</v>
      </c>
      <c r="C1272" s="6" t="s">
        <v>31</v>
      </c>
      <c r="E1272" s="6" t="s">
        <v>2222</v>
      </c>
      <c r="F1272" s="6" t="s">
        <v>2221</v>
      </c>
      <c r="G1272" s="6" t="s">
        <v>16</v>
      </c>
      <c r="H1272" s="6" t="s">
        <v>28</v>
      </c>
      <c r="I1272" s="6" t="s">
        <v>36</v>
      </c>
      <c r="J1272" s="6" t="s">
        <v>35</v>
      </c>
      <c r="K1272" s="7">
        <v>29.885376910000002</v>
      </c>
      <c r="L1272" s="7">
        <v>-95.551384209999995</v>
      </c>
      <c r="M1272" s="6" t="s">
        <v>77</v>
      </c>
      <c r="N1272" s="6" t="s">
        <v>24</v>
      </c>
      <c r="O1272" s="6" t="s">
        <v>23</v>
      </c>
    </row>
    <row r="1273" spans="1:15" x14ac:dyDescent="0.25">
      <c r="A1273" s="6" t="s">
        <v>5344</v>
      </c>
      <c r="B1273" s="6" t="s">
        <v>5343</v>
      </c>
      <c r="C1273" s="6" t="s">
        <v>31</v>
      </c>
      <c r="E1273" s="6" t="s">
        <v>5342</v>
      </c>
      <c r="F1273" s="6" t="s">
        <v>5341</v>
      </c>
      <c r="G1273" s="6" t="s">
        <v>16</v>
      </c>
      <c r="H1273" s="6" t="s">
        <v>28</v>
      </c>
      <c r="I1273" s="6" t="s">
        <v>60</v>
      </c>
      <c r="J1273" s="6" t="s">
        <v>1281</v>
      </c>
      <c r="K1273" s="7">
        <v>31.765624209999999</v>
      </c>
      <c r="L1273" s="7">
        <v>-96.640626749999996</v>
      </c>
      <c r="M1273" s="6" t="s">
        <v>981</v>
      </c>
      <c r="N1273" s="6" t="s">
        <v>102</v>
      </c>
      <c r="O1273" s="6" t="s">
        <v>120</v>
      </c>
    </row>
    <row r="1274" spans="1:15" x14ac:dyDescent="0.25">
      <c r="A1274" s="6" t="s">
        <v>11642</v>
      </c>
      <c r="B1274" s="6" t="s">
        <v>11641</v>
      </c>
      <c r="C1274" s="6" t="s">
        <v>31</v>
      </c>
      <c r="E1274" s="6" t="s">
        <v>11640</v>
      </c>
      <c r="F1274" s="6" t="s">
        <v>858</v>
      </c>
      <c r="G1274" s="6" t="s">
        <v>16</v>
      </c>
      <c r="H1274" s="6" t="s">
        <v>28</v>
      </c>
      <c r="I1274" s="6" t="s">
        <v>27</v>
      </c>
      <c r="J1274" s="6" t="s">
        <v>35</v>
      </c>
      <c r="K1274" s="7">
        <v>29.866599040000001</v>
      </c>
      <c r="L1274" s="7">
        <v>-95.077256199999994</v>
      </c>
      <c r="M1274" s="6" t="s">
        <v>716</v>
      </c>
      <c r="N1274" s="6" t="s">
        <v>24</v>
      </c>
      <c r="O1274" s="6" t="s">
        <v>23</v>
      </c>
    </row>
    <row r="1275" spans="1:15" x14ac:dyDescent="0.25">
      <c r="A1275" s="6" t="s">
        <v>4422</v>
      </c>
      <c r="B1275" s="6" t="s">
        <v>4421</v>
      </c>
      <c r="C1275" s="6" t="s">
        <v>31</v>
      </c>
      <c r="E1275" s="6" t="s">
        <v>4420</v>
      </c>
      <c r="F1275" s="6" t="s">
        <v>4419</v>
      </c>
      <c r="G1275" s="6" t="s">
        <v>16</v>
      </c>
      <c r="H1275" s="6" t="s">
        <v>28</v>
      </c>
      <c r="I1275" s="6" t="s">
        <v>27</v>
      </c>
      <c r="J1275" s="6" t="s">
        <v>45</v>
      </c>
      <c r="K1275" s="7">
        <v>33.569657999999997</v>
      </c>
      <c r="L1275" s="7">
        <v>-96.068894999999998</v>
      </c>
      <c r="M1275" s="6" t="s">
        <v>44</v>
      </c>
      <c r="N1275" s="6" t="s">
        <v>43</v>
      </c>
      <c r="O1275" s="6" t="s">
        <v>42</v>
      </c>
    </row>
    <row r="1276" spans="1:15" x14ac:dyDescent="0.25">
      <c r="A1276" s="6" t="s">
        <v>2679</v>
      </c>
      <c r="B1276" s="6" t="s">
        <v>2678</v>
      </c>
      <c r="C1276" s="6" t="s">
        <v>31</v>
      </c>
      <c r="E1276" s="6" t="s">
        <v>2677</v>
      </c>
      <c r="F1276" s="6" t="s">
        <v>2676</v>
      </c>
      <c r="G1276" s="6" t="s">
        <v>16</v>
      </c>
      <c r="H1276" s="6" t="s">
        <v>15</v>
      </c>
      <c r="I1276" s="6" t="s">
        <v>36</v>
      </c>
      <c r="J1276" s="6" t="s">
        <v>35</v>
      </c>
      <c r="K1276" s="7">
        <v>29.735357220000001</v>
      </c>
      <c r="L1276" s="7">
        <v>-95.231161569999998</v>
      </c>
      <c r="M1276" s="6" t="s">
        <v>866</v>
      </c>
      <c r="N1276" s="6" t="s">
        <v>24</v>
      </c>
      <c r="O1276" s="6" t="s">
        <v>23</v>
      </c>
    </row>
    <row r="1277" spans="1:15" x14ac:dyDescent="0.25">
      <c r="A1277" s="6" t="s">
        <v>10449</v>
      </c>
      <c r="B1277" s="6" t="s">
        <v>10448</v>
      </c>
      <c r="C1277" s="6" t="s">
        <v>31</v>
      </c>
      <c r="E1277" s="6" t="s">
        <v>10447</v>
      </c>
      <c r="F1277" s="6" t="s">
        <v>10446</v>
      </c>
      <c r="G1277" s="6" t="s">
        <v>16</v>
      </c>
      <c r="H1277" s="6" t="s">
        <v>15</v>
      </c>
      <c r="I1277" s="6" t="s">
        <v>46</v>
      </c>
      <c r="J1277" s="6" t="s">
        <v>10445</v>
      </c>
      <c r="K1277" s="7">
        <v>36.037689020000002</v>
      </c>
      <c r="L1277" s="7">
        <v>-102.49946263</v>
      </c>
      <c r="M1277" s="6" t="s">
        <v>10444</v>
      </c>
      <c r="N1277" s="6" t="s">
        <v>535</v>
      </c>
      <c r="O1277" s="6" t="s">
        <v>535</v>
      </c>
    </row>
    <row r="1278" spans="1:15" x14ac:dyDescent="0.25">
      <c r="A1278" s="6" t="s">
        <v>4103</v>
      </c>
      <c r="B1278" s="6" t="s">
        <v>4102</v>
      </c>
      <c r="C1278" s="6" t="s">
        <v>31</v>
      </c>
      <c r="E1278" s="6" t="s">
        <v>4101</v>
      </c>
      <c r="F1278" s="6" t="s">
        <v>4100</v>
      </c>
      <c r="G1278" s="6" t="s">
        <v>16</v>
      </c>
      <c r="H1278" s="6" t="s">
        <v>28</v>
      </c>
      <c r="I1278" s="6" t="s">
        <v>73</v>
      </c>
      <c r="J1278" s="6" t="s">
        <v>1690</v>
      </c>
      <c r="K1278" s="7">
        <v>32.231979000000003</v>
      </c>
      <c r="L1278" s="7">
        <v>-94.449509000000006</v>
      </c>
      <c r="M1278" s="6" t="s">
        <v>1218</v>
      </c>
      <c r="N1278" s="6" t="s">
        <v>65</v>
      </c>
      <c r="O1278" s="6" t="s">
        <v>65</v>
      </c>
    </row>
    <row r="1279" spans="1:15" x14ac:dyDescent="0.25">
      <c r="A1279" s="6" t="s">
        <v>12380</v>
      </c>
      <c r="B1279" s="6" t="s">
        <v>12379</v>
      </c>
      <c r="C1279" s="6" t="s">
        <v>31</v>
      </c>
      <c r="E1279" s="6" t="s">
        <v>12378</v>
      </c>
      <c r="F1279" s="6" t="s">
        <v>12377</v>
      </c>
      <c r="G1279" s="6" t="s">
        <v>16</v>
      </c>
      <c r="H1279" s="6" t="s">
        <v>28</v>
      </c>
      <c r="I1279" s="6" t="s">
        <v>60</v>
      </c>
      <c r="J1279" s="6" t="s">
        <v>151</v>
      </c>
      <c r="K1279" s="7">
        <v>32.997972369999999</v>
      </c>
      <c r="L1279" s="7">
        <v>-97.495315939999998</v>
      </c>
      <c r="M1279" s="6" t="s">
        <v>267</v>
      </c>
      <c r="N1279" s="6" t="s">
        <v>102</v>
      </c>
      <c r="O1279" s="6" t="s">
        <v>42</v>
      </c>
    </row>
    <row r="1280" spans="1:15" x14ac:dyDescent="0.25">
      <c r="A1280" s="6" t="s">
        <v>3836</v>
      </c>
      <c r="B1280" s="6" t="s">
        <v>3835</v>
      </c>
      <c r="C1280" s="6" t="s">
        <v>31</v>
      </c>
      <c r="E1280" s="6" t="s">
        <v>3834</v>
      </c>
      <c r="F1280" s="6" t="s">
        <v>431</v>
      </c>
      <c r="G1280" s="6" t="s">
        <v>16</v>
      </c>
      <c r="H1280" s="6" t="s">
        <v>28</v>
      </c>
      <c r="I1280" s="6" t="s">
        <v>73</v>
      </c>
      <c r="J1280" s="6" t="s">
        <v>215</v>
      </c>
      <c r="K1280" s="7">
        <v>29.322379999999999</v>
      </c>
      <c r="L1280" s="7">
        <v>-94.783518999999998</v>
      </c>
      <c r="M1280" s="6" t="s">
        <v>496</v>
      </c>
      <c r="N1280" s="6" t="s">
        <v>160</v>
      </c>
      <c r="O1280" s="6" t="s">
        <v>23</v>
      </c>
    </row>
    <row r="1281" spans="1:15" x14ac:dyDescent="0.25">
      <c r="A1281" s="6" t="s">
        <v>8255</v>
      </c>
      <c r="B1281" s="6" t="s">
        <v>8254</v>
      </c>
      <c r="C1281" s="6" t="s">
        <v>31</v>
      </c>
      <c r="E1281" s="6" t="s">
        <v>8253</v>
      </c>
      <c r="F1281" s="6" t="s">
        <v>5232</v>
      </c>
      <c r="G1281" s="6" t="s">
        <v>16</v>
      </c>
      <c r="H1281" s="6" t="s">
        <v>15</v>
      </c>
      <c r="I1281" s="6" t="s">
        <v>27</v>
      </c>
      <c r="J1281" s="6" t="s">
        <v>3079</v>
      </c>
      <c r="K1281" s="7">
        <v>29.477214</v>
      </c>
      <c r="L1281" s="7">
        <v>-97.336669110000003</v>
      </c>
      <c r="M1281" s="6" t="s">
        <v>1739</v>
      </c>
      <c r="N1281" s="6" t="s">
        <v>559</v>
      </c>
      <c r="O1281" s="6" t="s">
        <v>10</v>
      </c>
    </row>
    <row r="1282" spans="1:15" x14ac:dyDescent="0.25">
      <c r="A1282" s="6" t="s">
        <v>11992</v>
      </c>
      <c r="B1282" s="6" t="s">
        <v>8254</v>
      </c>
      <c r="C1282" s="6" t="s">
        <v>436</v>
      </c>
      <c r="E1282" s="6" t="s">
        <v>8253</v>
      </c>
      <c r="F1282" s="6" t="s">
        <v>5232</v>
      </c>
      <c r="G1282" s="6" t="s">
        <v>16</v>
      </c>
      <c r="H1282" s="6" t="s">
        <v>15</v>
      </c>
      <c r="I1282" s="6" t="s">
        <v>27</v>
      </c>
      <c r="J1282" s="6" t="s">
        <v>3079</v>
      </c>
      <c r="K1282" s="7">
        <v>29.490411940000001</v>
      </c>
      <c r="L1282" s="7">
        <v>-97.324120969999996</v>
      </c>
      <c r="M1282" s="6" t="s">
        <v>1739</v>
      </c>
      <c r="N1282" s="6" t="s">
        <v>559</v>
      </c>
      <c r="O1282" s="6" t="s">
        <v>10</v>
      </c>
    </row>
    <row r="1283" spans="1:15" x14ac:dyDescent="0.25">
      <c r="A1283" s="6" t="s">
        <v>7915</v>
      </c>
      <c r="B1283" s="6" t="s">
        <v>7914</v>
      </c>
      <c r="C1283" s="6" t="s">
        <v>31</v>
      </c>
      <c r="E1283" s="6" t="s">
        <v>7913</v>
      </c>
      <c r="F1283" s="6" t="s">
        <v>7912</v>
      </c>
      <c r="G1283" s="6" t="s">
        <v>16</v>
      </c>
      <c r="H1283" s="6" t="s">
        <v>15</v>
      </c>
      <c r="I1283" s="6" t="s">
        <v>14</v>
      </c>
      <c r="J1283" s="6" t="s">
        <v>35</v>
      </c>
      <c r="K1283" s="7">
        <v>29.669875000000001</v>
      </c>
      <c r="L1283" s="7">
        <v>-95.234894999999995</v>
      </c>
      <c r="M1283" s="6" t="s">
        <v>866</v>
      </c>
      <c r="N1283" s="6" t="s">
        <v>24</v>
      </c>
      <c r="O1283" s="6" t="s">
        <v>23</v>
      </c>
    </row>
    <row r="1284" spans="1:15" x14ac:dyDescent="0.25">
      <c r="A1284" s="6" t="s">
        <v>8811</v>
      </c>
      <c r="B1284" s="6" t="s">
        <v>8810</v>
      </c>
      <c r="C1284" s="6" t="s">
        <v>31</v>
      </c>
      <c r="E1284" s="6" t="s">
        <v>8809</v>
      </c>
      <c r="F1284" s="6" t="s">
        <v>5708</v>
      </c>
      <c r="G1284" s="6" t="s">
        <v>16</v>
      </c>
      <c r="H1284" s="6" t="s">
        <v>15</v>
      </c>
      <c r="I1284" s="6" t="s">
        <v>46</v>
      </c>
      <c r="J1284" s="6" t="s">
        <v>35</v>
      </c>
      <c r="K1284" s="7">
        <v>29.876784560000001</v>
      </c>
      <c r="L1284" s="7">
        <v>-95.496232379999995</v>
      </c>
      <c r="M1284" s="6" t="s">
        <v>77</v>
      </c>
      <c r="N1284" s="6" t="s">
        <v>24</v>
      </c>
      <c r="O1284" s="6" t="s">
        <v>23</v>
      </c>
    </row>
    <row r="1285" spans="1:15" x14ac:dyDescent="0.25">
      <c r="A1285" s="6" t="s">
        <v>9463</v>
      </c>
      <c r="B1285" s="6" t="s">
        <v>9462</v>
      </c>
      <c r="C1285" s="6" t="s">
        <v>31</v>
      </c>
      <c r="E1285" s="6" t="s">
        <v>9461</v>
      </c>
      <c r="F1285" s="6" t="s">
        <v>9460</v>
      </c>
      <c r="G1285" s="6" t="s">
        <v>16</v>
      </c>
      <c r="H1285" s="6" t="s">
        <v>28</v>
      </c>
      <c r="I1285" s="6" t="s">
        <v>27</v>
      </c>
      <c r="J1285" s="6" t="s">
        <v>883</v>
      </c>
      <c r="K1285" s="7">
        <v>33.132928</v>
      </c>
      <c r="L1285" s="7">
        <v>-94.055132999999998</v>
      </c>
      <c r="M1285" s="6" t="s">
        <v>7135</v>
      </c>
      <c r="N1285" s="6" t="s">
        <v>42</v>
      </c>
      <c r="O1285" s="6" t="s">
        <v>65</v>
      </c>
    </row>
    <row r="1286" spans="1:15" x14ac:dyDescent="0.25">
      <c r="A1286" s="6" t="s">
        <v>757</v>
      </c>
      <c r="B1286" s="6" t="s">
        <v>756</v>
      </c>
      <c r="C1286" s="6" t="s">
        <v>31</v>
      </c>
      <c r="E1286" s="6" t="s">
        <v>755</v>
      </c>
      <c r="F1286" s="6" t="s">
        <v>754</v>
      </c>
      <c r="G1286" s="6" t="s">
        <v>16</v>
      </c>
      <c r="H1286" s="6" t="s">
        <v>15</v>
      </c>
      <c r="I1286" s="6" t="s">
        <v>14</v>
      </c>
      <c r="J1286" s="6" t="s">
        <v>753</v>
      </c>
      <c r="K1286" s="7">
        <v>30.057910660000001</v>
      </c>
      <c r="L1286" s="7">
        <v>-97.836640250000002</v>
      </c>
      <c r="M1286" s="6" t="s">
        <v>752</v>
      </c>
      <c r="N1286" s="6" t="s">
        <v>559</v>
      </c>
      <c r="O1286" s="6" t="s">
        <v>160</v>
      </c>
    </row>
    <row r="1287" spans="1:15" x14ac:dyDescent="0.25">
      <c r="A1287" s="6" t="s">
        <v>1532</v>
      </c>
      <c r="B1287" s="6" t="s">
        <v>756</v>
      </c>
      <c r="C1287" s="6" t="s">
        <v>19</v>
      </c>
      <c r="E1287" s="6" t="s">
        <v>755</v>
      </c>
      <c r="F1287" s="6" t="s">
        <v>754</v>
      </c>
      <c r="G1287" s="6" t="s">
        <v>16</v>
      </c>
      <c r="H1287" s="6" t="s">
        <v>15</v>
      </c>
      <c r="I1287" s="6" t="s">
        <v>14</v>
      </c>
      <c r="J1287" s="6" t="s">
        <v>753</v>
      </c>
      <c r="K1287" s="7">
        <v>30.08500059</v>
      </c>
      <c r="L1287" s="7">
        <v>-97.789000250000001</v>
      </c>
      <c r="M1287" s="6" t="s">
        <v>752</v>
      </c>
      <c r="N1287" s="6" t="s">
        <v>559</v>
      </c>
      <c r="O1287" s="6" t="s">
        <v>160</v>
      </c>
    </row>
    <row r="1288" spans="1:15" x14ac:dyDescent="0.25">
      <c r="A1288" s="6" t="s">
        <v>10457</v>
      </c>
      <c r="B1288" s="6" t="s">
        <v>10456</v>
      </c>
      <c r="C1288" s="6" t="s">
        <v>31</v>
      </c>
      <c r="E1288" s="6" t="s">
        <v>10455</v>
      </c>
      <c r="F1288" s="6" t="s">
        <v>10454</v>
      </c>
      <c r="G1288" s="6" t="s">
        <v>16</v>
      </c>
      <c r="H1288" s="6" t="s">
        <v>28</v>
      </c>
      <c r="I1288" s="6" t="s">
        <v>14</v>
      </c>
      <c r="J1288" s="6" t="s">
        <v>3105</v>
      </c>
      <c r="K1288" s="7">
        <v>29.218068250000002</v>
      </c>
      <c r="L1288" s="7">
        <v>-98.790138069999998</v>
      </c>
      <c r="M1288" s="6" t="s">
        <v>3104</v>
      </c>
      <c r="N1288" s="6" t="s">
        <v>524</v>
      </c>
      <c r="O1288" s="6" t="s">
        <v>231</v>
      </c>
    </row>
    <row r="1289" spans="1:15" x14ac:dyDescent="0.25">
      <c r="A1289" s="6" t="s">
        <v>7493</v>
      </c>
      <c r="B1289" s="6" t="s">
        <v>7492</v>
      </c>
      <c r="C1289" s="6" t="s">
        <v>31</v>
      </c>
      <c r="E1289" s="6" t="s">
        <v>7491</v>
      </c>
      <c r="F1289" s="6" t="s">
        <v>1135</v>
      </c>
      <c r="G1289" s="6" t="s">
        <v>16</v>
      </c>
      <c r="H1289" s="6" t="s">
        <v>15</v>
      </c>
      <c r="I1289" s="6" t="s">
        <v>14</v>
      </c>
      <c r="J1289" s="6" t="s">
        <v>889</v>
      </c>
      <c r="K1289" s="7">
        <v>30.556638490000001</v>
      </c>
      <c r="L1289" s="7">
        <v>-98.369743569999997</v>
      </c>
      <c r="M1289" s="6" t="s">
        <v>2195</v>
      </c>
      <c r="N1289" s="6" t="s">
        <v>10</v>
      </c>
      <c r="O1289" s="6" t="s">
        <v>160</v>
      </c>
    </row>
    <row r="1290" spans="1:15" x14ac:dyDescent="0.25">
      <c r="A1290" s="6" t="s">
        <v>6335</v>
      </c>
      <c r="B1290" s="6" t="s">
        <v>1343</v>
      </c>
      <c r="C1290" s="6" t="s">
        <v>31</v>
      </c>
      <c r="E1290" s="6" t="s">
        <v>1342</v>
      </c>
      <c r="F1290" s="6" t="s">
        <v>1341</v>
      </c>
      <c r="G1290" s="6" t="s">
        <v>16</v>
      </c>
      <c r="H1290" s="6" t="s">
        <v>15</v>
      </c>
      <c r="I1290" s="6" t="s">
        <v>46</v>
      </c>
      <c r="J1290" s="6" t="s">
        <v>480</v>
      </c>
      <c r="K1290" s="7">
        <v>26.160559660000001</v>
      </c>
      <c r="L1290" s="7">
        <v>-98.162631869999998</v>
      </c>
      <c r="M1290" s="6" t="s">
        <v>179</v>
      </c>
      <c r="N1290" s="6" t="s">
        <v>11</v>
      </c>
      <c r="O1290" s="6" t="s">
        <v>22</v>
      </c>
    </row>
    <row r="1291" spans="1:15" x14ac:dyDescent="0.25">
      <c r="A1291" s="6" t="s">
        <v>1344</v>
      </c>
      <c r="B1291" s="6" t="s">
        <v>1343</v>
      </c>
      <c r="C1291" s="6" t="s">
        <v>19</v>
      </c>
      <c r="E1291" s="6" t="s">
        <v>1342</v>
      </c>
      <c r="F1291" s="6" t="s">
        <v>1341</v>
      </c>
      <c r="G1291" s="6" t="s">
        <v>16</v>
      </c>
      <c r="H1291" s="6" t="s">
        <v>15</v>
      </c>
      <c r="I1291" s="6" t="s">
        <v>46</v>
      </c>
      <c r="J1291" s="6" t="s">
        <v>480</v>
      </c>
      <c r="K1291" s="7">
        <v>26.15975525</v>
      </c>
      <c r="L1291" s="7">
        <v>-98.158209389999996</v>
      </c>
      <c r="M1291" s="6" t="s">
        <v>179</v>
      </c>
      <c r="N1291" s="6" t="s">
        <v>11</v>
      </c>
      <c r="O1291" s="6" t="s">
        <v>22</v>
      </c>
    </row>
    <row r="1292" spans="1:15" x14ac:dyDescent="0.25">
      <c r="A1292" s="6" t="s">
        <v>3258</v>
      </c>
      <c r="B1292" s="6" t="s">
        <v>3257</v>
      </c>
      <c r="C1292" s="6" t="s">
        <v>31</v>
      </c>
      <c r="E1292" s="6" t="s">
        <v>3256</v>
      </c>
      <c r="F1292" s="6" t="s">
        <v>3255</v>
      </c>
      <c r="G1292" s="6" t="s">
        <v>16</v>
      </c>
      <c r="H1292" s="6" t="s">
        <v>28</v>
      </c>
      <c r="I1292" s="6" t="s">
        <v>46</v>
      </c>
      <c r="J1292" s="6" t="s">
        <v>480</v>
      </c>
      <c r="K1292" s="7">
        <v>26.301158999999998</v>
      </c>
      <c r="L1292" s="7">
        <v>-97.950637999999998</v>
      </c>
      <c r="M1292" s="6" t="s">
        <v>89</v>
      </c>
      <c r="N1292" s="6" t="s">
        <v>11</v>
      </c>
      <c r="O1292" s="6" t="s">
        <v>22</v>
      </c>
    </row>
    <row r="1293" spans="1:15" x14ac:dyDescent="0.25">
      <c r="A1293" s="6" t="s">
        <v>8987</v>
      </c>
      <c r="B1293" s="6" t="s">
        <v>8986</v>
      </c>
      <c r="C1293" s="6" t="s">
        <v>31</v>
      </c>
      <c r="E1293" s="6" t="s">
        <v>8985</v>
      </c>
      <c r="F1293" s="6" t="s">
        <v>8984</v>
      </c>
      <c r="G1293" s="6" t="s">
        <v>16</v>
      </c>
      <c r="H1293" s="6" t="s">
        <v>15</v>
      </c>
      <c r="I1293" s="6" t="s">
        <v>14</v>
      </c>
      <c r="J1293" s="6" t="s">
        <v>480</v>
      </c>
      <c r="K1293" s="7">
        <v>26.141701139999999</v>
      </c>
      <c r="L1293" s="7">
        <v>-98.118300610000006</v>
      </c>
      <c r="M1293" s="6" t="s">
        <v>179</v>
      </c>
      <c r="N1293" s="6" t="s">
        <v>11</v>
      </c>
      <c r="O1293" s="6" t="s">
        <v>22</v>
      </c>
    </row>
    <row r="1294" spans="1:15" x14ac:dyDescent="0.25">
      <c r="A1294" s="6" t="s">
        <v>2856</v>
      </c>
      <c r="B1294" s="6" t="s">
        <v>2855</v>
      </c>
      <c r="C1294" s="6" t="s">
        <v>31</v>
      </c>
      <c r="E1294" s="6" t="s">
        <v>2854</v>
      </c>
      <c r="F1294" s="6" t="s">
        <v>2853</v>
      </c>
      <c r="G1294" s="6" t="s">
        <v>16</v>
      </c>
      <c r="H1294" s="6" t="s">
        <v>28</v>
      </c>
      <c r="I1294" s="6" t="s">
        <v>27</v>
      </c>
      <c r="J1294" s="6" t="s">
        <v>151</v>
      </c>
      <c r="K1294" s="7">
        <v>33.352796400000003</v>
      </c>
      <c r="L1294" s="7">
        <v>-97.704839089999993</v>
      </c>
      <c r="M1294" s="6" t="s">
        <v>150</v>
      </c>
      <c r="N1294" s="6" t="s">
        <v>102</v>
      </c>
      <c r="O1294" s="6" t="s">
        <v>42</v>
      </c>
    </row>
    <row r="1295" spans="1:15" x14ac:dyDescent="0.25">
      <c r="A1295" s="6" t="s">
        <v>12383</v>
      </c>
      <c r="B1295" s="6" t="s">
        <v>12382</v>
      </c>
      <c r="C1295" s="6" t="s">
        <v>31</v>
      </c>
      <c r="E1295" s="6" t="s">
        <v>12381</v>
      </c>
      <c r="F1295" s="6" t="s">
        <v>6377</v>
      </c>
      <c r="G1295" s="6" t="s">
        <v>16</v>
      </c>
      <c r="H1295" s="6" t="s">
        <v>28</v>
      </c>
      <c r="I1295" s="6" t="s">
        <v>73</v>
      </c>
      <c r="J1295" s="6" t="s">
        <v>318</v>
      </c>
      <c r="K1295" s="7">
        <v>30.744334039999998</v>
      </c>
      <c r="L1295" s="7">
        <v>-95.09121073</v>
      </c>
      <c r="M1295" s="6" t="s">
        <v>317</v>
      </c>
      <c r="N1295" s="6" t="s">
        <v>102</v>
      </c>
      <c r="O1295" s="6" t="s">
        <v>24</v>
      </c>
    </row>
    <row r="1296" spans="1:15" x14ac:dyDescent="0.25">
      <c r="A1296" s="6" t="s">
        <v>11638</v>
      </c>
      <c r="B1296" s="6" t="s">
        <v>11637</v>
      </c>
      <c r="C1296" s="6" t="s">
        <v>31</v>
      </c>
      <c r="E1296" s="6" t="s">
        <v>11636</v>
      </c>
      <c r="F1296" s="6" t="s">
        <v>11635</v>
      </c>
      <c r="G1296" s="6" t="s">
        <v>16</v>
      </c>
      <c r="H1296" s="6" t="s">
        <v>28</v>
      </c>
      <c r="I1296" s="6" t="s">
        <v>27</v>
      </c>
      <c r="J1296" s="6" t="s">
        <v>810</v>
      </c>
      <c r="K1296" s="7">
        <v>31.299845999999999</v>
      </c>
      <c r="L1296" s="7">
        <v>-94.275221000000002</v>
      </c>
      <c r="M1296" s="6" t="s">
        <v>644</v>
      </c>
      <c r="N1296" s="6" t="s">
        <v>52</v>
      </c>
      <c r="O1296" s="6" t="s">
        <v>24</v>
      </c>
    </row>
    <row r="1297" spans="1:15" x14ac:dyDescent="0.25">
      <c r="A1297" s="6" t="s">
        <v>9867</v>
      </c>
      <c r="B1297" s="6" t="s">
        <v>9866</v>
      </c>
      <c r="C1297" s="6" t="s">
        <v>31</v>
      </c>
      <c r="E1297" s="6" t="s">
        <v>9865</v>
      </c>
      <c r="F1297" s="6" t="s">
        <v>513</v>
      </c>
      <c r="G1297" s="6" t="s">
        <v>16</v>
      </c>
      <c r="H1297" s="6" t="s">
        <v>15</v>
      </c>
      <c r="I1297" s="6" t="s">
        <v>36</v>
      </c>
      <c r="J1297" s="6" t="s">
        <v>512</v>
      </c>
      <c r="K1297" s="7">
        <v>27.596890800000001</v>
      </c>
      <c r="L1297" s="7">
        <v>-99.475737719999998</v>
      </c>
      <c r="M1297" s="6" t="s">
        <v>511</v>
      </c>
      <c r="N1297" s="6" t="s">
        <v>373</v>
      </c>
      <c r="O1297" s="6" t="s">
        <v>510</v>
      </c>
    </row>
    <row r="1298" spans="1:15" x14ac:dyDescent="0.25">
      <c r="A1298" s="6" t="s">
        <v>11993</v>
      </c>
      <c r="B1298" s="6" t="s">
        <v>9866</v>
      </c>
      <c r="C1298" s="6" t="s">
        <v>19</v>
      </c>
      <c r="E1298" s="6" t="s">
        <v>9865</v>
      </c>
      <c r="F1298" s="6" t="s">
        <v>513</v>
      </c>
      <c r="G1298" s="6" t="s">
        <v>16</v>
      </c>
      <c r="H1298" s="6" t="s">
        <v>15</v>
      </c>
      <c r="I1298" s="6" t="s">
        <v>36</v>
      </c>
      <c r="J1298" s="6" t="s">
        <v>512</v>
      </c>
      <c r="K1298" s="7">
        <v>27.530672849999998</v>
      </c>
      <c r="L1298" s="7">
        <v>-99.447047929999997</v>
      </c>
      <c r="M1298" s="6" t="s">
        <v>511</v>
      </c>
      <c r="N1298" s="6" t="s">
        <v>373</v>
      </c>
      <c r="O1298" s="6" t="s">
        <v>510</v>
      </c>
    </row>
    <row r="1299" spans="1:15" x14ac:dyDescent="0.25">
      <c r="A1299" s="6" t="s">
        <v>7442</v>
      </c>
      <c r="B1299" s="6" t="s">
        <v>7441</v>
      </c>
      <c r="C1299" s="6" t="s">
        <v>31</v>
      </c>
      <c r="E1299" s="6" t="s">
        <v>7440</v>
      </c>
      <c r="F1299" s="6" t="s">
        <v>1038</v>
      </c>
      <c r="G1299" s="6" t="s">
        <v>16</v>
      </c>
      <c r="H1299" s="6" t="s">
        <v>15</v>
      </c>
      <c r="I1299" s="6" t="s">
        <v>36</v>
      </c>
      <c r="J1299" s="6" t="s">
        <v>215</v>
      </c>
      <c r="K1299" s="7">
        <v>29.356029119999999</v>
      </c>
      <c r="L1299" s="7">
        <v>-94.90697815</v>
      </c>
      <c r="M1299" s="6" t="s">
        <v>672</v>
      </c>
      <c r="N1299" s="6" t="s">
        <v>160</v>
      </c>
      <c r="O1299" s="6" t="s">
        <v>23</v>
      </c>
    </row>
    <row r="1300" spans="1:15" x14ac:dyDescent="0.25">
      <c r="A1300" s="6" t="s">
        <v>10116</v>
      </c>
      <c r="B1300" s="6" t="s">
        <v>10115</v>
      </c>
      <c r="C1300" s="6" t="s">
        <v>31</v>
      </c>
      <c r="E1300" s="6" t="s">
        <v>10114</v>
      </c>
      <c r="F1300" s="6" t="s">
        <v>10113</v>
      </c>
      <c r="G1300" s="6" t="s">
        <v>16</v>
      </c>
      <c r="H1300" s="6" t="s">
        <v>28</v>
      </c>
      <c r="I1300" s="6" t="s">
        <v>60</v>
      </c>
      <c r="J1300" s="6" t="s">
        <v>239</v>
      </c>
      <c r="K1300" s="7">
        <v>33.048605760000001</v>
      </c>
      <c r="L1300" s="7">
        <v>-96.533424460000006</v>
      </c>
      <c r="M1300" s="6" t="s">
        <v>349</v>
      </c>
      <c r="N1300" s="6" t="s">
        <v>102</v>
      </c>
      <c r="O1300" s="6" t="s">
        <v>42</v>
      </c>
    </row>
    <row r="1301" spans="1:15" x14ac:dyDescent="0.25">
      <c r="A1301" s="6" t="s">
        <v>11436</v>
      </c>
      <c r="B1301" s="6" t="s">
        <v>11435</v>
      </c>
      <c r="C1301" s="6" t="s">
        <v>31</v>
      </c>
      <c r="E1301" s="6" t="s">
        <v>11434</v>
      </c>
      <c r="F1301" s="6" t="s">
        <v>11433</v>
      </c>
      <c r="G1301" s="6" t="s">
        <v>16</v>
      </c>
      <c r="H1301" s="6" t="s">
        <v>28</v>
      </c>
      <c r="I1301" s="6" t="s">
        <v>27</v>
      </c>
      <c r="J1301" s="6" t="s">
        <v>1209</v>
      </c>
      <c r="K1301" s="7">
        <v>31.865252420000001</v>
      </c>
      <c r="L1301" s="7">
        <v>-97.371701139999999</v>
      </c>
      <c r="M1301" s="6" t="s">
        <v>121</v>
      </c>
      <c r="N1301" s="6" t="s">
        <v>23</v>
      </c>
      <c r="O1301" s="6" t="s">
        <v>120</v>
      </c>
    </row>
    <row r="1302" spans="1:15" x14ac:dyDescent="0.25">
      <c r="A1302" s="6" t="s">
        <v>7384</v>
      </c>
      <c r="B1302" s="6" t="s">
        <v>7383</v>
      </c>
      <c r="C1302" s="6" t="s">
        <v>31</v>
      </c>
      <c r="E1302" s="6" t="s">
        <v>7382</v>
      </c>
      <c r="F1302" s="6" t="s">
        <v>7381</v>
      </c>
      <c r="G1302" s="6" t="s">
        <v>16</v>
      </c>
      <c r="H1302" s="6" t="s">
        <v>28</v>
      </c>
      <c r="I1302" s="6" t="s">
        <v>60</v>
      </c>
      <c r="J1302" s="6" t="s">
        <v>395</v>
      </c>
      <c r="K1302" s="7">
        <v>33.594820200000001</v>
      </c>
      <c r="L1302" s="7">
        <v>-95.033051729999997</v>
      </c>
      <c r="M1302" s="6" t="s">
        <v>96</v>
      </c>
      <c r="N1302" s="6" t="s">
        <v>95</v>
      </c>
      <c r="O1302" s="6" t="s">
        <v>65</v>
      </c>
    </row>
    <row r="1303" spans="1:15" x14ac:dyDescent="0.25">
      <c r="A1303" s="6" t="s">
        <v>3925</v>
      </c>
      <c r="B1303" s="6" t="s">
        <v>3924</v>
      </c>
      <c r="C1303" s="6" t="s">
        <v>31</v>
      </c>
      <c r="E1303" s="6" t="s">
        <v>3923</v>
      </c>
      <c r="F1303" s="6" t="s">
        <v>3922</v>
      </c>
      <c r="G1303" s="6" t="s">
        <v>16</v>
      </c>
      <c r="H1303" s="6" t="s">
        <v>15</v>
      </c>
      <c r="I1303" s="6" t="s">
        <v>14</v>
      </c>
      <c r="J1303" s="6" t="s">
        <v>132</v>
      </c>
      <c r="K1303" s="7">
        <v>29.587102999999999</v>
      </c>
      <c r="L1303" s="7">
        <v>-95.625224880000005</v>
      </c>
      <c r="M1303" s="6" t="s">
        <v>355</v>
      </c>
      <c r="N1303" s="6" t="s">
        <v>23</v>
      </c>
      <c r="O1303" s="6" t="s">
        <v>23</v>
      </c>
    </row>
    <row r="1304" spans="1:15" x14ac:dyDescent="0.25">
      <c r="A1304" s="6" t="s">
        <v>4603</v>
      </c>
      <c r="B1304" s="6" t="s">
        <v>4602</v>
      </c>
      <c r="C1304" s="6" t="s">
        <v>31</v>
      </c>
      <c r="E1304" s="6" t="s">
        <v>4601</v>
      </c>
      <c r="F1304" s="6" t="s">
        <v>4600</v>
      </c>
      <c r="G1304" s="6" t="s">
        <v>16</v>
      </c>
      <c r="H1304" s="6" t="s">
        <v>28</v>
      </c>
      <c r="I1304" s="6" t="s">
        <v>73</v>
      </c>
      <c r="J1304" s="6" t="s">
        <v>2768</v>
      </c>
      <c r="K1304" s="7">
        <v>32.367426999999999</v>
      </c>
      <c r="L1304" s="7">
        <v>-97.236358999999993</v>
      </c>
      <c r="M1304" s="6" t="s">
        <v>2048</v>
      </c>
      <c r="N1304" s="6" t="s">
        <v>102</v>
      </c>
      <c r="O1304" s="6" t="s">
        <v>42</v>
      </c>
    </row>
    <row r="1305" spans="1:15" x14ac:dyDescent="0.25">
      <c r="A1305" s="6" t="s">
        <v>3921</v>
      </c>
      <c r="B1305" s="6" t="s">
        <v>3920</v>
      </c>
      <c r="C1305" s="6" t="s">
        <v>31</v>
      </c>
      <c r="E1305" s="6" t="s">
        <v>3919</v>
      </c>
      <c r="F1305" s="6" t="s">
        <v>3918</v>
      </c>
      <c r="G1305" s="6" t="s">
        <v>16</v>
      </c>
      <c r="H1305" s="6" t="s">
        <v>15</v>
      </c>
      <c r="I1305" s="6" t="s">
        <v>14</v>
      </c>
      <c r="J1305" s="6" t="s">
        <v>253</v>
      </c>
      <c r="K1305" s="7">
        <v>31.043226449999999</v>
      </c>
      <c r="L1305" s="7">
        <v>-97.438635959999999</v>
      </c>
      <c r="M1305" s="6" t="s">
        <v>1627</v>
      </c>
      <c r="N1305" s="6" t="s">
        <v>23</v>
      </c>
      <c r="O1305" s="6" t="s">
        <v>120</v>
      </c>
    </row>
    <row r="1306" spans="1:15" x14ac:dyDescent="0.25">
      <c r="A1306" s="6" t="s">
        <v>5376</v>
      </c>
      <c r="B1306" s="6" t="s">
        <v>5375</v>
      </c>
      <c r="C1306" s="6" t="s">
        <v>31</v>
      </c>
      <c r="E1306" s="6" t="s">
        <v>5374</v>
      </c>
      <c r="F1306" s="6" t="s">
        <v>5373</v>
      </c>
      <c r="G1306" s="6" t="s">
        <v>16</v>
      </c>
      <c r="H1306" s="6" t="s">
        <v>15</v>
      </c>
      <c r="I1306" s="6" t="s">
        <v>14</v>
      </c>
      <c r="J1306" s="6" t="s">
        <v>480</v>
      </c>
      <c r="K1306" s="7">
        <v>26.10754442</v>
      </c>
      <c r="L1306" s="7">
        <v>-98.236821160000005</v>
      </c>
      <c r="M1306" s="6" t="s">
        <v>179</v>
      </c>
      <c r="N1306" s="6" t="s">
        <v>11</v>
      </c>
      <c r="O1306" s="6" t="s">
        <v>22</v>
      </c>
    </row>
    <row r="1307" spans="1:15" x14ac:dyDescent="0.25">
      <c r="A1307" s="6" t="s">
        <v>1003</v>
      </c>
      <c r="B1307" s="6" t="s">
        <v>1002</v>
      </c>
      <c r="C1307" s="6" t="s">
        <v>31</v>
      </c>
      <c r="E1307" s="6" t="s">
        <v>1001</v>
      </c>
      <c r="F1307" s="6" t="s">
        <v>1000</v>
      </c>
      <c r="G1307" s="6" t="s">
        <v>16</v>
      </c>
      <c r="H1307" s="6" t="s">
        <v>15</v>
      </c>
      <c r="I1307" s="6" t="s">
        <v>46</v>
      </c>
      <c r="J1307" s="6" t="s">
        <v>35</v>
      </c>
      <c r="K1307" s="7">
        <v>29.798966409999998</v>
      </c>
      <c r="L1307" s="7">
        <v>-95.769280620000004</v>
      </c>
      <c r="M1307" s="6" t="s">
        <v>131</v>
      </c>
      <c r="N1307" s="6" t="s">
        <v>24</v>
      </c>
      <c r="O1307" s="6" t="s">
        <v>23</v>
      </c>
    </row>
    <row r="1308" spans="1:15" x14ac:dyDescent="0.25">
      <c r="A1308" s="6" t="s">
        <v>4151</v>
      </c>
      <c r="B1308" s="6" t="s">
        <v>4150</v>
      </c>
      <c r="C1308" s="6" t="s">
        <v>31</v>
      </c>
      <c r="E1308" s="6" t="s">
        <v>4149</v>
      </c>
      <c r="F1308" s="6" t="s">
        <v>4148</v>
      </c>
      <c r="G1308" s="6" t="s">
        <v>16</v>
      </c>
      <c r="H1308" s="6" t="s">
        <v>28</v>
      </c>
      <c r="I1308" s="6" t="s">
        <v>27</v>
      </c>
      <c r="J1308" s="6" t="s">
        <v>35</v>
      </c>
      <c r="K1308" s="7">
        <v>30.002939999999999</v>
      </c>
      <c r="L1308" s="7">
        <v>-95.442402999999999</v>
      </c>
      <c r="M1308" s="6" t="s">
        <v>198</v>
      </c>
      <c r="N1308" s="6" t="s">
        <v>24</v>
      </c>
      <c r="O1308" s="6" t="s">
        <v>23</v>
      </c>
    </row>
    <row r="1309" spans="1:15" x14ac:dyDescent="0.25">
      <c r="A1309" s="6" t="s">
        <v>9315</v>
      </c>
      <c r="B1309" s="6" t="s">
        <v>9314</v>
      </c>
      <c r="C1309" s="6" t="s">
        <v>31</v>
      </c>
      <c r="E1309" s="6" t="s">
        <v>9313</v>
      </c>
      <c r="F1309" s="6" t="s">
        <v>410</v>
      </c>
      <c r="G1309" s="6" t="s">
        <v>16</v>
      </c>
      <c r="H1309" s="6" t="s">
        <v>15</v>
      </c>
      <c r="I1309" s="6" t="s">
        <v>1410</v>
      </c>
      <c r="J1309" s="6" t="s">
        <v>409</v>
      </c>
      <c r="K1309" s="7">
        <v>30.307989639999999</v>
      </c>
      <c r="L1309" s="7">
        <v>-97.609103090000005</v>
      </c>
      <c r="M1309" s="6" t="s">
        <v>408</v>
      </c>
      <c r="N1309" s="6" t="s">
        <v>10</v>
      </c>
      <c r="O1309" s="6" t="s">
        <v>160</v>
      </c>
    </row>
    <row r="1310" spans="1:15" x14ac:dyDescent="0.25">
      <c r="A1310" s="6" t="s">
        <v>12372</v>
      </c>
      <c r="B1310" s="6" t="s">
        <v>12371</v>
      </c>
      <c r="C1310" s="6" t="s">
        <v>31</v>
      </c>
      <c r="E1310" s="6" t="s">
        <v>12370</v>
      </c>
      <c r="F1310" s="6" t="s">
        <v>12369</v>
      </c>
      <c r="G1310" s="6" t="s">
        <v>16</v>
      </c>
      <c r="H1310" s="6" t="s">
        <v>15</v>
      </c>
      <c r="I1310" s="6" t="s">
        <v>36</v>
      </c>
      <c r="J1310" s="6" t="s">
        <v>35</v>
      </c>
      <c r="K1310" s="7">
        <v>30.120715440000001</v>
      </c>
      <c r="L1310" s="7">
        <v>-95.549661330000006</v>
      </c>
      <c r="M1310" s="6" t="s">
        <v>731</v>
      </c>
      <c r="N1310" s="6" t="s">
        <v>24</v>
      </c>
      <c r="O1310" s="6" t="s">
        <v>23</v>
      </c>
    </row>
    <row r="1311" spans="1:15" x14ac:dyDescent="0.25">
      <c r="A1311" s="6" t="s">
        <v>4143</v>
      </c>
      <c r="B1311" s="6" t="s">
        <v>4142</v>
      </c>
      <c r="C1311" s="6" t="s">
        <v>31</v>
      </c>
      <c r="E1311" s="6" t="s">
        <v>4141</v>
      </c>
      <c r="F1311" s="6" t="s">
        <v>4140</v>
      </c>
      <c r="G1311" s="6" t="s">
        <v>16</v>
      </c>
      <c r="H1311" s="6" t="s">
        <v>15</v>
      </c>
      <c r="I1311" s="6" t="s">
        <v>36</v>
      </c>
      <c r="J1311" s="6" t="s">
        <v>35</v>
      </c>
      <c r="K1311" s="7">
        <v>30.11513618</v>
      </c>
      <c r="L1311" s="7">
        <v>-95.510409129999999</v>
      </c>
      <c r="M1311" s="6" t="s">
        <v>731</v>
      </c>
      <c r="N1311" s="6" t="s">
        <v>24</v>
      </c>
      <c r="O1311" s="6" t="s">
        <v>23</v>
      </c>
    </row>
    <row r="1312" spans="1:15" x14ac:dyDescent="0.25">
      <c r="A1312" s="6" t="s">
        <v>4709</v>
      </c>
      <c r="B1312" s="6" t="s">
        <v>4708</v>
      </c>
      <c r="C1312" s="6" t="s">
        <v>31</v>
      </c>
      <c r="E1312" s="6" t="s">
        <v>4707</v>
      </c>
      <c r="F1312" s="6" t="s">
        <v>4706</v>
      </c>
      <c r="G1312" s="6" t="s">
        <v>16</v>
      </c>
      <c r="H1312" s="6" t="s">
        <v>28</v>
      </c>
      <c r="I1312" s="6" t="s">
        <v>27</v>
      </c>
      <c r="J1312" s="6" t="s">
        <v>385</v>
      </c>
      <c r="K1312" s="7">
        <v>29.876906000000002</v>
      </c>
      <c r="L1312" s="7">
        <v>-94.141870999999995</v>
      </c>
      <c r="M1312" s="6" t="s">
        <v>384</v>
      </c>
      <c r="N1312" s="6" t="s">
        <v>383</v>
      </c>
      <c r="O1312" s="6" t="s">
        <v>24</v>
      </c>
    </row>
    <row r="1313" spans="1:15" x14ac:dyDescent="0.25">
      <c r="A1313" s="6" t="s">
        <v>7167</v>
      </c>
      <c r="B1313" s="6" t="s">
        <v>7166</v>
      </c>
      <c r="C1313" s="6" t="s">
        <v>31</v>
      </c>
      <c r="E1313" s="6" t="s">
        <v>7165</v>
      </c>
      <c r="F1313" s="6" t="s">
        <v>7164</v>
      </c>
      <c r="G1313" s="6" t="s">
        <v>16</v>
      </c>
      <c r="H1313" s="6" t="s">
        <v>15</v>
      </c>
      <c r="I1313" s="6" t="s">
        <v>14</v>
      </c>
      <c r="J1313" s="6" t="s">
        <v>957</v>
      </c>
      <c r="K1313" s="7">
        <v>33.150591830000003</v>
      </c>
      <c r="L1313" s="7">
        <v>-95.55052044</v>
      </c>
      <c r="M1313" s="6" t="s">
        <v>96</v>
      </c>
      <c r="N1313" s="6" t="s">
        <v>95</v>
      </c>
      <c r="O1313" s="6" t="s">
        <v>65</v>
      </c>
    </row>
    <row r="1314" spans="1:15" x14ac:dyDescent="0.25">
      <c r="A1314" s="6" t="s">
        <v>2231</v>
      </c>
      <c r="B1314" s="6" t="s">
        <v>2230</v>
      </c>
      <c r="C1314" s="6" t="s">
        <v>31</v>
      </c>
      <c r="E1314" s="6" t="s">
        <v>2229</v>
      </c>
      <c r="F1314" s="6" t="s">
        <v>2228</v>
      </c>
      <c r="G1314" s="6" t="s">
        <v>16</v>
      </c>
      <c r="H1314" s="6" t="s">
        <v>15</v>
      </c>
      <c r="I1314" s="6" t="s">
        <v>36</v>
      </c>
      <c r="J1314" s="6" t="s">
        <v>35</v>
      </c>
      <c r="K1314" s="7">
        <v>29.989015569999999</v>
      </c>
      <c r="L1314" s="7">
        <v>-95.196927860000002</v>
      </c>
      <c r="M1314" s="6" t="s">
        <v>198</v>
      </c>
      <c r="N1314" s="6" t="s">
        <v>24</v>
      </c>
      <c r="O1314" s="6" t="s">
        <v>23</v>
      </c>
    </row>
    <row r="1315" spans="1:15" x14ac:dyDescent="0.25">
      <c r="A1315" s="6" t="s">
        <v>8268</v>
      </c>
      <c r="B1315" s="6" t="s">
        <v>8266</v>
      </c>
      <c r="C1315" s="6" t="s">
        <v>31</v>
      </c>
      <c r="E1315" s="6" t="s">
        <v>8265</v>
      </c>
      <c r="F1315" s="6" t="s">
        <v>8264</v>
      </c>
      <c r="G1315" s="6" t="s">
        <v>16</v>
      </c>
      <c r="H1315" s="6" t="s">
        <v>15</v>
      </c>
      <c r="I1315" s="6" t="s">
        <v>14</v>
      </c>
      <c r="J1315" s="6" t="s">
        <v>35</v>
      </c>
      <c r="K1315" s="7">
        <v>29.763540420000002</v>
      </c>
      <c r="L1315" s="7">
        <v>-95.019400360000006</v>
      </c>
      <c r="M1315" s="6" t="s">
        <v>2565</v>
      </c>
      <c r="N1315" s="6" t="s">
        <v>120</v>
      </c>
      <c r="O1315" s="6" t="s">
        <v>23</v>
      </c>
    </row>
    <row r="1316" spans="1:15" x14ac:dyDescent="0.25">
      <c r="A1316" s="6" t="s">
        <v>8267</v>
      </c>
      <c r="B1316" s="6" t="s">
        <v>8266</v>
      </c>
      <c r="C1316" s="6" t="s">
        <v>19</v>
      </c>
      <c r="E1316" s="6" t="s">
        <v>8265</v>
      </c>
      <c r="F1316" s="6" t="s">
        <v>8264</v>
      </c>
      <c r="G1316" s="6" t="s">
        <v>16</v>
      </c>
      <c r="H1316" s="6" t="s">
        <v>430</v>
      </c>
      <c r="I1316" s="6" t="s">
        <v>14</v>
      </c>
      <c r="J1316" s="6" t="s">
        <v>35</v>
      </c>
      <c r="K1316" s="7">
        <v>29.763541610000001</v>
      </c>
      <c r="L1316" s="7">
        <v>-95.019490219999994</v>
      </c>
      <c r="M1316" s="6" t="s">
        <v>2565</v>
      </c>
      <c r="N1316" s="6" t="s">
        <v>120</v>
      </c>
      <c r="O1316" s="6" t="s">
        <v>23</v>
      </c>
    </row>
    <row r="1317" spans="1:15" x14ac:dyDescent="0.25">
      <c r="A1317" s="6" t="s">
        <v>12368</v>
      </c>
      <c r="B1317" s="6" t="s">
        <v>12367</v>
      </c>
      <c r="C1317" s="6" t="s">
        <v>31</v>
      </c>
      <c r="E1317" s="6" t="s">
        <v>12366</v>
      </c>
      <c r="F1317" s="6" t="s">
        <v>12365</v>
      </c>
      <c r="G1317" s="6" t="s">
        <v>16</v>
      </c>
      <c r="H1317" s="6" t="s">
        <v>28</v>
      </c>
      <c r="I1317" s="6" t="s">
        <v>36</v>
      </c>
      <c r="J1317" s="6" t="s">
        <v>54</v>
      </c>
      <c r="K1317" s="7">
        <v>30.92294656</v>
      </c>
      <c r="L1317" s="7">
        <v>-95.300550049999998</v>
      </c>
      <c r="M1317" s="6" t="s">
        <v>317</v>
      </c>
      <c r="N1317" s="6" t="s">
        <v>102</v>
      </c>
      <c r="O1317" s="6" t="s">
        <v>24</v>
      </c>
    </row>
    <row r="1318" spans="1:15" x14ac:dyDescent="0.25">
      <c r="A1318" s="6" t="s">
        <v>12376</v>
      </c>
      <c r="B1318" s="6" t="s">
        <v>12375</v>
      </c>
      <c r="C1318" s="6" t="s">
        <v>31</v>
      </c>
      <c r="E1318" s="6" t="s">
        <v>12374</v>
      </c>
      <c r="F1318" s="6" t="s">
        <v>12373</v>
      </c>
      <c r="G1318" s="6" t="s">
        <v>16</v>
      </c>
      <c r="H1318" s="6" t="s">
        <v>28</v>
      </c>
      <c r="I1318" s="6" t="s">
        <v>73</v>
      </c>
      <c r="J1318" s="6" t="s">
        <v>90</v>
      </c>
      <c r="K1318" s="7">
        <v>26.169080999999998</v>
      </c>
      <c r="L1318" s="7">
        <v>-97.783702000000005</v>
      </c>
      <c r="M1318" s="6" t="s">
        <v>179</v>
      </c>
      <c r="N1318" s="6" t="s">
        <v>11</v>
      </c>
      <c r="O1318" s="6" t="s">
        <v>22</v>
      </c>
    </row>
    <row r="1319" spans="1:15" x14ac:dyDescent="0.25">
      <c r="A1319" s="6" t="s">
        <v>9758</v>
      </c>
      <c r="B1319" s="6" t="s">
        <v>9757</v>
      </c>
      <c r="C1319" s="6" t="s">
        <v>31</v>
      </c>
      <c r="E1319" s="6" t="s">
        <v>9756</v>
      </c>
      <c r="F1319" s="6" t="s">
        <v>9755</v>
      </c>
      <c r="G1319" s="6" t="s">
        <v>16</v>
      </c>
      <c r="H1319" s="6" t="s">
        <v>28</v>
      </c>
      <c r="I1319" s="6" t="s">
        <v>60</v>
      </c>
      <c r="J1319" s="6" t="s">
        <v>3151</v>
      </c>
      <c r="K1319" s="7">
        <v>31.33261598</v>
      </c>
      <c r="L1319" s="7">
        <v>-93.853499060000004</v>
      </c>
      <c r="M1319" s="6" t="s">
        <v>2695</v>
      </c>
      <c r="N1319" s="6" t="s">
        <v>65</v>
      </c>
      <c r="O1319" s="6" t="s">
        <v>24</v>
      </c>
    </row>
    <row r="1320" spans="1:15" x14ac:dyDescent="0.25">
      <c r="A1320" s="6" t="s">
        <v>9308</v>
      </c>
      <c r="B1320" s="6" t="s">
        <v>9307</v>
      </c>
      <c r="C1320" s="6" t="s">
        <v>31</v>
      </c>
      <c r="E1320" s="6" t="s">
        <v>9306</v>
      </c>
      <c r="F1320" s="6" t="s">
        <v>9305</v>
      </c>
      <c r="G1320" s="6" t="s">
        <v>16</v>
      </c>
      <c r="H1320" s="6" t="s">
        <v>15</v>
      </c>
      <c r="I1320" s="6" t="s">
        <v>14</v>
      </c>
      <c r="J1320" s="6" t="s">
        <v>35</v>
      </c>
      <c r="K1320" s="7">
        <v>29.903118549999999</v>
      </c>
      <c r="L1320" s="7">
        <v>-95.499931529999998</v>
      </c>
      <c r="M1320" s="6" t="s">
        <v>77</v>
      </c>
      <c r="N1320" s="6" t="s">
        <v>24</v>
      </c>
      <c r="O1320" s="6" t="s">
        <v>23</v>
      </c>
    </row>
    <row r="1321" spans="1:15" x14ac:dyDescent="0.25">
      <c r="A1321" s="6" t="s">
        <v>7448</v>
      </c>
      <c r="B1321" s="6" t="s">
        <v>7447</v>
      </c>
      <c r="C1321" s="6" t="s">
        <v>31</v>
      </c>
      <c r="E1321" s="6" t="s">
        <v>7446</v>
      </c>
      <c r="F1321" s="6" t="s">
        <v>1219</v>
      </c>
      <c r="G1321" s="6" t="s">
        <v>16</v>
      </c>
      <c r="H1321" s="6" t="s">
        <v>15</v>
      </c>
      <c r="I1321" s="6" t="s">
        <v>46</v>
      </c>
      <c r="J1321" s="6" t="s">
        <v>2583</v>
      </c>
      <c r="K1321" s="7">
        <v>32.925701259999997</v>
      </c>
      <c r="L1321" s="7">
        <v>-94.717894250000001</v>
      </c>
      <c r="M1321" s="6" t="s">
        <v>1941</v>
      </c>
      <c r="N1321" s="6" t="s">
        <v>42</v>
      </c>
      <c r="O1321" s="6" t="s">
        <v>65</v>
      </c>
    </row>
    <row r="1322" spans="1:15" x14ac:dyDescent="0.25">
      <c r="A1322" s="6" t="s">
        <v>7092</v>
      </c>
      <c r="B1322" s="6" t="s">
        <v>7090</v>
      </c>
      <c r="C1322" s="6" t="s">
        <v>31</v>
      </c>
      <c r="E1322" s="6" t="s">
        <v>2108</v>
      </c>
      <c r="F1322" s="6" t="s">
        <v>2107</v>
      </c>
      <c r="G1322" s="6" t="s">
        <v>16</v>
      </c>
      <c r="H1322" s="6" t="s">
        <v>1872</v>
      </c>
      <c r="I1322" s="6" t="s">
        <v>46</v>
      </c>
      <c r="J1322" s="6" t="s">
        <v>2106</v>
      </c>
      <c r="K1322" s="7">
        <v>32.839292999999998</v>
      </c>
      <c r="L1322" s="7">
        <v>-94.548985999999999</v>
      </c>
      <c r="M1322" s="6" t="s">
        <v>2105</v>
      </c>
      <c r="N1322" s="6" t="s">
        <v>42</v>
      </c>
      <c r="O1322" s="6" t="s">
        <v>65</v>
      </c>
    </row>
    <row r="1323" spans="1:15" x14ac:dyDescent="0.25">
      <c r="A1323" s="6" t="s">
        <v>7091</v>
      </c>
      <c r="B1323" s="6" t="s">
        <v>7090</v>
      </c>
      <c r="C1323" s="6" t="s">
        <v>19</v>
      </c>
      <c r="E1323" s="6" t="s">
        <v>2108</v>
      </c>
      <c r="F1323" s="6" t="s">
        <v>2107</v>
      </c>
      <c r="G1323" s="6" t="s">
        <v>16</v>
      </c>
      <c r="H1323" s="6" t="s">
        <v>15</v>
      </c>
      <c r="I1323" s="6" t="s">
        <v>46</v>
      </c>
      <c r="J1323" s="6" t="s">
        <v>2106</v>
      </c>
      <c r="K1323" s="7">
        <v>32.855944000000001</v>
      </c>
      <c r="L1323" s="7">
        <v>-94.556348999999997</v>
      </c>
      <c r="M1323" s="6" t="s">
        <v>2105</v>
      </c>
      <c r="N1323" s="6" t="s">
        <v>42</v>
      </c>
      <c r="O1323" s="6" t="s">
        <v>65</v>
      </c>
    </row>
    <row r="1324" spans="1:15" x14ac:dyDescent="0.25">
      <c r="A1324" s="6" t="s">
        <v>2110</v>
      </c>
      <c r="B1324" s="6" t="s">
        <v>2109</v>
      </c>
      <c r="C1324" s="6" t="s">
        <v>436</v>
      </c>
      <c r="E1324" s="6" t="s">
        <v>2108</v>
      </c>
      <c r="F1324" s="6" t="s">
        <v>2107</v>
      </c>
      <c r="G1324" s="6" t="s">
        <v>16</v>
      </c>
      <c r="H1324" s="6" t="s">
        <v>15</v>
      </c>
      <c r="I1324" s="6" t="s">
        <v>46</v>
      </c>
      <c r="J1324" s="6" t="s">
        <v>2106</v>
      </c>
      <c r="K1324" s="7">
        <v>32.8484525</v>
      </c>
      <c r="L1324" s="7">
        <v>-94.546862579999996</v>
      </c>
      <c r="M1324" s="6" t="s">
        <v>2105</v>
      </c>
      <c r="N1324" s="6" t="s">
        <v>42</v>
      </c>
      <c r="O1324" s="6" t="s">
        <v>65</v>
      </c>
    </row>
    <row r="1325" spans="1:15" x14ac:dyDescent="0.25">
      <c r="A1325" s="6" t="s">
        <v>3507</v>
      </c>
      <c r="B1325" s="6" t="s">
        <v>3506</v>
      </c>
      <c r="C1325" s="6" t="s">
        <v>31</v>
      </c>
      <c r="E1325" s="6" t="s">
        <v>3505</v>
      </c>
      <c r="F1325" s="6" t="s">
        <v>895</v>
      </c>
      <c r="G1325" s="6" t="s">
        <v>16</v>
      </c>
      <c r="H1325" s="6" t="s">
        <v>28</v>
      </c>
      <c r="I1325" s="6" t="s">
        <v>14</v>
      </c>
      <c r="J1325" s="6" t="s">
        <v>3504</v>
      </c>
      <c r="K1325" s="7">
        <v>30.589640110000001</v>
      </c>
      <c r="L1325" s="7">
        <v>-98.403383079999998</v>
      </c>
      <c r="M1325" s="6" t="s">
        <v>2195</v>
      </c>
      <c r="N1325" s="6" t="s">
        <v>10</v>
      </c>
      <c r="O1325" s="6" t="s">
        <v>160</v>
      </c>
    </row>
    <row r="1326" spans="1:15" x14ac:dyDescent="0.25">
      <c r="A1326" s="6" t="s">
        <v>6354</v>
      </c>
      <c r="B1326" s="6" t="s">
        <v>6353</v>
      </c>
      <c r="C1326" s="6" t="s">
        <v>31</v>
      </c>
      <c r="E1326" s="6" t="s">
        <v>6352</v>
      </c>
      <c r="F1326" s="6" t="s">
        <v>6351</v>
      </c>
      <c r="G1326" s="6" t="s">
        <v>16</v>
      </c>
      <c r="H1326" s="6" t="s">
        <v>15</v>
      </c>
      <c r="I1326" s="6" t="s">
        <v>36</v>
      </c>
      <c r="J1326" s="6" t="s">
        <v>35</v>
      </c>
      <c r="K1326" s="7">
        <v>29.880945759999999</v>
      </c>
      <c r="L1326" s="7">
        <v>-95.688800380000004</v>
      </c>
      <c r="M1326" s="6" t="s">
        <v>131</v>
      </c>
      <c r="N1326" s="6" t="s">
        <v>24</v>
      </c>
      <c r="O1326" s="6" t="s">
        <v>23</v>
      </c>
    </row>
    <row r="1327" spans="1:15" x14ac:dyDescent="0.25">
      <c r="A1327" s="6" t="s">
        <v>3600</v>
      </c>
      <c r="B1327" s="6" t="s">
        <v>3599</v>
      </c>
      <c r="C1327" s="6" t="s">
        <v>31</v>
      </c>
      <c r="E1327" s="6" t="s">
        <v>3598</v>
      </c>
      <c r="F1327" s="6" t="s">
        <v>3597</v>
      </c>
      <c r="G1327" s="6" t="s">
        <v>16</v>
      </c>
      <c r="H1327" s="6" t="s">
        <v>28</v>
      </c>
      <c r="I1327" s="6" t="s">
        <v>27</v>
      </c>
      <c r="J1327" s="6" t="s">
        <v>35</v>
      </c>
      <c r="K1327" s="7">
        <v>29.955373999999999</v>
      </c>
      <c r="L1327" s="7">
        <v>-95.640743000000001</v>
      </c>
      <c r="M1327" s="6" t="s">
        <v>279</v>
      </c>
      <c r="N1327" s="6" t="s">
        <v>24</v>
      </c>
      <c r="O1327" s="6" t="s">
        <v>23</v>
      </c>
    </row>
    <row r="1328" spans="1:15" x14ac:dyDescent="0.25">
      <c r="A1328" s="6" t="s">
        <v>9298</v>
      </c>
      <c r="B1328" s="6" t="s">
        <v>3344</v>
      </c>
      <c r="C1328" s="6" t="s">
        <v>31</v>
      </c>
      <c r="E1328" s="6" t="s">
        <v>3343</v>
      </c>
      <c r="F1328" s="6" t="s">
        <v>3342</v>
      </c>
      <c r="G1328" s="6" t="s">
        <v>16</v>
      </c>
      <c r="H1328" s="6" t="s">
        <v>16</v>
      </c>
      <c r="I1328" s="6" t="s">
        <v>14</v>
      </c>
      <c r="J1328" s="6" t="s">
        <v>776</v>
      </c>
      <c r="K1328" s="7">
        <v>32.65619152</v>
      </c>
      <c r="L1328" s="7">
        <v>-98.312607</v>
      </c>
      <c r="M1328" s="6" t="s">
        <v>1509</v>
      </c>
      <c r="N1328" s="6" t="s">
        <v>23</v>
      </c>
      <c r="O1328" s="6" t="s">
        <v>42</v>
      </c>
    </row>
    <row r="1329" spans="1:15" x14ac:dyDescent="0.25">
      <c r="A1329" s="6" t="s">
        <v>4403</v>
      </c>
      <c r="B1329" s="6" t="s">
        <v>3344</v>
      </c>
      <c r="C1329" s="6" t="s">
        <v>19</v>
      </c>
      <c r="E1329" s="6" t="s">
        <v>3343</v>
      </c>
      <c r="F1329" s="6" t="s">
        <v>3342</v>
      </c>
      <c r="G1329" s="6" t="s">
        <v>16</v>
      </c>
      <c r="H1329" s="6" t="s">
        <v>15</v>
      </c>
      <c r="I1329" s="6" t="s">
        <v>14</v>
      </c>
      <c r="J1329" s="6" t="s">
        <v>776</v>
      </c>
      <c r="K1329" s="7">
        <v>32.659627960000002</v>
      </c>
      <c r="L1329" s="7">
        <v>-98.30828674</v>
      </c>
      <c r="M1329" s="6" t="s">
        <v>1509</v>
      </c>
      <c r="N1329" s="6" t="s">
        <v>23</v>
      </c>
      <c r="O1329" s="6" t="s">
        <v>42</v>
      </c>
    </row>
    <row r="1330" spans="1:15" x14ac:dyDescent="0.25">
      <c r="A1330" s="6" t="s">
        <v>3345</v>
      </c>
      <c r="B1330" s="6" t="s">
        <v>3344</v>
      </c>
      <c r="C1330" s="6" t="s">
        <v>436</v>
      </c>
      <c r="E1330" s="6" t="s">
        <v>3343</v>
      </c>
      <c r="F1330" s="6" t="s">
        <v>3342</v>
      </c>
      <c r="G1330" s="6" t="s">
        <v>16</v>
      </c>
      <c r="H1330" s="6" t="s">
        <v>15</v>
      </c>
      <c r="I1330" s="6" t="s">
        <v>14</v>
      </c>
      <c r="J1330" s="6" t="s">
        <v>776</v>
      </c>
      <c r="K1330" s="7">
        <v>32.655814530000001</v>
      </c>
      <c r="L1330" s="7">
        <v>-98.309869950000007</v>
      </c>
      <c r="M1330" s="6" t="s">
        <v>1509</v>
      </c>
      <c r="N1330" s="6" t="s">
        <v>23</v>
      </c>
      <c r="O1330" s="6" t="s">
        <v>42</v>
      </c>
    </row>
    <row r="1331" spans="1:15" x14ac:dyDescent="0.25">
      <c r="A1331" s="6" t="s">
        <v>3225</v>
      </c>
      <c r="B1331" s="6" t="s">
        <v>3224</v>
      </c>
      <c r="C1331" s="6" t="s">
        <v>31</v>
      </c>
      <c r="E1331" s="6" t="s">
        <v>3223</v>
      </c>
      <c r="F1331" s="6" t="s">
        <v>3222</v>
      </c>
      <c r="G1331" s="6" t="s">
        <v>16</v>
      </c>
      <c r="H1331" s="6" t="s">
        <v>15</v>
      </c>
      <c r="I1331" s="6" t="s">
        <v>14</v>
      </c>
      <c r="J1331" s="6" t="s">
        <v>480</v>
      </c>
      <c r="K1331" s="7">
        <v>26.164218999999999</v>
      </c>
      <c r="L1331" s="7">
        <v>-98.173286000000004</v>
      </c>
      <c r="M1331" s="6" t="s">
        <v>179</v>
      </c>
      <c r="N1331" s="6" t="s">
        <v>11</v>
      </c>
      <c r="O1331" s="6" t="s">
        <v>22</v>
      </c>
    </row>
    <row r="1332" spans="1:15" x14ac:dyDescent="0.25">
      <c r="A1332" s="6" t="s">
        <v>6358</v>
      </c>
      <c r="B1332" s="6" t="s">
        <v>6357</v>
      </c>
      <c r="C1332" s="6" t="s">
        <v>31</v>
      </c>
      <c r="E1332" s="6" t="s">
        <v>6356</v>
      </c>
      <c r="F1332" s="6" t="s">
        <v>6355</v>
      </c>
      <c r="G1332" s="6" t="s">
        <v>16</v>
      </c>
      <c r="H1332" s="6" t="s">
        <v>28</v>
      </c>
      <c r="I1332" s="6" t="s">
        <v>27</v>
      </c>
      <c r="J1332" s="6" t="s">
        <v>35</v>
      </c>
      <c r="K1332" s="7">
        <v>29.876722999999998</v>
      </c>
      <c r="L1332" s="7">
        <v>-95.513739000000001</v>
      </c>
      <c r="M1332" s="6" t="s">
        <v>77</v>
      </c>
      <c r="N1332" s="6" t="s">
        <v>24</v>
      </c>
      <c r="O1332" s="6" t="s">
        <v>23</v>
      </c>
    </row>
    <row r="1333" spans="1:15" x14ac:dyDescent="0.25">
      <c r="A1333" s="6" t="s">
        <v>219</v>
      </c>
      <c r="B1333" s="6" t="s">
        <v>218</v>
      </c>
      <c r="C1333" s="6" t="s">
        <v>31</v>
      </c>
      <c r="E1333" s="6" t="s">
        <v>217</v>
      </c>
      <c r="F1333" s="6" t="s">
        <v>216</v>
      </c>
      <c r="G1333" s="6" t="s">
        <v>16</v>
      </c>
      <c r="H1333" s="6" t="s">
        <v>15</v>
      </c>
      <c r="I1333" s="6" t="s">
        <v>14</v>
      </c>
      <c r="J1333" s="6" t="s">
        <v>215</v>
      </c>
      <c r="K1333" s="7">
        <v>29.33334207</v>
      </c>
      <c r="L1333" s="7">
        <v>-95.020323210000001</v>
      </c>
      <c r="M1333" s="6" t="s">
        <v>214</v>
      </c>
      <c r="N1333" s="6" t="s">
        <v>160</v>
      </c>
      <c r="O1333" s="6" t="s">
        <v>23</v>
      </c>
    </row>
    <row r="1334" spans="1:15" x14ac:dyDescent="0.25">
      <c r="A1334" s="6" t="s">
        <v>10819</v>
      </c>
      <c r="B1334" s="6" t="s">
        <v>10818</v>
      </c>
      <c r="C1334" s="6" t="s">
        <v>31</v>
      </c>
      <c r="E1334" s="6" t="s">
        <v>10817</v>
      </c>
      <c r="F1334" s="6" t="s">
        <v>10816</v>
      </c>
      <c r="G1334" s="6" t="s">
        <v>16</v>
      </c>
      <c r="H1334" s="6" t="s">
        <v>15</v>
      </c>
      <c r="I1334" s="6" t="s">
        <v>36</v>
      </c>
      <c r="J1334" s="6" t="s">
        <v>385</v>
      </c>
      <c r="K1334" s="7">
        <v>29.964029650000001</v>
      </c>
      <c r="L1334" s="7">
        <v>-93.922602580000003</v>
      </c>
      <c r="M1334" s="6" t="s">
        <v>429</v>
      </c>
      <c r="N1334" s="6" t="s">
        <v>52</v>
      </c>
      <c r="O1334" s="6" t="s">
        <v>24</v>
      </c>
    </row>
    <row r="1335" spans="1:15" x14ac:dyDescent="0.25">
      <c r="A1335" s="6" t="s">
        <v>12475</v>
      </c>
      <c r="B1335" s="6" t="s">
        <v>12474</v>
      </c>
      <c r="C1335" s="6" t="s">
        <v>31</v>
      </c>
      <c r="E1335" s="6" t="s">
        <v>12473</v>
      </c>
      <c r="F1335" s="6" t="s">
        <v>996</v>
      </c>
      <c r="G1335" s="6" t="s">
        <v>16</v>
      </c>
      <c r="H1335" s="6" t="s">
        <v>15</v>
      </c>
      <c r="I1335" s="6" t="s">
        <v>799</v>
      </c>
      <c r="J1335" s="6" t="s">
        <v>35</v>
      </c>
      <c r="K1335" s="7">
        <v>29.865525000000002</v>
      </c>
      <c r="L1335" s="7">
        <v>-95.604083000000003</v>
      </c>
      <c r="M1335" s="6" t="s">
        <v>131</v>
      </c>
      <c r="N1335" s="6" t="s">
        <v>24</v>
      </c>
      <c r="O1335" s="6" t="s">
        <v>23</v>
      </c>
    </row>
    <row r="1336" spans="1:15" x14ac:dyDescent="0.25">
      <c r="A1336" s="6" t="s">
        <v>488</v>
      </c>
      <c r="B1336" s="6" t="s">
        <v>487</v>
      </c>
      <c r="C1336" s="6" t="s">
        <v>31</v>
      </c>
      <c r="E1336" s="6" t="s">
        <v>486</v>
      </c>
      <c r="F1336" s="6" t="s">
        <v>485</v>
      </c>
      <c r="G1336" s="6" t="s">
        <v>16</v>
      </c>
      <c r="H1336" s="6" t="s">
        <v>15</v>
      </c>
      <c r="I1336" s="6" t="s">
        <v>14</v>
      </c>
      <c r="J1336" s="6" t="s">
        <v>385</v>
      </c>
      <c r="K1336" s="7">
        <v>30.069985249999998</v>
      </c>
      <c r="L1336" s="7">
        <v>-94.053366400000002</v>
      </c>
      <c r="M1336" s="6" t="s">
        <v>429</v>
      </c>
      <c r="N1336" s="6" t="s">
        <v>52</v>
      </c>
      <c r="O1336" s="6" t="s">
        <v>24</v>
      </c>
    </row>
    <row r="1337" spans="1:15" x14ac:dyDescent="0.25">
      <c r="A1337" s="6" t="s">
        <v>4417</v>
      </c>
      <c r="B1337" s="6" t="s">
        <v>4416</v>
      </c>
      <c r="C1337" s="6" t="s">
        <v>31</v>
      </c>
      <c r="E1337" s="6" t="s">
        <v>4415</v>
      </c>
      <c r="F1337" s="6" t="s">
        <v>4414</v>
      </c>
      <c r="G1337" s="6" t="s">
        <v>16</v>
      </c>
      <c r="H1337" s="6" t="s">
        <v>28</v>
      </c>
      <c r="I1337" s="6" t="s">
        <v>60</v>
      </c>
      <c r="J1337" s="6" t="s">
        <v>2267</v>
      </c>
      <c r="K1337" s="7">
        <v>32.309398000000002</v>
      </c>
      <c r="L1337" s="7">
        <v>-95.606137000000004</v>
      </c>
      <c r="M1337" s="6" t="s">
        <v>66</v>
      </c>
      <c r="N1337" s="6" t="s">
        <v>52</v>
      </c>
      <c r="O1337" s="6" t="s">
        <v>65</v>
      </c>
    </row>
    <row r="1338" spans="1:15" x14ac:dyDescent="0.25">
      <c r="A1338" s="6" t="s">
        <v>4599</v>
      </c>
      <c r="B1338" s="6" t="s">
        <v>4598</v>
      </c>
      <c r="C1338" s="6" t="s">
        <v>31</v>
      </c>
      <c r="E1338" s="6" t="s">
        <v>4597</v>
      </c>
      <c r="F1338" s="6" t="s">
        <v>2822</v>
      </c>
      <c r="G1338" s="6" t="s">
        <v>16</v>
      </c>
      <c r="H1338" s="6" t="s">
        <v>28</v>
      </c>
      <c r="I1338" s="6" t="s">
        <v>73</v>
      </c>
      <c r="J1338" s="6" t="s">
        <v>2696</v>
      </c>
      <c r="K1338" s="7">
        <v>31.738721000000002</v>
      </c>
      <c r="L1338" s="7">
        <v>-94.158743000000001</v>
      </c>
      <c r="M1338" s="6" t="s">
        <v>2695</v>
      </c>
      <c r="N1338" s="6" t="s">
        <v>65</v>
      </c>
      <c r="O1338" s="6" t="s">
        <v>24</v>
      </c>
    </row>
    <row r="1339" spans="1:15" x14ac:dyDescent="0.25">
      <c r="A1339" s="6" t="s">
        <v>1945</v>
      </c>
      <c r="B1339" s="6" t="s">
        <v>1944</v>
      </c>
      <c r="C1339" s="6" t="s">
        <v>31</v>
      </c>
      <c r="E1339" s="6" t="s">
        <v>1943</v>
      </c>
      <c r="F1339" s="6" t="s">
        <v>1942</v>
      </c>
      <c r="G1339" s="6" t="s">
        <v>16</v>
      </c>
      <c r="H1339" s="6" t="s">
        <v>15</v>
      </c>
      <c r="I1339" s="6" t="s">
        <v>46</v>
      </c>
      <c r="J1339" s="6" t="s">
        <v>1831</v>
      </c>
      <c r="K1339" s="7">
        <v>33.138978340000001</v>
      </c>
      <c r="L1339" s="7">
        <v>-94.997841149999999</v>
      </c>
      <c r="M1339" s="6" t="s">
        <v>1941</v>
      </c>
      <c r="N1339" s="6" t="s">
        <v>42</v>
      </c>
      <c r="O1339" s="6" t="s">
        <v>65</v>
      </c>
    </row>
    <row r="1340" spans="1:15" x14ac:dyDescent="0.25">
      <c r="A1340" s="6" t="s">
        <v>2983</v>
      </c>
      <c r="B1340" s="6" t="s">
        <v>2982</v>
      </c>
      <c r="C1340" s="6" t="s">
        <v>31</v>
      </c>
      <c r="E1340" s="6" t="s">
        <v>2981</v>
      </c>
      <c r="F1340" s="6" t="s">
        <v>2980</v>
      </c>
      <c r="G1340" s="6" t="s">
        <v>16</v>
      </c>
      <c r="H1340" s="6" t="s">
        <v>28</v>
      </c>
      <c r="I1340" s="6" t="s">
        <v>27</v>
      </c>
      <c r="J1340" s="6" t="s">
        <v>35</v>
      </c>
      <c r="K1340" s="7">
        <v>29.826238</v>
      </c>
      <c r="L1340" s="7">
        <v>-95.185244999999995</v>
      </c>
      <c r="M1340" s="6" t="s">
        <v>34</v>
      </c>
      <c r="N1340" s="6" t="s">
        <v>24</v>
      </c>
      <c r="O1340" s="6" t="s">
        <v>23</v>
      </c>
    </row>
    <row r="1341" spans="1:15" x14ac:dyDescent="0.25">
      <c r="A1341" s="6" t="s">
        <v>11667</v>
      </c>
      <c r="B1341" s="6" t="s">
        <v>11666</v>
      </c>
      <c r="C1341" s="6" t="s">
        <v>31</v>
      </c>
      <c r="E1341" s="6" t="s">
        <v>11665</v>
      </c>
      <c r="F1341" s="6" t="s">
        <v>4160</v>
      </c>
      <c r="G1341" s="6" t="s">
        <v>16</v>
      </c>
      <c r="H1341" s="6" t="s">
        <v>28</v>
      </c>
      <c r="I1341" s="6" t="s">
        <v>60</v>
      </c>
      <c r="J1341" s="6" t="s">
        <v>318</v>
      </c>
      <c r="K1341" s="7">
        <v>30.665873640000001</v>
      </c>
      <c r="L1341" s="7">
        <v>-94.999919610000006</v>
      </c>
      <c r="M1341" s="6" t="s">
        <v>2355</v>
      </c>
      <c r="N1341" s="6" t="s">
        <v>102</v>
      </c>
      <c r="O1341" s="6" t="s">
        <v>24</v>
      </c>
    </row>
    <row r="1342" spans="1:15" x14ac:dyDescent="0.25">
      <c r="A1342" s="6" t="s">
        <v>8842</v>
      </c>
      <c r="B1342" s="6" t="s">
        <v>8841</v>
      </c>
      <c r="C1342" s="6" t="s">
        <v>31</v>
      </c>
      <c r="E1342" s="6" t="s">
        <v>8840</v>
      </c>
      <c r="F1342" s="6" t="s">
        <v>5708</v>
      </c>
      <c r="G1342" s="6" t="s">
        <v>16</v>
      </c>
      <c r="H1342" s="6" t="s">
        <v>15</v>
      </c>
      <c r="I1342" s="6" t="s">
        <v>36</v>
      </c>
      <c r="J1342" s="6" t="s">
        <v>35</v>
      </c>
      <c r="K1342" s="7">
        <v>29.687331749999998</v>
      </c>
      <c r="L1342" s="7">
        <v>-95.447898129999999</v>
      </c>
      <c r="M1342" s="6" t="s">
        <v>866</v>
      </c>
      <c r="N1342" s="6" t="s">
        <v>24</v>
      </c>
      <c r="O1342" s="6" t="s">
        <v>23</v>
      </c>
    </row>
    <row r="1343" spans="1:15" x14ac:dyDescent="0.25">
      <c r="A1343" s="6" t="s">
        <v>8845</v>
      </c>
      <c r="B1343" s="6" t="s">
        <v>8844</v>
      </c>
      <c r="C1343" s="6" t="s">
        <v>31</v>
      </c>
      <c r="E1343" s="6" t="s">
        <v>8843</v>
      </c>
      <c r="F1343" s="6" t="s">
        <v>5708</v>
      </c>
      <c r="G1343" s="6" t="s">
        <v>16</v>
      </c>
      <c r="H1343" s="6" t="s">
        <v>15</v>
      </c>
      <c r="I1343" s="6" t="s">
        <v>799</v>
      </c>
      <c r="J1343" s="6" t="s">
        <v>35</v>
      </c>
      <c r="K1343" s="7">
        <v>29.761776000000001</v>
      </c>
      <c r="L1343" s="7">
        <v>-95.561025000000001</v>
      </c>
      <c r="M1343" s="6" t="s">
        <v>131</v>
      </c>
      <c r="N1343" s="6" t="s">
        <v>24</v>
      </c>
      <c r="O1343" s="6" t="s">
        <v>23</v>
      </c>
    </row>
    <row r="1344" spans="1:15" x14ac:dyDescent="0.25">
      <c r="A1344" s="6" t="s">
        <v>8830</v>
      </c>
      <c r="B1344" s="6" t="s">
        <v>8829</v>
      </c>
      <c r="C1344" s="6" t="s">
        <v>31</v>
      </c>
      <c r="E1344" s="6" t="s">
        <v>8828</v>
      </c>
      <c r="F1344" s="6" t="s">
        <v>5708</v>
      </c>
      <c r="G1344" s="6" t="s">
        <v>16</v>
      </c>
      <c r="H1344" s="6" t="s">
        <v>15</v>
      </c>
      <c r="I1344" s="6" t="s">
        <v>14</v>
      </c>
      <c r="J1344" s="6" t="s">
        <v>35</v>
      </c>
      <c r="K1344" s="7">
        <v>29.844854460000001</v>
      </c>
      <c r="L1344" s="7">
        <v>-95.460824579999993</v>
      </c>
      <c r="M1344" s="6" t="s">
        <v>77</v>
      </c>
      <c r="N1344" s="6" t="s">
        <v>24</v>
      </c>
      <c r="O1344" s="6" t="s">
        <v>23</v>
      </c>
    </row>
    <row r="1345" spans="1:15" x14ac:dyDescent="0.25">
      <c r="A1345" s="6" t="s">
        <v>5711</v>
      </c>
      <c r="B1345" s="6" t="s">
        <v>5710</v>
      </c>
      <c r="C1345" s="6" t="s">
        <v>31</v>
      </c>
      <c r="E1345" s="6" t="s">
        <v>5709</v>
      </c>
      <c r="F1345" s="6" t="s">
        <v>5708</v>
      </c>
      <c r="G1345" s="6" t="s">
        <v>16</v>
      </c>
      <c r="H1345" s="6" t="s">
        <v>15</v>
      </c>
      <c r="I1345" s="6" t="s">
        <v>36</v>
      </c>
      <c r="J1345" s="6" t="s">
        <v>35</v>
      </c>
      <c r="K1345" s="7">
        <v>29.805925269999999</v>
      </c>
      <c r="L1345" s="7">
        <v>-95.294010929999999</v>
      </c>
      <c r="M1345" s="6" t="s">
        <v>866</v>
      </c>
      <c r="N1345" s="6" t="s">
        <v>24</v>
      </c>
      <c r="O1345" s="6" t="s">
        <v>23</v>
      </c>
    </row>
    <row r="1346" spans="1:15" x14ac:dyDescent="0.25">
      <c r="A1346" s="6" t="s">
        <v>8827</v>
      </c>
      <c r="B1346" s="6" t="s">
        <v>8826</v>
      </c>
      <c r="C1346" s="6" t="s">
        <v>31</v>
      </c>
      <c r="E1346" s="6" t="s">
        <v>8825</v>
      </c>
      <c r="F1346" s="6" t="s">
        <v>5708</v>
      </c>
      <c r="G1346" s="6" t="s">
        <v>16</v>
      </c>
      <c r="H1346" s="6" t="s">
        <v>15</v>
      </c>
      <c r="I1346" s="6" t="s">
        <v>36</v>
      </c>
      <c r="J1346" s="6" t="s">
        <v>35</v>
      </c>
      <c r="K1346" s="7">
        <v>29.7834085</v>
      </c>
      <c r="L1346" s="7">
        <v>-95.214158810000001</v>
      </c>
      <c r="M1346" s="6" t="s">
        <v>34</v>
      </c>
      <c r="N1346" s="6" t="s">
        <v>24</v>
      </c>
      <c r="O1346" s="6" t="s">
        <v>23</v>
      </c>
    </row>
    <row r="1347" spans="1:15" x14ac:dyDescent="0.25">
      <c r="A1347" s="6" t="s">
        <v>8839</v>
      </c>
      <c r="B1347" s="6" t="s">
        <v>8838</v>
      </c>
      <c r="C1347" s="6" t="s">
        <v>31</v>
      </c>
      <c r="E1347" s="6" t="s">
        <v>8837</v>
      </c>
      <c r="F1347" s="6" t="s">
        <v>5708</v>
      </c>
      <c r="G1347" s="6" t="s">
        <v>16</v>
      </c>
      <c r="H1347" s="6" t="s">
        <v>15</v>
      </c>
      <c r="I1347" s="6" t="s">
        <v>36</v>
      </c>
      <c r="J1347" s="6" t="s">
        <v>35</v>
      </c>
      <c r="K1347" s="7">
        <v>29.647584219999999</v>
      </c>
      <c r="L1347" s="7">
        <v>-95.223729779999999</v>
      </c>
      <c r="M1347" s="6" t="s">
        <v>866</v>
      </c>
      <c r="N1347" s="6" t="s">
        <v>24</v>
      </c>
      <c r="O1347" s="6" t="s">
        <v>23</v>
      </c>
    </row>
    <row r="1348" spans="1:15" x14ac:dyDescent="0.25">
      <c r="A1348" s="6" t="s">
        <v>9358</v>
      </c>
      <c r="B1348" s="6" t="s">
        <v>9356</v>
      </c>
      <c r="C1348" s="6" t="s">
        <v>31</v>
      </c>
      <c r="E1348" s="6" t="s">
        <v>9355</v>
      </c>
      <c r="F1348" s="6" t="s">
        <v>5708</v>
      </c>
      <c r="G1348" s="6" t="s">
        <v>16</v>
      </c>
      <c r="H1348" s="6" t="s">
        <v>15</v>
      </c>
      <c r="I1348" s="6" t="s">
        <v>73</v>
      </c>
      <c r="J1348" s="6" t="s">
        <v>35</v>
      </c>
      <c r="K1348" s="7">
        <v>29.846057999999999</v>
      </c>
      <c r="L1348" s="7">
        <v>-95.274934999999999</v>
      </c>
      <c r="M1348" s="6" t="s">
        <v>34</v>
      </c>
      <c r="N1348" s="6" t="s">
        <v>24</v>
      </c>
      <c r="O1348" s="6" t="s">
        <v>23</v>
      </c>
    </row>
    <row r="1349" spans="1:15" x14ac:dyDescent="0.25">
      <c r="A1349" s="6" t="s">
        <v>9357</v>
      </c>
      <c r="B1349" s="6" t="s">
        <v>9356</v>
      </c>
      <c r="C1349" s="6" t="s">
        <v>19</v>
      </c>
      <c r="E1349" s="6" t="s">
        <v>9355</v>
      </c>
      <c r="F1349" s="6" t="s">
        <v>5708</v>
      </c>
      <c r="G1349" s="6" t="s">
        <v>16</v>
      </c>
      <c r="H1349" s="6" t="s">
        <v>15</v>
      </c>
      <c r="I1349" s="6" t="s">
        <v>73</v>
      </c>
      <c r="J1349" s="6" t="s">
        <v>35</v>
      </c>
      <c r="K1349" s="7">
        <v>29.853280999999999</v>
      </c>
      <c r="L1349" s="7">
        <v>-95.296601999999993</v>
      </c>
      <c r="M1349" s="6" t="s">
        <v>34</v>
      </c>
      <c r="N1349" s="6" t="s">
        <v>24</v>
      </c>
      <c r="O1349" s="6" t="s">
        <v>23</v>
      </c>
    </row>
    <row r="1350" spans="1:15" x14ac:dyDescent="0.25">
      <c r="A1350" s="6" t="s">
        <v>9746</v>
      </c>
      <c r="B1350" s="6" t="s">
        <v>9745</v>
      </c>
      <c r="C1350" s="6" t="s">
        <v>31</v>
      </c>
      <c r="E1350" s="6" t="s">
        <v>9744</v>
      </c>
      <c r="F1350" s="6" t="s">
        <v>5708</v>
      </c>
      <c r="G1350" s="6" t="s">
        <v>16</v>
      </c>
      <c r="H1350" s="6" t="s">
        <v>15</v>
      </c>
      <c r="I1350" s="6" t="s">
        <v>36</v>
      </c>
      <c r="J1350" s="6" t="s">
        <v>35</v>
      </c>
      <c r="K1350" s="7">
        <v>29.64452481</v>
      </c>
      <c r="L1350" s="7">
        <v>-95.338659309999997</v>
      </c>
      <c r="M1350" s="6" t="s">
        <v>866</v>
      </c>
      <c r="N1350" s="6" t="s">
        <v>24</v>
      </c>
      <c r="O1350" s="6" t="s">
        <v>23</v>
      </c>
    </row>
    <row r="1351" spans="1:15" x14ac:dyDescent="0.25">
      <c r="A1351" s="6" t="s">
        <v>8833</v>
      </c>
      <c r="B1351" s="6" t="s">
        <v>8832</v>
      </c>
      <c r="C1351" s="6" t="s">
        <v>31</v>
      </c>
      <c r="E1351" s="6" t="s">
        <v>8831</v>
      </c>
      <c r="F1351" s="6" t="s">
        <v>5708</v>
      </c>
      <c r="G1351" s="6" t="s">
        <v>16</v>
      </c>
      <c r="H1351" s="6" t="s">
        <v>15</v>
      </c>
      <c r="I1351" s="6" t="s">
        <v>14</v>
      </c>
      <c r="J1351" s="6" t="s">
        <v>35</v>
      </c>
      <c r="K1351" s="7">
        <v>29.596660629999999</v>
      </c>
      <c r="L1351" s="7">
        <v>-95.208442109999993</v>
      </c>
      <c r="M1351" s="6" t="s">
        <v>542</v>
      </c>
      <c r="N1351" s="6" t="s">
        <v>160</v>
      </c>
      <c r="O1351" s="6" t="s">
        <v>23</v>
      </c>
    </row>
    <row r="1352" spans="1:15" x14ac:dyDescent="0.25">
      <c r="A1352" s="6" t="s">
        <v>4570</v>
      </c>
      <c r="B1352" s="6" t="s">
        <v>4569</v>
      </c>
      <c r="C1352" s="6" t="s">
        <v>31</v>
      </c>
      <c r="E1352" s="6" t="s">
        <v>4568</v>
      </c>
      <c r="F1352" s="6" t="s">
        <v>4567</v>
      </c>
      <c r="G1352" s="6" t="s">
        <v>16</v>
      </c>
      <c r="H1352" s="6" t="s">
        <v>28</v>
      </c>
      <c r="I1352" s="6" t="s">
        <v>73</v>
      </c>
      <c r="J1352" s="6" t="s">
        <v>4566</v>
      </c>
      <c r="K1352" s="7">
        <v>33.194400469999998</v>
      </c>
      <c r="L1352" s="7">
        <v>-95.218587769999999</v>
      </c>
      <c r="M1352" s="6" t="s">
        <v>96</v>
      </c>
      <c r="N1352" s="6" t="s">
        <v>95</v>
      </c>
      <c r="O1352" s="6" t="s">
        <v>65</v>
      </c>
    </row>
    <row r="1353" spans="1:15" x14ac:dyDescent="0.25">
      <c r="A1353" s="6" t="s">
        <v>9968</v>
      </c>
      <c r="B1353" s="6" t="s">
        <v>9966</v>
      </c>
      <c r="C1353" s="6" t="s">
        <v>31</v>
      </c>
      <c r="E1353" s="6" t="s">
        <v>9965</v>
      </c>
      <c r="F1353" s="6" t="s">
        <v>1219</v>
      </c>
      <c r="G1353" s="6" t="s">
        <v>16</v>
      </c>
      <c r="H1353" s="6" t="s">
        <v>15</v>
      </c>
      <c r="I1353" s="6" t="s">
        <v>73</v>
      </c>
      <c r="J1353" s="6" t="s">
        <v>1831</v>
      </c>
      <c r="K1353" s="7">
        <v>33.048491030000001</v>
      </c>
      <c r="L1353" s="7">
        <v>-94.840413290000001</v>
      </c>
      <c r="M1353" s="6" t="s">
        <v>1941</v>
      </c>
      <c r="N1353" s="6" t="s">
        <v>42</v>
      </c>
      <c r="O1353" s="6" t="s">
        <v>65</v>
      </c>
    </row>
    <row r="1354" spans="1:15" x14ac:dyDescent="0.25">
      <c r="A1354" s="6" t="s">
        <v>9967</v>
      </c>
      <c r="B1354" s="6" t="s">
        <v>9966</v>
      </c>
      <c r="C1354" s="6" t="s">
        <v>436</v>
      </c>
      <c r="E1354" s="6" t="s">
        <v>9965</v>
      </c>
      <c r="F1354" s="6" t="s">
        <v>1219</v>
      </c>
      <c r="G1354" s="6" t="s">
        <v>16</v>
      </c>
      <c r="H1354" s="6" t="s">
        <v>15</v>
      </c>
      <c r="I1354" s="6" t="s">
        <v>73</v>
      </c>
      <c r="J1354" s="6" t="s">
        <v>1831</v>
      </c>
      <c r="K1354" s="7">
        <v>33.062514</v>
      </c>
      <c r="L1354" s="7">
        <v>-94.836715999999996</v>
      </c>
      <c r="M1354" s="6" t="s">
        <v>1941</v>
      </c>
      <c r="N1354" s="6" t="s">
        <v>42</v>
      </c>
      <c r="O1354" s="6" t="s">
        <v>65</v>
      </c>
    </row>
    <row r="1355" spans="1:15" x14ac:dyDescent="0.25">
      <c r="A1355" s="6" t="s">
        <v>5360</v>
      </c>
      <c r="B1355" s="6" t="s">
        <v>5359</v>
      </c>
      <c r="C1355" s="6" t="s">
        <v>31</v>
      </c>
      <c r="E1355" s="6" t="s">
        <v>5358</v>
      </c>
      <c r="F1355" s="6" t="s">
        <v>5357</v>
      </c>
      <c r="G1355" s="6" t="s">
        <v>16</v>
      </c>
      <c r="H1355" s="6" t="s">
        <v>28</v>
      </c>
      <c r="I1355" s="6" t="s">
        <v>46</v>
      </c>
      <c r="J1355" s="6" t="s">
        <v>215</v>
      </c>
      <c r="K1355" s="7">
        <v>29.314535589999998</v>
      </c>
      <c r="L1355" s="7">
        <v>-94.820417980000002</v>
      </c>
      <c r="M1355" s="6" t="s">
        <v>496</v>
      </c>
      <c r="N1355" s="6" t="s">
        <v>160</v>
      </c>
      <c r="O1355" s="6" t="s">
        <v>23</v>
      </c>
    </row>
    <row r="1356" spans="1:15" x14ac:dyDescent="0.25">
      <c r="A1356" s="6" t="s">
        <v>7434</v>
      </c>
      <c r="B1356" s="6" t="s">
        <v>7428</v>
      </c>
      <c r="C1356" s="6" t="s">
        <v>31</v>
      </c>
      <c r="E1356" s="6" t="s">
        <v>7427</v>
      </c>
      <c r="F1356" s="6" t="s">
        <v>2254</v>
      </c>
      <c r="G1356" s="6" t="s">
        <v>16</v>
      </c>
      <c r="H1356" s="6" t="s">
        <v>430</v>
      </c>
      <c r="I1356" s="6" t="s">
        <v>60</v>
      </c>
      <c r="J1356" s="6" t="s">
        <v>13</v>
      </c>
      <c r="K1356" s="7">
        <v>27.817972600000001</v>
      </c>
      <c r="L1356" s="7">
        <v>-97.49164553</v>
      </c>
      <c r="M1356" s="6" t="s">
        <v>12</v>
      </c>
      <c r="N1356" s="6" t="s">
        <v>11</v>
      </c>
      <c r="O1356" s="6" t="s">
        <v>10</v>
      </c>
    </row>
    <row r="1357" spans="1:15" x14ac:dyDescent="0.25">
      <c r="A1357" s="6" t="s">
        <v>7433</v>
      </c>
      <c r="B1357" s="6" t="s">
        <v>7428</v>
      </c>
      <c r="C1357" s="6" t="s">
        <v>19</v>
      </c>
      <c r="E1357" s="6" t="s">
        <v>7427</v>
      </c>
      <c r="F1357" s="6" t="s">
        <v>2254</v>
      </c>
      <c r="G1357" s="6" t="s">
        <v>16</v>
      </c>
      <c r="H1357" s="6" t="s">
        <v>430</v>
      </c>
      <c r="I1357" s="6" t="s">
        <v>60</v>
      </c>
      <c r="J1357" s="6" t="s">
        <v>13</v>
      </c>
      <c r="K1357" s="7">
        <v>27.82161567</v>
      </c>
      <c r="L1357" s="7">
        <v>-97.488150779999998</v>
      </c>
      <c r="M1357" s="6" t="s">
        <v>12</v>
      </c>
      <c r="N1357" s="6" t="s">
        <v>11</v>
      </c>
      <c r="O1357" s="6" t="s">
        <v>10</v>
      </c>
    </row>
    <row r="1358" spans="1:15" x14ac:dyDescent="0.25">
      <c r="A1358" s="6" t="s">
        <v>7432</v>
      </c>
      <c r="B1358" s="6" t="s">
        <v>7428</v>
      </c>
      <c r="C1358" s="6" t="s">
        <v>436</v>
      </c>
      <c r="E1358" s="6" t="s">
        <v>7427</v>
      </c>
      <c r="F1358" s="6" t="s">
        <v>2254</v>
      </c>
      <c r="G1358" s="6" t="s">
        <v>16</v>
      </c>
      <c r="H1358" s="6" t="s">
        <v>15</v>
      </c>
      <c r="I1358" s="6" t="s">
        <v>60</v>
      </c>
      <c r="J1358" s="6" t="s">
        <v>13</v>
      </c>
      <c r="K1358" s="7">
        <v>27.819677349999999</v>
      </c>
      <c r="L1358" s="7">
        <v>-97.483437370000004</v>
      </c>
      <c r="M1358" s="6" t="s">
        <v>12</v>
      </c>
      <c r="N1358" s="6" t="s">
        <v>11</v>
      </c>
      <c r="O1358" s="6" t="s">
        <v>10</v>
      </c>
    </row>
    <row r="1359" spans="1:15" x14ac:dyDescent="0.25">
      <c r="A1359" s="6" t="s">
        <v>7431</v>
      </c>
      <c r="B1359" s="6" t="s">
        <v>7428</v>
      </c>
      <c r="C1359" s="6" t="s">
        <v>597</v>
      </c>
      <c r="E1359" s="6" t="s">
        <v>7427</v>
      </c>
      <c r="F1359" s="6" t="s">
        <v>2254</v>
      </c>
      <c r="G1359" s="6" t="s">
        <v>16</v>
      </c>
      <c r="H1359" s="6" t="s">
        <v>430</v>
      </c>
      <c r="I1359" s="6" t="s">
        <v>60</v>
      </c>
      <c r="J1359" s="6" t="s">
        <v>13</v>
      </c>
      <c r="K1359" s="7">
        <v>27.813154000000001</v>
      </c>
      <c r="L1359" s="7">
        <v>-97.492073000000005</v>
      </c>
      <c r="M1359" s="6" t="s">
        <v>12</v>
      </c>
      <c r="N1359" s="6" t="s">
        <v>11</v>
      </c>
      <c r="O1359" s="6" t="s">
        <v>10</v>
      </c>
    </row>
    <row r="1360" spans="1:15" x14ac:dyDescent="0.25">
      <c r="A1360" s="6" t="s">
        <v>7430</v>
      </c>
      <c r="B1360" s="6" t="s">
        <v>7428</v>
      </c>
      <c r="C1360" s="6" t="s">
        <v>557</v>
      </c>
      <c r="E1360" s="6" t="s">
        <v>7427</v>
      </c>
      <c r="F1360" s="6" t="s">
        <v>2254</v>
      </c>
      <c r="G1360" s="6" t="s">
        <v>16</v>
      </c>
      <c r="H1360" s="6" t="s">
        <v>28</v>
      </c>
      <c r="I1360" s="6" t="s">
        <v>60</v>
      </c>
      <c r="J1360" s="6" t="s">
        <v>13</v>
      </c>
      <c r="K1360" s="7">
        <v>27.81985499</v>
      </c>
      <c r="L1360" s="7">
        <v>-97.48375317</v>
      </c>
      <c r="M1360" s="6" t="s">
        <v>12</v>
      </c>
      <c r="N1360" s="6" t="s">
        <v>11</v>
      </c>
      <c r="O1360" s="6" t="s">
        <v>10</v>
      </c>
    </row>
    <row r="1361" spans="1:15" x14ac:dyDescent="0.25">
      <c r="A1361" s="6" t="s">
        <v>7429</v>
      </c>
      <c r="B1361" s="6" t="s">
        <v>7428</v>
      </c>
      <c r="C1361" s="6" t="s">
        <v>433</v>
      </c>
      <c r="E1361" s="6" t="s">
        <v>7427</v>
      </c>
      <c r="F1361" s="6" t="s">
        <v>2254</v>
      </c>
      <c r="G1361" s="6" t="s">
        <v>16</v>
      </c>
      <c r="H1361" s="6" t="s">
        <v>430</v>
      </c>
      <c r="I1361" s="6" t="s">
        <v>60</v>
      </c>
      <c r="J1361" s="6" t="s">
        <v>13</v>
      </c>
      <c r="K1361" s="7">
        <v>27.819354860000001</v>
      </c>
      <c r="L1361" s="7">
        <v>-97.482736889999998</v>
      </c>
      <c r="M1361" s="6" t="s">
        <v>12</v>
      </c>
      <c r="N1361" s="6" t="s">
        <v>11</v>
      </c>
      <c r="O1361" s="6" t="s">
        <v>10</v>
      </c>
    </row>
    <row r="1362" spans="1:15" x14ac:dyDescent="0.25">
      <c r="A1362" s="6" t="s">
        <v>8271</v>
      </c>
      <c r="B1362" s="6" t="s">
        <v>7428</v>
      </c>
      <c r="C1362" s="6" t="s">
        <v>1098</v>
      </c>
      <c r="E1362" s="6" t="s">
        <v>7427</v>
      </c>
      <c r="F1362" s="6" t="s">
        <v>2254</v>
      </c>
      <c r="G1362" s="6" t="s">
        <v>16</v>
      </c>
      <c r="H1362" s="6" t="s">
        <v>15</v>
      </c>
      <c r="I1362" s="6" t="s">
        <v>60</v>
      </c>
      <c r="J1362" s="6" t="s">
        <v>13</v>
      </c>
      <c r="K1362" s="7">
        <v>27.816753869999999</v>
      </c>
      <c r="L1362" s="7">
        <v>-97.476591060000004</v>
      </c>
      <c r="M1362" s="6" t="s">
        <v>12</v>
      </c>
      <c r="N1362" s="6" t="s">
        <v>11</v>
      </c>
      <c r="O1362" s="6" t="s">
        <v>10</v>
      </c>
    </row>
    <row r="1363" spans="1:15" x14ac:dyDescent="0.25">
      <c r="A1363" s="6" t="s">
        <v>8270</v>
      </c>
      <c r="B1363" s="6" t="s">
        <v>7428</v>
      </c>
      <c r="C1363" s="6" t="s">
        <v>1096</v>
      </c>
      <c r="E1363" s="6" t="s">
        <v>7427</v>
      </c>
      <c r="F1363" s="6" t="s">
        <v>2254</v>
      </c>
      <c r="G1363" s="6" t="s">
        <v>16</v>
      </c>
      <c r="H1363" s="6" t="s">
        <v>430</v>
      </c>
      <c r="I1363" s="6" t="s">
        <v>60</v>
      </c>
      <c r="J1363" s="6" t="s">
        <v>13</v>
      </c>
      <c r="K1363" s="7">
        <v>27.811496000000002</v>
      </c>
      <c r="L1363" s="7">
        <v>-97.489163000000005</v>
      </c>
      <c r="M1363" s="6" t="s">
        <v>12</v>
      </c>
      <c r="N1363" s="6" t="s">
        <v>11</v>
      </c>
      <c r="O1363" s="6" t="s">
        <v>10</v>
      </c>
    </row>
    <row r="1364" spans="1:15" x14ac:dyDescent="0.25">
      <c r="A1364" s="6" t="s">
        <v>8269</v>
      </c>
      <c r="B1364" s="6" t="s">
        <v>7428</v>
      </c>
      <c r="C1364" s="6" t="s">
        <v>1092</v>
      </c>
      <c r="E1364" s="6" t="s">
        <v>7427</v>
      </c>
      <c r="F1364" s="6" t="s">
        <v>2254</v>
      </c>
      <c r="G1364" s="6" t="s">
        <v>16</v>
      </c>
      <c r="H1364" s="6" t="s">
        <v>430</v>
      </c>
      <c r="I1364" s="6" t="s">
        <v>60</v>
      </c>
      <c r="J1364" s="6" t="s">
        <v>13</v>
      </c>
      <c r="K1364" s="7">
        <v>27.819006000000002</v>
      </c>
      <c r="L1364" s="7">
        <v>-97.480239999999995</v>
      </c>
      <c r="M1364" s="6" t="s">
        <v>12</v>
      </c>
      <c r="N1364" s="6" t="s">
        <v>11</v>
      </c>
      <c r="O1364" s="6" t="s">
        <v>10</v>
      </c>
    </row>
    <row r="1365" spans="1:15" x14ac:dyDescent="0.25">
      <c r="A1365" s="6" t="s">
        <v>9312</v>
      </c>
      <c r="B1365" s="6" t="s">
        <v>6817</v>
      </c>
      <c r="C1365" s="6" t="s">
        <v>31</v>
      </c>
      <c r="E1365" s="6" t="s">
        <v>6816</v>
      </c>
      <c r="F1365" s="6" t="s">
        <v>6815</v>
      </c>
      <c r="G1365" s="6" t="s">
        <v>16</v>
      </c>
      <c r="H1365" s="6" t="s">
        <v>15</v>
      </c>
      <c r="I1365" s="6" t="s">
        <v>36</v>
      </c>
      <c r="J1365" s="6" t="s">
        <v>1727</v>
      </c>
      <c r="K1365" s="7">
        <v>30.921448120000001</v>
      </c>
      <c r="L1365" s="7">
        <v>-95.827749010000005</v>
      </c>
      <c r="M1365" s="6" t="s">
        <v>317</v>
      </c>
      <c r="N1365" s="6" t="s">
        <v>102</v>
      </c>
      <c r="O1365" s="6" t="s">
        <v>120</v>
      </c>
    </row>
    <row r="1366" spans="1:15" x14ac:dyDescent="0.25">
      <c r="A1366" s="6" t="s">
        <v>9311</v>
      </c>
      <c r="B1366" s="6" t="s">
        <v>6817</v>
      </c>
      <c r="C1366" s="6" t="s">
        <v>19</v>
      </c>
      <c r="E1366" s="6" t="s">
        <v>6816</v>
      </c>
      <c r="F1366" s="6" t="s">
        <v>6815</v>
      </c>
      <c r="G1366" s="6" t="s">
        <v>16</v>
      </c>
      <c r="H1366" s="6" t="s">
        <v>430</v>
      </c>
      <c r="I1366" s="6" t="s">
        <v>36</v>
      </c>
      <c r="J1366" s="6" t="s">
        <v>1727</v>
      </c>
      <c r="K1366" s="7">
        <v>30.926837750000001</v>
      </c>
      <c r="L1366" s="7">
        <v>-95.829799910000006</v>
      </c>
      <c r="M1366" s="6" t="s">
        <v>317</v>
      </c>
      <c r="N1366" s="6" t="s">
        <v>102</v>
      </c>
      <c r="O1366" s="6" t="s">
        <v>120</v>
      </c>
    </row>
    <row r="1367" spans="1:15" x14ac:dyDescent="0.25">
      <c r="A1367" s="6" t="s">
        <v>9310</v>
      </c>
      <c r="B1367" s="6" t="s">
        <v>6817</v>
      </c>
      <c r="C1367" s="6" t="s">
        <v>436</v>
      </c>
      <c r="E1367" s="6" t="s">
        <v>6816</v>
      </c>
      <c r="F1367" s="6" t="s">
        <v>6815</v>
      </c>
      <c r="G1367" s="6" t="s">
        <v>16</v>
      </c>
      <c r="H1367" s="6" t="s">
        <v>430</v>
      </c>
      <c r="I1367" s="6" t="s">
        <v>36</v>
      </c>
      <c r="J1367" s="6" t="s">
        <v>1727</v>
      </c>
      <c r="K1367" s="7">
        <v>30.924106479999999</v>
      </c>
      <c r="L1367" s="7">
        <v>-95.82803122</v>
      </c>
      <c r="M1367" s="6" t="s">
        <v>317</v>
      </c>
      <c r="N1367" s="6" t="s">
        <v>102</v>
      </c>
      <c r="O1367" s="6" t="s">
        <v>120</v>
      </c>
    </row>
    <row r="1368" spans="1:15" x14ac:dyDescent="0.25">
      <c r="A1368" s="6" t="s">
        <v>9309</v>
      </c>
      <c r="B1368" s="6" t="s">
        <v>6817</v>
      </c>
      <c r="C1368" s="6" t="s">
        <v>597</v>
      </c>
      <c r="E1368" s="6" t="s">
        <v>6816</v>
      </c>
      <c r="F1368" s="6" t="s">
        <v>6815</v>
      </c>
      <c r="G1368" s="6" t="s">
        <v>16</v>
      </c>
      <c r="H1368" s="6" t="s">
        <v>430</v>
      </c>
      <c r="I1368" s="6" t="s">
        <v>36</v>
      </c>
      <c r="J1368" s="6" t="s">
        <v>1727</v>
      </c>
      <c r="K1368" s="7">
        <v>30.923592509999999</v>
      </c>
      <c r="L1368" s="7">
        <v>-95.827726369999993</v>
      </c>
      <c r="M1368" s="6" t="s">
        <v>317</v>
      </c>
      <c r="N1368" s="6" t="s">
        <v>102</v>
      </c>
      <c r="O1368" s="6" t="s">
        <v>120</v>
      </c>
    </row>
    <row r="1369" spans="1:15" x14ac:dyDescent="0.25">
      <c r="A1369" s="6" t="s">
        <v>6819</v>
      </c>
      <c r="B1369" s="6" t="s">
        <v>6817</v>
      </c>
      <c r="C1369" s="6" t="s">
        <v>557</v>
      </c>
      <c r="E1369" s="6" t="s">
        <v>6816</v>
      </c>
      <c r="F1369" s="6" t="s">
        <v>6815</v>
      </c>
      <c r="G1369" s="6" t="s">
        <v>16</v>
      </c>
      <c r="H1369" s="6" t="s">
        <v>430</v>
      </c>
      <c r="I1369" s="6" t="s">
        <v>36</v>
      </c>
      <c r="J1369" s="6" t="s">
        <v>1727</v>
      </c>
      <c r="K1369" s="7">
        <v>30.924704909999999</v>
      </c>
      <c r="L1369" s="7">
        <v>-95.830665460000006</v>
      </c>
      <c r="M1369" s="6" t="s">
        <v>317</v>
      </c>
      <c r="N1369" s="6" t="s">
        <v>102</v>
      </c>
      <c r="O1369" s="6" t="s">
        <v>120</v>
      </c>
    </row>
    <row r="1370" spans="1:15" x14ac:dyDescent="0.25">
      <c r="A1370" s="6" t="s">
        <v>6818</v>
      </c>
      <c r="B1370" s="6" t="s">
        <v>6817</v>
      </c>
      <c r="C1370" s="6" t="s">
        <v>433</v>
      </c>
      <c r="E1370" s="6" t="s">
        <v>6816</v>
      </c>
      <c r="F1370" s="6" t="s">
        <v>6815</v>
      </c>
      <c r="G1370" s="6" t="s">
        <v>16</v>
      </c>
      <c r="H1370" s="6" t="s">
        <v>430</v>
      </c>
      <c r="I1370" s="6" t="s">
        <v>36</v>
      </c>
      <c r="J1370" s="6" t="s">
        <v>1727</v>
      </c>
      <c r="K1370" s="7">
        <v>30.923181379999999</v>
      </c>
      <c r="L1370" s="7">
        <v>-95.826668299999994</v>
      </c>
      <c r="M1370" s="6" t="s">
        <v>317</v>
      </c>
      <c r="N1370" s="6" t="s">
        <v>102</v>
      </c>
      <c r="O1370" s="6" t="s">
        <v>120</v>
      </c>
    </row>
    <row r="1371" spans="1:15" x14ac:dyDescent="0.25">
      <c r="A1371" s="6" t="s">
        <v>12360</v>
      </c>
      <c r="B1371" s="6" t="s">
        <v>12359</v>
      </c>
      <c r="C1371" s="6" t="s">
        <v>31</v>
      </c>
      <c r="E1371" s="6" t="s">
        <v>12358</v>
      </c>
      <c r="F1371" s="6" t="s">
        <v>5602</v>
      </c>
      <c r="G1371" s="6" t="s">
        <v>16</v>
      </c>
      <c r="H1371" s="6" t="s">
        <v>28</v>
      </c>
      <c r="I1371" s="6" t="s">
        <v>60</v>
      </c>
      <c r="J1371" s="6" t="s">
        <v>26</v>
      </c>
      <c r="K1371" s="7">
        <v>30.217307000000002</v>
      </c>
      <c r="L1371" s="7">
        <v>-95.449419000000006</v>
      </c>
      <c r="M1371" s="6" t="s">
        <v>1022</v>
      </c>
      <c r="N1371" s="6" t="s">
        <v>24</v>
      </c>
      <c r="O1371" s="6" t="s">
        <v>23</v>
      </c>
    </row>
    <row r="1372" spans="1:15" x14ac:dyDescent="0.25">
      <c r="A1372" s="6" t="s">
        <v>12357</v>
      </c>
      <c r="B1372" s="6" t="s">
        <v>12356</v>
      </c>
      <c r="C1372" s="6" t="s">
        <v>31</v>
      </c>
      <c r="E1372" s="6" t="s">
        <v>12355</v>
      </c>
      <c r="F1372" s="6" t="s">
        <v>2705</v>
      </c>
      <c r="G1372" s="6" t="s">
        <v>16</v>
      </c>
      <c r="H1372" s="6" t="s">
        <v>28</v>
      </c>
      <c r="I1372" s="6" t="s">
        <v>60</v>
      </c>
      <c r="J1372" s="6" t="s">
        <v>35</v>
      </c>
      <c r="K1372" s="7">
        <v>29.878022000000001</v>
      </c>
      <c r="L1372" s="7">
        <v>-95.512974999999997</v>
      </c>
      <c r="M1372" s="6" t="s">
        <v>77</v>
      </c>
      <c r="N1372" s="6" t="s">
        <v>24</v>
      </c>
      <c r="O1372" s="6" t="s">
        <v>23</v>
      </c>
    </row>
    <row r="1373" spans="1:15" x14ac:dyDescent="0.25">
      <c r="A1373" s="6" t="s">
        <v>8859</v>
      </c>
      <c r="B1373" s="6" t="s">
        <v>8858</v>
      </c>
      <c r="C1373" s="6" t="s">
        <v>31</v>
      </c>
      <c r="E1373" s="6" t="s">
        <v>8857</v>
      </c>
      <c r="F1373" s="6" t="s">
        <v>6377</v>
      </c>
      <c r="G1373" s="6" t="s">
        <v>16</v>
      </c>
      <c r="H1373" s="6" t="s">
        <v>28</v>
      </c>
      <c r="I1373" s="6" t="s">
        <v>73</v>
      </c>
      <c r="J1373" s="6" t="s">
        <v>318</v>
      </c>
      <c r="K1373" s="7">
        <v>30.666141079999999</v>
      </c>
      <c r="L1373" s="7">
        <v>-94.947512079999996</v>
      </c>
      <c r="M1373" s="6" t="s">
        <v>2355</v>
      </c>
      <c r="N1373" s="6" t="s">
        <v>102</v>
      </c>
      <c r="O1373" s="6" t="s">
        <v>24</v>
      </c>
    </row>
    <row r="1374" spans="1:15" x14ac:dyDescent="0.25">
      <c r="A1374" s="6" t="s">
        <v>9380</v>
      </c>
      <c r="B1374" s="6" t="s">
        <v>3996</v>
      </c>
      <c r="C1374" s="6" t="s">
        <v>31</v>
      </c>
      <c r="E1374" s="6" t="s">
        <v>3995</v>
      </c>
      <c r="F1374" s="6" t="s">
        <v>1839</v>
      </c>
      <c r="G1374" s="6" t="s">
        <v>16</v>
      </c>
      <c r="H1374" s="6" t="s">
        <v>15</v>
      </c>
      <c r="I1374" s="6" t="s">
        <v>14</v>
      </c>
      <c r="J1374" s="6" t="s">
        <v>873</v>
      </c>
      <c r="K1374" s="7">
        <v>29.312901069999999</v>
      </c>
      <c r="L1374" s="7">
        <v>-98.334289889999994</v>
      </c>
      <c r="M1374" s="6" t="s">
        <v>1792</v>
      </c>
      <c r="N1374" s="6" t="s">
        <v>232</v>
      </c>
      <c r="O1374" s="6" t="s">
        <v>231</v>
      </c>
    </row>
    <row r="1375" spans="1:15" x14ac:dyDescent="0.25">
      <c r="A1375" s="6" t="s">
        <v>9379</v>
      </c>
      <c r="B1375" s="6" t="s">
        <v>3996</v>
      </c>
      <c r="C1375" s="6" t="s">
        <v>19</v>
      </c>
      <c r="E1375" s="6" t="s">
        <v>3995</v>
      </c>
      <c r="F1375" s="6" t="s">
        <v>1839</v>
      </c>
      <c r="G1375" s="6" t="s">
        <v>16</v>
      </c>
      <c r="H1375" s="6" t="s">
        <v>15</v>
      </c>
      <c r="I1375" s="6" t="s">
        <v>14</v>
      </c>
      <c r="J1375" s="6" t="s">
        <v>873</v>
      </c>
      <c r="K1375" s="7">
        <v>29.3053293</v>
      </c>
      <c r="L1375" s="7">
        <v>-98.327274000000003</v>
      </c>
      <c r="M1375" s="6" t="s">
        <v>1792</v>
      </c>
      <c r="N1375" s="6" t="s">
        <v>232</v>
      </c>
      <c r="O1375" s="6" t="s">
        <v>231</v>
      </c>
    </row>
    <row r="1376" spans="1:15" x14ac:dyDescent="0.25">
      <c r="A1376" s="6" t="s">
        <v>9378</v>
      </c>
      <c r="B1376" s="6" t="s">
        <v>3996</v>
      </c>
      <c r="C1376" s="6" t="s">
        <v>433</v>
      </c>
      <c r="E1376" s="6" t="s">
        <v>3995</v>
      </c>
      <c r="F1376" s="6" t="s">
        <v>1839</v>
      </c>
      <c r="G1376" s="6" t="s">
        <v>16</v>
      </c>
      <c r="H1376" s="6" t="s">
        <v>430</v>
      </c>
      <c r="I1376" s="6" t="s">
        <v>14</v>
      </c>
      <c r="J1376" s="6" t="s">
        <v>873</v>
      </c>
      <c r="K1376" s="7">
        <v>29.30343422</v>
      </c>
      <c r="L1376" s="7">
        <v>-98.325719579999998</v>
      </c>
      <c r="M1376" s="6" t="s">
        <v>1792</v>
      </c>
      <c r="N1376" s="6" t="s">
        <v>232</v>
      </c>
      <c r="O1376" s="6" t="s">
        <v>231</v>
      </c>
    </row>
    <row r="1377" spans="1:15" x14ac:dyDescent="0.25">
      <c r="A1377" s="6" t="s">
        <v>9377</v>
      </c>
      <c r="B1377" s="6" t="s">
        <v>3996</v>
      </c>
      <c r="C1377" s="6" t="s">
        <v>1098</v>
      </c>
      <c r="E1377" s="6" t="s">
        <v>3995</v>
      </c>
      <c r="F1377" s="6" t="s">
        <v>1839</v>
      </c>
      <c r="G1377" s="6" t="s">
        <v>16</v>
      </c>
      <c r="H1377" s="6" t="s">
        <v>15</v>
      </c>
      <c r="I1377" s="6" t="s">
        <v>14</v>
      </c>
      <c r="J1377" s="6" t="s">
        <v>873</v>
      </c>
      <c r="K1377" s="7">
        <v>29.33372237</v>
      </c>
      <c r="L1377" s="7">
        <v>-98.297921149999993</v>
      </c>
      <c r="M1377" s="6" t="s">
        <v>1792</v>
      </c>
      <c r="N1377" s="6" t="s">
        <v>232</v>
      </c>
      <c r="O1377" s="6" t="s">
        <v>231</v>
      </c>
    </row>
    <row r="1378" spans="1:15" x14ac:dyDescent="0.25">
      <c r="A1378" s="6" t="s">
        <v>9367</v>
      </c>
      <c r="B1378" s="6" t="s">
        <v>3996</v>
      </c>
      <c r="C1378" s="6" t="s">
        <v>1189</v>
      </c>
      <c r="E1378" s="6" t="s">
        <v>3995</v>
      </c>
      <c r="F1378" s="6" t="s">
        <v>1839</v>
      </c>
      <c r="G1378" s="6" t="s">
        <v>16</v>
      </c>
      <c r="H1378" s="6" t="s">
        <v>430</v>
      </c>
      <c r="I1378" s="6" t="s">
        <v>14</v>
      </c>
      <c r="J1378" s="6" t="s">
        <v>873</v>
      </c>
      <c r="K1378" s="7">
        <v>29.302489959999999</v>
      </c>
      <c r="L1378" s="7">
        <v>-98.324921880000005</v>
      </c>
      <c r="M1378" s="6" t="s">
        <v>1792</v>
      </c>
      <c r="N1378" s="6" t="s">
        <v>232</v>
      </c>
      <c r="O1378" s="6" t="s">
        <v>231</v>
      </c>
    </row>
    <row r="1379" spans="1:15" x14ac:dyDescent="0.25">
      <c r="A1379" s="6" t="s">
        <v>3997</v>
      </c>
      <c r="B1379" s="6" t="s">
        <v>3996</v>
      </c>
      <c r="C1379" s="6" t="s">
        <v>1841</v>
      </c>
      <c r="E1379" s="6" t="s">
        <v>3995</v>
      </c>
      <c r="F1379" s="6" t="s">
        <v>1839</v>
      </c>
      <c r="G1379" s="6" t="s">
        <v>16</v>
      </c>
      <c r="H1379" s="6" t="s">
        <v>430</v>
      </c>
      <c r="I1379" s="6" t="s">
        <v>14</v>
      </c>
      <c r="J1379" s="6" t="s">
        <v>873</v>
      </c>
      <c r="K1379" s="7">
        <v>29.301087299999999</v>
      </c>
      <c r="L1379" s="7">
        <v>-98.324092820000004</v>
      </c>
      <c r="M1379" s="6" t="s">
        <v>1792</v>
      </c>
      <c r="N1379" s="6" t="s">
        <v>232</v>
      </c>
      <c r="O1379" s="6" t="s">
        <v>231</v>
      </c>
    </row>
    <row r="1380" spans="1:15" x14ac:dyDescent="0.25">
      <c r="A1380" s="6" t="s">
        <v>4807</v>
      </c>
      <c r="B1380" s="6" t="s">
        <v>3996</v>
      </c>
      <c r="C1380" s="6" t="s">
        <v>4806</v>
      </c>
      <c r="E1380" s="6" t="s">
        <v>3995</v>
      </c>
      <c r="F1380" s="6" t="s">
        <v>1839</v>
      </c>
      <c r="G1380" s="6" t="s">
        <v>16</v>
      </c>
      <c r="H1380" s="6" t="s">
        <v>430</v>
      </c>
      <c r="I1380" s="6" t="s">
        <v>14</v>
      </c>
      <c r="J1380" s="6" t="s">
        <v>873</v>
      </c>
      <c r="K1380" s="7">
        <v>29.298631199999999</v>
      </c>
      <c r="L1380" s="7">
        <v>-98.322986400000005</v>
      </c>
      <c r="M1380" s="6" t="s">
        <v>1792</v>
      </c>
      <c r="N1380" s="6" t="s">
        <v>232</v>
      </c>
      <c r="O1380" s="6" t="s">
        <v>231</v>
      </c>
    </row>
    <row r="1381" spans="1:15" x14ac:dyDescent="0.25">
      <c r="A1381" s="6" t="s">
        <v>4805</v>
      </c>
      <c r="B1381" s="6" t="s">
        <v>3996</v>
      </c>
      <c r="C1381" s="6" t="s">
        <v>3463</v>
      </c>
      <c r="E1381" s="6" t="s">
        <v>3995</v>
      </c>
      <c r="F1381" s="6" t="s">
        <v>1839</v>
      </c>
      <c r="G1381" s="6" t="s">
        <v>16</v>
      </c>
      <c r="H1381" s="6" t="s">
        <v>430</v>
      </c>
      <c r="I1381" s="6" t="s">
        <v>14</v>
      </c>
      <c r="J1381" s="6" t="s">
        <v>873</v>
      </c>
      <c r="K1381" s="7">
        <v>29.296132539999999</v>
      </c>
      <c r="L1381" s="7">
        <v>-98.321888810000004</v>
      </c>
      <c r="M1381" s="6" t="s">
        <v>1792</v>
      </c>
      <c r="N1381" s="6" t="s">
        <v>232</v>
      </c>
      <c r="O1381" s="6" t="s">
        <v>231</v>
      </c>
    </row>
    <row r="1382" spans="1:15" x14ac:dyDescent="0.25">
      <c r="A1382" s="6" t="s">
        <v>4804</v>
      </c>
      <c r="B1382" s="6" t="s">
        <v>3996</v>
      </c>
      <c r="C1382" s="6" t="s">
        <v>4803</v>
      </c>
      <c r="E1382" s="6" t="s">
        <v>3995</v>
      </c>
      <c r="F1382" s="6" t="s">
        <v>1839</v>
      </c>
      <c r="G1382" s="6" t="s">
        <v>16</v>
      </c>
      <c r="H1382" s="6" t="s">
        <v>430</v>
      </c>
      <c r="I1382" s="6" t="s">
        <v>14</v>
      </c>
      <c r="J1382" s="6" t="s">
        <v>873</v>
      </c>
      <c r="K1382" s="7">
        <v>29.3093301</v>
      </c>
      <c r="L1382" s="7">
        <v>-98.314355320000004</v>
      </c>
      <c r="M1382" s="6" t="s">
        <v>1792</v>
      </c>
      <c r="N1382" s="6" t="s">
        <v>232</v>
      </c>
      <c r="O1382" s="6" t="s">
        <v>231</v>
      </c>
    </row>
    <row r="1383" spans="1:15" x14ac:dyDescent="0.25">
      <c r="A1383" s="6" t="s">
        <v>9274</v>
      </c>
      <c r="B1383" s="6" t="s">
        <v>1842</v>
      </c>
      <c r="C1383" s="6" t="s">
        <v>31</v>
      </c>
      <c r="E1383" s="6" t="s">
        <v>1840</v>
      </c>
      <c r="F1383" s="6" t="s">
        <v>1839</v>
      </c>
      <c r="G1383" s="6" t="s">
        <v>16</v>
      </c>
      <c r="H1383" s="6" t="s">
        <v>16</v>
      </c>
      <c r="I1383" s="6" t="s">
        <v>14</v>
      </c>
      <c r="J1383" s="6" t="s">
        <v>873</v>
      </c>
      <c r="K1383" s="7">
        <v>29.256494119999999</v>
      </c>
      <c r="L1383" s="7">
        <v>-98.385498139999996</v>
      </c>
      <c r="M1383" s="6" t="s">
        <v>1792</v>
      </c>
      <c r="N1383" s="6" t="s">
        <v>232</v>
      </c>
      <c r="O1383" s="6" t="s">
        <v>231</v>
      </c>
    </row>
    <row r="1384" spans="1:15" x14ac:dyDescent="0.25">
      <c r="A1384" s="6" t="s">
        <v>9366</v>
      </c>
      <c r="B1384" s="6" t="s">
        <v>1842</v>
      </c>
      <c r="C1384" s="6" t="s">
        <v>436</v>
      </c>
      <c r="E1384" s="6" t="s">
        <v>1840</v>
      </c>
      <c r="F1384" s="6" t="s">
        <v>1839</v>
      </c>
      <c r="G1384" s="6" t="s">
        <v>16</v>
      </c>
      <c r="H1384" s="6" t="s">
        <v>430</v>
      </c>
      <c r="I1384" s="6" t="s">
        <v>14</v>
      </c>
      <c r="J1384" s="6" t="s">
        <v>873</v>
      </c>
      <c r="K1384" s="7">
        <v>29.262754999999999</v>
      </c>
      <c r="L1384" s="7">
        <v>-98.387495770000001</v>
      </c>
      <c r="M1384" s="6" t="s">
        <v>1792</v>
      </c>
      <c r="N1384" s="6" t="s">
        <v>232</v>
      </c>
      <c r="O1384" s="6" t="s">
        <v>231</v>
      </c>
    </row>
    <row r="1385" spans="1:15" x14ac:dyDescent="0.25">
      <c r="A1385" s="6" t="s">
        <v>3138</v>
      </c>
      <c r="B1385" s="6" t="s">
        <v>1842</v>
      </c>
      <c r="C1385" s="6" t="s">
        <v>433</v>
      </c>
      <c r="E1385" s="6" t="s">
        <v>1840</v>
      </c>
      <c r="F1385" s="6" t="s">
        <v>1839</v>
      </c>
      <c r="G1385" s="6" t="s">
        <v>16</v>
      </c>
      <c r="H1385" s="6" t="s">
        <v>430</v>
      </c>
      <c r="I1385" s="6" t="s">
        <v>14</v>
      </c>
      <c r="J1385" s="6" t="s">
        <v>873</v>
      </c>
      <c r="K1385" s="7">
        <v>29.258506300000001</v>
      </c>
      <c r="L1385" s="7">
        <v>-98.385659590000003</v>
      </c>
      <c r="M1385" s="6" t="s">
        <v>1792</v>
      </c>
      <c r="N1385" s="6" t="s">
        <v>232</v>
      </c>
      <c r="O1385" s="6" t="s">
        <v>231</v>
      </c>
    </row>
    <row r="1386" spans="1:15" x14ac:dyDescent="0.25">
      <c r="A1386" s="6" t="s">
        <v>1848</v>
      </c>
      <c r="B1386" s="6" t="s">
        <v>1842</v>
      </c>
      <c r="C1386" s="6" t="s">
        <v>1098</v>
      </c>
      <c r="E1386" s="6" t="s">
        <v>1840</v>
      </c>
      <c r="F1386" s="6" t="s">
        <v>1839</v>
      </c>
      <c r="G1386" s="6" t="s">
        <v>16</v>
      </c>
      <c r="H1386" s="6" t="s">
        <v>430</v>
      </c>
      <c r="I1386" s="6" t="s">
        <v>14</v>
      </c>
      <c r="J1386" s="6" t="s">
        <v>873</v>
      </c>
      <c r="K1386" s="7">
        <v>29.257652119999999</v>
      </c>
      <c r="L1386" s="7">
        <v>-98.385609889999998</v>
      </c>
      <c r="M1386" s="6" t="s">
        <v>1792</v>
      </c>
      <c r="N1386" s="6" t="s">
        <v>232</v>
      </c>
      <c r="O1386" s="6" t="s">
        <v>231</v>
      </c>
    </row>
    <row r="1387" spans="1:15" x14ac:dyDescent="0.25">
      <c r="A1387" s="6" t="s">
        <v>1847</v>
      </c>
      <c r="B1387" s="6" t="s">
        <v>1842</v>
      </c>
      <c r="C1387" s="6" t="s">
        <v>1096</v>
      </c>
      <c r="E1387" s="6" t="s">
        <v>1840</v>
      </c>
      <c r="F1387" s="6" t="s">
        <v>1839</v>
      </c>
      <c r="G1387" s="6" t="s">
        <v>16</v>
      </c>
      <c r="H1387" s="6" t="s">
        <v>430</v>
      </c>
      <c r="I1387" s="6" t="s">
        <v>14</v>
      </c>
      <c r="J1387" s="6" t="s">
        <v>873</v>
      </c>
      <c r="K1387" s="7">
        <v>29.256805</v>
      </c>
      <c r="L1387" s="7">
        <v>-98.385373999999999</v>
      </c>
      <c r="M1387" s="6" t="s">
        <v>1792</v>
      </c>
      <c r="N1387" s="6" t="s">
        <v>232</v>
      </c>
      <c r="O1387" s="6" t="s">
        <v>231</v>
      </c>
    </row>
    <row r="1388" spans="1:15" x14ac:dyDescent="0.25">
      <c r="A1388" s="6" t="s">
        <v>5915</v>
      </c>
      <c r="B1388" s="6" t="s">
        <v>1842</v>
      </c>
      <c r="C1388" s="6" t="s">
        <v>638</v>
      </c>
      <c r="E1388" s="6" t="s">
        <v>1840</v>
      </c>
      <c r="F1388" s="6" t="s">
        <v>1839</v>
      </c>
      <c r="G1388" s="6" t="s">
        <v>16</v>
      </c>
      <c r="H1388" s="6" t="s">
        <v>430</v>
      </c>
      <c r="I1388" s="6" t="s">
        <v>14</v>
      </c>
      <c r="J1388" s="6" t="s">
        <v>873</v>
      </c>
      <c r="K1388" s="7">
        <v>29.264174180000001</v>
      </c>
      <c r="L1388" s="7">
        <v>-98.386002309999995</v>
      </c>
      <c r="M1388" s="6" t="s">
        <v>1792</v>
      </c>
      <c r="N1388" s="6" t="s">
        <v>232</v>
      </c>
      <c r="O1388" s="6" t="s">
        <v>231</v>
      </c>
    </row>
    <row r="1389" spans="1:15" x14ac:dyDescent="0.25">
      <c r="A1389" s="6" t="s">
        <v>4794</v>
      </c>
      <c r="B1389" s="6" t="s">
        <v>1842</v>
      </c>
      <c r="C1389" s="6" t="s">
        <v>635</v>
      </c>
      <c r="E1389" s="6" t="s">
        <v>1840</v>
      </c>
      <c r="F1389" s="6" t="s">
        <v>1839</v>
      </c>
      <c r="G1389" s="6" t="s">
        <v>16</v>
      </c>
      <c r="H1389" s="6" t="s">
        <v>430</v>
      </c>
      <c r="I1389" s="6" t="s">
        <v>14</v>
      </c>
      <c r="J1389" s="6" t="s">
        <v>873</v>
      </c>
      <c r="K1389" s="7">
        <v>29.268409399999999</v>
      </c>
      <c r="L1389" s="7">
        <v>-98.388385270000001</v>
      </c>
      <c r="M1389" s="6" t="s">
        <v>1792</v>
      </c>
      <c r="N1389" s="6" t="s">
        <v>232</v>
      </c>
      <c r="O1389" s="6" t="s">
        <v>231</v>
      </c>
    </row>
    <row r="1390" spans="1:15" x14ac:dyDescent="0.25">
      <c r="A1390" s="6" t="s">
        <v>1846</v>
      </c>
      <c r="B1390" s="6" t="s">
        <v>1842</v>
      </c>
      <c r="C1390" s="6" t="s">
        <v>1092</v>
      </c>
      <c r="E1390" s="6" t="s">
        <v>1840</v>
      </c>
      <c r="F1390" s="6" t="s">
        <v>1839</v>
      </c>
      <c r="G1390" s="6" t="s">
        <v>16</v>
      </c>
      <c r="H1390" s="6" t="s">
        <v>430</v>
      </c>
      <c r="I1390" s="6" t="s">
        <v>14</v>
      </c>
      <c r="J1390" s="6" t="s">
        <v>873</v>
      </c>
      <c r="K1390" s="7">
        <v>29.254961999999999</v>
      </c>
      <c r="L1390" s="7">
        <v>-98.38145806</v>
      </c>
      <c r="M1390" s="6" t="s">
        <v>1792</v>
      </c>
      <c r="N1390" s="6" t="s">
        <v>232</v>
      </c>
      <c r="O1390" s="6" t="s">
        <v>231</v>
      </c>
    </row>
    <row r="1391" spans="1:15" x14ac:dyDescent="0.25">
      <c r="A1391" s="6" t="s">
        <v>1845</v>
      </c>
      <c r="B1391" s="6" t="s">
        <v>1842</v>
      </c>
      <c r="C1391" s="6" t="s">
        <v>1844</v>
      </c>
      <c r="E1391" s="6" t="s">
        <v>1840</v>
      </c>
      <c r="F1391" s="6" t="s">
        <v>1839</v>
      </c>
      <c r="G1391" s="6" t="s">
        <v>16</v>
      </c>
      <c r="H1391" s="6" t="s">
        <v>430</v>
      </c>
      <c r="I1391" s="6" t="s">
        <v>14</v>
      </c>
      <c r="J1391" s="6" t="s">
        <v>873</v>
      </c>
      <c r="K1391" s="7">
        <v>29.257018970000001</v>
      </c>
      <c r="L1391" s="7">
        <v>-98.379928449999994</v>
      </c>
      <c r="M1391" s="6" t="s">
        <v>1792</v>
      </c>
      <c r="N1391" s="6" t="s">
        <v>232</v>
      </c>
      <c r="O1391" s="6" t="s">
        <v>231</v>
      </c>
    </row>
    <row r="1392" spans="1:15" x14ac:dyDescent="0.25">
      <c r="A1392" s="6" t="s">
        <v>1843</v>
      </c>
      <c r="B1392" s="6" t="s">
        <v>1842</v>
      </c>
      <c r="C1392" s="6" t="s">
        <v>1841</v>
      </c>
      <c r="E1392" s="6" t="s">
        <v>1840</v>
      </c>
      <c r="F1392" s="6" t="s">
        <v>1839</v>
      </c>
      <c r="G1392" s="6" t="s">
        <v>16</v>
      </c>
      <c r="H1392" s="6" t="s">
        <v>430</v>
      </c>
      <c r="I1392" s="6" t="s">
        <v>14</v>
      </c>
      <c r="J1392" s="6" t="s">
        <v>873</v>
      </c>
      <c r="K1392" s="7">
        <v>29.256145719999999</v>
      </c>
      <c r="L1392" s="7">
        <v>-98.380201569999997</v>
      </c>
      <c r="M1392" s="6" t="s">
        <v>1792</v>
      </c>
      <c r="N1392" s="6" t="s">
        <v>232</v>
      </c>
      <c r="O1392" s="6" t="s">
        <v>231</v>
      </c>
    </row>
    <row r="1393" spans="1:15" x14ac:dyDescent="0.25">
      <c r="A1393" s="6" t="s">
        <v>5916</v>
      </c>
      <c r="B1393" s="6" t="s">
        <v>1842</v>
      </c>
      <c r="C1393" s="6" t="s">
        <v>4806</v>
      </c>
      <c r="E1393" s="6" t="s">
        <v>1840</v>
      </c>
      <c r="F1393" s="6" t="s">
        <v>1839</v>
      </c>
      <c r="G1393" s="6" t="s">
        <v>16</v>
      </c>
      <c r="H1393" s="6" t="s">
        <v>430</v>
      </c>
      <c r="I1393" s="6" t="s">
        <v>14</v>
      </c>
      <c r="J1393" s="6" t="s">
        <v>873</v>
      </c>
      <c r="K1393" s="7">
        <v>29.255031559999999</v>
      </c>
      <c r="L1393" s="7">
        <v>-98.380895780000003</v>
      </c>
      <c r="M1393" s="6" t="s">
        <v>1792</v>
      </c>
      <c r="N1393" s="6" t="s">
        <v>232</v>
      </c>
      <c r="O1393" s="6" t="s">
        <v>231</v>
      </c>
    </row>
    <row r="1394" spans="1:15" x14ac:dyDescent="0.25">
      <c r="A1394" s="6" t="s">
        <v>4791</v>
      </c>
      <c r="B1394" s="6" t="s">
        <v>1842</v>
      </c>
      <c r="C1394" s="6" t="s">
        <v>3463</v>
      </c>
      <c r="E1394" s="6" t="s">
        <v>1840</v>
      </c>
      <c r="F1394" s="6" t="s">
        <v>1839</v>
      </c>
      <c r="G1394" s="6" t="s">
        <v>16</v>
      </c>
      <c r="H1394" s="6" t="s">
        <v>430</v>
      </c>
      <c r="I1394" s="6" t="s">
        <v>14</v>
      </c>
      <c r="J1394" s="6" t="s">
        <v>873</v>
      </c>
      <c r="K1394" s="7">
        <v>29.255803369999999</v>
      </c>
      <c r="L1394" s="7">
        <v>-98.38039569</v>
      </c>
      <c r="M1394" s="6" t="s">
        <v>1792</v>
      </c>
      <c r="N1394" s="6" t="s">
        <v>232</v>
      </c>
      <c r="O1394" s="6" t="s">
        <v>231</v>
      </c>
    </row>
    <row r="1395" spans="1:15" x14ac:dyDescent="0.25">
      <c r="A1395" s="6" t="s">
        <v>5917</v>
      </c>
      <c r="B1395" s="6" t="s">
        <v>1842</v>
      </c>
      <c r="C1395" s="6" t="s">
        <v>4803</v>
      </c>
      <c r="E1395" s="6" t="s">
        <v>1840</v>
      </c>
      <c r="F1395" s="6" t="s">
        <v>1839</v>
      </c>
      <c r="G1395" s="6" t="s">
        <v>16</v>
      </c>
      <c r="H1395" s="6" t="s">
        <v>430</v>
      </c>
      <c r="I1395" s="6" t="s">
        <v>14</v>
      </c>
      <c r="J1395" s="6" t="s">
        <v>873</v>
      </c>
      <c r="K1395" s="7">
        <v>29.256022779999999</v>
      </c>
      <c r="L1395" s="7">
        <v>-98.380328460000001</v>
      </c>
      <c r="M1395" s="6" t="s">
        <v>1792</v>
      </c>
      <c r="N1395" s="6" t="s">
        <v>232</v>
      </c>
      <c r="O1395" s="6" t="s">
        <v>231</v>
      </c>
    </row>
    <row r="1396" spans="1:15" x14ac:dyDescent="0.25">
      <c r="A1396" s="6" t="s">
        <v>4793</v>
      </c>
      <c r="B1396" s="6" t="s">
        <v>1842</v>
      </c>
      <c r="C1396" s="6" t="s">
        <v>4792</v>
      </c>
      <c r="E1396" s="6" t="s">
        <v>1840</v>
      </c>
      <c r="F1396" s="6" t="s">
        <v>1839</v>
      </c>
      <c r="G1396" s="6" t="s">
        <v>16</v>
      </c>
      <c r="H1396" s="6" t="s">
        <v>430</v>
      </c>
      <c r="I1396" s="6" t="s">
        <v>14</v>
      </c>
      <c r="J1396" s="6" t="s">
        <v>873</v>
      </c>
      <c r="K1396" s="7">
        <v>29.25536331</v>
      </c>
      <c r="L1396" s="7">
        <v>-98.382635410000006</v>
      </c>
      <c r="M1396" s="6" t="s">
        <v>1792</v>
      </c>
      <c r="N1396" s="6" t="s">
        <v>232</v>
      </c>
      <c r="O1396" s="6" t="s">
        <v>231</v>
      </c>
    </row>
    <row r="1397" spans="1:15" x14ac:dyDescent="0.25">
      <c r="A1397" s="6" t="s">
        <v>4659</v>
      </c>
      <c r="B1397" s="6" t="s">
        <v>4658</v>
      </c>
      <c r="C1397" s="6" t="s">
        <v>4657</v>
      </c>
      <c r="E1397" s="6" t="s">
        <v>4656</v>
      </c>
      <c r="F1397" s="6" t="s">
        <v>1839</v>
      </c>
      <c r="G1397" s="6" t="s">
        <v>16</v>
      </c>
      <c r="H1397" s="6" t="s">
        <v>15</v>
      </c>
      <c r="I1397" s="6" t="s">
        <v>14</v>
      </c>
      <c r="J1397" s="6" t="s">
        <v>873</v>
      </c>
      <c r="K1397" s="7">
        <v>29.352490509999999</v>
      </c>
      <c r="L1397" s="7">
        <v>-98.576737789999996</v>
      </c>
      <c r="M1397" s="6" t="s">
        <v>4655</v>
      </c>
      <c r="N1397" s="6" t="s">
        <v>232</v>
      </c>
      <c r="O1397" s="6" t="s">
        <v>231</v>
      </c>
    </row>
    <row r="1398" spans="1:15" x14ac:dyDescent="0.25">
      <c r="A1398" s="6" t="s">
        <v>12354</v>
      </c>
      <c r="B1398" s="6" t="s">
        <v>12353</v>
      </c>
      <c r="C1398" s="6" t="s">
        <v>31</v>
      </c>
      <c r="E1398" s="6" t="s">
        <v>12352</v>
      </c>
      <c r="F1398" s="6" t="s">
        <v>12351</v>
      </c>
      <c r="G1398" s="6" t="s">
        <v>16</v>
      </c>
      <c r="H1398" s="6" t="s">
        <v>28</v>
      </c>
      <c r="I1398" s="6" t="s">
        <v>27</v>
      </c>
      <c r="J1398" s="6" t="s">
        <v>35</v>
      </c>
      <c r="K1398" s="7">
        <v>29.896891</v>
      </c>
      <c r="L1398" s="7">
        <v>-95.366603999999995</v>
      </c>
      <c r="M1398" s="6" t="s">
        <v>34</v>
      </c>
      <c r="N1398" s="6" t="s">
        <v>24</v>
      </c>
      <c r="O1398" s="6" t="s">
        <v>23</v>
      </c>
    </row>
    <row r="1399" spans="1:15" x14ac:dyDescent="0.25">
      <c r="A1399" s="6" t="s">
        <v>10077</v>
      </c>
      <c r="B1399" s="6" t="s">
        <v>10075</v>
      </c>
      <c r="C1399" s="6" t="s">
        <v>31</v>
      </c>
      <c r="E1399" s="6" t="s">
        <v>10074</v>
      </c>
      <c r="F1399" s="6" t="s">
        <v>10073</v>
      </c>
      <c r="G1399" s="6" t="s">
        <v>16</v>
      </c>
      <c r="H1399" s="6" t="s">
        <v>28</v>
      </c>
      <c r="I1399" s="6" t="s">
        <v>27</v>
      </c>
      <c r="J1399" s="6" t="s">
        <v>35</v>
      </c>
      <c r="K1399" s="7">
        <v>29.945846679999999</v>
      </c>
      <c r="L1399" s="7">
        <v>-95.525002720000003</v>
      </c>
      <c r="M1399" s="6" t="s">
        <v>198</v>
      </c>
      <c r="N1399" s="6" t="s">
        <v>24</v>
      </c>
      <c r="O1399" s="6" t="s">
        <v>23</v>
      </c>
    </row>
    <row r="1400" spans="1:15" x14ac:dyDescent="0.25">
      <c r="A1400" s="6" t="s">
        <v>10076</v>
      </c>
      <c r="B1400" s="6" t="s">
        <v>10075</v>
      </c>
      <c r="C1400" s="6" t="s">
        <v>19</v>
      </c>
      <c r="E1400" s="6" t="s">
        <v>10074</v>
      </c>
      <c r="F1400" s="6" t="s">
        <v>10073</v>
      </c>
      <c r="G1400" s="6" t="s">
        <v>16</v>
      </c>
      <c r="H1400" s="6" t="s">
        <v>15</v>
      </c>
      <c r="I1400" s="6" t="s">
        <v>36</v>
      </c>
      <c r="J1400" s="6" t="s">
        <v>35</v>
      </c>
      <c r="K1400" s="7">
        <v>29.947511420000001</v>
      </c>
      <c r="L1400" s="7">
        <v>-95.527914539999998</v>
      </c>
      <c r="M1400" s="6" t="s">
        <v>198</v>
      </c>
      <c r="N1400" s="6" t="s">
        <v>24</v>
      </c>
      <c r="O1400" s="6" t="s">
        <v>23</v>
      </c>
    </row>
    <row r="1401" spans="1:15" x14ac:dyDescent="0.25">
      <c r="A1401" s="6" t="s">
        <v>4301</v>
      </c>
      <c r="B1401" s="6" t="s">
        <v>4300</v>
      </c>
      <c r="C1401" s="6" t="s">
        <v>31</v>
      </c>
      <c r="E1401" s="6" t="s">
        <v>4299</v>
      </c>
      <c r="F1401" s="6" t="s">
        <v>4298</v>
      </c>
      <c r="G1401" s="6" t="s">
        <v>16</v>
      </c>
      <c r="H1401" s="6" t="s">
        <v>15</v>
      </c>
      <c r="I1401" s="6" t="s">
        <v>1410</v>
      </c>
      <c r="J1401" s="6" t="s">
        <v>456</v>
      </c>
      <c r="K1401" s="7">
        <v>30.157466899999999</v>
      </c>
      <c r="L1401" s="7">
        <v>-97.269136059999994</v>
      </c>
      <c r="M1401" s="6" t="s">
        <v>455</v>
      </c>
      <c r="N1401" s="6" t="s">
        <v>10</v>
      </c>
      <c r="O1401" s="6" t="s">
        <v>160</v>
      </c>
    </row>
    <row r="1402" spans="1:15" x14ac:dyDescent="0.25">
      <c r="A1402" s="6" t="s">
        <v>5105</v>
      </c>
      <c r="B1402" s="6" t="s">
        <v>4300</v>
      </c>
      <c r="C1402" s="6" t="s">
        <v>19</v>
      </c>
      <c r="E1402" s="6" t="s">
        <v>4299</v>
      </c>
      <c r="F1402" s="6" t="s">
        <v>4298</v>
      </c>
      <c r="G1402" s="6" t="s">
        <v>16</v>
      </c>
      <c r="H1402" s="6" t="s">
        <v>15</v>
      </c>
      <c r="I1402" s="6" t="s">
        <v>1410</v>
      </c>
      <c r="J1402" s="6" t="s">
        <v>456</v>
      </c>
      <c r="K1402" s="7">
        <v>30.14506278</v>
      </c>
      <c r="L1402" s="7">
        <v>-97.272000199999994</v>
      </c>
      <c r="M1402" s="6" t="s">
        <v>455</v>
      </c>
      <c r="N1402" s="6" t="s">
        <v>10</v>
      </c>
      <c r="O1402" s="6" t="s">
        <v>160</v>
      </c>
    </row>
    <row r="1403" spans="1:15" x14ac:dyDescent="0.25">
      <c r="A1403" s="6" t="s">
        <v>9304</v>
      </c>
      <c r="B1403" s="6" t="s">
        <v>9301</v>
      </c>
      <c r="C1403" s="6" t="s">
        <v>31</v>
      </c>
      <c r="E1403" s="6" t="s">
        <v>9300</v>
      </c>
      <c r="F1403" s="6" t="s">
        <v>9303</v>
      </c>
      <c r="G1403" s="6" t="s">
        <v>16</v>
      </c>
      <c r="H1403" s="6" t="s">
        <v>15</v>
      </c>
      <c r="I1403" s="6" t="s">
        <v>46</v>
      </c>
      <c r="J1403" s="6" t="s">
        <v>318</v>
      </c>
      <c r="K1403" s="7">
        <v>31.015410289999998</v>
      </c>
      <c r="L1403" s="7">
        <v>-94.825839060000007</v>
      </c>
      <c r="M1403" s="6" t="s">
        <v>53</v>
      </c>
      <c r="N1403" s="6" t="s">
        <v>52</v>
      </c>
      <c r="O1403" s="6" t="s">
        <v>24</v>
      </c>
    </row>
    <row r="1404" spans="1:15" x14ac:dyDescent="0.25">
      <c r="A1404" s="6" t="s">
        <v>9302</v>
      </c>
      <c r="B1404" s="6" t="s">
        <v>9301</v>
      </c>
      <c r="C1404" s="6" t="s">
        <v>19</v>
      </c>
      <c r="E1404" s="6" t="s">
        <v>9300</v>
      </c>
      <c r="F1404" s="6" t="s">
        <v>9299</v>
      </c>
      <c r="G1404" s="6" t="s">
        <v>16</v>
      </c>
      <c r="H1404" s="6" t="s">
        <v>15</v>
      </c>
      <c r="I1404" s="6" t="s">
        <v>46</v>
      </c>
      <c r="J1404" s="6" t="s">
        <v>318</v>
      </c>
      <c r="K1404" s="7">
        <v>31.017916289999999</v>
      </c>
      <c r="L1404" s="7">
        <v>-94.826852070000001</v>
      </c>
      <c r="M1404" s="6" t="s">
        <v>53</v>
      </c>
      <c r="N1404" s="6" t="s">
        <v>52</v>
      </c>
      <c r="O1404" s="6" t="s">
        <v>24</v>
      </c>
    </row>
    <row r="1405" spans="1:15" x14ac:dyDescent="0.25">
      <c r="A1405" s="6" t="s">
        <v>2843</v>
      </c>
      <c r="B1405" s="6" t="s">
        <v>2842</v>
      </c>
      <c r="C1405" s="6" t="s">
        <v>31</v>
      </c>
      <c r="E1405" s="6" t="s">
        <v>2841</v>
      </c>
      <c r="F1405" s="6" t="s">
        <v>2840</v>
      </c>
      <c r="G1405" s="6" t="s">
        <v>16</v>
      </c>
      <c r="H1405" s="6" t="s">
        <v>28</v>
      </c>
      <c r="I1405" s="6" t="s">
        <v>27</v>
      </c>
      <c r="J1405" s="6" t="s">
        <v>461</v>
      </c>
      <c r="K1405" s="7">
        <v>32.875410000000002</v>
      </c>
      <c r="L1405" s="7">
        <v>-96.016013000000001</v>
      </c>
      <c r="M1405" s="6" t="s">
        <v>109</v>
      </c>
      <c r="N1405" s="6" t="s">
        <v>65</v>
      </c>
      <c r="O1405" s="6" t="s">
        <v>42</v>
      </c>
    </row>
    <row r="1406" spans="1:15" x14ac:dyDescent="0.25">
      <c r="A1406" s="6" t="s">
        <v>1585</v>
      </c>
      <c r="B1406" s="6" t="s">
        <v>1583</v>
      </c>
      <c r="C1406" s="6" t="s">
        <v>31</v>
      </c>
      <c r="E1406" s="6" t="s">
        <v>1582</v>
      </c>
      <c r="F1406" s="6" t="s">
        <v>1581</v>
      </c>
      <c r="G1406" s="6" t="s">
        <v>16</v>
      </c>
      <c r="H1406" s="6" t="s">
        <v>15</v>
      </c>
      <c r="I1406" s="6" t="s">
        <v>46</v>
      </c>
      <c r="J1406" s="6" t="s">
        <v>385</v>
      </c>
      <c r="K1406" s="7">
        <v>29.970428999999999</v>
      </c>
      <c r="L1406" s="7">
        <v>-93.859283000000005</v>
      </c>
      <c r="M1406" s="6" t="s">
        <v>429</v>
      </c>
      <c r="N1406" s="6" t="s">
        <v>52</v>
      </c>
      <c r="O1406" s="6" t="s">
        <v>24</v>
      </c>
    </row>
    <row r="1407" spans="1:15" x14ac:dyDescent="0.25">
      <c r="A1407" s="6" t="s">
        <v>1584</v>
      </c>
      <c r="B1407" s="6" t="s">
        <v>1583</v>
      </c>
      <c r="C1407" s="6" t="s">
        <v>19</v>
      </c>
      <c r="E1407" s="6" t="s">
        <v>1582</v>
      </c>
      <c r="F1407" s="6" t="s">
        <v>1581</v>
      </c>
      <c r="G1407" s="6" t="s">
        <v>16</v>
      </c>
      <c r="H1407" s="6" t="s">
        <v>430</v>
      </c>
      <c r="I1407" s="6" t="s">
        <v>46</v>
      </c>
      <c r="J1407" s="6" t="s">
        <v>385</v>
      </c>
      <c r="K1407" s="7">
        <v>29.970699</v>
      </c>
      <c r="L1407" s="7">
        <v>-93.860139000000004</v>
      </c>
      <c r="M1407" s="6" t="s">
        <v>429</v>
      </c>
      <c r="N1407" s="6" t="s">
        <v>52</v>
      </c>
      <c r="O1407" s="6" t="s">
        <v>24</v>
      </c>
    </row>
    <row r="1408" spans="1:15" x14ac:dyDescent="0.25">
      <c r="A1408" s="6" t="s">
        <v>12350</v>
      </c>
      <c r="B1408" s="6" t="s">
        <v>12349</v>
      </c>
      <c r="C1408" s="6" t="s">
        <v>31</v>
      </c>
      <c r="E1408" s="6" t="s">
        <v>12348</v>
      </c>
      <c r="F1408" s="6" t="s">
        <v>12347</v>
      </c>
      <c r="G1408" s="6" t="s">
        <v>16</v>
      </c>
      <c r="H1408" s="6" t="s">
        <v>15</v>
      </c>
      <c r="I1408" s="6" t="s">
        <v>14</v>
      </c>
      <c r="J1408" s="6" t="s">
        <v>35</v>
      </c>
      <c r="K1408" s="7">
        <v>29.869779619999999</v>
      </c>
      <c r="L1408" s="7">
        <v>-95.671658669999999</v>
      </c>
      <c r="M1408" s="6" t="s">
        <v>131</v>
      </c>
      <c r="N1408" s="6" t="s">
        <v>24</v>
      </c>
      <c r="O1408" s="6" t="s">
        <v>23</v>
      </c>
    </row>
    <row r="1409" spans="1:15" x14ac:dyDescent="0.25">
      <c r="A1409" s="6" t="s">
        <v>10803</v>
      </c>
      <c r="B1409" s="6" t="s">
        <v>10802</v>
      </c>
      <c r="C1409" s="6" t="s">
        <v>31</v>
      </c>
      <c r="E1409" s="6" t="s">
        <v>10801</v>
      </c>
      <c r="F1409" s="6" t="s">
        <v>3398</v>
      </c>
      <c r="G1409" s="6" t="s">
        <v>16</v>
      </c>
      <c r="H1409" s="6" t="s">
        <v>15</v>
      </c>
      <c r="I1409" s="6" t="s">
        <v>46</v>
      </c>
      <c r="J1409" s="6" t="s">
        <v>1288</v>
      </c>
      <c r="K1409" s="7">
        <v>32.465842930000001</v>
      </c>
      <c r="L1409" s="7">
        <v>-97.02690939</v>
      </c>
      <c r="M1409" s="6" t="s">
        <v>1287</v>
      </c>
      <c r="N1409" s="6" t="s">
        <v>102</v>
      </c>
      <c r="O1409" s="6" t="s">
        <v>42</v>
      </c>
    </row>
    <row r="1410" spans="1:15" x14ac:dyDescent="0.25">
      <c r="A1410" s="6" t="s">
        <v>2522</v>
      </c>
      <c r="B1410" s="6" t="s">
        <v>2521</v>
      </c>
      <c r="C1410" s="6" t="s">
        <v>31</v>
      </c>
      <c r="E1410" s="6" t="s">
        <v>2520</v>
      </c>
      <c r="F1410" s="6" t="s">
        <v>2519</v>
      </c>
      <c r="G1410" s="6" t="s">
        <v>16</v>
      </c>
      <c r="H1410" s="6" t="s">
        <v>15</v>
      </c>
      <c r="I1410" s="6" t="s">
        <v>14</v>
      </c>
      <c r="J1410" s="6" t="s">
        <v>162</v>
      </c>
      <c r="K1410" s="7">
        <v>28.987987480000001</v>
      </c>
      <c r="L1410" s="7">
        <v>-95.366601149999994</v>
      </c>
      <c r="M1410" s="6" t="s">
        <v>244</v>
      </c>
      <c r="N1410" s="6" t="s">
        <v>23</v>
      </c>
      <c r="O1410" s="6" t="s">
        <v>23</v>
      </c>
    </row>
    <row r="1411" spans="1:15" x14ac:dyDescent="0.25">
      <c r="A1411" s="6" t="s">
        <v>7435</v>
      </c>
      <c r="B1411" s="6" t="s">
        <v>2758</v>
      </c>
      <c r="C1411" s="6" t="s">
        <v>31</v>
      </c>
      <c r="E1411" s="6" t="s">
        <v>2757</v>
      </c>
      <c r="F1411" s="6" t="s">
        <v>2756</v>
      </c>
      <c r="G1411" s="6" t="s">
        <v>16</v>
      </c>
      <c r="H1411" s="6" t="s">
        <v>15</v>
      </c>
      <c r="I1411" s="6" t="s">
        <v>14</v>
      </c>
      <c r="J1411" s="6" t="s">
        <v>290</v>
      </c>
      <c r="K1411" s="7">
        <v>28.74612175</v>
      </c>
      <c r="L1411" s="7">
        <v>-96.000435499999995</v>
      </c>
      <c r="M1411" s="6" t="s">
        <v>2092</v>
      </c>
      <c r="N1411" s="6" t="s">
        <v>10</v>
      </c>
      <c r="O1411" s="6" t="s">
        <v>23</v>
      </c>
    </row>
    <row r="1412" spans="1:15" x14ac:dyDescent="0.25">
      <c r="A1412" s="6" t="s">
        <v>2760</v>
      </c>
      <c r="B1412" s="6" t="s">
        <v>2758</v>
      </c>
      <c r="C1412" s="6" t="s">
        <v>19</v>
      </c>
      <c r="E1412" s="6" t="s">
        <v>2757</v>
      </c>
      <c r="F1412" s="6" t="s">
        <v>2756</v>
      </c>
      <c r="G1412" s="6" t="s">
        <v>16</v>
      </c>
      <c r="H1412" s="6" t="s">
        <v>15</v>
      </c>
      <c r="I1412" s="6" t="s">
        <v>14</v>
      </c>
      <c r="J1412" s="6" t="s">
        <v>290</v>
      </c>
      <c r="K1412" s="7">
        <v>28.778173939999999</v>
      </c>
      <c r="L1412" s="7">
        <v>-96.01632257</v>
      </c>
      <c r="M1412" s="6" t="s">
        <v>2092</v>
      </c>
      <c r="N1412" s="6" t="s">
        <v>10</v>
      </c>
      <c r="O1412" s="6" t="s">
        <v>23</v>
      </c>
    </row>
    <row r="1413" spans="1:15" x14ac:dyDescent="0.25">
      <c r="A1413" s="6" t="s">
        <v>2759</v>
      </c>
      <c r="B1413" s="6" t="s">
        <v>2758</v>
      </c>
      <c r="C1413" s="6" t="s">
        <v>436</v>
      </c>
      <c r="E1413" s="6" t="s">
        <v>2757</v>
      </c>
      <c r="F1413" s="6" t="s">
        <v>2756</v>
      </c>
      <c r="G1413" s="6" t="s">
        <v>16</v>
      </c>
      <c r="H1413" s="6" t="s">
        <v>15</v>
      </c>
      <c r="I1413" s="6" t="s">
        <v>14</v>
      </c>
      <c r="J1413" s="6" t="s">
        <v>290</v>
      </c>
      <c r="K1413" s="7">
        <v>28.747068330000001</v>
      </c>
      <c r="L1413" s="7">
        <v>-96.011064829999995</v>
      </c>
      <c r="M1413" s="6" t="s">
        <v>289</v>
      </c>
      <c r="N1413" s="6" t="s">
        <v>10</v>
      </c>
      <c r="O1413" s="6" t="s">
        <v>23</v>
      </c>
    </row>
    <row r="1414" spans="1:15" x14ac:dyDescent="0.25">
      <c r="A1414" s="6" t="s">
        <v>4413</v>
      </c>
      <c r="B1414" s="6" t="s">
        <v>2758</v>
      </c>
      <c r="C1414" s="6" t="s">
        <v>597</v>
      </c>
      <c r="E1414" s="6" t="s">
        <v>2757</v>
      </c>
      <c r="F1414" s="6" t="s">
        <v>2756</v>
      </c>
      <c r="G1414" s="6" t="s">
        <v>16</v>
      </c>
      <c r="H1414" s="6" t="s">
        <v>15</v>
      </c>
      <c r="I1414" s="6" t="s">
        <v>14</v>
      </c>
      <c r="J1414" s="6" t="s">
        <v>290</v>
      </c>
      <c r="K1414" s="7">
        <v>28.749400949999998</v>
      </c>
      <c r="L1414" s="7">
        <v>-96.017544959999995</v>
      </c>
      <c r="M1414" s="6" t="s">
        <v>2092</v>
      </c>
      <c r="N1414" s="6" t="s">
        <v>10</v>
      </c>
      <c r="O1414" s="6" t="s">
        <v>23</v>
      </c>
    </row>
    <row r="1415" spans="1:15" x14ac:dyDescent="0.25">
      <c r="A1415" s="6" t="s">
        <v>4412</v>
      </c>
      <c r="B1415" s="6" t="s">
        <v>2758</v>
      </c>
      <c r="C1415" s="6" t="s">
        <v>557</v>
      </c>
      <c r="E1415" s="6" t="s">
        <v>2757</v>
      </c>
      <c r="F1415" s="6" t="s">
        <v>2756</v>
      </c>
      <c r="G1415" s="6" t="s">
        <v>16</v>
      </c>
      <c r="H1415" s="6" t="s">
        <v>15</v>
      </c>
      <c r="I1415" s="6" t="s">
        <v>14</v>
      </c>
      <c r="J1415" s="6" t="s">
        <v>290</v>
      </c>
      <c r="K1415" s="7">
        <v>28.74265209</v>
      </c>
      <c r="L1415" s="7">
        <v>-96.045097080000005</v>
      </c>
      <c r="M1415" s="6" t="s">
        <v>289</v>
      </c>
      <c r="N1415" s="6" t="s">
        <v>10</v>
      </c>
      <c r="O1415" s="6" t="s">
        <v>23</v>
      </c>
    </row>
    <row r="1416" spans="1:15" x14ac:dyDescent="0.25">
      <c r="A1416" s="6" t="s">
        <v>4411</v>
      </c>
      <c r="B1416" s="6" t="s">
        <v>2758</v>
      </c>
      <c r="C1416" s="6" t="s">
        <v>433</v>
      </c>
      <c r="E1416" s="6" t="s">
        <v>2757</v>
      </c>
      <c r="F1416" s="6" t="s">
        <v>2756</v>
      </c>
      <c r="G1416" s="6" t="s">
        <v>16</v>
      </c>
      <c r="H1416" s="6" t="s">
        <v>15</v>
      </c>
      <c r="I1416" s="6" t="s">
        <v>14</v>
      </c>
      <c r="J1416" s="6" t="s">
        <v>290</v>
      </c>
      <c r="K1416" s="7">
        <v>28.742256770000001</v>
      </c>
      <c r="L1416" s="7">
        <v>-96.060326419999996</v>
      </c>
      <c r="M1416" s="6" t="s">
        <v>289</v>
      </c>
      <c r="N1416" s="6" t="s">
        <v>10</v>
      </c>
      <c r="O1416" s="6" t="s">
        <v>23</v>
      </c>
    </row>
    <row r="1417" spans="1:15" x14ac:dyDescent="0.25">
      <c r="A1417" s="6" t="s">
        <v>12415</v>
      </c>
      <c r="B1417" s="6" t="s">
        <v>12414</v>
      </c>
      <c r="C1417" s="6" t="s">
        <v>31</v>
      </c>
      <c r="E1417" s="6" t="s">
        <v>12413</v>
      </c>
      <c r="F1417" s="6" t="s">
        <v>12412</v>
      </c>
      <c r="G1417" s="6" t="s">
        <v>16</v>
      </c>
      <c r="H1417" s="6" t="s">
        <v>28</v>
      </c>
      <c r="I1417" s="6" t="s">
        <v>73</v>
      </c>
      <c r="J1417" s="6" t="s">
        <v>3250</v>
      </c>
      <c r="K1417" s="7">
        <v>32.238860000000003</v>
      </c>
      <c r="L1417" s="7">
        <v>-101.449262</v>
      </c>
      <c r="M1417" s="6" t="s">
        <v>1801</v>
      </c>
      <c r="N1417" s="6" t="s">
        <v>10</v>
      </c>
      <c r="O1417" s="6" t="s">
        <v>383</v>
      </c>
    </row>
    <row r="1418" spans="1:15" x14ac:dyDescent="0.25">
      <c r="A1418" s="6" t="s">
        <v>4139</v>
      </c>
      <c r="B1418" s="6" t="s">
        <v>4138</v>
      </c>
      <c r="C1418" s="6" t="s">
        <v>31</v>
      </c>
      <c r="E1418" s="6" t="s">
        <v>4137</v>
      </c>
      <c r="F1418" s="6" t="s">
        <v>4136</v>
      </c>
      <c r="G1418" s="6" t="s">
        <v>16</v>
      </c>
      <c r="H1418" s="6" t="s">
        <v>28</v>
      </c>
      <c r="I1418" s="6" t="s">
        <v>73</v>
      </c>
      <c r="J1418" s="6" t="s">
        <v>4135</v>
      </c>
      <c r="K1418" s="7">
        <v>28.83647187</v>
      </c>
      <c r="L1418" s="7">
        <v>-96.536140119999999</v>
      </c>
      <c r="M1418" s="6" t="s">
        <v>1087</v>
      </c>
      <c r="N1418" s="6" t="s">
        <v>22</v>
      </c>
      <c r="O1418" s="6" t="s">
        <v>10</v>
      </c>
    </row>
    <row r="1419" spans="1:15" x14ac:dyDescent="0.25">
      <c r="A1419" s="6" t="s">
        <v>7317</v>
      </c>
      <c r="B1419" s="6" t="s">
        <v>7316</v>
      </c>
      <c r="C1419" s="6" t="s">
        <v>31</v>
      </c>
      <c r="E1419" s="6" t="s">
        <v>7315</v>
      </c>
      <c r="F1419" s="6" t="s">
        <v>7314</v>
      </c>
      <c r="G1419" s="6" t="s">
        <v>16</v>
      </c>
      <c r="H1419" s="6" t="s">
        <v>15</v>
      </c>
      <c r="I1419" s="6" t="s">
        <v>14</v>
      </c>
      <c r="J1419" s="6" t="s">
        <v>2178</v>
      </c>
      <c r="K1419" s="7">
        <v>31.48291403</v>
      </c>
      <c r="L1419" s="7">
        <v>-106.14643164</v>
      </c>
      <c r="M1419" s="6" t="s">
        <v>945</v>
      </c>
      <c r="N1419" s="6" t="s">
        <v>373</v>
      </c>
      <c r="O1419" s="6" t="s">
        <v>52</v>
      </c>
    </row>
    <row r="1420" spans="1:15" x14ac:dyDescent="0.25">
      <c r="A1420" s="6" t="s">
        <v>8249</v>
      </c>
      <c r="B1420" s="6" t="s">
        <v>8248</v>
      </c>
      <c r="C1420" s="6" t="s">
        <v>31</v>
      </c>
      <c r="E1420" s="6" t="s">
        <v>8247</v>
      </c>
      <c r="F1420" s="6" t="s">
        <v>697</v>
      </c>
      <c r="G1420" s="6" t="s">
        <v>16</v>
      </c>
      <c r="H1420" s="6" t="s">
        <v>15</v>
      </c>
      <c r="I1420" s="6" t="s">
        <v>14</v>
      </c>
      <c r="J1420" s="6" t="s">
        <v>162</v>
      </c>
      <c r="K1420" s="7">
        <v>28.98254043</v>
      </c>
      <c r="L1420" s="7">
        <v>-95.339844679999999</v>
      </c>
      <c r="M1420" s="6" t="s">
        <v>1606</v>
      </c>
      <c r="N1420" s="6" t="s">
        <v>160</v>
      </c>
      <c r="O1420" s="6" t="s">
        <v>23</v>
      </c>
    </row>
    <row r="1421" spans="1:15" x14ac:dyDescent="0.25">
      <c r="A1421" s="6" t="s">
        <v>8796</v>
      </c>
      <c r="B1421" s="6" t="s">
        <v>8795</v>
      </c>
      <c r="C1421" s="6" t="s">
        <v>31</v>
      </c>
      <c r="E1421" s="6" t="s">
        <v>8794</v>
      </c>
      <c r="F1421" s="6" t="s">
        <v>5708</v>
      </c>
      <c r="G1421" s="6" t="s">
        <v>16</v>
      </c>
      <c r="H1421" s="6" t="s">
        <v>15</v>
      </c>
      <c r="I1421" s="6" t="s">
        <v>36</v>
      </c>
      <c r="J1421" s="6" t="s">
        <v>35</v>
      </c>
      <c r="K1421" s="7">
        <v>29.70821776</v>
      </c>
      <c r="L1421" s="7">
        <v>-95.567447240000007</v>
      </c>
      <c r="M1421" s="6" t="s">
        <v>866</v>
      </c>
      <c r="N1421" s="6" t="s">
        <v>24</v>
      </c>
      <c r="O1421" s="6" t="s">
        <v>23</v>
      </c>
    </row>
    <row r="1422" spans="1:15" x14ac:dyDescent="0.25">
      <c r="A1422" s="6" t="s">
        <v>10689</v>
      </c>
      <c r="B1422" s="6" t="s">
        <v>10688</v>
      </c>
      <c r="C1422" s="6" t="s">
        <v>31</v>
      </c>
      <c r="E1422" s="6" t="s">
        <v>10687</v>
      </c>
      <c r="F1422" s="6" t="s">
        <v>6631</v>
      </c>
      <c r="G1422" s="6" t="s">
        <v>16</v>
      </c>
      <c r="H1422" s="6" t="s">
        <v>28</v>
      </c>
      <c r="I1422" s="6" t="s">
        <v>60</v>
      </c>
      <c r="J1422" s="6" t="s">
        <v>873</v>
      </c>
      <c r="K1422" s="7">
        <v>29.271204000000001</v>
      </c>
      <c r="L1422" s="7">
        <v>-98.487954999999999</v>
      </c>
      <c r="M1422" s="6" t="s">
        <v>233</v>
      </c>
      <c r="N1422" s="6" t="s">
        <v>232</v>
      </c>
      <c r="O1422" s="6" t="s">
        <v>231</v>
      </c>
    </row>
    <row r="1423" spans="1:15" x14ac:dyDescent="0.25">
      <c r="A1423" s="6" t="s">
        <v>9231</v>
      </c>
      <c r="B1423" s="6" t="s">
        <v>9230</v>
      </c>
      <c r="C1423" s="6" t="s">
        <v>31</v>
      </c>
      <c r="E1423" s="6" t="s">
        <v>9229</v>
      </c>
      <c r="F1423" s="6" t="s">
        <v>9228</v>
      </c>
      <c r="G1423" s="6" t="s">
        <v>16</v>
      </c>
      <c r="H1423" s="6" t="s">
        <v>28</v>
      </c>
      <c r="I1423" s="6" t="s">
        <v>73</v>
      </c>
      <c r="J1423" s="6" t="s">
        <v>1787</v>
      </c>
      <c r="K1423" s="7">
        <v>32.445118000000001</v>
      </c>
      <c r="L1423" s="7">
        <v>-95.705197999999996</v>
      </c>
      <c r="M1423" s="6" t="s">
        <v>765</v>
      </c>
      <c r="N1423" s="6" t="s">
        <v>52</v>
      </c>
      <c r="O1423" s="6" t="s">
        <v>65</v>
      </c>
    </row>
    <row r="1424" spans="1:15" x14ac:dyDescent="0.25">
      <c r="A1424" s="6" t="s">
        <v>8175</v>
      </c>
      <c r="B1424" s="6" t="s">
        <v>8174</v>
      </c>
      <c r="C1424" s="6" t="s">
        <v>31</v>
      </c>
      <c r="E1424" s="6" t="s">
        <v>8173</v>
      </c>
      <c r="F1424" s="6" t="s">
        <v>8172</v>
      </c>
      <c r="G1424" s="6" t="s">
        <v>16</v>
      </c>
      <c r="H1424" s="6" t="s">
        <v>15</v>
      </c>
      <c r="I1424" s="6" t="s">
        <v>46</v>
      </c>
      <c r="J1424" s="6" t="s">
        <v>1288</v>
      </c>
      <c r="K1424" s="7">
        <v>32.437342999999998</v>
      </c>
      <c r="L1424" s="7">
        <v>-96.847977999999998</v>
      </c>
      <c r="M1424" s="6" t="s">
        <v>7130</v>
      </c>
      <c r="N1424" s="6" t="s">
        <v>102</v>
      </c>
      <c r="O1424" s="6" t="s">
        <v>42</v>
      </c>
    </row>
    <row r="1425" spans="1:15" x14ac:dyDescent="0.25">
      <c r="A1425" s="6" t="s">
        <v>9336</v>
      </c>
      <c r="B1425" s="6" t="s">
        <v>9331</v>
      </c>
      <c r="C1425" s="6" t="s">
        <v>31</v>
      </c>
      <c r="E1425" s="6" t="s">
        <v>9330</v>
      </c>
      <c r="F1425" s="6" t="s">
        <v>9329</v>
      </c>
      <c r="G1425" s="6" t="s">
        <v>16</v>
      </c>
      <c r="H1425" s="6" t="s">
        <v>15</v>
      </c>
      <c r="I1425" s="6" t="s">
        <v>14</v>
      </c>
      <c r="J1425" s="6" t="s">
        <v>571</v>
      </c>
      <c r="K1425" s="7">
        <v>32.29647318</v>
      </c>
      <c r="L1425" s="7">
        <v>-97.782951510000004</v>
      </c>
      <c r="M1425" s="6" t="s">
        <v>1681</v>
      </c>
      <c r="N1425" s="6" t="s">
        <v>23</v>
      </c>
      <c r="O1425" s="6" t="s">
        <v>42</v>
      </c>
    </row>
    <row r="1426" spans="1:15" x14ac:dyDescent="0.25">
      <c r="A1426" s="6" t="s">
        <v>9335</v>
      </c>
      <c r="B1426" s="6" t="s">
        <v>9331</v>
      </c>
      <c r="C1426" s="6" t="s">
        <v>19</v>
      </c>
      <c r="E1426" s="6" t="s">
        <v>9330</v>
      </c>
      <c r="F1426" s="6" t="s">
        <v>9329</v>
      </c>
      <c r="G1426" s="6" t="s">
        <v>16</v>
      </c>
      <c r="H1426" s="6" t="s">
        <v>15</v>
      </c>
      <c r="I1426" s="6" t="s">
        <v>14</v>
      </c>
      <c r="J1426" s="6" t="s">
        <v>571</v>
      </c>
      <c r="K1426" s="7">
        <v>32.291147889999998</v>
      </c>
      <c r="L1426" s="7">
        <v>-97.787259980000002</v>
      </c>
      <c r="M1426" s="6" t="s">
        <v>1681</v>
      </c>
      <c r="N1426" s="6" t="s">
        <v>23</v>
      </c>
      <c r="O1426" s="6" t="s">
        <v>42</v>
      </c>
    </row>
    <row r="1427" spans="1:15" x14ac:dyDescent="0.25">
      <c r="A1427" s="6" t="s">
        <v>9333</v>
      </c>
      <c r="B1427" s="6" t="s">
        <v>9331</v>
      </c>
      <c r="C1427" s="6" t="s">
        <v>436</v>
      </c>
      <c r="E1427" s="6" t="s">
        <v>9330</v>
      </c>
      <c r="F1427" s="6" t="s">
        <v>9329</v>
      </c>
      <c r="G1427" s="6" t="s">
        <v>16</v>
      </c>
      <c r="H1427" s="6" t="s">
        <v>28</v>
      </c>
      <c r="I1427" s="6" t="s">
        <v>14</v>
      </c>
      <c r="J1427" s="6" t="s">
        <v>571</v>
      </c>
      <c r="K1427" s="7">
        <v>32.296320739999999</v>
      </c>
      <c r="L1427" s="7">
        <v>-97.783534309999993</v>
      </c>
      <c r="M1427" s="6" t="s">
        <v>1681</v>
      </c>
      <c r="N1427" s="6" t="s">
        <v>23</v>
      </c>
      <c r="O1427" s="6" t="s">
        <v>42</v>
      </c>
    </row>
    <row r="1428" spans="1:15" x14ac:dyDescent="0.25">
      <c r="A1428" s="6" t="s">
        <v>9332</v>
      </c>
      <c r="B1428" s="6" t="s">
        <v>9331</v>
      </c>
      <c r="C1428" s="6" t="s">
        <v>597</v>
      </c>
      <c r="E1428" s="6" t="s">
        <v>9330</v>
      </c>
      <c r="F1428" s="6" t="s">
        <v>9329</v>
      </c>
      <c r="G1428" s="6" t="s">
        <v>16</v>
      </c>
      <c r="H1428" s="6" t="s">
        <v>15</v>
      </c>
      <c r="I1428" s="6" t="s">
        <v>14</v>
      </c>
      <c r="J1428" s="6" t="s">
        <v>571</v>
      </c>
      <c r="K1428" s="7">
        <v>32.298133380000003</v>
      </c>
      <c r="L1428" s="7">
        <v>-97.786576960000005</v>
      </c>
      <c r="M1428" s="6" t="s">
        <v>1681</v>
      </c>
      <c r="N1428" s="6" t="s">
        <v>23</v>
      </c>
      <c r="O1428" s="6" t="s">
        <v>42</v>
      </c>
    </row>
    <row r="1429" spans="1:15" x14ac:dyDescent="0.25">
      <c r="A1429" s="6" t="s">
        <v>8263</v>
      </c>
      <c r="B1429" s="6" t="s">
        <v>8262</v>
      </c>
      <c r="C1429" s="6" t="s">
        <v>31</v>
      </c>
      <c r="E1429" s="6" t="s">
        <v>8261</v>
      </c>
      <c r="F1429" s="6" t="s">
        <v>8260</v>
      </c>
      <c r="G1429" s="6" t="s">
        <v>16</v>
      </c>
      <c r="H1429" s="6" t="s">
        <v>15</v>
      </c>
      <c r="I1429" s="6" t="s">
        <v>799</v>
      </c>
      <c r="J1429" s="6" t="s">
        <v>35</v>
      </c>
      <c r="K1429" s="7">
        <v>29.777184999999999</v>
      </c>
      <c r="L1429" s="7">
        <v>-95.145131000000006</v>
      </c>
      <c r="M1429" s="6" t="s">
        <v>34</v>
      </c>
      <c r="N1429" s="6" t="s">
        <v>24</v>
      </c>
      <c r="O1429" s="6" t="s">
        <v>23</v>
      </c>
    </row>
    <row r="1430" spans="1:15" x14ac:dyDescent="0.25">
      <c r="A1430" s="6" t="s">
        <v>2199</v>
      </c>
      <c r="B1430" s="6" t="s">
        <v>2198</v>
      </c>
      <c r="C1430" s="6" t="s">
        <v>31</v>
      </c>
      <c r="E1430" s="6" t="s">
        <v>2197</v>
      </c>
      <c r="F1430" s="6" t="s">
        <v>2196</v>
      </c>
      <c r="G1430" s="6" t="s">
        <v>16</v>
      </c>
      <c r="H1430" s="6" t="s">
        <v>28</v>
      </c>
      <c r="I1430" s="6" t="s">
        <v>60</v>
      </c>
      <c r="J1430" s="6" t="s">
        <v>889</v>
      </c>
      <c r="K1430" s="7">
        <v>30.661997</v>
      </c>
      <c r="L1430" s="7">
        <v>-98.435458999999994</v>
      </c>
      <c r="M1430" s="6" t="s">
        <v>2195</v>
      </c>
      <c r="N1430" s="6" t="s">
        <v>10</v>
      </c>
      <c r="O1430" s="6" t="s">
        <v>160</v>
      </c>
    </row>
    <row r="1431" spans="1:15" x14ac:dyDescent="0.25">
      <c r="A1431" s="6" t="s">
        <v>492</v>
      </c>
      <c r="B1431" s="6" t="s">
        <v>491</v>
      </c>
      <c r="C1431" s="6" t="s">
        <v>31</v>
      </c>
      <c r="E1431" s="6" t="s">
        <v>490</v>
      </c>
      <c r="F1431" s="6" t="s">
        <v>489</v>
      </c>
      <c r="G1431" s="6" t="s">
        <v>16</v>
      </c>
      <c r="H1431" s="6" t="s">
        <v>15</v>
      </c>
      <c r="I1431" s="6" t="s">
        <v>14</v>
      </c>
      <c r="J1431" s="6" t="s">
        <v>215</v>
      </c>
      <c r="K1431" s="7">
        <v>29.138111689999999</v>
      </c>
      <c r="L1431" s="7">
        <v>-95.059961619999996</v>
      </c>
      <c r="M1431" s="6" t="s">
        <v>214</v>
      </c>
      <c r="N1431" s="6" t="s">
        <v>160</v>
      </c>
      <c r="O1431" s="6" t="s">
        <v>23</v>
      </c>
    </row>
    <row r="1432" spans="1:15" x14ac:dyDescent="0.25">
      <c r="A1432" s="6" t="s">
        <v>2535</v>
      </c>
      <c r="B1432" s="6" t="s">
        <v>2534</v>
      </c>
      <c r="C1432" s="6" t="s">
        <v>31</v>
      </c>
      <c r="E1432" s="6" t="s">
        <v>2533</v>
      </c>
      <c r="F1432" s="6" t="s">
        <v>2532</v>
      </c>
      <c r="G1432" s="6" t="s">
        <v>16</v>
      </c>
      <c r="H1432" s="6" t="s">
        <v>28</v>
      </c>
      <c r="I1432" s="6" t="s">
        <v>60</v>
      </c>
      <c r="J1432" s="6" t="s">
        <v>2531</v>
      </c>
      <c r="K1432" s="7">
        <v>30.594334109999998</v>
      </c>
      <c r="L1432" s="7">
        <v>-103.87306537000001</v>
      </c>
      <c r="M1432" s="6" t="s">
        <v>604</v>
      </c>
      <c r="N1432" s="6" t="s">
        <v>373</v>
      </c>
      <c r="O1432" s="6" t="s">
        <v>52</v>
      </c>
    </row>
    <row r="1433" spans="1:15" x14ac:dyDescent="0.25">
      <c r="A1433" s="6" t="s">
        <v>4217</v>
      </c>
      <c r="B1433" s="6" t="s">
        <v>4216</v>
      </c>
      <c r="C1433" s="6" t="s">
        <v>31</v>
      </c>
      <c r="E1433" s="6" t="s">
        <v>4215</v>
      </c>
      <c r="F1433" s="6" t="s">
        <v>4214</v>
      </c>
      <c r="G1433" s="6" t="s">
        <v>16</v>
      </c>
      <c r="H1433" s="6" t="s">
        <v>28</v>
      </c>
      <c r="I1433" s="6" t="s">
        <v>73</v>
      </c>
      <c r="J1433" s="6" t="s">
        <v>1249</v>
      </c>
      <c r="K1433" s="7">
        <v>31.658129129999999</v>
      </c>
      <c r="L1433" s="7">
        <v>-95.694060440000001</v>
      </c>
      <c r="M1433" s="6" t="s">
        <v>1031</v>
      </c>
      <c r="N1433" s="6" t="s">
        <v>102</v>
      </c>
      <c r="O1433" s="6" t="s">
        <v>65</v>
      </c>
    </row>
    <row r="1434" spans="1:15" x14ac:dyDescent="0.25">
      <c r="A1434" s="6" t="s">
        <v>6372</v>
      </c>
      <c r="B1434" s="6" t="s">
        <v>6371</v>
      </c>
      <c r="C1434" s="6" t="s">
        <v>31</v>
      </c>
      <c r="E1434" s="6" t="s">
        <v>6370</v>
      </c>
      <c r="F1434" s="6" t="s">
        <v>6369</v>
      </c>
      <c r="G1434" s="6" t="s">
        <v>16</v>
      </c>
      <c r="H1434" s="6" t="s">
        <v>28</v>
      </c>
      <c r="I1434" s="6" t="s">
        <v>36</v>
      </c>
      <c r="J1434" s="6" t="s">
        <v>35</v>
      </c>
      <c r="K1434" s="7">
        <v>29.900933689999999</v>
      </c>
      <c r="L1434" s="7">
        <v>-95.425768820000002</v>
      </c>
      <c r="M1434" s="6" t="s">
        <v>34</v>
      </c>
      <c r="N1434" s="6" t="s">
        <v>24</v>
      </c>
      <c r="O1434" s="6" t="s">
        <v>23</v>
      </c>
    </row>
    <row r="1435" spans="1:15" x14ac:dyDescent="0.25">
      <c r="A1435" s="6" t="s">
        <v>9187</v>
      </c>
      <c r="B1435" s="6" t="s">
        <v>9186</v>
      </c>
      <c r="C1435" s="6" t="s">
        <v>31</v>
      </c>
      <c r="E1435" s="6" t="s">
        <v>9185</v>
      </c>
      <c r="F1435" s="6" t="s">
        <v>5708</v>
      </c>
      <c r="G1435" s="6" t="s">
        <v>16</v>
      </c>
      <c r="H1435" s="6" t="s">
        <v>15</v>
      </c>
      <c r="I1435" s="6" t="s">
        <v>14</v>
      </c>
      <c r="J1435" s="6" t="s">
        <v>35</v>
      </c>
      <c r="K1435" s="7">
        <v>30.041116370000001</v>
      </c>
      <c r="L1435" s="7">
        <v>-95.184050749999997</v>
      </c>
      <c r="M1435" s="6" t="s">
        <v>1766</v>
      </c>
      <c r="N1435" s="6" t="s">
        <v>24</v>
      </c>
      <c r="O1435" s="6" t="s">
        <v>42</v>
      </c>
    </row>
    <row r="1436" spans="1:15" x14ac:dyDescent="0.25">
      <c r="A1436" s="6" t="s">
        <v>3612</v>
      </c>
      <c r="B1436" s="6" t="s">
        <v>3611</v>
      </c>
      <c r="C1436" s="6" t="s">
        <v>31</v>
      </c>
      <c r="E1436" s="6" t="s">
        <v>3610</v>
      </c>
      <c r="F1436" s="6" t="s">
        <v>3609</v>
      </c>
      <c r="G1436" s="6" t="s">
        <v>16</v>
      </c>
      <c r="H1436" s="6" t="s">
        <v>28</v>
      </c>
      <c r="I1436" s="6" t="s">
        <v>27</v>
      </c>
      <c r="J1436" s="6" t="s">
        <v>296</v>
      </c>
      <c r="K1436" s="7">
        <v>29.841603620000001</v>
      </c>
      <c r="L1436" s="7">
        <v>-96.710088170000006</v>
      </c>
      <c r="M1436" s="6" t="s">
        <v>295</v>
      </c>
      <c r="N1436" s="6" t="s">
        <v>10</v>
      </c>
      <c r="O1436" s="6" t="s">
        <v>160</v>
      </c>
    </row>
    <row r="1437" spans="1:15" x14ac:dyDescent="0.25">
      <c r="A1437" s="6" t="s">
        <v>898</v>
      </c>
      <c r="B1437" s="6" t="s">
        <v>897</v>
      </c>
      <c r="C1437" s="6" t="s">
        <v>31</v>
      </c>
      <c r="D1437" s="6" t="s">
        <v>16</v>
      </c>
      <c r="E1437" s="6" t="s">
        <v>896</v>
      </c>
      <c r="F1437" s="6" t="s">
        <v>895</v>
      </c>
      <c r="G1437" s="6" t="s">
        <v>16</v>
      </c>
      <c r="H1437" s="6" t="s">
        <v>28</v>
      </c>
      <c r="I1437" s="6" t="s">
        <v>27</v>
      </c>
      <c r="J1437" s="6" t="s">
        <v>853</v>
      </c>
      <c r="K1437" s="7">
        <v>29.808065330000002</v>
      </c>
      <c r="L1437" s="7">
        <v>-94.838573960000005</v>
      </c>
      <c r="M1437" s="6" t="s">
        <v>894</v>
      </c>
      <c r="N1437" s="6" t="s">
        <v>383</v>
      </c>
      <c r="O1437" s="6" t="s">
        <v>23</v>
      </c>
    </row>
    <row r="1438" spans="1:15" x14ac:dyDescent="0.25">
      <c r="A1438" s="6" t="s">
        <v>898</v>
      </c>
      <c r="B1438" s="6" t="s">
        <v>897</v>
      </c>
      <c r="C1438" s="6" t="s">
        <v>31</v>
      </c>
      <c r="D1438" s="6" t="s">
        <v>284</v>
      </c>
      <c r="E1438" s="6" t="s">
        <v>896</v>
      </c>
      <c r="F1438" s="6" t="s">
        <v>895</v>
      </c>
      <c r="G1438" s="6" t="s">
        <v>16</v>
      </c>
      <c r="H1438" s="6" t="s">
        <v>28</v>
      </c>
      <c r="I1438" s="6" t="s">
        <v>27</v>
      </c>
      <c r="J1438" s="6" t="s">
        <v>853</v>
      </c>
      <c r="K1438" s="7">
        <v>29.809166260000001</v>
      </c>
      <c r="L1438" s="7">
        <v>-94.838613620000004</v>
      </c>
      <c r="M1438" s="6" t="s">
        <v>894</v>
      </c>
      <c r="N1438" s="6" t="s">
        <v>383</v>
      </c>
      <c r="O1438" s="6" t="s">
        <v>23</v>
      </c>
    </row>
    <row r="1439" spans="1:15" x14ac:dyDescent="0.25">
      <c r="A1439" s="6" t="s">
        <v>4726</v>
      </c>
      <c r="B1439" s="6" t="s">
        <v>4725</v>
      </c>
      <c r="C1439" s="6" t="s">
        <v>31</v>
      </c>
      <c r="E1439" s="6" t="s">
        <v>4724</v>
      </c>
      <c r="F1439" s="6" t="s">
        <v>4723</v>
      </c>
      <c r="G1439" s="6" t="s">
        <v>16</v>
      </c>
      <c r="H1439" s="6" t="s">
        <v>28</v>
      </c>
      <c r="I1439" s="6" t="s">
        <v>14</v>
      </c>
      <c r="J1439" s="6" t="s">
        <v>139</v>
      </c>
      <c r="K1439" s="7">
        <v>27.86953694</v>
      </c>
      <c r="L1439" s="7">
        <v>-97.337063760000007</v>
      </c>
      <c r="M1439" s="6" t="s">
        <v>4722</v>
      </c>
      <c r="N1439" s="6" t="s">
        <v>137</v>
      </c>
      <c r="O1439" s="6" t="s">
        <v>10</v>
      </c>
    </row>
    <row r="1440" spans="1:15" x14ac:dyDescent="0.25">
      <c r="A1440" s="6" t="s">
        <v>4167</v>
      </c>
      <c r="B1440" s="6" t="s">
        <v>4166</v>
      </c>
      <c r="C1440" s="6" t="s">
        <v>31</v>
      </c>
      <c r="E1440" s="6" t="s">
        <v>4165</v>
      </c>
      <c r="F1440" s="6" t="s">
        <v>4164</v>
      </c>
      <c r="G1440" s="6" t="s">
        <v>16</v>
      </c>
      <c r="H1440" s="6" t="s">
        <v>28</v>
      </c>
      <c r="I1440" s="6" t="s">
        <v>27</v>
      </c>
      <c r="J1440" s="6" t="s">
        <v>571</v>
      </c>
      <c r="K1440" s="7">
        <v>32.203262000000002</v>
      </c>
      <c r="L1440" s="7">
        <v>-97.689367000000004</v>
      </c>
      <c r="M1440" s="6" t="s">
        <v>466</v>
      </c>
      <c r="N1440" s="6" t="s">
        <v>23</v>
      </c>
      <c r="O1440" s="6" t="s">
        <v>42</v>
      </c>
    </row>
    <row r="1441" spans="1:15" x14ac:dyDescent="0.25">
      <c r="A1441" s="6" t="s">
        <v>9138</v>
      </c>
      <c r="B1441" s="6" t="s">
        <v>9137</v>
      </c>
      <c r="C1441" s="6" t="s">
        <v>31</v>
      </c>
      <c r="E1441" s="6" t="s">
        <v>9136</v>
      </c>
      <c r="F1441" s="6" t="s">
        <v>9135</v>
      </c>
      <c r="G1441" s="6" t="s">
        <v>16</v>
      </c>
      <c r="H1441" s="6" t="s">
        <v>28</v>
      </c>
      <c r="I1441" s="6" t="s">
        <v>1200</v>
      </c>
      <c r="J1441" s="6" t="s">
        <v>268</v>
      </c>
      <c r="K1441" s="7">
        <v>32.612301000000002</v>
      </c>
      <c r="L1441" s="7">
        <v>-97.459581999999997</v>
      </c>
      <c r="M1441" s="6" t="s">
        <v>2015</v>
      </c>
      <c r="N1441" s="6" t="s">
        <v>102</v>
      </c>
      <c r="O1441" s="6" t="s">
        <v>42</v>
      </c>
    </row>
    <row r="1442" spans="1:15" x14ac:dyDescent="0.25">
      <c r="A1442" s="6" t="s">
        <v>6380</v>
      </c>
      <c r="B1442" s="6" t="s">
        <v>6379</v>
      </c>
      <c r="C1442" s="6" t="s">
        <v>31</v>
      </c>
      <c r="E1442" s="6" t="s">
        <v>6378</v>
      </c>
      <c r="F1442" s="6" t="s">
        <v>6377</v>
      </c>
      <c r="G1442" s="6" t="s">
        <v>16</v>
      </c>
      <c r="H1442" s="6" t="s">
        <v>28</v>
      </c>
      <c r="I1442" s="6" t="s">
        <v>73</v>
      </c>
      <c r="J1442" s="6" t="s">
        <v>318</v>
      </c>
      <c r="K1442" s="7">
        <v>30.739260720000001</v>
      </c>
      <c r="L1442" s="7">
        <v>-95.061274179999998</v>
      </c>
      <c r="M1442" s="6" t="s">
        <v>317</v>
      </c>
      <c r="N1442" s="6" t="s">
        <v>102</v>
      </c>
      <c r="O1442" s="6" t="s">
        <v>24</v>
      </c>
    </row>
    <row r="1443" spans="1:15" x14ac:dyDescent="0.25">
      <c r="A1443" s="6" t="s">
        <v>413</v>
      </c>
      <c r="B1443" s="6" t="s">
        <v>412</v>
      </c>
      <c r="C1443" s="6" t="s">
        <v>31</v>
      </c>
      <c r="E1443" s="6" t="s">
        <v>411</v>
      </c>
      <c r="F1443" s="6" t="s">
        <v>410</v>
      </c>
      <c r="G1443" s="6" t="s">
        <v>16</v>
      </c>
      <c r="H1443" s="6" t="s">
        <v>28</v>
      </c>
      <c r="I1443" s="6" t="s">
        <v>73</v>
      </c>
      <c r="J1443" s="6" t="s">
        <v>409</v>
      </c>
      <c r="K1443" s="7">
        <v>30.136448170000001</v>
      </c>
      <c r="L1443" s="7">
        <v>-97.671440779999998</v>
      </c>
      <c r="M1443" s="6" t="s">
        <v>408</v>
      </c>
      <c r="N1443" s="6" t="s">
        <v>10</v>
      </c>
      <c r="O1443" s="6" t="s">
        <v>160</v>
      </c>
    </row>
    <row r="1444" spans="1:15" x14ac:dyDescent="0.25">
      <c r="A1444" s="6" t="s">
        <v>5423</v>
      </c>
      <c r="B1444" s="6" t="s">
        <v>5422</v>
      </c>
      <c r="C1444" s="6" t="s">
        <v>31</v>
      </c>
      <c r="E1444" s="6" t="s">
        <v>5421</v>
      </c>
      <c r="F1444" s="6" t="s">
        <v>895</v>
      </c>
      <c r="G1444" s="6" t="s">
        <v>16</v>
      </c>
      <c r="H1444" s="6" t="s">
        <v>28</v>
      </c>
      <c r="I1444" s="6" t="s">
        <v>73</v>
      </c>
      <c r="J1444" s="6" t="s">
        <v>385</v>
      </c>
      <c r="K1444" s="7">
        <v>29.95068135</v>
      </c>
      <c r="L1444" s="7">
        <v>-94.033555579999998</v>
      </c>
      <c r="M1444" s="6" t="s">
        <v>384</v>
      </c>
      <c r="N1444" s="6" t="s">
        <v>383</v>
      </c>
      <c r="O1444" s="6" t="s">
        <v>24</v>
      </c>
    </row>
    <row r="1445" spans="1:15" x14ac:dyDescent="0.25">
      <c r="A1445" s="6" t="s">
        <v>4995</v>
      </c>
      <c r="B1445" s="6" t="s">
        <v>4994</v>
      </c>
      <c r="C1445" s="6" t="s">
        <v>31</v>
      </c>
      <c r="E1445" s="6" t="s">
        <v>4993</v>
      </c>
      <c r="F1445" s="6" t="s">
        <v>4992</v>
      </c>
      <c r="G1445" s="6" t="s">
        <v>16</v>
      </c>
      <c r="H1445" s="6" t="s">
        <v>28</v>
      </c>
      <c r="I1445" s="6" t="s">
        <v>27</v>
      </c>
      <c r="J1445" s="6" t="s">
        <v>268</v>
      </c>
      <c r="K1445" s="7">
        <v>32.893037</v>
      </c>
      <c r="L1445" s="7">
        <v>-97.488138000000006</v>
      </c>
      <c r="M1445" s="6" t="s">
        <v>267</v>
      </c>
      <c r="N1445" s="6" t="s">
        <v>102</v>
      </c>
      <c r="O1445" s="6" t="s">
        <v>42</v>
      </c>
    </row>
    <row r="1446" spans="1:15" x14ac:dyDescent="0.25">
      <c r="A1446" s="6" t="s">
        <v>4532</v>
      </c>
      <c r="B1446" s="6" t="s">
        <v>4531</v>
      </c>
      <c r="C1446" s="6" t="s">
        <v>31</v>
      </c>
      <c r="E1446" s="6" t="s">
        <v>4530</v>
      </c>
      <c r="F1446" s="6" t="s">
        <v>4529</v>
      </c>
      <c r="G1446" s="6" t="s">
        <v>16</v>
      </c>
      <c r="H1446" s="6" t="s">
        <v>28</v>
      </c>
      <c r="I1446" s="6" t="s">
        <v>27</v>
      </c>
      <c r="J1446" s="6" t="s">
        <v>35</v>
      </c>
      <c r="K1446" s="7">
        <v>29.925187999999999</v>
      </c>
      <c r="L1446" s="7">
        <v>-95.300756000000007</v>
      </c>
      <c r="M1446" s="6" t="s">
        <v>198</v>
      </c>
      <c r="N1446" s="6" t="s">
        <v>24</v>
      </c>
      <c r="O1446" s="6" t="s">
        <v>23</v>
      </c>
    </row>
    <row r="1447" spans="1:15" x14ac:dyDescent="0.25">
      <c r="A1447" s="6" t="s">
        <v>8241</v>
      </c>
      <c r="B1447" s="6" t="s">
        <v>8238</v>
      </c>
      <c r="C1447" s="6" t="s">
        <v>31</v>
      </c>
      <c r="E1447" s="6" t="s">
        <v>8237</v>
      </c>
      <c r="F1447" s="6" t="s">
        <v>8236</v>
      </c>
      <c r="G1447" s="6" t="s">
        <v>16</v>
      </c>
      <c r="H1447" s="6" t="s">
        <v>15</v>
      </c>
      <c r="I1447" s="6" t="s">
        <v>14</v>
      </c>
      <c r="J1447" s="6" t="s">
        <v>632</v>
      </c>
      <c r="K1447" s="7">
        <v>30.091046030000001</v>
      </c>
      <c r="L1447" s="7">
        <v>-94.068661579999997</v>
      </c>
      <c r="M1447" s="6" t="s">
        <v>429</v>
      </c>
      <c r="N1447" s="6" t="s">
        <v>52</v>
      </c>
      <c r="O1447" s="6" t="s">
        <v>24</v>
      </c>
    </row>
    <row r="1448" spans="1:15" x14ac:dyDescent="0.25">
      <c r="A1448" s="6" t="s">
        <v>8240</v>
      </c>
      <c r="B1448" s="6" t="s">
        <v>8238</v>
      </c>
      <c r="C1448" s="6" t="s">
        <v>19</v>
      </c>
      <c r="E1448" s="6" t="s">
        <v>8237</v>
      </c>
      <c r="F1448" s="6" t="s">
        <v>8236</v>
      </c>
      <c r="G1448" s="6" t="s">
        <v>16</v>
      </c>
      <c r="H1448" s="6" t="s">
        <v>430</v>
      </c>
      <c r="I1448" s="6" t="s">
        <v>14</v>
      </c>
      <c r="J1448" s="6" t="s">
        <v>632</v>
      </c>
      <c r="K1448" s="7">
        <v>30.078908779999999</v>
      </c>
      <c r="L1448" s="7">
        <v>-94.071068830000002</v>
      </c>
      <c r="M1448" s="6" t="s">
        <v>429</v>
      </c>
      <c r="N1448" s="6" t="s">
        <v>52</v>
      </c>
      <c r="O1448" s="6" t="s">
        <v>24</v>
      </c>
    </row>
    <row r="1449" spans="1:15" x14ac:dyDescent="0.25">
      <c r="A1449" s="6" t="s">
        <v>8239</v>
      </c>
      <c r="B1449" s="6" t="s">
        <v>8238</v>
      </c>
      <c r="C1449" s="6" t="s">
        <v>597</v>
      </c>
      <c r="E1449" s="6" t="s">
        <v>8237</v>
      </c>
      <c r="F1449" s="6" t="s">
        <v>8236</v>
      </c>
      <c r="G1449" s="6" t="s">
        <v>16</v>
      </c>
      <c r="H1449" s="6" t="s">
        <v>430</v>
      </c>
      <c r="I1449" s="6" t="s">
        <v>14</v>
      </c>
      <c r="J1449" s="6" t="s">
        <v>632</v>
      </c>
      <c r="K1449" s="7">
        <v>30.078652000000002</v>
      </c>
      <c r="L1449" s="7">
        <v>-94.072805000000002</v>
      </c>
      <c r="M1449" s="6" t="s">
        <v>429</v>
      </c>
      <c r="N1449" s="6" t="s">
        <v>52</v>
      </c>
      <c r="O1449" s="6" t="s">
        <v>24</v>
      </c>
    </row>
    <row r="1450" spans="1:15" x14ac:dyDescent="0.25">
      <c r="A1450" s="6" t="s">
        <v>8509</v>
      </c>
      <c r="B1450" s="6" t="s">
        <v>8238</v>
      </c>
      <c r="C1450" s="6" t="s">
        <v>1098</v>
      </c>
      <c r="E1450" s="6" t="s">
        <v>8237</v>
      </c>
      <c r="F1450" s="6" t="s">
        <v>8236</v>
      </c>
      <c r="G1450" s="6" t="s">
        <v>16</v>
      </c>
      <c r="H1450" s="6" t="s">
        <v>430</v>
      </c>
      <c r="I1450" s="6" t="s">
        <v>14</v>
      </c>
      <c r="J1450" s="6" t="s">
        <v>632</v>
      </c>
      <c r="K1450" s="7">
        <v>30.078085000000002</v>
      </c>
      <c r="L1450" s="7">
        <v>-94.076279</v>
      </c>
      <c r="M1450" s="6" t="s">
        <v>429</v>
      </c>
      <c r="N1450" s="6" t="s">
        <v>52</v>
      </c>
      <c r="O1450" s="6" t="s">
        <v>24</v>
      </c>
    </row>
    <row r="1451" spans="1:15" x14ac:dyDescent="0.25">
      <c r="A1451" s="6" t="s">
        <v>11836</v>
      </c>
      <c r="B1451" s="6" t="s">
        <v>11835</v>
      </c>
      <c r="C1451" s="6" t="s">
        <v>31</v>
      </c>
      <c r="E1451" s="6" t="s">
        <v>11834</v>
      </c>
      <c r="F1451" s="6" t="s">
        <v>11827</v>
      </c>
      <c r="G1451" s="6" t="s">
        <v>16</v>
      </c>
      <c r="H1451" s="6" t="s">
        <v>15</v>
      </c>
      <c r="I1451" s="6" t="s">
        <v>14</v>
      </c>
      <c r="J1451" s="6" t="s">
        <v>2273</v>
      </c>
      <c r="K1451" s="7">
        <v>31.091465289999999</v>
      </c>
      <c r="L1451" s="7">
        <v>-97.907297020000001</v>
      </c>
      <c r="M1451" s="6" t="s">
        <v>7037</v>
      </c>
      <c r="N1451" s="6" t="s">
        <v>23</v>
      </c>
      <c r="O1451" s="6" t="s">
        <v>120</v>
      </c>
    </row>
    <row r="1452" spans="1:15" x14ac:dyDescent="0.25">
      <c r="A1452" s="6" t="s">
        <v>6972</v>
      </c>
      <c r="B1452" s="6" t="s">
        <v>6971</v>
      </c>
      <c r="C1452" s="6" t="s">
        <v>31</v>
      </c>
      <c r="E1452" s="6" t="s">
        <v>6970</v>
      </c>
      <c r="F1452" s="6" t="s">
        <v>1033</v>
      </c>
      <c r="G1452" s="6" t="s">
        <v>16</v>
      </c>
      <c r="H1452" s="6" t="s">
        <v>15</v>
      </c>
      <c r="I1452" s="6" t="s">
        <v>14</v>
      </c>
      <c r="J1452" s="6" t="s">
        <v>274</v>
      </c>
      <c r="K1452" s="7">
        <v>29.686402220000002</v>
      </c>
      <c r="L1452" s="7">
        <v>-98.099435589999999</v>
      </c>
      <c r="M1452" s="6" t="s">
        <v>1567</v>
      </c>
      <c r="N1452" s="6" t="s">
        <v>559</v>
      </c>
      <c r="O1452" s="6" t="s">
        <v>231</v>
      </c>
    </row>
    <row r="1453" spans="1:15" x14ac:dyDescent="0.25">
      <c r="A1453" s="6" t="s">
        <v>8243</v>
      </c>
      <c r="B1453" s="6" t="s">
        <v>6404</v>
      </c>
      <c r="C1453" s="6" t="s">
        <v>31</v>
      </c>
      <c r="E1453" s="6" t="s">
        <v>6403</v>
      </c>
      <c r="F1453" s="6" t="s">
        <v>6402</v>
      </c>
      <c r="G1453" s="6" t="s">
        <v>16</v>
      </c>
      <c r="H1453" s="6" t="s">
        <v>15</v>
      </c>
      <c r="I1453" s="6" t="s">
        <v>36</v>
      </c>
      <c r="J1453" s="6" t="s">
        <v>26</v>
      </c>
      <c r="K1453" s="7">
        <v>30.43494639</v>
      </c>
      <c r="L1453" s="7">
        <v>-95.519817579999994</v>
      </c>
      <c r="M1453" s="6" t="s">
        <v>340</v>
      </c>
      <c r="N1453" s="6" t="s">
        <v>24</v>
      </c>
      <c r="O1453" s="6" t="s">
        <v>23</v>
      </c>
    </row>
    <row r="1454" spans="1:15" x14ac:dyDescent="0.25">
      <c r="A1454" s="6" t="s">
        <v>8242</v>
      </c>
      <c r="B1454" s="6" t="s">
        <v>6404</v>
      </c>
      <c r="C1454" s="6" t="s">
        <v>19</v>
      </c>
      <c r="E1454" s="6" t="s">
        <v>6403</v>
      </c>
      <c r="F1454" s="6" t="s">
        <v>6402</v>
      </c>
      <c r="G1454" s="6" t="s">
        <v>16</v>
      </c>
      <c r="H1454" s="6" t="s">
        <v>15</v>
      </c>
      <c r="I1454" s="6" t="s">
        <v>36</v>
      </c>
      <c r="J1454" s="6" t="s">
        <v>26</v>
      </c>
      <c r="K1454" s="7">
        <v>30.445599380000001</v>
      </c>
      <c r="L1454" s="7">
        <v>-95.539693819999997</v>
      </c>
      <c r="M1454" s="6" t="s">
        <v>340</v>
      </c>
      <c r="N1454" s="6" t="s">
        <v>24</v>
      </c>
      <c r="O1454" s="6" t="s">
        <v>23</v>
      </c>
    </row>
    <row r="1455" spans="1:15" x14ac:dyDescent="0.25">
      <c r="A1455" s="6" t="s">
        <v>6406</v>
      </c>
      <c r="B1455" s="6" t="s">
        <v>6404</v>
      </c>
      <c r="C1455" s="6" t="s">
        <v>436</v>
      </c>
      <c r="E1455" s="6" t="s">
        <v>6403</v>
      </c>
      <c r="F1455" s="6" t="s">
        <v>6402</v>
      </c>
      <c r="G1455" s="6" t="s">
        <v>284</v>
      </c>
      <c r="H1455" s="6" t="s">
        <v>15</v>
      </c>
      <c r="I1455" s="6" t="s">
        <v>36</v>
      </c>
      <c r="J1455" s="6" t="s">
        <v>26</v>
      </c>
      <c r="K1455" s="7">
        <v>30.438606350000001</v>
      </c>
      <c r="L1455" s="7">
        <v>-95.530263500000004</v>
      </c>
      <c r="M1455" s="6" t="s">
        <v>340</v>
      </c>
      <c r="N1455" s="6" t="s">
        <v>24</v>
      </c>
      <c r="O1455" s="6" t="s">
        <v>23</v>
      </c>
    </row>
    <row r="1456" spans="1:15" x14ac:dyDescent="0.25">
      <c r="A1456" s="6" t="s">
        <v>6405</v>
      </c>
      <c r="B1456" s="6" t="s">
        <v>6404</v>
      </c>
      <c r="C1456" s="6" t="s">
        <v>597</v>
      </c>
      <c r="E1456" s="6" t="s">
        <v>6403</v>
      </c>
      <c r="F1456" s="6" t="s">
        <v>6402</v>
      </c>
      <c r="G1456" s="6" t="s">
        <v>284</v>
      </c>
      <c r="H1456" s="6" t="s">
        <v>28</v>
      </c>
      <c r="I1456" s="6" t="s">
        <v>36</v>
      </c>
      <c r="J1456" s="6" t="s">
        <v>26</v>
      </c>
      <c r="K1456" s="7">
        <v>30.44189034</v>
      </c>
      <c r="L1456" s="7">
        <v>-95.528661700000001</v>
      </c>
      <c r="M1456" s="6" t="s">
        <v>340</v>
      </c>
      <c r="N1456" s="6" t="s">
        <v>24</v>
      </c>
      <c r="O1456" s="6" t="s">
        <v>23</v>
      </c>
    </row>
    <row r="1457" spans="1:15" x14ac:dyDescent="0.25">
      <c r="A1457" s="6" t="s">
        <v>8246</v>
      </c>
      <c r="B1457" s="6" t="s">
        <v>8245</v>
      </c>
      <c r="C1457" s="6" t="s">
        <v>31</v>
      </c>
      <c r="E1457" s="6" t="s">
        <v>8244</v>
      </c>
      <c r="F1457" s="6" t="s">
        <v>2246</v>
      </c>
      <c r="G1457" s="6" t="s">
        <v>16</v>
      </c>
      <c r="H1457" s="6" t="s">
        <v>15</v>
      </c>
      <c r="I1457" s="6" t="s">
        <v>14</v>
      </c>
      <c r="J1457" s="6" t="s">
        <v>162</v>
      </c>
      <c r="K1457" s="7">
        <v>28.968480929999998</v>
      </c>
      <c r="L1457" s="7">
        <v>-95.346474420000007</v>
      </c>
      <c r="M1457" s="6" t="s">
        <v>244</v>
      </c>
      <c r="N1457" s="6" t="s">
        <v>23</v>
      </c>
      <c r="O1457" s="6" t="s">
        <v>23</v>
      </c>
    </row>
    <row r="1458" spans="1:15" x14ac:dyDescent="0.25">
      <c r="A1458" s="6" t="s">
        <v>4786</v>
      </c>
      <c r="B1458" s="6" t="s">
        <v>4785</v>
      </c>
      <c r="C1458" s="6" t="s">
        <v>31</v>
      </c>
      <c r="E1458" s="6" t="s">
        <v>4784</v>
      </c>
      <c r="F1458" s="6" t="s">
        <v>4783</v>
      </c>
      <c r="G1458" s="6" t="s">
        <v>16</v>
      </c>
      <c r="H1458" s="6" t="s">
        <v>28</v>
      </c>
      <c r="I1458" s="6" t="s">
        <v>73</v>
      </c>
      <c r="J1458" s="6" t="s">
        <v>781</v>
      </c>
      <c r="K1458" s="7">
        <v>32.596863999999997</v>
      </c>
      <c r="L1458" s="7">
        <v>-94.456985000000003</v>
      </c>
      <c r="M1458" s="6" t="s">
        <v>662</v>
      </c>
      <c r="N1458" s="6" t="s">
        <v>42</v>
      </c>
      <c r="O1458" s="6" t="s">
        <v>65</v>
      </c>
    </row>
    <row r="1459" spans="1:15" x14ac:dyDescent="0.25">
      <c r="A1459" s="6" t="s">
        <v>8496</v>
      </c>
      <c r="B1459" s="6" t="s">
        <v>8494</v>
      </c>
      <c r="C1459" s="6" t="s">
        <v>31</v>
      </c>
      <c r="E1459" s="6" t="s">
        <v>8493</v>
      </c>
      <c r="F1459" s="6" t="s">
        <v>8492</v>
      </c>
      <c r="G1459" s="6" t="s">
        <v>16</v>
      </c>
      <c r="H1459" s="6" t="s">
        <v>15</v>
      </c>
      <c r="I1459" s="6" t="s">
        <v>46</v>
      </c>
      <c r="J1459" s="6" t="s">
        <v>3459</v>
      </c>
      <c r="K1459" s="7">
        <v>31.18448369</v>
      </c>
      <c r="L1459" s="7">
        <v>-96.486238420000006</v>
      </c>
      <c r="M1459" s="6" t="s">
        <v>927</v>
      </c>
      <c r="N1459" s="6" t="s">
        <v>23</v>
      </c>
      <c r="O1459" s="6" t="s">
        <v>120</v>
      </c>
    </row>
    <row r="1460" spans="1:15" x14ac:dyDescent="0.25">
      <c r="A1460" s="6" t="s">
        <v>8495</v>
      </c>
      <c r="B1460" s="6" t="s">
        <v>8494</v>
      </c>
      <c r="C1460" s="6" t="s">
        <v>19</v>
      </c>
      <c r="E1460" s="6" t="s">
        <v>8493</v>
      </c>
      <c r="F1460" s="6" t="s">
        <v>8492</v>
      </c>
      <c r="G1460" s="6" t="s">
        <v>16</v>
      </c>
      <c r="H1460" s="6" t="s">
        <v>15</v>
      </c>
      <c r="I1460" s="6" t="s">
        <v>46</v>
      </c>
      <c r="J1460" s="6" t="s">
        <v>3459</v>
      </c>
      <c r="K1460" s="7">
        <v>31.176065999999999</v>
      </c>
      <c r="L1460" s="7">
        <v>-96.487842000000001</v>
      </c>
      <c r="M1460" s="6" t="s">
        <v>927</v>
      </c>
      <c r="N1460" s="6" t="s">
        <v>23</v>
      </c>
      <c r="O1460" s="6" t="s">
        <v>120</v>
      </c>
    </row>
    <row r="1461" spans="1:15" x14ac:dyDescent="0.25">
      <c r="A1461" s="6" t="s">
        <v>12276</v>
      </c>
      <c r="B1461" s="6" t="s">
        <v>12275</v>
      </c>
      <c r="C1461" s="6" t="s">
        <v>31</v>
      </c>
      <c r="E1461" s="6" t="s">
        <v>12274</v>
      </c>
      <c r="F1461" s="6" t="s">
        <v>12273</v>
      </c>
      <c r="G1461" s="6" t="s">
        <v>16</v>
      </c>
      <c r="H1461" s="6" t="s">
        <v>28</v>
      </c>
      <c r="I1461" s="6" t="s">
        <v>73</v>
      </c>
      <c r="J1461" s="6" t="s">
        <v>1013</v>
      </c>
      <c r="K1461" s="7">
        <v>31.194474</v>
      </c>
      <c r="L1461" s="7">
        <v>-94.360307000000006</v>
      </c>
      <c r="M1461" s="6" t="s">
        <v>644</v>
      </c>
      <c r="N1461" s="6" t="s">
        <v>52</v>
      </c>
      <c r="O1461" s="6" t="s">
        <v>24</v>
      </c>
    </row>
    <row r="1462" spans="1:15" x14ac:dyDescent="0.25">
      <c r="A1462" s="6" t="s">
        <v>3833</v>
      </c>
      <c r="B1462" s="6" t="s">
        <v>3832</v>
      </c>
      <c r="C1462" s="6" t="s">
        <v>31</v>
      </c>
      <c r="E1462" s="6" t="s">
        <v>3831</v>
      </c>
      <c r="F1462" s="6" t="s">
        <v>3830</v>
      </c>
      <c r="G1462" s="6" t="s">
        <v>16</v>
      </c>
      <c r="H1462" s="6" t="s">
        <v>28</v>
      </c>
      <c r="I1462" s="6" t="s">
        <v>1200</v>
      </c>
      <c r="J1462" s="6" t="s">
        <v>35</v>
      </c>
      <c r="K1462" s="7">
        <v>29.828033000000001</v>
      </c>
      <c r="L1462" s="7">
        <v>-95.622827999999998</v>
      </c>
      <c r="M1462" s="6" t="s">
        <v>131</v>
      </c>
      <c r="N1462" s="6" t="s">
        <v>24</v>
      </c>
      <c r="O1462" s="6" t="s">
        <v>23</v>
      </c>
    </row>
    <row r="1463" spans="1:15" x14ac:dyDescent="0.25">
      <c r="A1463" s="6" t="s">
        <v>10212</v>
      </c>
      <c r="B1463" s="6" t="s">
        <v>10211</v>
      </c>
      <c r="C1463" s="6" t="s">
        <v>31</v>
      </c>
      <c r="E1463" s="6" t="s">
        <v>10210</v>
      </c>
      <c r="F1463" s="6" t="s">
        <v>4160</v>
      </c>
      <c r="G1463" s="6" t="s">
        <v>16</v>
      </c>
      <c r="H1463" s="6" t="s">
        <v>28</v>
      </c>
      <c r="I1463" s="6" t="s">
        <v>73</v>
      </c>
      <c r="J1463" s="6" t="s">
        <v>2287</v>
      </c>
      <c r="K1463" s="7">
        <v>30.849859420000001</v>
      </c>
      <c r="L1463" s="7">
        <v>-94.172166320000002</v>
      </c>
      <c r="M1463" s="6" t="s">
        <v>8381</v>
      </c>
      <c r="N1463" s="6" t="s">
        <v>52</v>
      </c>
      <c r="O1463" s="6" t="s">
        <v>24</v>
      </c>
    </row>
    <row r="1464" spans="1:15" x14ac:dyDescent="0.25">
      <c r="A1464" s="6" t="s">
        <v>8504</v>
      </c>
      <c r="B1464" s="6" t="s">
        <v>5111</v>
      </c>
      <c r="C1464" s="6" t="s">
        <v>31</v>
      </c>
      <c r="E1464" s="6" t="s">
        <v>5110</v>
      </c>
      <c r="F1464" s="6" t="s">
        <v>37</v>
      </c>
      <c r="G1464" s="6" t="s">
        <v>16</v>
      </c>
      <c r="H1464" s="6" t="s">
        <v>430</v>
      </c>
      <c r="I1464" s="6" t="s">
        <v>14</v>
      </c>
      <c r="J1464" s="6" t="s">
        <v>35</v>
      </c>
      <c r="K1464" s="7">
        <v>29.73949236</v>
      </c>
      <c r="L1464" s="7">
        <v>-95.10063117</v>
      </c>
      <c r="M1464" s="6" t="s">
        <v>34</v>
      </c>
      <c r="N1464" s="6" t="s">
        <v>24</v>
      </c>
      <c r="O1464" s="6" t="s">
        <v>23</v>
      </c>
    </row>
    <row r="1465" spans="1:15" x14ac:dyDescent="0.25">
      <c r="A1465" s="6" t="s">
        <v>5112</v>
      </c>
      <c r="B1465" s="6" t="s">
        <v>5111</v>
      </c>
      <c r="C1465" s="6" t="s">
        <v>19</v>
      </c>
      <c r="D1465" s="6" t="s">
        <v>8503</v>
      </c>
      <c r="E1465" s="6" t="s">
        <v>5110</v>
      </c>
      <c r="F1465" s="6" t="s">
        <v>37</v>
      </c>
      <c r="G1465" s="6" t="s">
        <v>16</v>
      </c>
      <c r="H1465" s="6" t="s">
        <v>15</v>
      </c>
      <c r="I1465" s="6" t="s">
        <v>14</v>
      </c>
      <c r="J1465" s="6" t="s">
        <v>35</v>
      </c>
      <c r="K1465" s="7">
        <v>29.7320864</v>
      </c>
      <c r="L1465" s="7">
        <v>-95.097647080000002</v>
      </c>
      <c r="M1465" s="6" t="s">
        <v>34</v>
      </c>
      <c r="N1465" s="6" t="s">
        <v>24</v>
      </c>
      <c r="O1465" s="6" t="s">
        <v>23</v>
      </c>
    </row>
    <row r="1466" spans="1:15" x14ac:dyDescent="0.25">
      <c r="A1466" s="6" t="s">
        <v>5112</v>
      </c>
      <c r="B1466" s="6" t="s">
        <v>5111</v>
      </c>
      <c r="C1466" s="6" t="s">
        <v>19</v>
      </c>
      <c r="D1466" s="6" t="s">
        <v>284</v>
      </c>
      <c r="E1466" s="6" t="s">
        <v>5110</v>
      </c>
      <c r="F1466" s="6" t="s">
        <v>37</v>
      </c>
      <c r="G1466" s="6" t="s">
        <v>284</v>
      </c>
      <c r="H1466" s="6" t="s">
        <v>15</v>
      </c>
      <c r="I1466" s="6" t="s">
        <v>14</v>
      </c>
      <c r="J1466" s="6" t="s">
        <v>35</v>
      </c>
      <c r="K1466" s="7">
        <v>29.74422805</v>
      </c>
      <c r="L1466" s="7">
        <v>-95.09983794</v>
      </c>
      <c r="M1466" s="6" t="s">
        <v>34</v>
      </c>
      <c r="N1466" s="6" t="s">
        <v>24</v>
      </c>
      <c r="O1466" s="6" t="s">
        <v>23</v>
      </c>
    </row>
    <row r="1467" spans="1:15" x14ac:dyDescent="0.25">
      <c r="A1467" s="6" t="s">
        <v>8502</v>
      </c>
      <c r="B1467" s="6" t="s">
        <v>5111</v>
      </c>
      <c r="C1467" s="6" t="s">
        <v>436</v>
      </c>
      <c r="E1467" s="6" t="s">
        <v>5110</v>
      </c>
      <c r="F1467" s="6" t="s">
        <v>37</v>
      </c>
      <c r="G1467" s="6" t="s">
        <v>16</v>
      </c>
      <c r="H1467" s="6" t="s">
        <v>430</v>
      </c>
      <c r="I1467" s="6" t="s">
        <v>14</v>
      </c>
      <c r="J1467" s="6" t="s">
        <v>35</v>
      </c>
      <c r="K1467" s="7">
        <v>29.732948820000001</v>
      </c>
      <c r="L1467" s="7">
        <v>-95.093316329999993</v>
      </c>
      <c r="M1467" s="6" t="s">
        <v>34</v>
      </c>
      <c r="N1467" s="6" t="s">
        <v>24</v>
      </c>
      <c r="O1467" s="6" t="s">
        <v>23</v>
      </c>
    </row>
    <row r="1468" spans="1:15" x14ac:dyDescent="0.25">
      <c r="A1468" s="6" t="s">
        <v>8501</v>
      </c>
      <c r="B1468" s="6" t="s">
        <v>5111</v>
      </c>
      <c r="C1468" s="6" t="s">
        <v>597</v>
      </c>
      <c r="E1468" s="6" t="s">
        <v>5110</v>
      </c>
      <c r="F1468" s="6" t="s">
        <v>37</v>
      </c>
      <c r="G1468" s="6" t="s">
        <v>16</v>
      </c>
      <c r="H1468" s="6" t="s">
        <v>430</v>
      </c>
      <c r="I1468" s="6" t="s">
        <v>14</v>
      </c>
      <c r="J1468" s="6" t="s">
        <v>35</v>
      </c>
      <c r="K1468" s="7">
        <v>29.73294873</v>
      </c>
      <c r="L1468" s="7">
        <v>-95.093316590000001</v>
      </c>
      <c r="M1468" s="6" t="s">
        <v>34</v>
      </c>
      <c r="N1468" s="6" t="s">
        <v>24</v>
      </c>
      <c r="O1468" s="6" t="s">
        <v>23</v>
      </c>
    </row>
    <row r="1469" spans="1:15" x14ac:dyDescent="0.25">
      <c r="A1469" s="6" t="s">
        <v>8500</v>
      </c>
      <c r="B1469" s="6" t="s">
        <v>5111</v>
      </c>
      <c r="C1469" s="6" t="s">
        <v>557</v>
      </c>
      <c r="E1469" s="6" t="s">
        <v>5110</v>
      </c>
      <c r="F1469" s="6" t="s">
        <v>37</v>
      </c>
      <c r="G1469" s="6" t="s">
        <v>16</v>
      </c>
      <c r="H1469" s="6" t="s">
        <v>430</v>
      </c>
      <c r="I1469" s="6" t="s">
        <v>14</v>
      </c>
      <c r="J1469" s="6" t="s">
        <v>35</v>
      </c>
      <c r="K1469" s="7">
        <v>29.736573969999998</v>
      </c>
      <c r="L1469" s="7">
        <v>-95.099709390000001</v>
      </c>
      <c r="M1469" s="6" t="s">
        <v>34</v>
      </c>
      <c r="N1469" s="6" t="s">
        <v>24</v>
      </c>
      <c r="O1469" s="6" t="s">
        <v>23</v>
      </c>
    </row>
    <row r="1470" spans="1:15" x14ac:dyDescent="0.25">
      <c r="A1470" s="6" t="s">
        <v>8499</v>
      </c>
      <c r="B1470" s="6" t="s">
        <v>5111</v>
      </c>
      <c r="C1470" s="6" t="s">
        <v>433</v>
      </c>
      <c r="E1470" s="6" t="s">
        <v>5110</v>
      </c>
      <c r="F1470" s="6" t="s">
        <v>37</v>
      </c>
      <c r="G1470" s="6" t="s">
        <v>16</v>
      </c>
      <c r="H1470" s="6" t="s">
        <v>430</v>
      </c>
      <c r="I1470" s="6" t="s">
        <v>14</v>
      </c>
      <c r="J1470" s="6" t="s">
        <v>35</v>
      </c>
      <c r="K1470" s="7">
        <v>29.735714730000002</v>
      </c>
      <c r="L1470" s="7">
        <v>-95.099220619999997</v>
      </c>
      <c r="M1470" s="6" t="s">
        <v>34</v>
      </c>
      <c r="N1470" s="6" t="s">
        <v>24</v>
      </c>
      <c r="O1470" s="6" t="s">
        <v>23</v>
      </c>
    </row>
    <row r="1471" spans="1:15" x14ac:dyDescent="0.25">
      <c r="A1471" s="6" t="s">
        <v>8498</v>
      </c>
      <c r="B1471" s="6" t="s">
        <v>5111</v>
      </c>
      <c r="C1471" s="6" t="s">
        <v>1096</v>
      </c>
      <c r="E1471" s="6" t="s">
        <v>5110</v>
      </c>
      <c r="F1471" s="6" t="s">
        <v>37</v>
      </c>
      <c r="G1471" s="6" t="s">
        <v>16</v>
      </c>
      <c r="H1471" s="6" t="s">
        <v>430</v>
      </c>
      <c r="I1471" s="6" t="s">
        <v>14</v>
      </c>
      <c r="J1471" s="6" t="s">
        <v>35</v>
      </c>
      <c r="K1471" s="7">
        <v>29.74245436</v>
      </c>
      <c r="L1471" s="7">
        <v>-95.098132289999995</v>
      </c>
      <c r="M1471" s="6" t="s">
        <v>34</v>
      </c>
      <c r="N1471" s="6" t="s">
        <v>24</v>
      </c>
      <c r="O1471" s="6" t="s">
        <v>23</v>
      </c>
    </row>
    <row r="1472" spans="1:15" x14ac:dyDescent="0.25">
      <c r="A1472" s="6" t="s">
        <v>8497</v>
      </c>
      <c r="B1472" s="6" t="s">
        <v>5111</v>
      </c>
      <c r="C1472" s="6" t="s">
        <v>635</v>
      </c>
      <c r="E1472" s="6" t="s">
        <v>5110</v>
      </c>
      <c r="F1472" s="6" t="s">
        <v>37</v>
      </c>
      <c r="G1472" s="6" t="s">
        <v>16</v>
      </c>
      <c r="H1472" s="6" t="s">
        <v>430</v>
      </c>
      <c r="I1472" s="6" t="s">
        <v>14</v>
      </c>
      <c r="J1472" s="6" t="s">
        <v>35</v>
      </c>
      <c r="K1472" s="7">
        <v>29.73505132</v>
      </c>
      <c r="L1472" s="7">
        <v>-95.098752559999994</v>
      </c>
      <c r="M1472" s="6" t="s">
        <v>34</v>
      </c>
      <c r="N1472" s="6" t="s">
        <v>24</v>
      </c>
      <c r="O1472" s="6" t="s">
        <v>23</v>
      </c>
    </row>
    <row r="1473" spans="1:15" x14ac:dyDescent="0.25">
      <c r="A1473" s="6" t="s">
        <v>3759</v>
      </c>
      <c r="B1473" s="6" t="s">
        <v>3758</v>
      </c>
      <c r="C1473" s="6" t="s">
        <v>31</v>
      </c>
      <c r="E1473" s="6" t="s">
        <v>3757</v>
      </c>
      <c r="F1473" s="6" t="s">
        <v>592</v>
      </c>
      <c r="G1473" s="6" t="s">
        <v>16</v>
      </c>
      <c r="H1473" s="6" t="s">
        <v>591</v>
      </c>
      <c r="I1473" s="6" t="s">
        <v>46</v>
      </c>
      <c r="J1473" s="6" t="s">
        <v>1831</v>
      </c>
      <c r="K1473" s="7">
        <v>33.225377000000002</v>
      </c>
      <c r="L1473" s="7">
        <v>-95.017996999999994</v>
      </c>
      <c r="M1473" s="6" t="s">
        <v>96</v>
      </c>
      <c r="N1473" s="6" t="s">
        <v>95</v>
      </c>
      <c r="O1473" s="6" t="s">
        <v>65</v>
      </c>
    </row>
    <row r="1474" spans="1:15" x14ac:dyDescent="0.25">
      <c r="A1474" s="6" t="s">
        <v>11607</v>
      </c>
      <c r="B1474" s="6" t="s">
        <v>11606</v>
      </c>
      <c r="C1474" s="6" t="s">
        <v>31</v>
      </c>
      <c r="E1474" s="6" t="s">
        <v>11605</v>
      </c>
      <c r="F1474" s="6" t="s">
        <v>11604</v>
      </c>
      <c r="G1474" s="6" t="s">
        <v>16</v>
      </c>
      <c r="H1474" s="6" t="s">
        <v>28</v>
      </c>
      <c r="I1474" s="6" t="s">
        <v>27</v>
      </c>
      <c r="J1474" s="6" t="s">
        <v>234</v>
      </c>
      <c r="K1474" s="7">
        <v>29.180399000000001</v>
      </c>
      <c r="L1474" s="7">
        <v>-98.865825999999998</v>
      </c>
      <c r="M1474" s="6" t="s">
        <v>1675</v>
      </c>
      <c r="N1474" s="6" t="s">
        <v>524</v>
      </c>
      <c r="O1474" s="6" t="s">
        <v>231</v>
      </c>
    </row>
    <row r="1475" spans="1:15" x14ac:dyDescent="0.25">
      <c r="A1475" s="6" t="s">
        <v>12323</v>
      </c>
      <c r="B1475" s="6" t="s">
        <v>12322</v>
      </c>
      <c r="C1475" s="6" t="s">
        <v>31</v>
      </c>
      <c r="E1475" s="6" t="s">
        <v>12321</v>
      </c>
      <c r="F1475" s="6" t="s">
        <v>12320</v>
      </c>
      <c r="G1475" s="6" t="s">
        <v>16</v>
      </c>
      <c r="H1475" s="6" t="s">
        <v>28</v>
      </c>
      <c r="I1475" s="6" t="s">
        <v>27</v>
      </c>
      <c r="J1475" s="6" t="s">
        <v>26</v>
      </c>
      <c r="K1475" s="7">
        <v>30.414770300000001</v>
      </c>
      <c r="L1475" s="7">
        <v>-95.428754870000006</v>
      </c>
      <c r="M1475" s="6" t="s">
        <v>59</v>
      </c>
      <c r="N1475" s="6" t="s">
        <v>24</v>
      </c>
      <c r="O1475" s="6" t="s">
        <v>23</v>
      </c>
    </row>
    <row r="1476" spans="1:15" x14ac:dyDescent="0.25">
      <c r="A1476" s="6" t="s">
        <v>12330</v>
      </c>
      <c r="B1476" s="6" t="s">
        <v>12329</v>
      </c>
      <c r="C1476" s="6" t="s">
        <v>31</v>
      </c>
      <c r="E1476" s="6" t="s">
        <v>12328</v>
      </c>
      <c r="F1476" s="6" t="s">
        <v>895</v>
      </c>
      <c r="G1476" s="6" t="s">
        <v>16</v>
      </c>
      <c r="H1476" s="6" t="s">
        <v>15</v>
      </c>
      <c r="I1476" s="6" t="s">
        <v>14</v>
      </c>
      <c r="J1476" s="6" t="s">
        <v>35</v>
      </c>
      <c r="K1476" s="7">
        <v>29.812420700000001</v>
      </c>
      <c r="L1476" s="7">
        <v>-95.20236749</v>
      </c>
      <c r="M1476" s="6" t="s">
        <v>34</v>
      </c>
      <c r="N1476" s="6" t="s">
        <v>24</v>
      </c>
      <c r="O1476" s="6" t="s">
        <v>23</v>
      </c>
    </row>
    <row r="1477" spans="1:15" x14ac:dyDescent="0.25">
      <c r="A1477" s="6" t="s">
        <v>12319</v>
      </c>
      <c r="B1477" s="6" t="s">
        <v>12318</v>
      </c>
      <c r="C1477" s="6" t="s">
        <v>31</v>
      </c>
      <c r="E1477" s="6" t="s">
        <v>12317</v>
      </c>
      <c r="F1477" s="6" t="s">
        <v>12316</v>
      </c>
      <c r="G1477" s="6" t="s">
        <v>16</v>
      </c>
      <c r="H1477" s="6" t="s">
        <v>28</v>
      </c>
      <c r="I1477" s="6" t="s">
        <v>27</v>
      </c>
      <c r="J1477" s="6" t="s">
        <v>1074</v>
      </c>
      <c r="K1477" s="7">
        <v>29.618075999999999</v>
      </c>
      <c r="L1477" s="7">
        <v>-96.024835999999993</v>
      </c>
      <c r="M1477" s="6" t="s">
        <v>355</v>
      </c>
      <c r="N1477" s="6" t="s">
        <v>23</v>
      </c>
      <c r="O1477" s="6" t="s">
        <v>23</v>
      </c>
    </row>
    <row r="1478" spans="1:15" x14ac:dyDescent="0.25">
      <c r="A1478" s="6" t="s">
        <v>3238</v>
      </c>
      <c r="B1478" s="6" t="s">
        <v>3237</v>
      </c>
      <c r="C1478" s="6" t="s">
        <v>31</v>
      </c>
      <c r="E1478" s="6" t="s">
        <v>3236</v>
      </c>
      <c r="F1478" s="6" t="s">
        <v>3235</v>
      </c>
      <c r="G1478" s="6" t="s">
        <v>16</v>
      </c>
      <c r="H1478" s="6" t="s">
        <v>28</v>
      </c>
      <c r="I1478" s="6" t="s">
        <v>60</v>
      </c>
      <c r="J1478" s="6" t="s">
        <v>2101</v>
      </c>
      <c r="K1478" s="7">
        <v>33.787331610000003</v>
      </c>
      <c r="L1478" s="7">
        <v>-96.668931139999998</v>
      </c>
      <c r="M1478" s="6" t="s">
        <v>2906</v>
      </c>
      <c r="N1478" s="6" t="s">
        <v>43</v>
      </c>
      <c r="O1478" s="6" t="s">
        <v>42</v>
      </c>
    </row>
    <row r="1479" spans="1:15" x14ac:dyDescent="0.25">
      <c r="A1479" s="6" t="s">
        <v>3725</v>
      </c>
      <c r="B1479" s="6" t="s">
        <v>3724</v>
      </c>
      <c r="C1479" s="6" t="s">
        <v>31</v>
      </c>
      <c r="E1479" s="6" t="s">
        <v>3723</v>
      </c>
      <c r="F1479" s="6" t="s">
        <v>3722</v>
      </c>
      <c r="G1479" s="6" t="s">
        <v>16</v>
      </c>
      <c r="H1479" s="6" t="s">
        <v>15</v>
      </c>
      <c r="I1479" s="6" t="s">
        <v>46</v>
      </c>
      <c r="J1479" s="6" t="s">
        <v>375</v>
      </c>
      <c r="K1479" s="7">
        <v>26.36815558</v>
      </c>
      <c r="L1479" s="7">
        <v>-98.804682029999995</v>
      </c>
      <c r="M1479" s="6" t="s">
        <v>374</v>
      </c>
      <c r="N1479" s="6" t="s">
        <v>373</v>
      </c>
      <c r="O1479" s="6" t="s">
        <v>22</v>
      </c>
    </row>
    <row r="1480" spans="1:15" x14ac:dyDescent="0.25">
      <c r="A1480" s="6" t="s">
        <v>4320</v>
      </c>
      <c r="B1480" s="6" t="s">
        <v>4318</v>
      </c>
      <c r="C1480" s="6" t="s">
        <v>31</v>
      </c>
      <c r="E1480" s="6" t="s">
        <v>4317</v>
      </c>
      <c r="F1480" s="6" t="s">
        <v>4316</v>
      </c>
      <c r="G1480" s="6" t="s">
        <v>16</v>
      </c>
      <c r="H1480" s="6" t="s">
        <v>15</v>
      </c>
      <c r="I1480" s="6" t="s">
        <v>14</v>
      </c>
      <c r="J1480" s="6" t="s">
        <v>385</v>
      </c>
      <c r="K1480" s="7">
        <v>29.83802201</v>
      </c>
      <c r="L1480" s="7">
        <v>-93.967102609999998</v>
      </c>
      <c r="M1480" s="6" t="s">
        <v>610</v>
      </c>
      <c r="N1480" s="6" t="s">
        <v>383</v>
      </c>
      <c r="O1480" s="6" t="s">
        <v>24</v>
      </c>
    </row>
    <row r="1481" spans="1:15" x14ac:dyDescent="0.25">
      <c r="A1481" s="6" t="s">
        <v>4319</v>
      </c>
      <c r="B1481" s="6" t="s">
        <v>4318</v>
      </c>
      <c r="C1481" s="6" t="s">
        <v>19</v>
      </c>
      <c r="E1481" s="6" t="s">
        <v>4317</v>
      </c>
      <c r="F1481" s="6" t="s">
        <v>4316</v>
      </c>
      <c r="G1481" s="6" t="s">
        <v>16</v>
      </c>
      <c r="H1481" s="6" t="s">
        <v>28</v>
      </c>
      <c r="I1481" s="6" t="s">
        <v>14</v>
      </c>
      <c r="J1481" s="6" t="s">
        <v>385</v>
      </c>
      <c r="K1481" s="7">
        <v>29.83378901</v>
      </c>
      <c r="L1481" s="7">
        <v>-93.963445280000002</v>
      </c>
      <c r="M1481" s="6" t="s">
        <v>610</v>
      </c>
      <c r="N1481" s="6" t="s">
        <v>383</v>
      </c>
      <c r="O1481" s="6" t="s">
        <v>24</v>
      </c>
    </row>
    <row r="1482" spans="1:15" x14ac:dyDescent="0.25">
      <c r="A1482" s="6" t="s">
        <v>7860</v>
      </c>
      <c r="B1482" s="6" t="s">
        <v>7859</v>
      </c>
      <c r="C1482" s="6" t="s">
        <v>31</v>
      </c>
      <c r="E1482" s="6" t="s">
        <v>7858</v>
      </c>
      <c r="F1482" s="6" t="s">
        <v>7857</v>
      </c>
      <c r="G1482" s="6" t="s">
        <v>16</v>
      </c>
      <c r="H1482" s="6" t="s">
        <v>28</v>
      </c>
      <c r="I1482" s="6" t="s">
        <v>14</v>
      </c>
      <c r="J1482" s="6" t="s">
        <v>26</v>
      </c>
      <c r="K1482" s="7">
        <v>30.397936000000001</v>
      </c>
      <c r="L1482" s="7">
        <v>-95.476855999999998</v>
      </c>
      <c r="M1482" s="6" t="s">
        <v>1022</v>
      </c>
      <c r="N1482" s="6" t="s">
        <v>24</v>
      </c>
      <c r="O1482" s="6" t="s">
        <v>23</v>
      </c>
    </row>
    <row r="1483" spans="1:15" x14ac:dyDescent="0.25">
      <c r="A1483" s="6" t="s">
        <v>12315</v>
      </c>
      <c r="B1483" s="6" t="s">
        <v>12314</v>
      </c>
      <c r="C1483" s="6" t="s">
        <v>31</v>
      </c>
      <c r="E1483" s="6" t="s">
        <v>12313</v>
      </c>
      <c r="F1483" s="6" t="s">
        <v>10586</v>
      </c>
      <c r="G1483" s="6" t="s">
        <v>16</v>
      </c>
      <c r="H1483" s="6" t="s">
        <v>28</v>
      </c>
      <c r="I1483" s="6" t="s">
        <v>27</v>
      </c>
      <c r="J1483" s="6" t="s">
        <v>853</v>
      </c>
      <c r="K1483" s="7">
        <v>29.876902000000001</v>
      </c>
      <c r="L1483" s="7">
        <v>-94.830055999999999</v>
      </c>
      <c r="M1483" s="6" t="s">
        <v>894</v>
      </c>
      <c r="N1483" s="6" t="s">
        <v>120</v>
      </c>
      <c r="O1483" s="6" t="s">
        <v>23</v>
      </c>
    </row>
    <row r="1484" spans="1:15" x14ac:dyDescent="0.25">
      <c r="A1484" s="6" t="s">
        <v>4315</v>
      </c>
      <c r="B1484" s="6" t="s">
        <v>2476</v>
      </c>
      <c r="C1484" s="6" t="s">
        <v>31</v>
      </c>
      <c r="E1484" s="6" t="s">
        <v>2475</v>
      </c>
      <c r="F1484" s="6" t="s">
        <v>2474</v>
      </c>
      <c r="G1484" s="6" t="s">
        <v>16</v>
      </c>
      <c r="H1484" s="6" t="s">
        <v>15</v>
      </c>
      <c r="I1484" s="6" t="s">
        <v>46</v>
      </c>
      <c r="J1484" s="6" t="s">
        <v>385</v>
      </c>
      <c r="K1484" s="7">
        <v>30.070103</v>
      </c>
      <c r="L1484" s="7">
        <v>-94.224952000000002</v>
      </c>
      <c r="M1484" s="6" t="s">
        <v>2473</v>
      </c>
      <c r="N1484" s="6" t="s">
        <v>383</v>
      </c>
      <c r="O1484" s="6" t="s">
        <v>24</v>
      </c>
    </row>
    <row r="1485" spans="1:15" x14ac:dyDescent="0.25">
      <c r="A1485" s="6" t="s">
        <v>2477</v>
      </c>
      <c r="B1485" s="6" t="s">
        <v>2476</v>
      </c>
      <c r="C1485" s="6" t="s">
        <v>19</v>
      </c>
      <c r="E1485" s="6" t="s">
        <v>2475</v>
      </c>
      <c r="F1485" s="6" t="s">
        <v>2474</v>
      </c>
      <c r="G1485" s="6" t="s">
        <v>16</v>
      </c>
      <c r="H1485" s="6" t="s">
        <v>430</v>
      </c>
      <c r="I1485" s="6" t="s">
        <v>46</v>
      </c>
      <c r="J1485" s="6" t="s">
        <v>385</v>
      </c>
      <c r="K1485" s="7">
        <v>30.074447939999999</v>
      </c>
      <c r="L1485" s="7">
        <v>-94.223317219999998</v>
      </c>
      <c r="M1485" s="6" t="s">
        <v>2473</v>
      </c>
      <c r="N1485" s="6" t="s">
        <v>383</v>
      </c>
      <c r="O1485" s="6" t="s">
        <v>24</v>
      </c>
    </row>
    <row r="1486" spans="1:15" x14ac:dyDescent="0.25">
      <c r="A1486" s="6" t="s">
        <v>11920</v>
      </c>
      <c r="B1486" s="6" t="s">
        <v>11919</v>
      </c>
      <c r="C1486" s="6" t="s">
        <v>31</v>
      </c>
      <c r="E1486" s="6" t="s">
        <v>11918</v>
      </c>
      <c r="F1486" s="6" t="s">
        <v>11917</v>
      </c>
      <c r="G1486" s="6" t="s">
        <v>16</v>
      </c>
      <c r="H1486" s="6" t="s">
        <v>28</v>
      </c>
      <c r="I1486" s="6" t="s">
        <v>46</v>
      </c>
      <c r="J1486" s="6" t="s">
        <v>1013</v>
      </c>
      <c r="K1486" s="7">
        <v>31.308973999999999</v>
      </c>
      <c r="L1486" s="7">
        <v>-94.817535000000007</v>
      </c>
      <c r="M1486" s="6" t="s">
        <v>53</v>
      </c>
      <c r="N1486" s="6" t="s">
        <v>52</v>
      </c>
      <c r="O1486" s="6" t="s">
        <v>24</v>
      </c>
    </row>
    <row r="1487" spans="1:15" x14ac:dyDescent="0.25">
      <c r="A1487" s="6" t="s">
        <v>2700</v>
      </c>
      <c r="B1487" s="6" t="s">
        <v>2699</v>
      </c>
      <c r="C1487" s="6" t="s">
        <v>31</v>
      </c>
      <c r="E1487" s="6" t="s">
        <v>2698</v>
      </c>
      <c r="F1487" s="6" t="s">
        <v>2697</v>
      </c>
      <c r="G1487" s="6" t="s">
        <v>16</v>
      </c>
      <c r="H1487" s="6" t="s">
        <v>28</v>
      </c>
      <c r="I1487" s="6" t="s">
        <v>73</v>
      </c>
      <c r="J1487" s="6" t="s">
        <v>2696</v>
      </c>
      <c r="K1487" s="7">
        <v>31.942526000000001</v>
      </c>
      <c r="L1487" s="7">
        <v>-94.231202999999994</v>
      </c>
      <c r="M1487" s="6" t="s">
        <v>2695</v>
      </c>
      <c r="N1487" s="6" t="s">
        <v>65</v>
      </c>
      <c r="O1487" s="6" t="s">
        <v>24</v>
      </c>
    </row>
    <row r="1488" spans="1:15" x14ac:dyDescent="0.25">
      <c r="A1488" s="6" t="s">
        <v>2207</v>
      </c>
      <c r="B1488" s="6" t="s">
        <v>2206</v>
      </c>
      <c r="C1488" s="6" t="s">
        <v>31</v>
      </c>
      <c r="E1488" s="6" t="s">
        <v>2205</v>
      </c>
      <c r="F1488" s="6" t="s">
        <v>2204</v>
      </c>
      <c r="G1488" s="6" t="s">
        <v>16</v>
      </c>
      <c r="H1488" s="6" t="s">
        <v>28</v>
      </c>
      <c r="I1488" s="6" t="s">
        <v>27</v>
      </c>
      <c r="J1488" s="6" t="s">
        <v>132</v>
      </c>
      <c r="K1488" s="7">
        <v>29.593281000000001</v>
      </c>
      <c r="L1488" s="7">
        <v>-95.973258999999999</v>
      </c>
      <c r="M1488" s="6" t="s">
        <v>355</v>
      </c>
      <c r="N1488" s="6" t="s">
        <v>23</v>
      </c>
      <c r="O1488" s="6" t="s">
        <v>23</v>
      </c>
    </row>
    <row r="1489" spans="1:15" x14ac:dyDescent="0.25">
      <c r="A1489" s="6" t="s">
        <v>11896</v>
      </c>
      <c r="B1489" s="6" t="s">
        <v>11895</v>
      </c>
      <c r="C1489" s="6" t="s">
        <v>31</v>
      </c>
      <c r="E1489" s="6" t="s">
        <v>11894</v>
      </c>
      <c r="F1489" s="6" t="s">
        <v>11681</v>
      </c>
      <c r="G1489" s="6" t="s">
        <v>16</v>
      </c>
      <c r="H1489" s="6" t="s">
        <v>28</v>
      </c>
      <c r="I1489" s="6" t="s">
        <v>60</v>
      </c>
      <c r="J1489" s="6" t="s">
        <v>2267</v>
      </c>
      <c r="K1489" s="7">
        <v>32.238796000000001</v>
      </c>
      <c r="L1489" s="7">
        <v>-96.144656999999995</v>
      </c>
      <c r="M1489" s="6" t="s">
        <v>1031</v>
      </c>
      <c r="N1489" s="6" t="s">
        <v>102</v>
      </c>
      <c r="O1489" s="6" t="s">
        <v>65</v>
      </c>
    </row>
    <row r="1490" spans="1:15" x14ac:dyDescent="0.25">
      <c r="A1490" s="6" t="s">
        <v>3743</v>
      </c>
      <c r="B1490" s="6" t="s">
        <v>3742</v>
      </c>
      <c r="C1490" s="6" t="s">
        <v>31</v>
      </c>
      <c r="E1490" s="6" t="s">
        <v>3741</v>
      </c>
      <c r="F1490" s="6" t="s">
        <v>3740</v>
      </c>
      <c r="G1490" s="6" t="s">
        <v>16</v>
      </c>
      <c r="H1490" s="6" t="s">
        <v>28</v>
      </c>
      <c r="I1490" s="6" t="s">
        <v>27</v>
      </c>
      <c r="J1490" s="6" t="s">
        <v>253</v>
      </c>
      <c r="K1490" s="7">
        <v>31.069026000000001</v>
      </c>
      <c r="L1490" s="7">
        <v>-97.605045000000004</v>
      </c>
      <c r="M1490" s="6" t="s">
        <v>1627</v>
      </c>
      <c r="N1490" s="6" t="s">
        <v>23</v>
      </c>
      <c r="O1490" s="6" t="s">
        <v>120</v>
      </c>
    </row>
    <row r="1491" spans="1:15" x14ac:dyDescent="0.25">
      <c r="A1491" s="6" t="s">
        <v>10899</v>
      </c>
      <c r="B1491" s="6" t="s">
        <v>10898</v>
      </c>
      <c r="C1491" s="6" t="s">
        <v>31</v>
      </c>
      <c r="E1491" s="6" t="s">
        <v>10897</v>
      </c>
      <c r="F1491" s="6" t="s">
        <v>10896</v>
      </c>
      <c r="G1491" s="6" t="s">
        <v>16</v>
      </c>
      <c r="H1491" s="6" t="s">
        <v>28</v>
      </c>
      <c r="I1491" s="6" t="s">
        <v>60</v>
      </c>
      <c r="J1491" s="6" t="s">
        <v>2696</v>
      </c>
      <c r="K1491" s="7">
        <v>31.970741149999998</v>
      </c>
      <c r="L1491" s="7">
        <v>-94.046928269999995</v>
      </c>
      <c r="M1491" s="6" t="s">
        <v>2695</v>
      </c>
      <c r="N1491" s="6" t="s">
        <v>65</v>
      </c>
      <c r="O1491" s="6" t="s">
        <v>24</v>
      </c>
    </row>
    <row r="1492" spans="1:15" x14ac:dyDescent="0.25">
      <c r="A1492" s="6" t="s">
        <v>11595</v>
      </c>
      <c r="B1492" s="6" t="s">
        <v>11594</v>
      </c>
      <c r="C1492" s="6" t="s">
        <v>31</v>
      </c>
      <c r="E1492" s="6" t="s">
        <v>11593</v>
      </c>
      <c r="F1492" s="6" t="s">
        <v>11592</v>
      </c>
      <c r="G1492" s="6" t="s">
        <v>16</v>
      </c>
      <c r="H1492" s="6" t="s">
        <v>28</v>
      </c>
      <c r="I1492" s="6" t="s">
        <v>60</v>
      </c>
      <c r="J1492" s="6" t="s">
        <v>26</v>
      </c>
      <c r="K1492" s="7">
        <v>30.226230999999999</v>
      </c>
      <c r="L1492" s="7">
        <v>-95.437517</v>
      </c>
      <c r="M1492" s="6" t="s">
        <v>1022</v>
      </c>
      <c r="N1492" s="6" t="s">
        <v>24</v>
      </c>
      <c r="O1492" s="6" t="s">
        <v>23</v>
      </c>
    </row>
    <row r="1493" spans="1:15" x14ac:dyDescent="0.25">
      <c r="A1493" s="6" t="s">
        <v>10273</v>
      </c>
      <c r="B1493" s="6" t="s">
        <v>10272</v>
      </c>
      <c r="C1493" s="6" t="s">
        <v>31</v>
      </c>
      <c r="E1493" s="6" t="s">
        <v>10271</v>
      </c>
      <c r="F1493" s="6" t="s">
        <v>3243</v>
      </c>
      <c r="G1493" s="6" t="s">
        <v>16</v>
      </c>
      <c r="H1493" s="6" t="s">
        <v>28</v>
      </c>
      <c r="I1493" s="6" t="s">
        <v>60</v>
      </c>
      <c r="J1493" s="6" t="s">
        <v>1611</v>
      </c>
      <c r="K1493" s="7">
        <v>32.486037779999997</v>
      </c>
      <c r="L1493" s="7">
        <v>-94.801634010000001</v>
      </c>
      <c r="M1493" s="6" t="s">
        <v>1218</v>
      </c>
      <c r="N1493" s="6" t="s">
        <v>65</v>
      </c>
      <c r="O1493" s="6" t="s">
        <v>65</v>
      </c>
    </row>
    <row r="1494" spans="1:15" x14ac:dyDescent="0.25">
      <c r="A1494" s="6" t="s">
        <v>403</v>
      </c>
      <c r="B1494" s="6" t="s">
        <v>402</v>
      </c>
      <c r="C1494" s="6" t="s">
        <v>31</v>
      </c>
      <c r="E1494" s="6" t="s">
        <v>401</v>
      </c>
      <c r="F1494" s="6" t="s">
        <v>400</v>
      </c>
      <c r="G1494" s="6" t="s">
        <v>16</v>
      </c>
      <c r="H1494" s="6" t="s">
        <v>28</v>
      </c>
      <c r="I1494" s="6" t="s">
        <v>27</v>
      </c>
      <c r="J1494" s="6" t="s">
        <v>26</v>
      </c>
      <c r="K1494" s="7">
        <v>30.360937880000002</v>
      </c>
      <c r="L1494" s="7">
        <v>-95.59867964</v>
      </c>
      <c r="M1494" s="6" t="s">
        <v>340</v>
      </c>
      <c r="N1494" s="6" t="s">
        <v>24</v>
      </c>
      <c r="O1494" s="6" t="s">
        <v>23</v>
      </c>
    </row>
    <row r="1495" spans="1:15" x14ac:dyDescent="0.25">
      <c r="A1495" s="6" t="s">
        <v>6575</v>
      </c>
      <c r="B1495" s="6" t="s">
        <v>6569</v>
      </c>
      <c r="C1495" s="6" t="s">
        <v>31</v>
      </c>
      <c r="E1495" s="6" t="s">
        <v>6568</v>
      </c>
      <c r="F1495" s="6" t="s">
        <v>805</v>
      </c>
      <c r="G1495" s="6" t="s">
        <v>16</v>
      </c>
      <c r="H1495" s="6" t="s">
        <v>15</v>
      </c>
      <c r="I1495" s="6" t="s">
        <v>27</v>
      </c>
      <c r="J1495" s="6" t="s">
        <v>35</v>
      </c>
      <c r="K1495" s="7">
        <v>29.814475890000001</v>
      </c>
      <c r="L1495" s="7">
        <v>-95.103357090000003</v>
      </c>
      <c r="M1495" s="6" t="s">
        <v>716</v>
      </c>
      <c r="N1495" s="6" t="s">
        <v>24</v>
      </c>
      <c r="O1495" s="6" t="s">
        <v>23</v>
      </c>
    </row>
    <row r="1496" spans="1:15" x14ac:dyDescent="0.25">
      <c r="A1496" s="6" t="s">
        <v>6574</v>
      </c>
      <c r="B1496" s="6" t="s">
        <v>6569</v>
      </c>
      <c r="C1496" s="6" t="s">
        <v>19</v>
      </c>
      <c r="E1496" s="6" t="s">
        <v>6568</v>
      </c>
      <c r="F1496" s="6" t="s">
        <v>805</v>
      </c>
      <c r="G1496" s="6" t="s">
        <v>16</v>
      </c>
      <c r="H1496" s="6" t="s">
        <v>15</v>
      </c>
      <c r="I1496" s="6" t="s">
        <v>27</v>
      </c>
      <c r="J1496" s="6" t="s">
        <v>35</v>
      </c>
      <c r="K1496" s="7">
        <v>29.815276470000001</v>
      </c>
      <c r="L1496" s="7">
        <v>-95.10027676</v>
      </c>
      <c r="M1496" s="6" t="s">
        <v>716</v>
      </c>
      <c r="N1496" s="6" t="s">
        <v>24</v>
      </c>
      <c r="O1496" s="6" t="s">
        <v>23</v>
      </c>
    </row>
    <row r="1497" spans="1:15" x14ac:dyDescent="0.25">
      <c r="A1497" s="6" t="s">
        <v>6573</v>
      </c>
      <c r="B1497" s="6" t="s">
        <v>6569</v>
      </c>
      <c r="C1497" s="6" t="s">
        <v>436</v>
      </c>
      <c r="E1497" s="6" t="s">
        <v>6568</v>
      </c>
      <c r="F1497" s="6" t="s">
        <v>805</v>
      </c>
      <c r="G1497" s="6" t="s">
        <v>16</v>
      </c>
      <c r="H1497" s="6" t="s">
        <v>15</v>
      </c>
      <c r="I1497" s="6" t="s">
        <v>27</v>
      </c>
      <c r="J1497" s="6" t="s">
        <v>35</v>
      </c>
      <c r="K1497" s="7">
        <v>29.81388909</v>
      </c>
      <c r="L1497" s="7">
        <v>-95.116656410000004</v>
      </c>
      <c r="M1497" s="6" t="s">
        <v>716</v>
      </c>
      <c r="N1497" s="6" t="s">
        <v>24</v>
      </c>
      <c r="O1497" s="6" t="s">
        <v>23</v>
      </c>
    </row>
    <row r="1498" spans="1:15" x14ac:dyDescent="0.25">
      <c r="A1498" s="6" t="s">
        <v>6572</v>
      </c>
      <c r="B1498" s="6" t="s">
        <v>6569</v>
      </c>
      <c r="C1498" s="6" t="s">
        <v>597</v>
      </c>
      <c r="E1498" s="6" t="s">
        <v>6568</v>
      </c>
      <c r="F1498" s="6" t="s">
        <v>805</v>
      </c>
      <c r="G1498" s="6" t="s">
        <v>16</v>
      </c>
      <c r="H1498" s="6" t="s">
        <v>15</v>
      </c>
      <c r="I1498" s="6" t="s">
        <v>27</v>
      </c>
      <c r="J1498" s="6" t="s">
        <v>35</v>
      </c>
      <c r="K1498" s="7">
        <v>29.818906380000001</v>
      </c>
      <c r="L1498" s="7">
        <v>-95.116709580000006</v>
      </c>
      <c r="M1498" s="6" t="s">
        <v>716</v>
      </c>
      <c r="N1498" s="6" t="s">
        <v>24</v>
      </c>
      <c r="O1498" s="6" t="s">
        <v>23</v>
      </c>
    </row>
    <row r="1499" spans="1:15" x14ac:dyDescent="0.25">
      <c r="A1499" s="6" t="s">
        <v>6571</v>
      </c>
      <c r="B1499" s="6" t="s">
        <v>6569</v>
      </c>
      <c r="C1499" s="6" t="s">
        <v>557</v>
      </c>
      <c r="E1499" s="6" t="s">
        <v>6568</v>
      </c>
      <c r="F1499" s="6" t="s">
        <v>805</v>
      </c>
      <c r="G1499" s="6" t="s">
        <v>16</v>
      </c>
      <c r="H1499" s="6" t="s">
        <v>15</v>
      </c>
      <c r="I1499" s="6" t="s">
        <v>27</v>
      </c>
      <c r="J1499" s="6" t="s">
        <v>35</v>
      </c>
      <c r="K1499" s="7">
        <v>29.814705920000002</v>
      </c>
      <c r="L1499" s="7">
        <v>-95.118874340000005</v>
      </c>
      <c r="M1499" s="6" t="s">
        <v>716</v>
      </c>
      <c r="N1499" s="6" t="s">
        <v>24</v>
      </c>
      <c r="O1499" s="6" t="s">
        <v>23</v>
      </c>
    </row>
    <row r="1500" spans="1:15" x14ac:dyDescent="0.25">
      <c r="A1500" s="6" t="s">
        <v>6570</v>
      </c>
      <c r="B1500" s="6" t="s">
        <v>6569</v>
      </c>
      <c r="C1500" s="6" t="s">
        <v>433</v>
      </c>
      <c r="E1500" s="6" t="s">
        <v>6568</v>
      </c>
      <c r="F1500" s="6" t="s">
        <v>805</v>
      </c>
      <c r="G1500" s="6" t="s">
        <v>16</v>
      </c>
      <c r="H1500" s="6" t="s">
        <v>15</v>
      </c>
      <c r="I1500" s="6" t="s">
        <v>27</v>
      </c>
      <c r="J1500" s="6" t="s">
        <v>35</v>
      </c>
      <c r="K1500" s="7">
        <v>29.81469826</v>
      </c>
      <c r="L1500" s="7">
        <v>-95.124728700000006</v>
      </c>
      <c r="M1500" s="6" t="s">
        <v>716</v>
      </c>
      <c r="N1500" s="6" t="s">
        <v>24</v>
      </c>
      <c r="O1500" s="6" t="s">
        <v>23</v>
      </c>
    </row>
    <row r="1501" spans="1:15" x14ac:dyDescent="0.25">
      <c r="A1501" s="6" t="s">
        <v>11657</v>
      </c>
      <c r="B1501" s="6" t="s">
        <v>11656</v>
      </c>
      <c r="C1501" s="6" t="s">
        <v>31</v>
      </c>
      <c r="E1501" s="6" t="s">
        <v>11655</v>
      </c>
      <c r="F1501" s="6" t="s">
        <v>2278</v>
      </c>
      <c r="G1501" s="6" t="s">
        <v>16</v>
      </c>
      <c r="H1501" s="6" t="s">
        <v>28</v>
      </c>
      <c r="I1501" s="6" t="s">
        <v>1200</v>
      </c>
      <c r="J1501" s="6" t="s">
        <v>35</v>
      </c>
      <c r="K1501" s="7">
        <v>29.916612000000001</v>
      </c>
      <c r="L1501" s="7">
        <v>-95.365157999999994</v>
      </c>
      <c r="M1501" s="6" t="s">
        <v>198</v>
      </c>
      <c r="N1501" s="6" t="s">
        <v>24</v>
      </c>
      <c r="O1501" s="6" t="s">
        <v>23</v>
      </c>
    </row>
    <row r="1502" spans="1:15" x14ac:dyDescent="0.25">
      <c r="A1502" s="6" t="s">
        <v>12430</v>
      </c>
      <c r="B1502" s="6" t="s">
        <v>12429</v>
      </c>
      <c r="C1502" s="6" t="s">
        <v>31</v>
      </c>
      <c r="E1502" s="6" t="s">
        <v>12428</v>
      </c>
      <c r="F1502" s="6" t="s">
        <v>12427</v>
      </c>
      <c r="G1502" s="6" t="s">
        <v>16</v>
      </c>
      <c r="H1502" s="6" t="s">
        <v>28</v>
      </c>
      <c r="I1502" s="6" t="s">
        <v>27</v>
      </c>
      <c r="J1502" s="6" t="s">
        <v>548</v>
      </c>
      <c r="K1502" s="7">
        <v>33.478856030000003</v>
      </c>
      <c r="L1502" s="7">
        <v>-94.620075560000004</v>
      </c>
      <c r="M1502" s="6" t="s">
        <v>547</v>
      </c>
      <c r="N1502" s="6" t="s">
        <v>95</v>
      </c>
      <c r="O1502" s="6" t="s">
        <v>65</v>
      </c>
    </row>
    <row r="1503" spans="1:15" x14ac:dyDescent="0.25">
      <c r="A1503" s="6" t="s">
        <v>11654</v>
      </c>
      <c r="B1503" s="6" t="s">
        <v>11653</v>
      </c>
      <c r="C1503" s="6" t="s">
        <v>31</v>
      </c>
      <c r="E1503" s="6" t="s">
        <v>11652</v>
      </c>
      <c r="F1503" s="6" t="s">
        <v>11651</v>
      </c>
      <c r="G1503" s="6" t="s">
        <v>16</v>
      </c>
      <c r="H1503" s="6" t="s">
        <v>28</v>
      </c>
      <c r="I1503" s="6" t="s">
        <v>60</v>
      </c>
      <c r="J1503" s="6" t="s">
        <v>1831</v>
      </c>
      <c r="K1503" s="7">
        <v>33.155630809999998</v>
      </c>
      <c r="L1503" s="7">
        <v>-95.117751069999997</v>
      </c>
      <c r="M1503" s="6" t="s">
        <v>1830</v>
      </c>
      <c r="N1503" s="6" t="s">
        <v>42</v>
      </c>
      <c r="O1503" s="6" t="s">
        <v>65</v>
      </c>
    </row>
    <row r="1504" spans="1:15" x14ac:dyDescent="0.25">
      <c r="A1504" s="6" t="s">
        <v>1041</v>
      </c>
      <c r="B1504" s="6" t="s">
        <v>1040</v>
      </c>
      <c r="C1504" s="6" t="s">
        <v>31</v>
      </c>
      <c r="E1504" s="6" t="s">
        <v>1039</v>
      </c>
      <c r="F1504" s="6" t="s">
        <v>1038</v>
      </c>
      <c r="G1504" s="6" t="s">
        <v>16</v>
      </c>
      <c r="H1504" s="6" t="s">
        <v>15</v>
      </c>
      <c r="I1504" s="6" t="s">
        <v>14</v>
      </c>
      <c r="J1504" s="6" t="s">
        <v>35</v>
      </c>
      <c r="K1504" s="7">
        <v>29.505250029999999</v>
      </c>
      <c r="L1504" s="7">
        <v>-95.16708758</v>
      </c>
      <c r="M1504" s="6" t="s">
        <v>1037</v>
      </c>
      <c r="N1504" s="6" t="s">
        <v>160</v>
      </c>
      <c r="O1504" s="6" t="s">
        <v>23</v>
      </c>
    </row>
    <row r="1505" spans="1:15" x14ac:dyDescent="0.25">
      <c r="A1505" s="6" t="s">
        <v>9196</v>
      </c>
      <c r="B1505" s="6" t="s">
        <v>9195</v>
      </c>
      <c r="C1505" s="6" t="s">
        <v>31</v>
      </c>
      <c r="E1505" s="6" t="s">
        <v>9194</v>
      </c>
      <c r="F1505" s="6" t="s">
        <v>5708</v>
      </c>
      <c r="G1505" s="6" t="s">
        <v>16</v>
      </c>
      <c r="H1505" s="6" t="s">
        <v>15</v>
      </c>
      <c r="I1505" s="6" t="s">
        <v>14</v>
      </c>
      <c r="J1505" s="6" t="s">
        <v>35</v>
      </c>
      <c r="K1505" s="7">
        <v>29.591650319999999</v>
      </c>
      <c r="L1505" s="7">
        <v>-95.155986170000006</v>
      </c>
      <c r="M1505" s="6" t="s">
        <v>1932</v>
      </c>
      <c r="N1505" s="6" t="s">
        <v>160</v>
      </c>
      <c r="O1505" s="6" t="s">
        <v>23</v>
      </c>
    </row>
    <row r="1506" spans="1:15" x14ac:dyDescent="0.25">
      <c r="A1506" s="6" t="s">
        <v>5542</v>
      </c>
      <c r="B1506" s="6" t="s">
        <v>5541</v>
      </c>
      <c r="C1506" s="6" t="s">
        <v>31</v>
      </c>
      <c r="E1506" s="6" t="s">
        <v>5540</v>
      </c>
      <c r="F1506" s="6" t="s">
        <v>5539</v>
      </c>
      <c r="G1506" s="6" t="s">
        <v>16</v>
      </c>
      <c r="H1506" s="6" t="s">
        <v>28</v>
      </c>
      <c r="I1506" s="6" t="s">
        <v>60</v>
      </c>
      <c r="J1506" s="6" t="s">
        <v>3079</v>
      </c>
      <c r="K1506" s="7">
        <v>29.279275999999999</v>
      </c>
      <c r="L1506" s="7">
        <v>-97.638851000000003</v>
      </c>
      <c r="M1506" s="6" t="s">
        <v>1739</v>
      </c>
      <c r="N1506" s="6" t="s">
        <v>559</v>
      </c>
      <c r="O1506" s="6" t="s">
        <v>10</v>
      </c>
    </row>
    <row r="1507" spans="1:15" x14ac:dyDescent="0.25">
      <c r="A1507" s="6" t="s">
        <v>2305</v>
      </c>
      <c r="B1507" s="6" t="s">
        <v>2304</v>
      </c>
      <c r="C1507" s="6" t="s">
        <v>31</v>
      </c>
      <c r="E1507" s="6" t="s">
        <v>2303</v>
      </c>
      <c r="F1507" s="6" t="s">
        <v>2302</v>
      </c>
      <c r="G1507" s="6" t="s">
        <v>16</v>
      </c>
      <c r="H1507" s="6" t="s">
        <v>28</v>
      </c>
      <c r="I1507" s="6" t="s">
        <v>60</v>
      </c>
      <c r="J1507" s="6" t="s">
        <v>2301</v>
      </c>
      <c r="K1507" s="7">
        <v>33.234259000000002</v>
      </c>
      <c r="L1507" s="7">
        <v>-98.179725000000005</v>
      </c>
      <c r="M1507" s="6" t="s">
        <v>2300</v>
      </c>
      <c r="N1507" s="6" t="s">
        <v>102</v>
      </c>
      <c r="O1507" s="6" t="s">
        <v>95</v>
      </c>
    </row>
    <row r="1508" spans="1:15" x14ac:dyDescent="0.25">
      <c r="A1508" s="6" t="s">
        <v>11830</v>
      </c>
      <c r="B1508" s="6" t="s">
        <v>11829</v>
      </c>
      <c r="C1508" s="6" t="s">
        <v>31</v>
      </c>
      <c r="E1508" s="6" t="s">
        <v>11828</v>
      </c>
      <c r="F1508" s="6" t="s">
        <v>11827</v>
      </c>
      <c r="G1508" s="6" t="s">
        <v>16</v>
      </c>
      <c r="H1508" s="6" t="s">
        <v>15</v>
      </c>
      <c r="I1508" s="6" t="s">
        <v>14</v>
      </c>
      <c r="J1508" s="6" t="s">
        <v>2273</v>
      </c>
      <c r="K1508" s="7">
        <v>31.149313450000001</v>
      </c>
      <c r="L1508" s="7">
        <v>-97.90560155</v>
      </c>
      <c r="M1508" s="6" t="s">
        <v>2272</v>
      </c>
      <c r="N1508" s="6" t="s">
        <v>23</v>
      </c>
      <c r="O1508" s="6" t="s">
        <v>120</v>
      </c>
    </row>
    <row r="1509" spans="1:15" x14ac:dyDescent="0.25">
      <c r="A1509" s="6" t="s">
        <v>11833</v>
      </c>
      <c r="B1509" s="6" t="s">
        <v>11832</v>
      </c>
      <c r="C1509" s="6" t="s">
        <v>31</v>
      </c>
      <c r="E1509" s="6" t="s">
        <v>11831</v>
      </c>
      <c r="F1509" s="6" t="s">
        <v>11827</v>
      </c>
      <c r="G1509" s="6" t="s">
        <v>16</v>
      </c>
      <c r="H1509" s="6" t="s">
        <v>15</v>
      </c>
      <c r="I1509" s="6" t="s">
        <v>14</v>
      </c>
      <c r="J1509" s="6" t="s">
        <v>2273</v>
      </c>
      <c r="K1509" s="7">
        <v>31.1301691</v>
      </c>
      <c r="L1509" s="7">
        <v>-97.881225529999995</v>
      </c>
      <c r="M1509" s="6" t="s">
        <v>2272</v>
      </c>
      <c r="N1509" s="6" t="s">
        <v>23</v>
      </c>
      <c r="O1509" s="6" t="s">
        <v>120</v>
      </c>
    </row>
    <row r="1510" spans="1:15" x14ac:dyDescent="0.25">
      <c r="A1510" s="6" t="s">
        <v>11650</v>
      </c>
      <c r="B1510" s="6" t="s">
        <v>11649</v>
      </c>
      <c r="C1510" s="6" t="s">
        <v>31</v>
      </c>
      <c r="E1510" s="6" t="s">
        <v>11648</v>
      </c>
      <c r="F1510" s="6" t="s">
        <v>11647</v>
      </c>
      <c r="G1510" s="6" t="s">
        <v>16</v>
      </c>
      <c r="H1510" s="6" t="s">
        <v>28</v>
      </c>
      <c r="I1510" s="6" t="s">
        <v>60</v>
      </c>
      <c r="J1510" s="6" t="s">
        <v>13</v>
      </c>
      <c r="K1510" s="7">
        <v>27.671579000000001</v>
      </c>
      <c r="L1510" s="7">
        <v>-97.636128999999997</v>
      </c>
      <c r="M1510" s="6" t="s">
        <v>792</v>
      </c>
      <c r="N1510" s="6" t="s">
        <v>11</v>
      </c>
      <c r="O1510" s="6" t="s">
        <v>10</v>
      </c>
    </row>
    <row r="1511" spans="1:15" x14ac:dyDescent="0.25">
      <c r="A1511" s="6" t="s">
        <v>5547</v>
      </c>
      <c r="B1511" s="6" t="s">
        <v>5546</v>
      </c>
      <c r="C1511" s="6" t="s">
        <v>31</v>
      </c>
      <c r="E1511" s="6" t="s">
        <v>5545</v>
      </c>
      <c r="F1511" s="6" t="s">
        <v>5544</v>
      </c>
      <c r="G1511" s="6" t="s">
        <v>16</v>
      </c>
      <c r="H1511" s="6" t="s">
        <v>28</v>
      </c>
      <c r="I1511" s="6" t="s">
        <v>799</v>
      </c>
      <c r="J1511" s="6" t="s">
        <v>5543</v>
      </c>
      <c r="K1511" s="7">
        <v>36.137266230000002</v>
      </c>
      <c r="L1511" s="7">
        <v>-100.03085491</v>
      </c>
      <c r="M1511" s="6" t="s">
        <v>1404</v>
      </c>
      <c r="N1511" s="6" t="s">
        <v>535</v>
      </c>
      <c r="O1511" s="6" t="s">
        <v>535</v>
      </c>
    </row>
    <row r="1512" spans="1:15" x14ac:dyDescent="0.25">
      <c r="A1512" s="6" t="s">
        <v>9918</v>
      </c>
      <c r="B1512" s="6" t="s">
        <v>9917</v>
      </c>
      <c r="C1512" s="6" t="s">
        <v>31</v>
      </c>
      <c r="E1512" s="6" t="s">
        <v>9916</v>
      </c>
      <c r="F1512" s="6" t="s">
        <v>9915</v>
      </c>
      <c r="G1512" s="6" t="s">
        <v>16</v>
      </c>
      <c r="H1512" s="6" t="s">
        <v>15</v>
      </c>
      <c r="I1512" s="6" t="s">
        <v>14</v>
      </c>
      <c r="J1512" s="6" t="s">
        <v>480</v>
      </c>
      <c r="K1512" s="7">
        <v>26.197337409999999</v>
      </c>
      <c r="L1512" s="7">
        <v>-98.332039409999993</v>
      </c>
      <c r="M1512" s="6" t="s">
        <v>179</v>
      </c>
      <c r="N1512" s="6" t="s">
        <v>11</v>
      </c>
      <c r="O1512" s="6" t="s">
        <v>22</v>
      </c>
    </row>
    <row r="1513" spans="1:15" x14ac:dyDescent="0.25">
      <c r="A1513" s="6" t="s">
        <v>3873</v>
      </c>
      <c r="B1513" s="6" t="s">
        <v>3866</v>
      </c>
      <c r="C1513" s="6" t="s">
        <v>31</v>
      </c>
      <c r="E1513" s="6" t="s">
        <v>3865</v>
      </c>
      <c r="F1513" s="6" t="s">
        <v>3864</v>
      </c>
      <c r="G1513" s="6" t="s">
        <v>16</v>
      </c>
      <c r="H1513" s="6" t="s">
        <v>15</v>
      </c>
      <c r="I1513" s="6" t="s">
        <v>46</v>
      </c>
      <c r="J1513" s="6" t="s">
        <v>3863</v>
      </c>
      <c r="K1513" s="7">
        <v>28.72607241</v>
      </c>
      <c r="L1513" s="7">
        <v>-97.203724710000003</v>
      </c>
      <c r="M1513" s="6" t="s">
        <v>3862</v>
      </c>
      <c r="N1513" s="6" t="s">
        <v>559</v>
      </c>
      <c r="O1513" s="6" t="s">
        <v>10</v>
      </c>
    </row>
    <row r="1514" spans="1:15" x14ac:dyDescent="0.25">
      <c r="A1514" s="6" t="s">
        <v>3872</v>
      </c>
      <c r="B1514" s="6" t="s">
        <v>3866</v>
      </c>
      <c r="C1514" s="6" t="s">
        <v>19</v>
      </c>
      <c r="E1514" s="6" t="s">
        <v>3865</v>
      </c>
      <c r="F1514" s="6" t="s">
        <v>3864</v>
      </c>
      <c r="G1514" s="6" t="s">
        <v>16</v>
      </c>
      <c r="H1514" s="6" t="s">
        <v>28</v>
      </c>
      <c r="I1514" s="6" t="s">
        <v>46</v>
      </c>
      <c r="J1514" s="6" t="s">
        <v>3863</v>
      </c>
      <c r="K1514" s="7">
        <v>28.712648000000002</v>
      </c>
      <c r="L1514" s="7">
        <v>-97.216372000000007</v>
      </c>
      <c r="M1514" s="6" t="s">
        <v>3862</v>
      </c>
      <c r="N1514" s="6" t="s">
        <v>559</v>
      </c>
      <c r="O1514" s="6" t="s">
        <v>10</v>
      </c>
    </row>
    <row r="1515" spans="1:15" x14ac:dyDescent="0.25">
      <c r="A1515" s="6" t="s">
        <v>3867</v>
      </c>
      <c r="B1515" s="6" t="s">
        <v>3866</v>
      </c>
      <c r="C1515" s="6" t="s">
        <v>436</v>
      </c>
      <c r="E1515" s="6" t="s">
        <v>3865</v>
      </c>
      <c r="F1515" s="6" t="s">
        <v>3864</v>
      </c>
      <c r="G1515" s="6" t="s">
        <v>16</v>
      </c>
      <c r="H1515" s="6" t="s">
        <v>15</v>
      </c>
      <c r="I1515" s="6" t="s">
        <v>46</v>
      </c>
      <c r="J1515" s="6" t="s">
        <v>3863</v>
      </c>
      <c r="K1515" s="7">
        <v>28.728081</v>
      </c>
      <c r="L1515" s="7">
        <v>-97.204961999999995</v>
      </c>
      <c r="M1515" s="6" t="s">
        <v>3862</v>
      </c>
      <c r="N1515" s="6" t="s">
        <v>559</v>
      </c>
      <c r="O1515" s="6" t="s">
        <v>10</v>
      </c>
    </row>
    <row r="1516" spans="1:15" x14ac:dyDescent="0.25">
      <c r="A1516" s="6" t="s">
        <v>5688</v>
      </c>
      <c r="B1516" s="6" t="s">
        <v>5687</v>
      </c>
      <c r="C1516" s="6" t="s">
        <v>31</v>
      </c>
      <c r="E1516" s="6" t="s">
        <v>5686</v>
      </c>
      <c r="F1516" s="6" t="s">
        <v>5685</v>
      </c>
      <c r="G1516" s="6" t="s">
        <v>16</v>
      </c>
      <c r="H1516" s="6" t="s">
        <v>28</v>
      </c>
      <c r="I1516" s="6" t="s">
        <v>60</v>
      </c>
      <c r="J1516" s="6" t="s">
        <v>35</v>
      </c>
      <c r="K1516" s="7">
        <v>29.878556</v>
      </c>
      <c r="L1516" s="7">
        <v>-95.135209000000003</v>
      </c>
      <c r="M1516" s="6" t="s">
        <v>716</v>
      </c>
      <c r="N1516" s="6" t="s">
        <v>24</v>
      </c>
      <c r="O1516" s="6" t="s">
        <v>23</v>
      </c>
    </row>
    <row r="1517" spans="1:15" x14ac:dyDescent="0.25">
      <c r="A1517" s="6" t="s">
        <v>8551</v>
      </c>
      <c r="B1517" s="6" t="s">
        <v>8550</v>
      </c>
      <c r="C1517" s="6" t="s">
        <v>31</v>
      </c>
      <c r="E1517" s="6" t="s">
        <v>8549</v>
      </c>
      <c r="F1517" s="6" t="s">
        <v>6535</v>
      </c>
      <c r="G1517" s="6" t="s">
        <v>16</v>
      </c>
      <c r="H1517" s="6" t="s">
        <v>28</v>
      </c>
      <c r="I1517" s="6" t="s">
        <v>27</v>
      </c>
      <c r="J1517" s="6" t="s">
        <v>6534</v>
      </c>
      <c r="K1517" s="7">
        <v>26.893770920000001</v>
      </c>
      <c r="L1517" s="7">
        <v>-99.271896830000003</v>
      </c>
      <c r="M1517" s="6" t="s">
        <v>6533</v>
      </c>
      <c r="N1517" s="6" t="s">
        <v>373</v>
      </c>
      <c r="O1517" s="6" t="s">
        <v>510</v>
      </c>
    </row>
    <row r="1518" spans="1:15" x14ac:dyDescent="0.25">
      <c r="A1518" s="6" t="s">
        <v>11646</v>
      </c>
      <c r="B1518" s="6" t="s">
        <v>11645</v>
      </c>
      <c r="C1518" s="6" t="s">
        <v>31</v>
      </c>
      <c r="E1518" s="6" t="s">
        <v>11644</v>
      </c>
      <c r="F1518" s="6" t="s">
        <v>11643</v>
      </c>
      <c r="G1518" s="6" t="s">
        <v>16</v>
      </c>
      <c r="H1518" s="6" t="s">
        <v>28</v>
      </c>
      <c r="I1518" s="6" t="s">
        <v>36</v>
      </c>
      <c r="J1518" s="6" t="s">
        <v>290</v>
      </c>
      <c r="K1518" s="7">
        <v>29.011504120000001</v>
      </c>
      <c r="L1518" s="7">
        <v>-95.881845859999999</v>
      </c>
      <c r="M1518" s="6" t="s">
        <v>2451</v>
      </c>
      <c r="N1518" s="6" t="s">
        <v>231</v>
      </c>
      <c r="O1518" s="6" t="s">
        <v>23</v>
      </c>
    </row>
    <row r="1519" spans="1:15" x14ac:dyDescent="0.25">
      <c r="A1519" s="6" t="s">
        <v>1147</v>
      </c>
      <c r="B1519" s="6" t="s">
        <v>1144</v>
      </c>
      <c r="C1519" s="6" t="s">
        <v>31</v>
      </c>
      <c r="E1519" s="6" t="s">
        <v>1143</v>
      </c>
      <c r="F1519" s="6" t="s">
        <v>1142</v>
      </c>
      <c r="G1519" s="6" t="s">
        <v>16</v>
      </c>
      <c r="H1519" s="6" t="s">
        <v>15</v>
      </c>
      <c r="I1519" s="6" t="s">
        <v>14</v>
      </c>
      <c r="J1519" s="6" t="s">
        <v>35</v>
      </c>
      <c r="K1519" s="7">
        <v>29.744962130000001</v>
      </c>
      <c r="L1519" s="7">
        <v>-95.065818840000006</v>
      </c>
      <c r="M1519" s="6" t="s">
        <v>701</v>
      </c>
      <c r="N1519" s="6" t="s">
        <v>24</v>
      </c>
      <c r="O1519" s="6" t="s">
        <v>23</v>
      </c>
    </row>
    <row r="1520" spans="1:15" x14ac:dyDescent="0.25">
      <c r="A1520" s="6" t="s">
        <v>1146</v>
      </c>
      <c r="B1520" s="6" t="s">
        <v>1144</v>
      </c>
      <c r="C1520" s="6" t="s">
        <v>19</v>
      </c>
      <c r="E1520" s="6" t="s">
        <v>1143</v>
      </c>
      <c r="F1520" s="6" t="s">
        <v>1142</v>
      </c>
      <c r="G1520" s="6" t="s">
        <v>16</v>
      </c>
      <c r="H1520" s="6" t="s">
        <v>15</v>
      </c>
      <c r="I1520" s="6" t="s">
        <v>14</v>
      </c>
      <c r="J1520" s="6" t="s">
        <v>35</v>
      </c>
      <c r="K1520" s="7">
        <v>29.729060010000001</v>
      </c>
      <c r="L1520" s="7">
        <v>-95.078839290000005</v>
      </c>
      <c r="M1520" s="6" t="s">
        <v>701</v>
      </c>
      <c r="N1520" s="6" t="s">
        <v>24</v>
      </c>
      <c r="O1520" s="6" t="s">
        <v>23</v>
      </c>
    </row>
    <row r="1521" spans="1:15" x14ac:dyDescent="0.25">
      <c r="A1521" s="6" t="s">
        <v>1145</v>
      </c>
      <c r="B1521" s="6" t="s">
        <v>1144</v>
      </c>
      <c r="C1521" s="6" t="s">
        <v>436</v>
      </c>
      <c r="E1521" s="6" t="s">
        <v>1143</v>
      </c>
      <c r="F1521" s="6" t="s">
        <v>1142</v>
      </c>
      <c r="G1521" s="6" t="s">
        <v>16</v>
      </c>
      <c r="H1521" s="6" t="s">
        <v>430</v>
      </c>
      <c r="I1521" s="6" t="s">
        <v>14</v>
      </c>
      <c r="J1521" s="6" t="s">
        <v>35</v>
      </c>
      <c r="K1521" s="7">
        <v>29.727892000000001</v>
      </c>
      <c r="L1521" s="7">
        <v>-95.07132</v>
      </c>
      <c r="M1521" s="6" t="s">
        <v>701</v>
      </c>
      <c r="N1521" s="6" t="s">
        <v>24</v>
      </c>
      <c r="O1521" s="6" t="s">
        <v>23</v>
      </c>
    </row>
    <row r="1522" spans="1:15" x14ac:dyDescent="0.25">
      <c r="A1522" s="6" t="s">
        <v>4308</v>
      </c>
      <c r="B1522" s="6" t="s">
        <v>4307</v>
      </c>
      <c r="C1522" s="6" t="s">
        <v>31</v>
      </c>
      <c r="E1522" s="6" t="s">
        <v>4306</v>
      </c>
      <c r="F1522" s="6" t="s">
        <v>1160</v>
      </c>
      <c r="G1522" s="6" t="s">
        <v>16</v>
      </c>
      <c r="H1522" s="6" t="s">
        <v>15</v>
      </c>
      <c r="I1522" s="6" t="s">
        <v>36</v>
      </c>
      <c r="J1522" s="6" t="s">
        <v>35</v>
      </c>
      <c r="K1522" s="7">
        <v>29.758206260000001</v>
      </c>
      <c r="L1522" s="7">
        <v>-95.332373810000007</v>
      </c>
      <c r="M1522" s="6" t="s">
        <v>866</v>
      </c>
      <c r="N1522" s="6" t="s">
        <v>24</v>
      </c>
      <c r="O1522" s="6" t="s">
        <v>23</v>
      </c>
    </row>
    <row r="1523" spans="1:15" x14ac:dyDescent="0.25">
      <c r="A1523" s="6" t="s">
        <v>8784</v>
      </c>
      <c r="B1523" s="6" t="s">
        <v>8783</v>
      </c>
      <c r="C1523" s="6" t="s">
        <v>31</v>
      </c>
      <c r="E1523" s="6" t="s">
        <v>8782</v>
      </c>
      <c r="F1523" s="6" t="s">
        <v>8781</v>
      </c>
      <c r="G1523" s="6" t="s">
        <v>16</v>
      </c>
      <c r="H1523" s="6" t="s">
        <v>28</v>
      </c>
      <c r="I1523" s="6" t="s">
        <v>2430</v>
      </c>
      <c r="J1523" s="6" t="s">
        <v>35</v>
      </c>
      <c r="K1523" s="7">
        <v>29.878836</v>
      </c>
      <c r="L1523" s="7">
        <v>-95.397993999999997</v>
      </c>
      <c r="M1523" s="6" t="s">
        <v>34</v>
      </c>
      <c r="N1523" s="6" t="s">
        <v>24</v>
      </c>
      <c r="O1523" s="6" t="s">
        <v>23</v>
      </c>
    </row>
    <row r="1524" spans="1:15" x14ac:dyDescent="0.25">
      <c r="A1524" s="6" t="s">
        <v>11634</v>
      </c>
      <c r="B1524" s="6" t="s">
        <v>11633</v>
      </c>
      <c r="C1524" s="6" t="s">
        <v>31</v>
      </c>
      <c r="E1524" s="6" t="s">
        <v>11632</v>
      </c>
      <c r="F1524" s="6" t="s">
        <v>11631</v>
      </c>
      <c r="G1524" s="6" t="s">
        <v>16</v>
      </c>
      <c r="H1524" s="6" t="s">
        <v>28</v>
      </c>
      <c r="I1524" s="6" t="s">
        <v>1200</v>
      </c>
      <c r="J1524" s="6" t="s">
        <v>35</v>
      </c>
      <c r="K1524" s="7">
        <v>29.757269000000001</v>
      </c>
      <c r="L1524" s="7">
        <v>-95.293867000000006</v>
      </c>
      <c r="M1524" s="6" t="s">
        <v>866</v>
      </c>
      <c r="N1524" s="6" t="s">
        <v>24</v>
      </c>
      <c r="O1524" s="6" t="s">
        <v>23</v>
      </c>
    </row>
    <row r="1525" spans="1:15" x14ac:dyDescent="0.25">
      <c r="A1525" s="6" t="s">
        <v>9516</v>
      </c>
      <c r="B1525" s="6" t="s">
        <v>9515</v>
      </c>
      <c r="C1525" s="6" t="s">
        <v>31</v>
      </c>
      <c r="E1525" s="6" t="s">
        <v>9514</v>
      </c>
      <c r="F1525" s="6" t="s">
        <v>9513</v>
      </c>
      <c r="G1525" s="6" t="s">
        <v>16</v>
      </c>
      <c r="H1525" s="6" t="s">
        <v>28</v>
      </c>
      <c r="I1525" s="6" t="s">
        <v>8992</v>
      </c>
      <c r="J1525" s="6" t="s">
        <v>35</v>
      </c>
      <c r="K1525" s="7">
        <v>29.916122999999999</v>
      </c>
      <c r="L1525" s="7">
        <v>-95.383314999999996</v>
      </c>
      <c r="M1525" s="6" t="s">
        <v>198</v>
      </c>
      <c r="N1525" s="6" t="s">
        <v>24</v>
      </c>
      <c r="O1525" s="6" t="s">
        <v>23</v>
      </c>
    </row>
    <row r="1526" spans="1:15" x14ac:dyDescent="0.25">
      <c r="A1526" s="6" t="s">
        <v>6963</v>
      </c>
      <c r="B1526" s="6" t="s">
        <v>6962</v>
      </c>
      <c r="C1526" s="6" t="s">
        <v>31</v>
      </c>
      <c r="E1526" s="6" t="s">
        <v>6961</v>
      </c>
      <c r="F1526" s="6" t="s">
        <v>6960</v>
      </c>
      <c r="G1526" s="6" t="s">
        <v>16</v>
      </c>
      <c r="H1526" s="6" t="s">
        <v>28</v>
      </c>
      <c r="I1526" s="6" t="s">
        <v>60</v>
      </c>
      <c r="J1526" s="6" t="s">
        <v>3079</v>
      </c>
      <c r="K1526" s="7">
        <v>29.284241439999999</v>
      </c>
      <c r="L1526" s="7">
        <v>-97.768971539999995</v>
      </c>
      <c r="M1526" s="6" t="s">
        <v>1739</v>
      </c>
      <c r="N1526" s="6" t="s">
        <v>559</v>
      </c>
      <c r="O1526" s="6" t="s">
        <v>10</v>
      </c>
    </row>
    <row r="1527" spans="1:15" x14ac:dyDescent="0.25">
      <c r="A1527" s="6" t="s">
        <v>4314</v>
      </c>
      <c r="B1527" s="6" t="s">
        <v>4310</v>
      </c>
      <c r="C1527" s="6" t="s">
        <v>31</v>
      </c>
      <c r="E1527" s="6" t="s">
        <v>4309</v>
      </c>
      <c r="F1527" s="6" t="s">
        <v>269</v>
      </c>
      <c r="G1527" s="6" t="s">
        <v>16</v>
      </c>
      <c r="H1527" s="6" t="s">
        <v>15</v>
      </c>
      <c r="I1527" s="6" t="s">
        <v>14</v>
      </c>
      <c r="J1527" s="6" t="s">
        <v>2267</v>
      </c>
      <c r="K1527" s="7">
        <v>32.239661400000003</v>
      </c>
      <c r="L1527" s="7">
        <v>-95.917181119999995</v>
      </c>
      <c r="M1527" s="6" t="s">
        <v>193</v>
      </c>
      <c r="N1527" s="6" t="s">
        <v>102</v>
      </c>
      <c r="O1527" s="6" t="s">
        <v>65</v>
      </c>
    </row>
    <row r="1528" spans="1:15" x14ac:dyDescent="0.25">
      <c r="A1528" s="6" t="s">
        <v>4313</v>
      </c>
      <c r="B1528" s="6" t="s">
        <v>4310</v>
      </c>
      <c r="C1528" s="6" t="s">
        <v>19</v>
      </c>
      <c r="E1528" s="6" t="s">
        <v>4309</v>
      </c>
      <c r="F1528" s="6" t="s">
        <v>269</v>
      </c>
      <c r="G1528" s="6" t="s">
        <v>16</v>
      </c>
      <c r="H1528" s="6" t="s">
        <v>15</v>
      </c>
      <c r="I1528" s="6" t="s">
        <v>14</v>
      </c>
      <c r="J1528" s="6" t="s">
        <v>2267</v>
      </c>
      <c r="K1528" s="7">
        <v>32.229615389999999</v>
      </c>
      <c r="L1528" s="7">
        <v>-95.955229990000007</v>
      </c>
      <c r="M1528" s="6" t="s">
        <v>193</v>
      </c>
      <c r="N1528" s="6" t="s">
        <v>102</v>
      </c>
      <c r="O1528" s="6" t="s">
        <v>65</v>
      </c>
    </row>
    <row r="1529" spans="1:15" x14ac:dyDescent="0.25">
      <c r="A1529" s="6" t="s">
        <v>4312</v>
      </c>
      <c r="B1529" s="6" t="s">
        <v>4310</v>
      </c>
      <c r="C1529" s="6" t="s">
        <v>436</v>
      </c>
      <c r="E1529" s="6" t="s">
        <v>4309</v>
      </c>
      <c r="F1529" s="6" t="s">
        <v>269</v>
      </c>
      <c r="G1529" s="6" t="s">
        <v>16</v>
      </c>
      <c r="H1529" s="6" t="s">
        <v>15</v>
      </c>
      <c r="I1529" s="6" t="s">
        <v>14</v>
      </c>
      <c r="J1529" s="6" t="s">
        <v>2267</v>
      </c>
      <c r="K1529" s="7">
        <v>32.234837390000003</v>
      </c>
      <c r="L1529" s="7">
        <v>-95.95908901</v>
      </c>
      <c r="M1529" s="6" t="s">
        <v>193</v>
      </c>
      <c r="N1529" s="6" t="s">
        <v>102</v>
      </c>
      <c r="O1529" s="6" t="s">
        <v>65</v>
      </c>
    </row>
    <row r="1530" spans="1:15" x14ac:dyDescent="0.25">
      <c r="A1530" s="6" t="s">
        <v>4311</v>
      </c>
      <c r="B1530" s="6" t="s">
        <v>4310</v>
      </c>
      <c r="C1530" s="6" t="s">
        <v>597</v>
      </c>
      <c r="E1530" s="6" t="s">
        <v>4309</v>
      </c>
      <c r="F1530" s="6" t="s">
        <v>269</v>
      </c>
      <c r="G1530" s="6" t="s">
        <v>16</v>
      </c>
      <c r="H1530" s="6" t="s">
        <v>15</v>
      </c>
      <c r="I1530" s="6" t="s">
        <v>14</v>
      </c>
      <c r="J1530" s="6" t="s">
        <v>2267</v>
      </c>
      <c r="K1530" s="7">
        <v>32.229615389999999</v>
      </c>
      <c r="L1530" s="7">
        <v>-95.955229990000007</v>
      </c>
      <c r="M1530" s="6" t="s">
        <v>193</v>
      </c>
      <c r="N1530" s="6" t="s">
        <v>102</v>
      </c>
      <c r="O1530" s="6" t="s">
        <v>65</v>
      </c>
    </row>
    <row r="1531" spans="1:15" x14ac:dyDescent="0.25">
      <c r="A1531" s="6" t="s">
        <v>7358</v>
      </c>
      <c r="B1531" s="6" t="s">
        <v>7357</v>
      </c>
      <c r="C1531" s="6" t="s">
        <v>31</v>
      </c>
      <c r="E1531" s="6" t="s">
        <v>7356</v>
      </c>
      <c r="F1531" s="6" t="s">
        <v>7352</v>
      </c>
      <c r="G1531" s="6" t="s">
        <v>16</v>
      </c>
      <c r="H1531" s="6" t="s">
        <v>15</v>
      </c>
      <c r="I1531" s="6" t="s">
        <v>799</v>
      </c>
      <c r="J1531" s="6" t="s">
        <v>1382</v>
      </c>
      <c r="K1531" s="7">
        <v>31.334641000000001</v>
      </c>
      <c r="L1531" s="7">
        <v>-95.473557999999997</v>
      </c>
      <c r="M1531" s="6" t="s">
        <v>1031</v>
      </c>
      <c r="N1531" s="6" t="s">
        <v>102</v>
      </c>
      <c r="O1531" s="6" t="s">
        <v>24</v>
      </c>
    </row>
    <row r="1532" spans="1:15" x14ac:dyDescent="0.25">
      <c r="A1532" s="6" t="s">
        <v>6969</v>
      </c>
      <c r="B1532" s="6" t="s">
        <v>6968</v>
      </c>
      <c r="C1532" s="6" t="s">
        <v>31</v>
      </c>
      <c r="D1532" s="6" t="s">
        <v>907</v>
      </c>
      <c r="E1532" s="6" t="s">
        <v>6967</v>
      </c>
      <c r="F1532" s="6" t="s">
        <v>1033</v>
      </c>
      <c r="G1532" s="6" t="s">
        <v>16</v>
      </c>
      <c r="H1532" s="6" t="s">
        <v>15</v>
      </c>
      <c r="I1532" s="6" t="s">
        <v>4968</v>
      </c>
      <c r="J1532" s="6" t="s">
        <v>274</v>
      </c>
      <c r="K1532" s="7">
        <v>29.737998900000001</v>
      </c>
      <c r="L1532" s="7">
        <v>-98.106236640000006</v>
      </c>
      <c r="M1532" s="6" t="s">
        <v>2495</v>
      </c>
      <c r="N1532" s="6" t="s">
        <v>559</v>
      </c>
      <c r="O1532" s="6" t="s">
        <v>231</v>
      </c>
    </row>
    <row r="1533" spans="1:15" x14ac:dyDescent="0.25">
      <c r="A1533" s="6" t="s">
        <v>6969</v>
      </c>
      <c r="B1533" s="6" t="s">
        <v>6968</v>
      </c>
      <c r="C1533" s="6" t="s">
        <v>31</v>
      </c>
      <c r="D1533" s="6" t="s">
        <v>619</v>
      </c>
      <c r="E1533" s="6" t="s">
        <v>6967</v>
      </c>
      <c r="F1533" s="6" t="s">
        <v>1033</v>
      </c>
      <c r="G1533" s="6" t="s">
        <v>16</v>
      </c>
      <c r="H1533" s="6" t="s">
        <v>15</v>
      </c>
      <c r="I1533" s="6" t="s">
        <v>4968</v>
      </c>
      <c r="J1533" s="6" t="s">
        <v>274</v>
      </c>
      <c r="K1533" s="7">
        <v>29.727390369999998</v>
      </c>
      <c r="L1533" s="7">
        <v>-98.112059020000004</v>
      </c>
      <c r="M1533" s="6" t="s">
        <v>2495</v>
      </c>
      <c r="N1533" s="6" t="s">
        <v>559</v>
      </c>
      <c r="O1533" s="6" t="s">
        <v>231</v>
      </c>
    </row>
    <row r="1534" spans="1:15" x14ac:dyDescent="0.25">
      <c r="A1534" s="6" t="s">
        <v>6149</v>
      </c>
      <c r="B1534" s="6" t="s">
        <v>6148</v>
      </c>
      <c r="C1534" s="6" t="s">
        <v>31</v>
      </c>
      <c r="E1534" s="6" t="s">
        <v>6147</v>
      </c>
      <c r="F1534" s="6" t="s">
        <v>6146</v>
      </c>
      <c r="G1534" s="6" t="s">
        <v>16</v>
      </c>
      <c r="H1534" s="6" t="s">
        <v>28</v>
      </c>
      <c r="I1534" s="6" t="s">
        <v>27</v>
      </c>
      <c r="J1534" s="6" t="s">
        <v>6145</v>
      </c>
      <c r="K1534" s="7">
        <v>35.696302359999997</v>
      </c>
      <c r="L1534" s="7">
        <v>-100.63429512</v>
      </c>
      <c r="M1534" s="6" t="s">
        <v>691</v>
      </c>
      <c r="N1534" s="6" t="s">
        <v>535</v>
      </c>
      <c r="O1534" s="6" t="s">
        <v>535</v>
      </c>
    </row>
    <row r="1535" spans="1:15" x14ac:dyDescent="0.25">
      <c r="A1535" s="6" t="s">
        <v>11619</v>
      </c>
      <c r="B1535" s="6" t="s">
        <v>11618</v>
      </c>
      <c r="C1535" s="6" t="s">
        <v>31</v>
      </c>
      <c r="E1535" s="6" t="s">
        <v>11617</v>
      </c>
      <c r="F1535" s="6" t="s">
        <v>11616</v>
      </c>
      <c r="G1535" s="6" t="s">
        <v>16</v>
      </c>
      <c r="H1535" s="6" t="s">
        <v>15</v>
      </c>
      <c r="I1535" s="6" t="s">
        <v>36</v>
      </c>
      <c r="J1535" s="6" t="s">
        <v>35</v>
      </c>
      <c r="K1535" s="7">
        <v>29.859003850000001</v>
      </c>
      <c r="L1535" s="7">
        <v>-95.728992840000004</v>
      </c>
      <c r="M1535" s="6" t="s">
        <v>131</v>
      </c>
      <c r="N1535" s="6" t="s">
        <v>24</v>
      </c>
      <c r="O1535" s="6" t="s">
        <v>23</v>
      </c>
    </row>
    <row r="1536" spans="1:15" x14ac:dyDescent="0.25">
      <c r="A1536" s="6" t="s">
        <v>671</v>
      </c>
      <c r="B1536" s="6" t="s">
        <v>670</v>
      </c>
      <c r="C1536" s="6" t="s">
        <v>31</v>
      </c>
      <c r="E1536" s="6" t="s">
        <v>669</v>
      </c>
      <c r="F1536" s="6" t="s">
        <v>668</v>
      </c>
      <c r="G1536" s="6" t="s">
        <v>16</v>
      </c>
      <c r="H1536" s="6" t="s">
        <v>28</v>
      </c>
      <c r="I1536" s="6" t="s">
        <v>73</v>
      </c>
      <c r="J1536" s="6" t="s">
        <v>72</v>
      </c>
      <c r="K1536" s="7">
        <v>31.485774620000001</v>
      </c>
      <c r="L1536" s="7">
        <v>-94.929796179999997</v>
      </c>
      <c r="M1536" s="6" t="s">
        <v>53</v>
      </c>
      <c r="N1536" s="6" t="s">
        <v>52</v>
      </c>
      <c r="O1536" s="6" t="s">
        <v>65</v>
      </c>
    </row>
    <row r="1537" spans="1:15" x14ac:dyDescent="0.25">
      <c r="A1537" s="6" t="s">
        <v>225</v>
      </c>
      <c r="B1537" s="6" t="s">
        <v>224</v>
      </c>
      <c r="C1537" s="6" t="s">
        <v>31</v>
      </c>
      <c r="E1537" s="6" t="s">
        <v>223</v>
      </c>
      <c r="F1537" s="6" t="s">
        <v>222</v>
      </c>
      <c r="G1537" s="6" t="s">
        <v>16</v>
      </c>
      <c r="H1537" s="6" t="s">
        <v>28</v>
      </c>
      <c r="I1537" s="6" t="s">
        <v>27</v>
      </c>
      <c r="J1537" s="6" t="s">
        <v>221</v>
      </c>
      <c r="K1537" s="7">
        <v>30.715747</v>
      </c>
      <c r="L1537" s="7">
        <v>-97.432653999999999</v>
      </c>
      <c r="M1537" s="6" t="s">
        <v>220</v>
      </c>
      <c r="N1537" s="6" t="s">
        <v>23</v>
      </c>
      <c r="O1537" s="6" t="s">
        <v>160</v>
      </c>
    </row>
    <row r="1538" spans="1:15" x14ac:dyDescent="0.25">
      <c r="A1538" s="6" t="s">
        <v>8691</v>
      </c>
      <c r="B1538" s="6" t="s">
        <v>8690</v>
      </c>
      <c r="C1538" s="6" t="s">
        <v>31</v>
      </c>
      <c r="E1538" s="6" t="s">
        <v>8689</v>
      </c>
      <c r="F1538" s="6" t="s">
        <v>8688</v>
      </c>
      <c r="G1538" s="6" t="s">
        <v>16</v>
      </c>
      <c r="H1538" s="6" t="s">
        <v>28</v>
      </c>
      <c r="I1538" s="6" t="s">
        <v>27</v>
      </c>
      <c r="J1538" s="6" t="s">
        <v>5842</v>
      </c>
      <c r="K1538" s="7">
        <v>28.459367400000001</v>
      </c>
      <c r="L1538" s="7">
        <v>-99.750908480000007</v>
      </c>
      <c r="M1538" s="6" t="s">
        <v>5841</v>
      </c>
      <c r="N1538" s="6" t="s">
        <v>524</v>
      </c>
      <c r="O1538" s="6" t="s">
        <v>510</v>
      </c>
    </row>
    <row r="1539" spans="1:15" x14ac:dyDescent="0.25">
      <c r="A1539" s="6" t="s">
        <v>10244</v>
      </c>
      <c r="B1539" s="6" t="s">
        <v>10243</v>
      </c>
      <c r="C1539" s="6" t="s">
        <v>31</v>
      </c>
      <c r="E1539" s="6" t="s">
        <v>10242</v>
      </c>
      <c r="F1539" s="6" t="s">
        <v>10241</v>
      </c>
      <c r="G1539" s="6" t="s">
        <v>16</v>
      </c>
      <c r="H1539" s="6" t="s">
        <v>591</v>
      </c>
      <c r="I1539" s="6" t="s">
        <v>46</v>
      </c>
      <c r="J1539" s="6" t="s">
        <v>957</v>
      </c>
      <c r="K1539" s="7">
        <v>33.108041</v>
      </c>
      <c r="L1539" s="7">
        <v>-95.543880999999999</v>
      </c>
      <c r="M1539" s="6" t="s">
        <v>96</v>
      </c>
      <c r="N1539" s="6" t="s">
        <v>95</v>
      </c>
      <c r="O1539" s="6" t="s">
        <v>65</v>
      </c>
    </row>
    <row r="1540" spans="1:15" x14ac:dyDescent="0.25">
      <c r="A1540" s="6" t="s">
        <v>3049</v>
      </c>
      <c r="B1540" s="6" t="s">
        <v>3048</v>
      </c>
      <c r="C1540" s="6" t="s">
        <v>31</v>
      </c>
      <c r="E1540" s="6" t="s">
        <v>3047</v>
      </c>
      <c r="F1540" s="6" t="s">
        <v>3046</v>
      </c>
      <c r="G1540" s="6" t="s">
        <v>16</v>
      </c>
      <c r="H1540" s="6" t="s">
        <v>28</v>
      </c>
      <c r="I1540" s="6" t="s">
        <v>46</v>
      </c>
      <c r="J1540" s="6" t="s">
        <v>3045</v>
      </c>
      <c r="K1540" s="7">
        <v>30.739193369999999</v>
      </c>
      <c r="L1540" s="7">
        <v>-99.208170080000002</v>
      </c>
      <c r="M1540" s="6" t="s">
        <v>888</v>
      </c>
      <c r="N1540" s="6" t="s">
        <v>10</v>
      </c>
      <c r="O1540" s="6" t="s">
        <v>102</v>
      </c>
    </row>
    <row r="1541" spans="1:15" x14ac:dyDescent="0.25">
      <c r="A1541" s="6" t="s">
        <v>11630</v>
      </c>
      <c r="B1541" s="6" t="s">
        <v>11629</v>
      </c>
      <c r="C1541" s="6" t="s">
        <v>31</v>
      </c>
      <c r="E1541" s="6" t="s">
        <v>11628</v>
      </c>
      <c r="F1541" s="6" t="s">
        <v>11627</v>
      </c>
      <c r="G1541" s="6" t="s">
        <v>16</v>
      </c>
      <c r="H1541" s="6" t="s">
        <v>28</v>
      </c>
      <c r="I1541" s="6" t="s">
        <v>8992</v>
      </c>
      <c r="J1541" s="6" t="s">
        <v>1861</v>
      </c>
      <c r="K1541" s="7">
        <v>30.622699999999998</v>
      </c>
      <c r="L1541" s="7">
        <v>-96.421075000000002</v>
      </c>
      <c r="M1541" s="6" t="s">
        <v>121</v>
      </c>
      <c r="N1541" s="6" t="s">
        <v>23</v>
      </c>
      <c r="O1541" s="6" t="s">
        <v>120</v>
      </c>
    </row>
    <row r="1542" spans="1:15" x14ac:dyDescent="0.25">
      <c r="A1542" s="6" t="s">
        <v>11626</v>
      </c>
      <c r="B1542" s="6" t="s">
        <v>11625</v>
      </c>
      <c r="C1542" s="6" t="s">
        <v>31</v>
      </c>
      <c r="E1542" s="6" t="s">
        <v>11624</v>
      </c>
      <c r="F1542" s="6" t="s">
        <v>11623</v>
      </c>
      <c r="G1542" s="6" t="s">
        <v>16</v>
      </c>
      <c r="H1542" s="6" t="s">
        <v>28</v>
      </c>
      <c r="I1542" s="6" t="s">
        <v>27</v>
      </c>
      <c r="J1542" s="6" t="s">
        <v>72</v>
      </c>
      <c r="K1542" s="7">
        <v>32.13404551</v>
      </c>
      <c r="L1542" s="7">
        <v>-95.332595240000003</v>
      </c>
      <c r="M1542" s="6" t="s">
        <v>53</v>
      </c>
      <c r="N1542" s="6" t="s">
        <v>52</v>
      </c>
      <c r="O1542" s="6" t="s">
        <v>65</v>
      </c>
    </row>
    <row r="1543" spans="1:15" x14ac:dyDescent="0.25">
      <c r="A1543" s="6" t="s">
        <v>11615</v>
      </c>
      <c r="B1543" s="6" t="s">
        <v>11614</v>
      </c>
      <c r="C1543" s="6" t="s">
        <v>31</v>
      </c>
      <c r="E1543" s="6" t="s">
        <v>11613</v>
      </c>
      <c r="F1543" s="6" t="s">
        <v>11612</v>
      </c>
      <c r="G1543" s="6" t="s">
        <v>16</v>
      </c>
      <c r="H1543" s="6" t="s">
        <v>28</v>
      </c>
      <c r="I1543" s="6" t="s">
        <v>1200</v>
      </c>
      <c r="J1543" s="6" t="s">
        <v>35</v>
      </c>
      <c r="K1543" s="7">
        <v>29.933482000000001</v>
      </c>
      <c r="L1543" s="7">
        <v>-95.333431000000004</v>
      </c>
      <c r="M1543" s="6" t="s">
        <v>198</v>
      </c>
      <c r="N1543" s="6" t="s">
        <v>24</v>
      </c>
      <c r="O1543" s="6" t="s">
        <v>23</v>
      </c>
    </row>
    <row r="1544" spans="1:15" x14ac:dyDescent="0.25">
      <c r="A1544" s="6" t="s">
        <v>9682</v>
      </c>
      <c r="B1544" s="6" t="s">
        <v>9681</v>
      </c>
      <c r="C1544" s="6" t="s">
        <v>31</v>
      </c>
      <c r="E1544" s="6" t="s">
        <v>9680</v>
      </c>
      <c r="F1544" s="6" t="s">
        <v>1411</v>
      </c>
      <c r="G1544" s="6" t="s">
        <v>16</v>
      </c>
      <c r="H1544" s="6" t="s">
        <v>15</v>
      </c>
      <c r="I1544" s="6" t="s">
        <v>46</v>
      </c>
      <c r="J1544" s="6" t="s">
        <v>90</v>
      </c>
      <c r="K1544" s="7">
        <v>25.954049959999999</v>
      </c>
      <c r="L1544" s="7">
        <v>-97.453921210000004</v>
      </c>
      <c r="M1544" s="6" t="s">
        <v>770</v>
      </c>
      <c r="N1544" s="6" t="s">
        <v>11</v>
      </c>
      <c r="O1544" s="6" t="s">
        <v>22</v>
      </c>
    </row>
    <row r="1545" spans="1:15" x14ac:dyDescent="0.25">
      <c r="A1545" s="6" t="s">
        <v>11622</v>
      </c>
      <c r="B1545" s="6" t="s">
        <v>11621</v>
      </c>
      <c r="C1545" s="6" t="s">
        <v>31</v>
      </c>
      <c r="E1545" s="6" t="s">
        <v>11620</v>
      </c>
      <c r="F1545" s="6" t="s">
        <v>2705</v>
      </c>
      <c r="G1545" s="6" t="s">
        <v>16</v>
      </c>
      <c r="H1545" s="6" t="s">
        <v>15</v>
      </c>
      <c r="I1545" s="6" t="s">
        <v>36</v>
      </c>
      <c r="J1545" s="6" t="s">
        <v>35</v>
      </c>
      <c r="K1545" s="7">
        <v>29.919270879999999</v>
      </c>
      <c r="L1545" s="7">
        <v>-95.326372930000005</v>
      </c>
      <c r="M1545" s="6" t="s">
        <v>198</v>
      </c>
      <c r="N1545" s="6" t="s">
        <v>24</v>
      </c>
      <c r="O1545" s="6" t="s">
        <v>23</v>
      </c>
    </row>
    <row r="1546" spans="1:15" x14ac:dyDescent="0.25">
      <c r="A1546" s="6" t="s">
        <v>4398</v>
      </c>
      <c r="B1546" s="6" t="s">
        <v>4397</v>
      </c>
      <c r="C1546" s="6" t="s">
        <v>31</v>
      </c>
      <c r="E1546" s="6" t="s">
        <v>4396</v>
      </c>
      <c r="F1546" s="6" t="s">
        <v>4395</v>
      </c>
      <c r="G1546" s="6" t="s">
        <v>16</v>
      </c>
      <c r="H1546" s="6" t="s">
        <v>28</v>
      </c>
      <c r="I1546" s="6" t="s">
        <v>36</v>
      </c>
      <c r="J1546" s="6" t="s">
        <v>26</v>
      </c>
      <c r="K1546" s="7">
        <v>30.101002619999999</v>
      </c>
      <c r="L1546" s="7">
        <v>-95.184960480000001</v>
      </c>
      <c r="M1546" s="6" t="s">
        <v>59</v>
      </c>
      <c r="N1546" s="6" t="s">
        <v>24</v>
      </c>
      <c r="O1546" s="6" t="s">
        <v>23</v>
      </c>
    </row>
    <row r="1547" spans="1:15" x14ac:dyDescent="0.25">
      <c r="A1547" s="6" t="s">
        <v>2220</v>
      </c>
      <c r="B1547" s="6" t="s">
        <v>2219</v>
      </c>
      <c r="C1547" s="6" t="s">
        <v>31</v>
      </c>
      <c r="E1547" s="6" t="s">
        <v>2218</v>
      </c>
      <c r="F1547" s="6" t="s">
        <v>2217</v>
      </c>
      <c r="G1547" s="6" t="s">
        <v>16</v>
      </c>
      <c r="H1547" s="6" t="s">
        <v>28</v>
      </c>
      <c r="I1547" s="6" t="s">
        <v>46</v>
      </c>
      <c r="J1547" s="6" t="s">
        <v>1519</v>
      </c>
      <c r="K1547" s="7">
        <v>30.022099999999998</v>
      </c>
      <c r="L1547" s="7">
        <v>-94.590599960000006</v>
      </c>
      <c r="M1547" s="6" t="s">
        <v>2055</v>
      </c>
      <c r="N1547" s="6" t="s">
        <v>102</v>
      </c>
      <c r="O1547" s="6" t="s">
        <v>23</v>
      </c>
    </row>
    <row r="1548" spans="1:15" x14ac:dyDescent="0.25">
      <c r="A1548" s="6" t="s">
        <v>11611</v>
      </c>
      <c r="B1548" s="6" t="s">
        <v>11610</v>
      </c>
      <c r="C1548" s="6" t="s">
        <v>31</v>
      </c>
      <c r="E1548" s="6" t="s">
        <v>11609</v>
      </c>
      <c r="F1548" s="6" t="s">
        <v>11608</v>
      </c>
      <c r="G1548" s="6" t="s">
        <v>16</v>
      </c>
      <c r="H1548" s="6" t="s">
        <v>15</v>
      </c>
      <c r="I1548" s="6" t="s">
        <v>36</v>
      </c>
      <c r="J1548" s="6" t="s">
        <v>35</v>
      </c>
      <c r="K1548" s="7">
        <v>30.07193474</v>
      </c>
      <c r="L1548" s="7">
        <v>-95.376711069999999</v>
      </c>
      <c r="M1548" s="6" t="s">
        <v>731</v>
      </c>
      <c r="N1548" s="6" t="s">
        <v>24</v>
      </c>
      <c r="O1548" s="6" t="s">
        <v>23</v>
      </c>
    </row>
    <row r="1549" spans="1:15" x14ac:dyDescent="0.25">
      <c r="A1549" s="6" t="s">
        <v>3596</v>
      </c>
      <c r="B1549" s="6" t="s">
        <v>3595</v>
      </c>
      <c r="C1549" s="6" t="s">
        <v>31</v>
      </c>
      <c r="E1549" s="6" t="s">
        <v>3594</v>
      </c>
      <c r="F1549" s="6" t="s">
        <v>111</v>
      </c>
      <c r="G1549" s="6" t="s">
        <v>16</v>
      </c>
      <c r="H1549" s="6" t="s">
        <v>28</v>
      </c>
      <c r="I1549" s="6" t="s">
        <v>73</v>
      </c>
      <c r="J1549" s="6" t="s">
        <v>110</v>
      </c>
      <c r="K1549" s="7">
        <v>32.935150999999998</v>
      </c>
      <c r="L1549" s="7">
        <v>-95.881247999999999</v>
      </c>
      <c r="M1549" s="6" t="s">
        <v>109</v>
      </c>
      <c r="N1549" s="6" t="s">
        <v>65</v>
      </c>
      <c r="O1549" s="6" t="s">
        <v>65</v>
      </c>
    </row>
    <row r="1550" spans="1:15" x14ac:dyDescent="0.25">
      <c r="A1550" s="6" t="s">
        <v>10219</v>
      </c>
      <c r="B1550" s="6" t="s">
        <v>10218</v>
      </c>
      <c r="C1550" s="6" t="s">
        <v>31</v>
      </c>
      <c r="E1550" s="6" t="s">
        <v>10217</v>
      </c>
      <c r="F1550" s="6" t="s">
        <v>111</v>
      </c>
      <c r="G1550" s="6" t="s">
        <v>16</v>
      </c>
      <c r="H1550" s="6" t="s">
        <v>28</v>
      </c>
      <c r="I1550" s="6" t="s">
        <v>27</v>
      </c>
      <c r="J1550" s="6" t="s">
        <v>110</v>
      </c>
      <c r="K1550" s="7">
        <v>32.931863</v>
      </c>
      <c r="L1550" s="7">
        <v>-95.863697999999999</v>
      </c>
      <c r="M1550" s="6" t="s">
        <v>956</v>
      </c>
      <c r="N1550" s="6" t="s">
        <v>65</v>
      </c>
      <c r="O1550" s="6" t="s">
        <v>65</v>
      </c>
    </row>
    <row r="1551" spans="1:15" x14ac:dyDescent="0.25">
      <c r="A1551" s="6" t="s">
        <v>10219</v>
      </c>
      <c r="B1551" s="6" t="s">
        <v>10218</v>
      </c>
      <c r="C1551" s="6" t="s">
        <v>31</v>
      </c>
      <c r="E1551" s="6" t="s">
        <v>10217</v>
      </c>
      <c r="F1551" s="6" t="s">
        <v>111</v>
      </c>
      <c r="G1551" s="6" t="s">
        <v>16</v>
      </c>
      <c r="H1551" s="6" t="s">
        <v>28</v>
      </c>
      <c r="I1551" s="6" t="s">
        <v>73</v>
      </c>
      <c r="J1551" s="6" t="s">
        <v>110</v>
      </c>
      <c r="K1551" s="7">
        <v>32.931863</v>
      </c>
      <c r="L1551" s="7">
        <v>-95.863697999999999</v>
      </c>
      <c r="M1551" s="6" t="s">
        <v>956</v>
      </c>
      <c r="N1551" s="6" t="s">
        <v>65</v>
      </c>
      <c r="O1551" s="6" t="s">
        <v>65</v>
      </c>
    </row>
    <row r="1552" spans="1:15" x14ac:dyDescent="0.25">
      <c r="A1552" s="6" t="s">
        <v>11599</v>
      </c>
      <c r="B1552" s="6" t="s">
        <v>11598</v>
      </c>
      <c r="C1552" s="6" t="s">
        <v>31</v>
      </c>
      <c r="E1552" s="6" t="s">
        <v>11597</v>
      </c>
      <c r="F1552" s="6" t="s">
        <v>11596</v>
      </c>
      <c r="G1552" s="6" t="s">
        <v>16</v>
      </c>
      <c r="H1552" s="6" t="s">
        <v>28</v>
      </c>
      <c r="I1552" s="6" t="s">
        <v>36</v>
      </c>
      <c r="J1552" s="6" t="s">
        <v>35</v>
      </c>
      <c r="K1552" s="7">
        <v>30.0423294</v>
      </c>
      <c r="L1552" s="7">
        <v>-95.812646689999994</v>
      </c>
      <c r="M1552" s="6" t="s">
        <v>279</v>
      </c>
      <c r="N1552" s="6" t="s">
        <v>24</v>
      </c>
      <c r="O1552" s="6" t="s">
        <v>23</v>
      </c>
    </row>
    <row r="1553" spans="1:15" x14ac:dyDescent="0.25">
      <c r="A1553" s="6" t="s">
        <v>12292</v>
      </c>
      <c r="B1553" s="6" t="s">
        <v>12291</v>
      </c>
      <c r="C1553" s="6" t="s">
        <v>31</v>
      </c>
      <c r="E1553" s="6" t="s">
        <v>12290</v>
      </c>
      <c r="F1553" s="6" t="s">
        <v>12289</v>
      </c>
      <c r="G1553" s="6" t="s">
        <v>16</v>
      </c>
      <c r="H1553" s="6" t="s">
        <v>15</v>
      </c>
      <c r="I1553" s="6" t="s">
        <v>36</v>
      </c>
      <c r="J1553" s="6" t="s">
        <v>35</v>
      </c>
      <c r="K1553" s="7">
        <v>29.78784091</v>
      </c>
      <c r="L1553" s="7">
        <v>-95.739251420000002</v>
      </c>
      <c r="M1553" s="6" t="s">
        <v>131</v>
      </c>
      <c r="N1553" s="6" t="s">
        <v>24</v>
      </c>
      <c r="O1553" s="6" t="s">
        <v>23</v>
      </c>
    </row>
    <row r="1554" spans="1:15" x14ac:dyDescent="0.25">
      <c r="A1554" s="6" t="s">
        <v>6947</v>
      </c>
      <c r="B1554" s="6" t="s">
        <v>6946</v>
      </c>
      <c r="C1554" s="6" t="s">
        <v>31</v>
      </c>
      <c r="E1554" s="6" t="s">
        <v>6945</v>
      </c>
      <c r="F1554" s="6" t="s">
        <v>6944</v>
      </c>
      <c r="G1554" s="6" t="s">
        <v>16</v>
      </c>
      <c r="H1554" s="6" t="s">
        <v>28</v>
      </c>
      <c r="I1554" s="6" t="s">
        <v>73</v>
      </c>
      <c r="J1554" s="6" t="s">
        <v>2583</v>
      </c>
      <c r="K1554" s="7">
        <v>33.175390999999998</v>
      </c>
      <c r="L1554" s="7">
        <v>-94.739565999999996</v>
      </c>
      <c r="M1554" s="6" t="s">
        <v>1941</v>
      </c>
      <c r="N1554" s="6" t="s">
        <v>42</v>
      </c>
      <c r="O1554" s="6" t="s">
        <v>65</v>
      </c>
    </row>
    <row r="1555" spans="1:15" x14ac:dyDescent="0.25">
      <c r="A1555" s="6" t="s">
        <v>11424</v>
      </c>
      <c r="B1555" s="6" t="s">
        <v>11423</v>
      </c>
      <c r="C1555" s="6" t="s">
        <v>31</v>
      </c>
      <c r="E1555" s="6" t="s">
        <v>11422</v>
      </c>
      <c r="F1555" s="6" t="s">
        <v>11421</v>
      </c>
      <c r="G1555" s="6" t="s">
        <v>16</v>
      </c>
      <c r="H1555" s="6" t="s">
        <v>28</v>
      </c>
      <c r="I1555" s="6" t="s">
        <v>27</v>
      </c>
      <c r="J1555" s="6" t="s">
        <v>385</v>
      </c>
      <c r="K1555" s="7">
        <v>30.025960999999999</v>
      </c>
      <c r="L1555" s="7">
        <v>-94.334436999999994</v>
      </c>
      <c r="M1555" s="6" t="s">
        <v>384</v>
      </c>
      <c r="N1555" s="6" t="s">
        <v>383</v>
      </c>
      <c r="O1555" s="6" t="s">
        <v>24</v>
      </c>
    </row>
    <row r="1556" spans="1:15" x14ac:dyDescent="0.25">
      <c r="A1556" s="6" t="s">
        <v>11889</v>
      </c>
      <c r="B1556" s="6" t="s">
        <v>11888</v>
      </c>
      <c r="C1556" s="6" t="s">
        <v>31</v>
      </c>
      <c r="E1556" s="6" t="s">
        <v>11887</v>
      </c>
      <c r="F1556" s="6" t="s">
        <v>11886</v>
      </c>
      <c r="G1556" s="6" t="s">
        <v>16</v>
      </c>
      <c r="H1556" s="6" t="s">
        <v>28</v>
      </c>
      <c r="I1556" s="6" t="s">
        <v>27</v>
      </c>
      <c r="J1556" s="6" t="s">
        <v>1716</v>
      </c>
      <c r="K1556" s="7">
        <v>30.663055</v>
      </c>
      <c r="L1556" s="7">
        <v>-95.346745999999996</v>
      </c>
      <c r="M1556" s="6" t="s">
        <v>301</v>
      </c>
      <c r="N1556" s="6" t="s">
        <v>24</v>
      </c>
      <c r="O1556" s="6" t="s">
        <v>23</v>
      </c>
    </row>
    <row r="1557" spans="1:15" x14ac:dyDescent="0.25">
      <c r="A1557" s="6" t="s">
        <v>6976</v>
      </c>
      <c r="B1557" s="6" t="s">
        <v>6975</v>
      </c>
      <c r="C1557" s="6" t="s">
        <v>31</v>
      </c>
      <c r="E1557" s="6" t="s">
        <v>6974</v>
      </c>
      <c r="F1557" s="6" t="s">
        <v>6973</v>
      </c>
      <c r="G1557" s="6" t="s">
        <v>16</v>
      </c>
      <c r="H1557" s="6" t="s">
        <v>15</v>
      </c>
      <c r="I1557" s="6" t="s">
        <v>14</v>
      </c>
      <c r="J1557" s="6" t="s">
        <v>576</v>
      </c>
      <c r="K1557" s="7">
        <v>30.383878339999999</v>
      </c>
      <c r="L1557" s="7">
        <v>-96.101176039999999</v>
      </c>
      <c r="M1557" s="6" t="s">
        <v>927</v>
      </c>
      <c r="N1557" s="6" t="s">
        <v>23</v>
      </c>
      <c r="O1557" s="6" t="s">
        <v>120</v>
      </c>
    </row>
    <row r="1558" spans="1:15" x14ac:dyDescent="0.25">
      <c r="A1558" s="6" t="s">
        <v>2623</v>
      </c>
      <c r="B1558" s="6" t="s">
        <v>2622</v>
      </c>
      <c r="C1558" s="6" t="s">
        <v>31</v>
      </c>
      <c r="E1558" s="6" t="s">
        <v>2621</v>
      </c>
      <c r="F1558" s="6" t="s">
        <v>2620</v>
      </c>
      <c r="G1558" s="6" t="s">
        <v>16</v>
      </c>
      <c r="H1558" s="6" t="s">
        <v>28</v>
      </c>
      <c r="I1558" s="6" t="s">
        <v>27</v>
      </c>
      <c r="J1558" s="6" t="s">
        <v>883</v>
      </c>
      <c r="K1558" s="7">
        <v>32.905078969999998</v>
      </c>
      <c r="L1558" s="7">
        <v>-94.546882060000002</v>
      </c>
      <c r="M1558" s="6" t="s">
        <v>2619</v>
      </c>
      <c r="N1558" s="6" t="s">
        <v>42</v>
      </c>
      <c r="O1558" s="6" t="s">
        <v>65</v>
      </c>
    </row>
    <row r="1559" spans="1:15" x14ac:dyDescent="0.25">
      <c r="A1559" s="6" t="s">
        <v>11603</v>
      </c>
      <c r="B1559" s="6" t="s">
        <v>11602</v>
      </c>
      <c r="C1559" s="6" t="s">
        <v>31</v>
      </c>
      <c r="E1559" s="6" t="s">
        <v>11601</v>
      </c>
      <c r="F1559" s="6" t="s">
        <v>11600</v>
      </c>
      <c r="G1559" s="6" t="s">
        <v>16</v>
      </c>
      <c r="H1559" s="6" t="s">
        <v>28</v>
      </c>
      <c r="I1559" s="6" t="s">
        <v>27</v>
      </c>
      <c r="J1559" s="6" t="s">
        <v>35</v>
      </c>
      <c r="K1559" s="7">
        <v>29.912737</v>
      </c>
      <c r="L1559" s="7">
        <v>-95.449332999999996</v>
      </c>
      <c r="M1559" s="6" t="s">
        <v>34</v>
      </c>
      <c r="N1559" s="6" t="s">
        <v>24</v>
      </c>
      <c r="O1559" s="6" t="s">
        <v>23</v>
      </c>
    </row>
    <row r="1560" spans="1:15" x14ac:dyDescent="0.25">
      <c r="A1560" s="6" t="s">
        <v>5677</v>
      </c>
      <c r="B1560" s="6" t="s">
        <v>5676</v>
      </c>
      <c r="C1560" s="6" t="s">
        <v>31</v>
      </c>
      <c r="E1560" s="6" t="s">
        <v>5675</v>
      </c>
      <c r="F1560" s="6" t="s">
        <v>410</v>
      </c>
      <c r="G1560" s="6" t="s">
        <v>16</v>
      </c>
      <c r="H1560" s="6" t="s">
        <v>15</v>
      </c>
      <c r="I1560" s="6" t="s">
        <v>14</v>
      </c>
      <c r="J1560" s="6" t="s">
        <v>409</v>
      </c>
      <c r="K1560" s="7">
        <v>30.208079000000001</v>
      </c>
      <c r="L1560" s="7">
        <v>-97.595324579999996</v>
      </c>
      <c r="M1560" s="6" t="s">
        <v>408</v>
      </c>
      <c r="N1560" s="6" t="s">
        <v>10</v>
      </c>
      <c r="O1560" s="6" t="s">
        <v>160</v>
      </c>
    </row>
    <row r="1561" spans="1:15" x14ac:dyDescent="0.25">
      <c r="A1561" s="6" t="s">
        <v>2203</v>
      </c>
      <c r="B1561" s="6" t="s">
        <v>2202</v>
      </c>
      <c r="C1561" s="6" t="s">
        <v>31</v>
      </c>
      <c r="E1561" s="6" t="s">
        <v>2201</v>
      </c>
      <c r="F1561" s="6" t="s">
        <v>2200</v>
      </c>
      <c r="G1561" s="6" t="s">
        <v>16</v>
      </c>
      <c r="H1561" s="6" t="s">
        <v>15</v>
      </c>
      <c r="I1561" s="6" t="s">
        <v>36</v>
      </c>
      <c r="J1561" s="6" t="s">
        <v>215</v>
      </c>
      <c r="K1561" s="7">
        <v>29.482094329999999</v>
      </c>
      <c r="L1561" s="7">
        <v>-94.960359560000001</v>
      </c>
      <c r="M1561" s="6" t="s">
        <v>496</v>
      </c>
      <c r="N1561" s="6" t="s">
        <v>160</v>
      </c>
      <c r="O1561" s="6" t="s">
        <v>23</v>
      </c>
    </row>
    <row r="1562" spans="1:15" x14ac:dyDescent="0.25">
      <c r="A1562" s="6" t="s">
        <v>9235</v>
      </c>
      <c r="B1562" s="6" t="s">
        <v>9234</v>
      </c>
      <c r="C1562" s="6" t="s">
        <v>31</v>
      </c>
      <c r="E1562" s="6" t="s">
        <v>9233</v>
      </c>
      <c r="F1562" s="6" t="s">
        <v>9232</v>
      </c>
      <c r="G1562" s="6" t="s">
        <v>16</v>
      </c>
      <c r="H1562" s="6" t="s">
        <v>28</v>
      </c>
      <c r="I1562" s="6" t="s">
        <v>73</v>
      </c>
      <c r="J1562" s="6" t="s">
        <v>2267</v>
      </c>
      <c r="K1562" s="7">
        <v>32.285060000000001</v>
      </c>
      <c r="L1562" s="7">
        <v>-95.746208999999993</v>
      </c>
      <c r="M1562" s="6" t="s">
        <v>66</v>
      </c>
      <c r="N1562" s="6" t="s">
        <v>52</v>
      </c>
      <c r="O1562" s="6" t="s">
        <v>65</v>
      </c>
    </row>
    <row r="1563" spans="1:15" x14ac:dyDescent="0.25">
      <c r="A1563" s="6" t="s">
        <v>11916</v>
      </c>
      <c r="B1563" s="6" t="s">
        <v>11915</v>
      </c>
      <c r="C1563" s="6" t="s">
        <v>31</v>
      </c>
      <c r="E1563" s="6" t="s">
        <v>11914</v>
      </c>
      <c r="F1563" s="6" t="s">
        <v>11913</v>
      </c>
      <c r="G1563" s="6" t="s">
        <v>16</v>
      </c>
      <c r="H1563" s="6" t="s">
        <v>28</v>
      </c>
      <c r="I1563" s="6" t="s">
        <v>60</v>
      </c>
      <c r="J1563" s="6" t="s">
        <v>54</v>
      </c>
      <c r="K1563" s="7">
        <v>30.918109000000001</v>
      </c>
      <c r="L1563" s="7">
        <v>-95.27328</v>
      </c>
      <c r="M1563" s="6" t="s">
        <v>317</v>
      </c>
      <c r="N1563" s="6" t="s">
        <v>102</v>
      </c>
      <c r="O1563" s="6" t="s">
        <v>24</v>
      </c>
    </row>
    <row r="1564" spans="1:15" x14ac:dyDescent="0.25">
      <c r="A1564" s="6" t="s">
        <v>11904</v>
      </c>
      <c r="B1564" s="6" t="s">
        <v>11903</v>
      </c>
      <c r="C1564" s="6" t="s">
        <v>31</v>
      </c>
      <c r="E1564" s="6" t="s">
        <v>11902</v>
      </c>
      <c r="F1564" s="6" t="s">
        <v>11901</v>
      </c>
      <c r="G1564" s="6" t="s">
        <v>16</v>
      </c>
      <c r="H1564" s="6" t="s">
        <v>15</v>
      </c>
      <c r="I1564" s="6" t="s">
        <v>36</v>
      </c>
      <c r="J1564" s="6" t="s">
        <v>35</v>
      </c>
      <c r="K1564" s="7">
        <v>30.05856631</v>
      </c>
      <c r="L1564" s="7">
        <v>-95.485942069999993</v>
      </c>
      <c r="M1564" s="6" t="s">
        <v>279</v>
      </c>
      <c r="N1564" s="6" t="s">
        <v>24</v>
      </c>
      <c r="O1564" s="6" t="s">
        <v>23</v>
      </c>
    </row>
    <row r="1565" spans="1:15" x14ac:dyDescent="0.25">
      <c r="A1565" s="6" t="s">
        <v>1425</v>
      </c>
      <c r="B1565" s="6" t="s">
        <v>1423</v>
      </c>
      <c r="C1565" s="6" t="s">
        <v>31</v>
      </c>
      <c r="E1565" s="6" t="s">
        <v>1422</v>
      </c>
      <c r="F1565" s="6" t="s">
        <v>1421</v>
      </c>
      <c r="G1565" s="6" t="s">
        <v>16</v>
      </c>
      <c r="H1565" s="6" t="s">
        <v>15</v>
      </c>
      <c r="I1565" s="6" t="s">
        <v>14</v>
      </c>
      <c r="J1565" s="6" t="s">
        <v>162</v>
      </c>
      <c r="K1565" s="7">
        <v>29.45415113</v>
      </c>
      <c r="L1565" s="7">
        <v>-95.328355830000007</v>
      </c>
      <c r="M1565" s="6" t="s">
        <v>161</v>
      </c>
      <c r="N1565" s="6" t="s">
        <v>160</v>
      </c>
      <c r="O1565" s="6" t="s">
        <v>23</v>
      </c>
    </row>
    <row r="1566" spans="1:15" x14ac:dyDescent="0.25">
      <c r="A1566" s="6" t="s">
        <v>1424</v>
      </c>
      <c r="B1566" s="6" t="s">
        <v>1423</v>
      </c>
      <c r="C1566" s="6" t="s">
        <v>19</v>
      </c>
      <c r="E1566" s="6" t="s">
        <v>1422</v>
      </c>
      <c r="F1566" s="6" t="s">
        <v>1421</v>
      </c>
      <c r="G1566" s="6" t="s">
        <v>16</v>
      </c>
      <c r="H1566" s="6" t="s">
        <v>430</v>
      </c>
      <c r="I1566" s="6" t="s">
        <v>14</v>
      </c>
      <c r="J1566" s="6" t="s">
        <v>162</v>
      </c>
      <c r="K1566" s="7">
        <v>29.453870869999999</v>
      </c>
      <c r="L1566" s="7">
        <v>-95.327481829999996</v>
      </c>
      <c r="M1566" s="6" t="s">
        <v>161</v>
      </c>
      <c r="N1566" s="6" t="s">
        <v>160</v>
      </c>
      <c r="O1566" s="6" t="s">
        <v>23</v>
      </c>
    </row>
    <row r="1567" spans="1:15" x14ac:dyDescent="0.25">
      <c r="A1567" s="6" t="s">
        <v>11591</v>
      </c>
      <c r="B1567" s="6" t="s">
        <v>11590</v>
      </c>
      <c r="C1567" s="6" t="s">
        <v>31</v>
      </c>
      <c r="E1567" s="6" t="s">
        <v>11589</v>
      </c>
      <c r="F1567" s="6" t="s">
        <v>11588</v>
      </c>
      <c r="G1567" s="6" t="s">
        <v>16</v>
      </c>
      <c r="H1567" s="6" t="s">
        <v>28</v>
      </c>
      <c r="I1567" s="6" t="s">
        <v>60</v>
      </c>
      <c r="J1567" s="6" t="s">
        <v>35</v>
      </c>
      <c r="K1567" s="7">
        <v>29.89978</v>
      </c>
      <c r="L1567" s="7">
        <v>-95.348403000000005</v>
      </c>
      <c r="M1567" s="6" t="s">
        <v>34</v>
      </c>
      <c r="N1567" s="6" t="s">
        <v>24</v>
      </c>
      <c r="O1567" s="6" t="s">
        <v>23</v>
      </c>
    </row>
    <row r="1568" spans="1:15" x14ac:dyDescent="0.25">
      <c r="A1568" s="6" t="s">
        <v>9148</v>
      </c>
      <c r="B1568" s="6" t="s">
        <v>1428</v>
      </c>
      <c r="C1568" s="6" t="s">
        <v>31</v>
      </c>
      <c r="E1568" s="6" t="s">
        <v>1427</v>
      </c>
      <c r="F1568" s="6" t="s">
        <v>1426</v>
      </c>
      <c r="G1568" s="6" t="s">
        <v>16</v>
      </c>
      <c r="H1568" s="6" t="s">
        <v>15</v>
      </c>
      <c r="I1568" s="6" t="s">
        <v>14</v>
      </c>
      <c r="J1568" s="6" t="s">
        <v>35</v>
      </c>
      <c r="K1568" s="7">
        <v>29.734426760000002</v>
      </c>
      <c r="L1568" s="7">
        <v>-95.153735299999994</v>
      </c>
      <c r="M1568" s="6" t="s">
        <v>34</v>
      </c>
      <c r="N1568" s="6" t="s">
        <v>24</v>
      </c>
      <c r="O1568" s="6" t="s">
        <v>23</v>
      </c>
    </row>
    <row r="1569" spans="1:15" x14ac:dyDescent="0.25">
      <c r="A1569" s="6" t="s">
        <v>9147</v>
      </c>
      <c r="B1569" s="6" t="s">
        <v>1428</v>
      </c>
      <c r="C1569" s="6" t="s">
        <v>19</v>
      </c>
      <c r="E1569" s="6" t="s">
        <v>1427</v>
      </c>
      <c r="F1569" s="6" t="s">
        <v>1426</v>
      </c>
      <c r="G1569" s="6" t="s">
        <v>16</v>
      </c>
      <c r="H1569" s="6" t="s">
        <v>430</v>
      </c>
      <c r="I1569" s="6" t="s">
        <v>14</v>
      </c>
      <c r="J1569" s="6" t="s">
        <v>35</v>
      </c>
      <c r="K1569" s="7">
        <v>29.735375439999999</v>
      </c>
      <c r="L1569" s="7">
        <v>-95.154698879999998</v>
      </c>
      <c r="M1569" s="6" t="s">
        <v>34</v>
      </c>
      <c r="N1569" s="6" t="s">
        <v>24</v>
      </c>
      <c r="O1569" s="6" t="s">
        <v>23</v>
      </c>
    </row>
    <row r="1570" spans="1:15" x14ac:dyDescent="0.25">
      <c r="A1570" s="6" t="s">
        <v>1618</v>
      </c>
      <c r="B1570" s="6" t="s">
        <v>1428</v>
      </c>
      <c r="C1570" s="6" t="s">
        <v>436</v>
      </c>
      <c r="E1570" s="6" t="s">
        <v>1427</v>
      </c>
      <c r="F1570" s="6" t="s">
        <v>1617</v>
      </c>
      <c r="G1570" s="6" t="s">
        <v>16</v>
      </c>
      <c r="H1570" s="6" t="s">
        <v>430</v>
      </c>
      <c r="I1570" s="6" t="s">
        <v>14</v>
      </c>
      <c r="J1570" s="6" t="s">
        <v>35</v>
      </c>
      <c r="K1570" s="7">
        <v>29.73577323</v>
      </c>
      <c r="L1570" s="7">
        <v>-95.155297689999998</v>
      </c>
      <c r="M1570" s="6" t="s">
        <v>34</v>
      </c>
      <c r="N1570" s="6" t="s">
        <v>24</v>
      </c>
      <c r="O1570" s="6" t="s">
        <v>23</v>
      </c>
    </row>
    <row r="1571" spans="1:15" x14ac:dyDescent="0.25">
      <c r="A1571" s="6" t="s">
        <v>1616</v>
      </c>
      <c r="B1571" s="6" t="s">
        <v>1428</v>
      </c>
      <c r="C1571" s="6" t="s">
        <v>597</v>
      </c>
      <c r="E1571" s="6" t="s">
        <v>1427</v>
      </c>
      <c r="F1571" s="6" t="s">
        <v>1426</v>
      </c>
      <c r="G1571" s="6" t="s">
        <v>16</v>
      </c>
      <c r="H1571" s="6" t="s">
        <v>15</v>
      </c>
      <c r="I1571" s="6" t="s">
        <v>14</v>
      </c>
      <c r="J1571" s="6" t="s">
        <v>35</v>
      </c>
      <c r="K1571" s="7">
        <v>29.736860799999999</v>
      </c>
      <c r="L1571" s="7">
        <v>-95.156797569999995</v>
      </c>
      <c r="M1571" s="6" t="s">
        <v>34</v>
      </c>
      <c r="N1571" s="6" t="s">
        <v>24</v>
      </c>
      <c r="O1571" s="6" t="s">
        <v>23</v>
      </c>
    </row>
    <row r="1572" spans="1:15" x14ac:dyDescent="0.25">
      <c r="A1572" s="6" t="s">
        <v>1429</v>
      </c>
      <c r="B1572" s="6" t="s">
        <v>1428</v>
      </c>
      <c r="C1572" s="6" t="s">
        <v>433</v>
      </c>
      <c r="E1572" s="6" t="s">
        <v>1427</v>
      </c>
      <c r="F1572" s="6" t="s">
        <v>1426</v>
      </c>
      <c r="G1572" s="6" t="s">
        <v>16</v>
      </c>
      <c r="H1572" s="6" t="s">
        <v>430</v>
      </c>
      <c r="I1572" s="6" t="s">
        <v>14</v>
      </c>
      <c r="J1572" s="6" t="s">
        <v>35</v>
      </c>
      <c r="K1572" s="7">
        <v>29.736860799999999</v>
      </c>
      <c r="L1572" s="7">
        <v>-95.156797569999995</v>
      </c>
      <c r="M1572" s="6" t="s">
        <v>34</v>
      </c>
      <c r="N1572" s="6" t="s">
        <v>24</v>
      </c>
      <c r="O1572" s="6" t="s">
        <v>23</v>
      </c>
    </row>
    <row r="1573" spans="1:15" x14ac:dyDescent="0.25">
      <c r="A1573" s="6" t="s">
        <v>9952</v>
      </c>
      <c r="B1573" s="6" t="s">
        <v>9951</v>
      </c>
      <c r="C1573" s="6" t="s">
        <v>31</v>
      </c>
      <c r="E1573" s="6" t="s">
        <v>9950</v>
      </c>
      <c r="F1573" s="6" t="s">
        <v>9949</v>
      </c>
      <c r="G1573" s="6" t="s">
        <v>16</v>
      </c>
      <c r="H1573" s="6" t="s">
        <v>28</v>
      </c>
      <c r="I1573" s="6" t="s">
        <v>60</v>
      </c>
      <c r="J1573" s="6" t="s">
        <v>1275</v>
      </c>
      <c r="K1573" s="7">
        <v>31.871285</v>
      </c>
      <c r="L1573" s="7">
        <v>-96.323545999999993</v>
      </c>
      <c r="M1573" s="6" t="s">
        <v>1031</v>
      </c>
      <c r="N1573" s="6" t="s">
        <v>102</v>
      </c>
      <c r="O1573" s="6" t="s">
        <v>120</v>
      </c>
    </row>
    <row r="1574" spans="1:15" x14ac:dyDescent="0.25">
      <c r="A1574" s="6" t="s">
        <v>11924</v>
      </c>
      <c r="B1574" s="6" t="s">
        <v>11923</v>
      </c>
      <c r="C1574" s="6" t="s">
        <v>31</v>
      </c>
      <c r="E1574" s="6" t="s">
        <v>11922</v>
      </c>
      <c r="F1574" s="6" t="s">
        <v>11921</v>
      </c>
      <c r="G1574" s="6" t="s">
        <v>16</v>
      </c>
      <c r="H1574" s="6" t="s">
        <v>28</v>
      </c>
      <c r="I1574" s="6" t="s">
        <v>27</v>
      </c>
      <c r="J1574" s="6" t="s">
        <v>35</v>
      </c>
      <c r="K1574" s="7">
        <v>29.990158999999998</v>
      </c>
      <c r="L1574" s="7">
        <v>-95.644488999999993</v>
      </c>
      <c r="M1574" s="6" t="s">
        <v>279</v>
      </c>
      <c r="N1574" s="6" t="s">
        <v>24</v>
      </c>
      <c r="O1574" s="6" t="s">
        <v>23</v>
      </c>
    </row>
    <row r="1575" spans="1:15" x14ac:dyDescent="0.25">
      <c r="A1575" s="6" t="s">
        <v>11912</v>
      </c>
      <c r="B1575" s="6" t="s">
        <v>11911</v>
      </c>
      <c r="C1575" s="6" t="s">
        <v>31</v>
      </c>
      <c r="E1575" s="6" t="s">
        <v>11910</v>
      </c>
      <c r="F1575" s="6" t="s">
        <v>11909</v>
      </c>
      <c r="G1575" s="6" t="s">
        <v>16</v>
      </c>
      <c r="H1575" s="6" t="s">
        <v>15</v>
      </c>
      <c r="I1575" s="6" t="s">
        <v>36</v>
      </c>
      <c r="J1575" s="6" t="s">
        <v>35</v>
      </c>
      <c r="K1575" s="7">
        <v>29.99861525</v>
      </c>
      <c r="L1575" s="7">
        <v>-95.606299019999994</v>
      </c>
      <c r="M1575" s="6" t="s">
        <v>279</v>
      </c>
      <c r="N1575" s="6" t="s">
        <v>24</v>
      </c>
      <c r="O1575" s="6" t="s">
        <v>23</v>
      </c>
    </row>
    <row r="1576" spans="1:15" x14ac:dyDescent="0.25">
      <c r="A1576" s="6" t="s">
        <v>11893</v>
      </c>
      <c r="B1576" s="6" t="s">
        <v>11892</v>
      </c>
      <c r="C1576" s="6" t="s">
        <v>31</v>
      </c>
      <c r="E1576" s="6" t="s">
        <v>11891</v>
      </c>
      <c r="F1576" s="6" t="s">
        <v>11890</v>
      </c>
      <c r="G1576" s="6" t="s">
        <v>16</v>
      </c>
      <c r="H1576" s="6" t="s">
        <v>28</v>
      </c>
      <c r="I1576" s="6" t="s">
        <v>73</v>
      </c>
      <c r="J1576" s="6" t="s">
        <v>726</v>
      </c>
      <c r="K1576" s="7">
        <v>33.694159999999997</v>
      </c>
      <c r="L1576" s="7">
        <v>-97.006623000000005</v>
      </c>
      <c r="M1576" s="6" t="s">
        <v>3701</v>
      </c>
      <c r="N1576" s="6" t="s">
        <v>102</v>
      </c>
      <c r="O1576" s="6" t="s">
        <v>42</v>
      </c>
    </row>
    <row r="1577" spans="1:15" x14ac:dyDescent="0.25">
      <c r="A1577" s="6" t="s">
        <v>9654</v>
      </c>
      <c r="B1577" s="6" t="s">
        <v>9653</v>
      </c>
      <c r="C1577" s="6" t="s">
        <v>31</v>
      </c>
      <c r="E1577" s="6" t="s">
        <v>9652</v>
      </c>
      <c r="F1577" s="6" t="s">
        <v>9651</v>
      </c>
      <c r="G1577" s="6" t="s">
        <v>16</v>
      </c>
      <c r="H1577" s="6" t="s">
        <v>28</v>
      </c>
      <c r="I1577" s="6" t="s">
        <v>73</v>
      </c>
      <c r="J1577" s="6" t="s">
        <v>461</v>
      </c>
      <c r="K1577" s="7">
        <v>33.140912</v>
      </c>
      <c r="L1577" s="7">
        <v>-95.971608000000003</v>
      </c>
      <c r="M1577" s="6" t="s">
        <v>109</v>
      </c>
      <c r="N1577" s="6" t="s">
        <v>65</v>
      </c>
      <c r="O1577" s="6" t="s">
        <v>42</v>
      </c>
    </row>
    <row r="1578" spans="1:15" x14ac:dyDescent="0.25">
      <c r="A1578" s="6" t="s">
        <v>6494</v>
      </c>
      <c r="B1578" s="6" t="s">
        <v>6493</v>
      </c>
      <c r="C1578" s="6" t="s">
        <v>31</v>
      </c>
      <c r="E1578" s="6" t="s">
        <v>6492</v>
      </c>
      <c r="F1578" s="6" t="s">
        <v>6491</v>
      </c>
      <c r="G1578" s="6" t="s">
        <v>16</v>
      </c>
      <c r="H1578" s="6" t="s">
        <v>28</v>
      </c>
      <c r="I1578" s="6" t="s">
        <v>60</v>
      </c>
      <c r="J1578" s="6" t="s">
        <v>35</v>
      </c>
      <c r="K1578" s="7">
        <v>29.747343000000001</v>
      </c>
      <c r="L1578" s="7">
        <v>-95.109324000000001</v>
      </c>
      <c r="M1578" s="6" t="s">
        <v>34</v>
      </c>
      <c r="N1578" s="6" t="s">
        <v>24</v>
      </c>
      <c r="O1578" s="6" t="s">
        <v>23</v>
      </c>
    </row>
    <row r="1579" spans="1:15" x14ac:dyDescent="0.25">
      <c r="A1579" s="6" t="s">
        <v>11908</v>
      </c>
      <c r="B1579" s="6" t="s">
        <v>11907</v>
      </c>
      <c r="C1579" s="6" t="s">
        <v>31</v>
      </c>
      <c r="E1579" s="6" t="s">
        <v>11906</v>
      </c>
      <c r="F1579" s="6" t="s">
        <v>11905</v>
      </c>
      <c r="G1579" s="6" t="s">
        <v>16</v>
      </c>
      <c r="H1579" s="6" t="s">
        <v>28</v>
      </c>
      <c r="I1579" s="6" t="s">
        <v>27</v>
      </c>
      <c r="J1579" s="6" t="s">
        <v>1611</v>
      </c>
      <c r="K1579" s="7">
        <v>32.431379999999997</v>
      </c>
      <c r="L1579" s="7">
        <v>-94.810022000000004</v>
      </c>
      <c r="M1579" s="6" t="s">
        <v>1218</v>
      </c>
      <c r="N1579" s="6" t="s">
        <v>65</v>
      </c>
      <c r="O1579" s="6" t="s">
        <v>65</v>
      </c>
    </row>
    <row r="1580" spans="1:15" x14ac:dyDescent="0.25">
      <c r="A1580" s="6" t="s">
        <v>11882</v>
      </c>
      <c r="B1580" s="6" t="s">
        <v>11881</v>
      </c>
      <c r="C1580" s="6" t="s">
        <v>31</v>
      </c>
      <c r="E1580" s="6" t="s">
        <v>11880</v>
      </c>
      <c r="F1580" s="6" t="s">
        <v>11879</v>
      </c>
      <c r="G1580" s="6" t="s">
        <v>16</v>
      </c>
      <c r="H1580" s="6" t="s">
        <v>15</v>
      </c>
      <c r="I1580" s="6" t="s">
        <v>14</v>
      </c>
      <c r="J1580" s="6" t="s">
        <v>35</v>
      </c>
      <c r="K1580" s="7">
        <v>30.035373920000001</v>
      </c>
      <c r="L1580" s="7">
        <v>-95.42161102</v>
      </c>
      <c r="M1580" s="6" t="s">
        <v>279</v>
      </c>
      <c r="N1580" s="6" t="s">
        <v>24</v>
      </c>
      <c r="O1580" s="6" t="s">
        <v>23</v>
      </c>
    </row>
    <row r="1581" spans="1:15" x14ac:dyDescent="0.25">
      <c r="A1581" s="6" t="s">
        <v>11900</v>
      </c>
      <c r="B1581" s="6" t="s">
        <v>11899</v>
      </c>
      <c r="C1581" s="6" t="s">
        <v>31</v>
      </c>
      <c r="E1581" s="6" t="s">
        <v>11898</v>
      </c>
      <c r="F1581" s="6" t="s">
        <v>11897</v>
      </c>
      <c r="G1581" s="6" t="s">
        <v>16</v>
      </c>
      <c r="H1581" s="6" t="s">
        <v>28</v>
      </c>
      <c r="I1581" s="6" t="s">
        <v>60</v>
      </c>
      <c r="J1581" s="6" t="s">
        <v>162</v>
      </c>
      <c r="K1581" s="7">
        <v>28.965516999999998</v>
      </c>
      <c r="L1581" s="7">
        <v>-95.309212000000002</v>
      </c>
      <c r="M1581" s="6" t="s">
        <v>1606</v>
      </c>
      <c r="N1581" s="6" t="s">
        <v>160</v>
      </c>
      <c r="O1581" s="6" t="s">
        <v>23</v>
      </c>
    </row>
    <row r="1582" spans="1:15" x14ac:dyDescent="0.25">
      <c r="A1582" s="6" t="s">
        <v>12300</v>
      </c>
      <c r="B1582" s="6" t="s">
        <v>12299</v>
      </c>
      <c r="C1582" s="6" t="s">
        <v>31</v>
      </c>
      <c r="E1582" s="6" t="s">
        <v>12298</v>
      </c>
      <c r="F1582" s="6" t="s">
        <v>12297</v>
      </c>
      <c r="G1582" s="6" t="s">
        <v>16</v>
      </c>
      <c r="H1582" s="6" t="s">
        <v>15</v>
      </c>
      <c r="I1582" s="6" t="s">
        <v>14</v>
      </c>
      <c r="J1582" s="6" t="s">
        <v>26</v>
      </c>
      <c r="K1582" s="7">
        <v>30.189944000000001</v>
      </c>
      <c r="L1582" s="7">
        <v>-95.751931999999996</v>
      </c>
      <c r="M1582" s="6" t="s">
        <v>731</v>
      </c>
      <c r="N1582" s="6" t="s">
        <v>24</v>
      </c>
      <c r="O1582" s="6" t="s">
        <v>23</v>
      </c>
    </row>
    <row r="1583" spans="1:15" x14ac:dyDescent="0.25">
      <c r="A1583" s="6" t="s">
        <v>3057</v>
      </c>
      <c r="B1583" s="6" t="s">
        <v>3056</v>
      </c>
      <c r="C1583" s="6" t="s">
        <v>31</v>
      </c>
      <c r="E1583" s="6" t="s">
        <v>3055</v>
      </c>
      <c r="F1583" s="6" t="s">
        <v>3054</v>
      </c>
      <c r="G1583" s="6" t="s">
        <v>16</v>
      </c>
      <c r="H1583" s="6" t="s">
        <v>28</v>
      </c>
      <c r="I1583" s="6" t="s">
        <v>1200</v>
      </c>
      <c r="J1583" s="6" t="s">
        <v>45</v>
      </c>
      <c r="K1583" s="7">
        <v>33.561777999999997</v>
      </c>
      <c r="L1583" s="7">
        <v>-96.007212999999993</v>
      </c>
      <c r="M1583" s="6" t="s">
        <v>44</v>
      </c>
      <c r="N1583" s="6" t="s">
        <v>43</v>
      </c>
      <c r="O1583" s="6" t="s">
        <v>42</v>
      </c>
    </row>
    <row r="1584" spans="1:15" x14ac:dyDescent="0.25">
      <c r="A1584" s="6" t="s">
        <v>1321</v>
      </c>
      <c r="B1584" s="6" t="s">
        <v>20</v>
      </c>
      <c r="C1584" s="6" t="s">
        <v>31</v>
      </c>
      <c r="E1584" s="6" t="s">
        <v>18</v>
      </c>
      <c r="F1584" s="6" t="s">
        <v>17</v>
      </c>
      <c r="G1584" s="6" t="s">
        <v>16</v>
      </c>
      <c r="H1584" s="6" t="s">
        <v>15</v>
      </c>
      <c r="I1584" s="6" t="s">
        <v>14</v>
      </c>
      <c r="J1584" s="6" t="s">
        <v>13</v>
      </c>
      <c r="K1584" s="7">
        <v>27.811667239999998</v>
      </c>
      <c r="L1584" s="7">
        <v>-97.435555579999999</v>
      </c>
      <c r="M1584" s="6" t="s">
        <v>12</v>
      </c>
      <c r="N1584" s="6" t="s">
        <v>11</v>
      </c>
      <c r="O1584" s="6" t="s">
        <v>10</v>
      </c>
    </row>
    <row r="1585" spans="1:15" x14ac:dyDescent="0.25">
      <c r="A1585" s="6" t="s">
        <v>21</v>
      </c>
      <c r="B1585" s="6" t="s">
        <v>20</v>
      </c>
      <c r="C1585" s="6" t="s">
        <v>19</v>
      </c>
      <c r="E1585" s="6" t="s">
        <v>18</v>
      </c>
      <c r="F1585" s="6" t="s">
        <v>17</v>
      </c>
      <c r="G1585" s="6" t="s">
        <v>16</v>
      </c>
      <c r="H1585" s="6" t="s">
        <v>15</v>
      </c>
      <c r="I1585" s="6" t="s">
        <v>14</v>
      </c>
      <c r="J1585" s="6" t="s">
        <v>13</v>
      </c>
      <c r="K1585" s="7">
        <v>27.81166627</v>
      </c>
      <c r="L1585" s="7">
        <v>-97.435276459999997</v>
      </c>
      <c r="M1585" s="6" t="s">
        <v>12</v>
      </c>
      <c r="N1585" s="6" t="s">
        <v>11</v>
      </c>
      <c r="O1585" s="6" t="s">
        <v>10</v>
      </c>
    </row>
    <row r="1586" spans="1:15" x14ac:dyDescent="0.25">
      <c r="A1586" s="6" t="s">
        <v>4291</v>
      </c>
      <c r="B1586" s="6" t="s">
        <v>20</v>
      </c>
      <c r="C1586" s="6" t="s">
        <v>436</v>
      </c>
      <c r="E1586" s="6" t="s">
        <v>18</v>
      </c>
      <c r="F1586" s="6" t="s">
        <v>17</v>
      </c>
      <c r="G1586" s="6" t="s">
        <v>16</v>
      </c>
      <c r="H1586" s="6" t="s">
        <v>15</v>
      </c>
      <c r="I1586" s="6" t="s">
        <v>14</v>
      </c>
      <c r="J1586" s="6" t="s">
        <v>13</v>
      </c>
      <c r="K1586" s="7">
        <v>27.811945089999998</v>
      </c>
      <c r="L1586" s="7">
        <v>-97.433888899999999</v>
      </c>
      <c r="M1586" s="6" t="s">
        <v>12</v>
      </c>
      <c r="N1586" s="6" t="s">
        <v>11</v>
      </c>
      <c r="O1586" s="6" t="s">
        <v>10</v>
      </c>
    </row>
    <row r="1587" spans="1:15" x14ac:dyDescent="0.25">
      <c r="A1587" s="6" t="s">
        <v>4290</v>
      </c>
      <c r="B1587" s="6" t="s">
        <v>20</v>
      </c>
      <c r="C1587" s="6" t="s">
        <v>597</v>
      </c>
      <c r="E1587" s="6" t="s">
        <v>18</v>
      </c>
      <c r="F1587" s="6" t="s">
        <v>17</v>
      </c>
      <c r="G1587" s="6" t="s">
        <v>16</v>
      </c>
      <c r="H1587" s="6" t="s">
        <v>15</v>
      </c>
      <c r="I1587" s="6" t="s">
        <v>14</v>
      </c>
      <c r="J1587" s="6" t="s">
        <v>13</v>
      </c>
      <c r="K1587" s="7">
        <v>27.81178972</v>
      </c>
      <c r="L1587" s="7">
        <v>-97.434684520000005</v>
      </c>
      <c r="M1587" s="6" t="s">
        <v>12</v>
      </c>
      <c r="N1587" s="6" t="s">
        <v>11</v>
      </c>
      <c r="O1587" s="6" t="s">
        <v>10</v>
      </c>
    </row>
    <row r="1588" spans="1:15" x14ac:dyDescent="0.25">
      <c r="A1588" s="6" t="s">
        <v>4842</v>
      </c>
      <c r="B1588" s="6" t="s">
        <v>20</v>
      </c>
      <c r="C1588" s="6" t="s">
        <v>557</v>
      </c>
      <c r="E1588" s="6" t="s">
        <v>18</v>
      </c>
      <c r="F1588" s="6" t="s">
        <v>17</v>
      </c>
      <c r="G1588" s="6" t="s">
        <v>284</v>
      </c>
      <c r="H1588" s="6" t="s">
        <v>15</v>
      </c>
      <c r="I1588" s="6" t="s">
        <v>14</v>
      </c>
      <c r="J1588" s="6" t="s">
        <v>13</v>
      </c>
      <c r="K1588" s="7">
        <v>27.808331020000001</v>
      </c>
      <c r="L1588" s="7">
        <v>-97.433886299999998</v>
      </c>
      <c r="M1588" s="6" t="s">
        <v>12</v>
      </c>
      <c r="N1588" s="6" t="s">
        <v>11</v>
      </c>
      <c r="O1588" s="6" t="s">
        <v>10</v>
      </c>
    </row>
    <row r="1589" spans="1:15" x14ac:dyDescent="0.25">
      <c r="A1589" s="6" t="s">
        <v>4841</v>
      </c>
      <c r="B1589" s="6" t="s">
        <v>20</v>
      </c>
      <c r="C1589" s="6" t="s">
        <v>433</v>
      </c>
      <c r="E1589" s="6" t="s">
        <v>18</v>
      </c>
      <c r="F1589" s="6" t="s">
        <v>17</v>
      </c>
      <c r="G1589" s="6" t="s">
        <v>284</v>
      </c>
      <c r="H1589" s="6" t="s">
        <v>15</v>
      </c>
      <c r="I1589" s="6" t="s">
        <v>14</v>
      </c>
      <c r="J1589" s="6" t="s">
        <v>13</v>
      </c>
      <c r="K1589" s="7">
        <v>27.805000039999999</v>
      </c>
      <c r="L1589" s="7">
        <v>-97.436110869999993</v>
      </c>
      <c r="M1589" s="6" t="s">
        <v>12</v>
      </c>
      <c r="N1589" s="6" t="s">
        <v>11</v>
      </c>
      <c r="O1589" s="6" t="s">
        <v>10</v>
      </c>
    </row>
    <row r="1590" spans="1:15" x14ac:dyDescent="0.25">
      <c r="A1590" s="6" t="s">
        <v>6168</v>
      </c>
      <c r="B1590" s="6" t="s">
        <v>6167</v>
      </c>
      <c r="C1590" s="6" t="s">
        <v>31</v>
      </c>
      <c r="E1590" s="6" t="s">
        <v>6166</v>
      </c>
      <c r="F1590" s="6" t="s">
        <v>6165</v>
      </c>
      <c r="G1590" s="6" t="s">
        <v>16</v>
      </c>
      <c r="H1590" s="6" t="s">
        <v>15</v>
      </c>
      <c r="I1590" s="6" t="s">
        <v>46</v>
      </c>
      <c r="J1590" s="6" t="s">
        <v>67</v>
      </c>
      <c r="K1590" s="7">
        <v>32.206126179999998</v>
      </c>
      <c r="L1590" s="7">
        <v>-95.20513235</v>
      </c>
      <c r="M1590" s="6" t="s">
        <v>203</v>
      </c>
      <c r="N1590" s="6" t="s">
        <v>52</v>
      </c>
      <c r="O1590" s="6" t="s">
        <v>65</v>
      </c>
    </row>
    <row r="1591" spans="1:15" x14ac:dyDescent="0.25">
      <c r="A1591" s="6" t="s">
        <v>6951</v>
      </c>
      <c r="B1591" s="6" t="s">
        <v>6950</v>
      </c>
      <c r="C1591" s="6" t="s">
        <v>31</v>
      </c>
      <c r="E1591" s="6" t="s">
        <v>6949</v>
      </c>
      <c r="F1591" s="6" t="s">
        <v>6948</v>
      </c>
      <c r="G1591" s="6" t="s">
        <v>16</v>
      </c>
      <c r="H1591" s="6" t="s">
        <v>15</v>
      </c>
      <c r="I1591" s="6" t="s">
        <v>14</v>
      </c>
      <c r="J1591" s="6" t="s">
        <v>5940</v>
      </c>
      <c r="K1591" s="7">
        <v>31.81439576</v>
      </c>
      <c r="L1591" s="7">
        <v>-102.23988878999999</v>
      </c>
      <c r="M1591" s="6" t="s">
        <v>1801</v>
      </c>
      <c r="N1591" s="6" t="s">
        <v>10</v>
      </c>
      <c r="O1591" s="6" t="s">
        <v>383</v>
      </c>
    </row>
    <row r="1592" spans="1:15" x14ac:dyDescent="0.25">
      <c r="A1592" s="6" t="s">
        <v>1320</v>
      </c>
      <c r="B1592" s="6" t="s">
        <v>1318</v>
      </c>
      <c r="C1592" s="6" t="s">
        <v>31</v>
      </c>
      <c r="E1592" s="6" t="s">
        <v>1317</v>
      </c>
      <c r="F1592" s="6" t="s">
        <v>1316</v>
      </c>
      <c r="G1592" s="6" t="s">
        <v>16</v>
      </c>
      <c r="H1592" s="6" t="s">
        <v>15</v>
      </c>
      <c r="I1592" s="6" t="s">
        <v>46</v>
      </c>
      <c r="J1592" s="6" t="s">
        <v>781</v>
      </c>
      <c r="K1592" s="7">
        <v>32.54818968</v>
      </c>
      <c r="L1592" s="7">
        <v>-94.296902540000005</v>
      </c>
      <c r="M1592" s="6" t="s">
        <v>1218</v>
      </c>
      <c r="N1592" s="6" t="s">
        <v>65</v>
      </c>
      <c r="O1592" s="6" t="s">
        <v>65</v>
      </c>
    </row>
    <row r="1593" spans="1:15" x14ac:dyDescent="0.25">
      <c r="A1593" s="6" t="s">
        <v>1319</v>
      </c>
      <c r="B1593" s="6" t="s">
        <v>1318</v>
      </c>
      <c r="C1593" s="6" t="s">
        <v>19</v>
      </c>
      <c r="E1593" s="6" t="s">
        <v>1317</v>
      </c>
      <c r="F1593" s="6" t="s">
        <v>1316</v>
      </c>
      <c r="G1593" s="6" t="s">
        <v>16</v>
      </c>
      <c r="H1593" s="6" t="s">
        <v>430</v>
      </c>
      <c r="I1593" s="6" t="s">
        <v>46</v>
      </c>
      <c r="J1593" s="6" t="s">
        <v>781</v>
      </c>
      <c r="K1593" s="7">
        <v>32.547591429999997</v>
      </c>
      <c r="L1593" s="7">
        <v>-94.294237199999998</v>
      </c>
      <c r="M1593" s="6" t="s">
        <v>1218</v>
      </c>
      <c r="N1593" s="6" t="s">
        <v>65</v>
      </c>
      <c r="O1593" s="6" t="s">
        <v>65</v>
      </c>
    </row>
    <row r="1594" spans="1:15" x14ac:dyDescent="0.25">
      <c r="A1594" s="6" t="s">
        <v>9697</v>
      </c>
      <c r="B1594" s="6" t="s">
        <v>9696</v>
      </c>
      <c r="C1594" s="6" t="s">
        <v>31</v>
      </c>
      <c r="E1594" s="6" t="s">
        <v>9695</v>
      </c>
      <c r="F1594" s="6" t="s">
        <v>9691</v>
      </c>
      <c r="G1594" s="6" t="s">
        <v>16</v>
      </c>
      <c r="H1594" s="6" t="s">
        <v>15</v>
      </c>
      <c r="I1594" s="6" t="s">
        <v>14</v>
      </c>
      <c r="J1594" s="6" t="s">
        <v>35</v>
      </c>
      <c r="K1594" s="7">
        <v>29.79246564</v>
      </c>
      <c r="L1594" s="7">
        <v>-95.059361210000006</v>
      </c>
      <c r="M1594" s="6" t="s">
        <v>716</v>
      </c>
      <c r="N1594" s="6" t="s">
        <v>24</v>
      </c>
      <c r="O1594" s="6" t="s">
        <v>23</v>
      </c>
    </row>
    <row r="1595" spans="1:15" x14ac:dyDescent="0.25">
      <c r="A1595" s="6" t="s">
        <v>9562</v>
      </c>
      <c r="B1595" s="6" t="s">
        <v>9561</v>
      </c>
      <c r="C1595" s="6" t="s">
        <v>31</v>
      </c>
      <c r="E1595" s="6" t="s">
        <v>9560</v>
      </c>
      <c r="F1595" s="6" t="s">
        <v>9559</v>
      </c>
      <c r="G1595" s="6" t="s">
        <v>16</v>
      </c>
      <c r="H1595" s="6" t="s">
        <v>28</v>
      </c>
      <c r="I1595" s="6" t="s">
        <v>2671</v>
      </c>
      <c r="J1595" s="6" t="s">
        <v>3523</v>
      </c>
      <c r="K1595" s="7">
        <v>29.58473</v>
      </c>
      <c r="L1595" s="7">
        <v>-96.336567000000002</v>
      </c>
      <c r="M1595" s="6" t="s">
        <v>295</v>
      </c>
      <c r="N1595" s="6" t="s">
        <v>10</v>
      </c>
      <c r="O1595" s="6" t="s">
        <v>23</v>
      </c>
    </row>
    <row r="1596" spans="1:15" x14ac:dyDescent="0.25">
      <c r="A1596" s="6" t="s">
        <v>12308</v>
      </c>
      <c r="B1596" s="6" t="s">
        <v>12307</v>
      </c>
      <c r="C1596" s="6" t="s">
        <v>31</v>
      </c>
      <c r="E1596" s="6" t="s">
        <v>12306</v>
      </c>
      <c r="F1596" s="6" t="s">
        <v>12305</v>
      </c>
      <c r="G1596" s="6" t="s">
        <v>16</v>
      </c>
      <c r="H1596" s="6" t="s">
        <v>15</v>
      </c>
      <c r="I1596" s="6" t="s">
        <v>36</v>
      </c>
      <c r="J1596" s="6" t="s">
        <v>35</v>
      </c>
      <c r="K1596" s="7">
        <v>29.954205720000001</v>
      </c>
      <c r="L1596" s="7">
        <v>-95.466540510000002</v>
      </c>
      <c r="M1596" s="6" t="s">
        <v>198</v>
      </c>
      <c r="N1596" s="6" t="s">
        <v>24</v>
      </c>
      <c r="O1596" s="6" t="s">
        <v>23</v>
      </c>
    </row>
    <row r="1597" spans="1:15" x14ac:dyDescent="0.25">
      <c r="A1597" s="6" t="s">
        <v>5294</v>
      </c>
      <c r="B1597" s="6" t="s">
        <v>5293</v>
      </c>
      <c r="C1597" s="6" t="s">
        <v>31</v>
      </c>
      <c r="E1597" s="6" t="s">
        <v>5292</v>
      </c>
      <c r="F1597" s="6" t="s">
        <v>5288</v>
      </c>
      <c r="G1597" s="6" t="s">
        <v>16</v>
      </c>
      <c r="H1597" s="6" t="s">
        <v>15</v>
      </c>
      <c r="I1597" s="6" t="s">
        <v>14</v>
      </c>
      <c r="J1597" s="6" t="s">
        <v>1716</v>
      </c>
      <c r="K1597" s="7">
        <v>30.773008170000001</v>
      </c>
      <c r="L1597" s="7">
        <v>-95.513213219999997</v>
      </c>
      <c r="M1597" s="6" t="s">
        <v>317</v>
      </c>
      <c r="N1597" s="6" t="s">
        <v>102</v>
      </c>
      <c r="O1597" s="6" t="s">
        <v>23</v>
      </c>
    </row>
    <row r="1598" spans="1:15" x14ac:dyDescent="0.25">
      <c r="A1598" s="6" t="s">
        <v>4297</v>
      </c>
      <c r="B1598" s="6" t="s">
        <v>4295</v>
      </c>
      <c r="C1598" s="6" t="s">
        <v>31</v>
      </c>
      <c r="E1598" s="6" t="s">
        <v>4294</v>
      </c>
      <c r="F1598" s="6" t="s">
        <v>4293</v>
      </c>
      <c r="G1598" s="6" t="s">
        <v>16</v>
      </c>
      <c r="H1598" s="6" t="s">
        <v>15</v>
      </c>
      <c r="I1598" s="6" t="s">
        <v>73</v>
      </c>
      <c r="J1598" s="6" t="s">
        <v>2696</v>
      </c>
      <c r="K1598" s="7">
        <v>31.797322680000001</v>
      </c>
      <c r="L1598" s="7">
        <v>-94.164918110000002</v>
      </c>
      <c r="M1598" s="6" t="s">
        <v>2695</v>
      </c>
      <c r="N1598" s="6" t="s">
        <v>65</v>
      </c>
      <c r="O1598" s="6" t="s">
        <v>24</v>
      </c>
    </row>
    <row r="1599" spans="1:15" x14ac:dyDescent="0.25">
      <c r="A1599" s="6" t="s">
        <v>4296</v>
      </c>
      <c r="B1599" s="6" t="s">
        <v>4295</v>
      </c>
      <c r="C1599" s="6" t="s">
        <v>19</v>
      </c>
      <c r="E1599" s="6" t="s">
        <v>4294</v>
      </c>
      <c r="F1599" s="6" t="s">
        <v>4293</v>
      </c>
      <c r="G1599" s="6" t="s">
        <v>16</v>
      </c>
      <c r="H1599" s="6" t="s">
        <v>430</v>
      </c>
      <c r="I1599" s="6" t="s">
        <v>73</v>
      </c>
      <c r="J1599" s="6" t="s">
        <v>2696</v>
      </c>
      <c r="K1599" s="7">
        <v>31.797962250000001</v>
      </c>
      <c r="L1599" s="7">
        <v>-94.164375890000002</v>
      </c>
      <c r="M1599" s="6" t="s">
        <v>2695</v>
      </c>
      <c r="N1599" s="6" t="s">
        <v>65</v>
      </c>
      <c r="O1599" s="6" t="s">
        <v>24</v>
      </c>
    </row>
    <row r="1600" spans="1:15" x14ac:dyDescent="0.25">
      <c r="A1600" s="6" t="s">
        <v>12296</v>
      </c>
      <c r="B1600" s="6" t="s">
        <v>12295</v>
      </c>
      <c r="C1600" s="6" t="s">
        <v>31</v>
      </c>
      <c r="E1600" s="6" t="s">
        <v>12294</v>
      </c>
      <c r="F1600" s="6" t="s">
        <v>12293</v>
      </c>
      <c r="G1600" s="6" t="s">
        <v>16</v>
      </c>
      <c r="H1600" s="6" t="s">
        <v>28</v>
      </c>
      <c r="I1600" s="6" t="s">
        <v>60</v>
      </c>
      <c r="J1600" s="6" t="s">
        <v>4455</v>
      </c>
      <c r="K1600" s="7">
        <v>30.879989999999999</v>
      </c>
      <c r="L1600" s="7">
        <v>-97.120904999999993</v>
      </c>
      <c r="M1600" s="6" t="s">
        <v>252</v>
      </c>
      <c r="N1600" s="6" t="s">
        <v>23</v>
      </c>
      <c r="O1600" s="6" t="s">
        <v>120</v>
      </c>
    </row>
    <row r="1601" spans="1:15" x14ac:dyDescent="0.25">
      <c r="A1601" s="6" t="s">
        <v>12304</v>
      </c>
      <c r="B1601" s="6" t="s">
        <v>12303</v>
      </c>
      <c r="C1601" s="6" t="s">
        <v>31</v>
      </c>
      <c r="E1601" s="6" t="s">
        <v>12302</v>
      </c>
      <c r="F1601" s="6" t="s">
        <v>12301</v>
      </c>
      <c r="G1601" s="6" t="s">
        <v>16</v>
      </c>
      <c r="H1601" s="6" t="s">
        <v>28</v>
      </c>
      <c r="I1601" s="6" t="s">
        <v>27</v>
      </c>
      <c r="J1601" s="6" t="s">
        <v>982</v>
      </c>
      <c r="K1601" s="7">
        <v>32.016327099999998</v>
      </c>
      <c r="L1601" s="7">
        <v>-96.437987210000003</v>
      </c>
      <c r="M1601" s="6" t="s">
        <v>981</v>
      </c>
      <c r="N1601" s="6" t="s">
        <v>102</v>
      </c>
      <c r="O1601" s="6" t="s">
        <v>42</v>
      </c>
    </row>
    <row r="1602" spans="1:15" x14ac:dyDescent="0.25">
      <c r="A1602" s="6" t="s">
        <v>12288</v>
      </c>
      <c r="B1602" s="6" t="s">
        <v>12287</v>
      </c>
      <c r="C1602" s="6" t="s">
        <v>31</v>
      </c>
      <c r="E1602" s="6" t="s">
        <v>12286</v>
      </c>
      <c r="F1602" s="6" t="s">
        <v>12285</v>
      </c>
      <c r="G1602" s="6" t="s">
        <v>16</v>
      </c>
      <c r="H1602" s="6" t="s">
        <v>28</v>
      </c>
      <c r="I1602" s="6" t="s">
        <v>60</v>
      </c>
      <c r="J1602" s="6" t="s">
        <v>35</v>
      </c>
      <c r="K1602" s="7">
        <v>30.070643</v>
      </c>
      <c r="L1602" s="7">
        <v>-95.431286999999998</v>
      </c>
      <c r="M1602" s="6" t="s">
        <v>279</v>
      </c>
      <c r="N1602" s="6" t="s">
        <v>24</v>
      </c>
      <c r="O1602" s="6" t="s">
        <v>23</v>
      </c>
    </row>
    <row r="1603" spans="1:15" x14ac:dyDescent="0.25">
      <c r="A1603" s="6" t="s">
        <v>1141</v>
      </c>
      <c r="B1603" s="6" t="s">
        <v>1137</v>
      </c>
      <c r="C1603" s="6" t="s">
        <v>31</v>
      </c>
      <c r="E1603" s="6" t="s">
        <v>1136</v>
      </c>
      <c r="F1603" s="6" t="s">
        <v>1135</v>
      </c>
      <c r="G1603" s="6" t="s">
        <v>16</v>
      </c>
      <c r="H1603" s="6" t="s">
        <v>15</v>
      </c>
      <c r="I1603" s="6" t="s">
        <v>14</v>
      </c>
      <c r="J1603" s="6" t="s">
        <v>296</v>
      </c>
      <c r="K1603" s="7">
        <v>29.926388559999999</v>
      </c>
      <c r="L1603" s="7">
        <v>-96.751112149999997</v>
      </c>
      <c r="M1603" s="6" t="s">
        <v>295</v>
      </c>
      <c r="N1603" s="6" t="s">
        <v>10</v>
      </c>
      <c r="O1603" s="6" t="s">
        <v>160</v>
      </c>
    </row>
    <row r="1604" spans="1:15" x14ac:dyDescent="0.25">
      <c r="A1604" s="6" t="s">
        <v>1140</v>
      </c>
      <c r="B1604" s="6" t="s">
        <v>1137</v>
      </c>
      <c r="C1604" s="6" t="s">
        <v>19</v>
      </c>
      <c r="E1604" s="6" t="s">
        <v>1136</v>
      </c>
      <c r="F1604" s="6" t="s">
        <v>1135</v>
      </c>
      <c r="G1604" s="6" t="s">
        <v>16</v>
      </c>
      <c r="H1604" s="6" t="s">
        <v>16</v>
      </c>
      <c r="I1604" s="6" t="s">
        <v>14</v>
      </c>
      <c r="J1604" s="6" t="s">
        <v>296</v>
      </c>
      <c r="K1604" s="7">
        <v>29.916791069999999</v>
      </c>
      <c r="L1604" s="7">
        <v>-96.753388950000002</v>
      </c>
      <c r="M1604" s="6" t="s">
        <v>295</v>
      </c>
      <c r="N1604" s="6" t="s">
        <v>10</v>
      </c>
      <c r="O1604" s="6" t="s">
        <v>160</v>
      </c>
    </row>
    <row r="1605" spans="1:15" x14ac:dyDescent="0.25">
      <c r="A1605" s="6" t="s">
        <v>1139</v>
      </c>
      <c r="B1605" s="6" t="s">
        <v>1137</v>
      </c>
      <c r="C1605" s="6" t="s">
        <v>436</v>
      </c>
      <c r="E1605" s="6" t="s">
        <v>1136</v>
      </c>
      <c r="F1605" s="6" t="s">
        <v>1135</v>
      </c>
      <c r="G1605" s="6" t="s">
        <v>16</v>
      </c>
      <c r="H1605" s="6" t="s">
        <v>15</v>
      </c>
      <c r="I1605" s="6" t="s">
        <v>14</v>
      </c>
      <c r="J1605" s="6" t="s">
        <v>296</v>
      </c>
      <c r="K1605" s="7">
        <v>29.90943309</v>
      </c>
      <c r="L1605" s="7">
        <v>-96.744978130000007</v>
      </c>
      <c r="M1605" s="6" t="s">
        <v>295</v>
      </c>
      <c r="N1605" s="6" t="s">
        <v>10</v>
      </c>
      <c r="O1605" s="6" t="s">
        <v>160</v>
      </c>
    </row>
    <row r="1606" spans="1:15" x14ac:dyDescent="0.25">
      <c r="A1606" s="6" t="s">
        <v>1138</v>
      </c>
      <c r="B1606" s="6" t="s">
        <v>1137</v>
      </c>
      <c r="C1606" s="6" t="s">
        <v>597</v>
      </c>
      <c r="E1606" s="6" t="s">
        <v>1136</v>
      </c>
      <c r="F1606" s="6" t="s">
        <v>1135</v>
      </c>
      <c r="G1606" s="6" t="s">
        <v>16</v>
      </c>
      <c r="H1606" s="6" t="s">
        <v>15</v>
      </c>
      <c r="I1606" s="6" t="s">
        <v>14</v>
      </c>
      <c r="J1606" s="6" t="s">
        <v>296</v>
      </c>
      <c r="K1606" s="7">
        <v>29.90262341</v>
      </c>
      <c r="L1606" s="7">
        <v>-96.760498940000005</v>
      </c>
      <c r="M1606" s="6" t="s">
        <v>295</v>
      </c>
      <c r="N1606" s="6" t="s">
        <v>10</v>
      </c>
      <c r="O1606" s="6" t="s">
        <v>160</v>
      </c>
    </row>
    <row r="1607" spans="1:15" x14ac:dyDescent="0.25">
      <c r="A1607" s="6" t="s">
        <v>3849</v>
      </c>
      <c r="B1607" s="6" t="s">
        <v>3848</v>
      </c>
      <c r="C1607" s="6" t="s">
        <v>31</v>
      </c>
      <c r="E1607" s="6" t="s">
        <v>3847</v>
      </c>
      <c r="F1607" s="6" t="s">
        <v>3846</v>
      </c>
      <c r="G1607" s="6" t="s">
        <v>16</v>
      </c>
      <c r="H1607" s="6" t="s">
        <v>28</v>
      </c>
      <c r="I1607" s="6" t="s">
        <v>27</v>
      </c>
      <c r="J1607" s="6" t="s">
        <v>67</v>
      </c>
      <c r="K1607" s="7">
        <v>32.483901549999999</v>
      </c>
      <c r="L1607" s="7">
        <v>-95.165590730000005</v>
      </c>
      <c r="M1607" s="6" t="s">
        <v>423</v>
      </c>
      <c r="N1607" s="6" t="s">
        <v>65</v>
      </c>
      <c r="O1607" s="6" t="s">
        <v>65</v>
      </c>
    </row>
    <row r="1608" spans="1:15" x14ac:dyDescent="0.25">
      <c r="A1608" s="6" t="s">
        <v>9104</v>
      </c>
      <c r="B1608" s="6" t="s">
        <v>9102</v>
      </c>
      <c r="C1608" s="6" t="s">
        <v>31</v>
      </c>
      <c r="E1608" s="6" t="s">
        <v>9101</v>
      </c>
      <c r="F1608" s="6" t="s">
        <v>9100</v>
      </c>
      <c r="G1608" s="6" t="s">
        <v>16</v>
      </c>
      <c r="H1608" s="6" t="s">
        <v>28</v>
      </c>
      <c r="I1608" s="6" t="s">
        <v>46</v>
      </c>
      <c r="J1608" s="6" t="s">
        <v>632</v>
      </c>
      <c r="K1608" s="7">
        <v>30.087544000000001</v>
      </c>
      <c r="L1608" s="7">
        <v>-93.734696999999997</v>
      </c>
      <c r="M1608" s="6" t="s">
        <v>631</v>
      </c>
      <c r="N1608" s="6" t="s">
        <v>65</v>
      </c>
      <c r="O1608" s="6" t="s">
        <v>24</v>
      </c>
    </row>
    <row r="1609" spans="1:15" x14ac:dyDescent="0.25">
      <c r="A1609" s="6" t="s">
        <v>9103</v>
      </c>
      <c r="B1609" s="6" t="s">
        <v>9102</v>
      </c>
      <c r="C1609" s="6" t="s">
        <v>19</v>
      </c>
      <c r="E1609" s="6" t="s">
        <v>9101</v>
      </c>
      <c r="F1609" s="6" t="s">
        <v>9100</v>
      </c>
      <c r="G1609" s="6" t="s">
        <v>16</v>
      </c>
      <c r="H1609" s="6" t="s">
        <v>28</v>
      </c>
      <c r="I1609" s="6" t="s">
        <v>46</v>
      </c>
      <c r="J1609" s="6" t="s">
        <v>632</v>
      </c>
      <c r="K1609" s="7">
        <v>30.085916950000001</v>
      </c>
      <c r="L1609" s="7">
        <v>-93.743076860000002</v>
      </c>
      <c r="M1609" s="6" t="s">
        <v>3217</v>
      </c>
      <c r="N1609" s="6" t="s">
        <v>65</v>
      </c>
      <c r="O1609" s="6" t="s">
        <v>24</v>
      </c>
    </row>
    <row r="1610" spans="1:15" x14ac:dyDescent="0.25">
      <c r="A1610" s="6" t="s">
        <v>10443</v>
      </c>
      <c r="B1610" s="6" t="s">
        <v>10442</v>
      </c>
      <c r="C1610" s="6" t="s">
        <v>31</v>
      </c>
      <c r="E1610" s="6" t="s">
        <v>10441</v>
      </c>
      <c r="F1610" s="6" t="s">
        <v>10440</v>
      </c>
      <c r="G1610" s="6" t="s">
        <v>16</v>
      </c>
      <c r="H1610" s="6" t="s">
        <v>15</v>
      </c>
      <c r="I1610" s="6" t="s">
        <v>14</v>
      </c>
      <c r="J1610" s="6" t="s">
        <v>456</v>
      </c>
      <c r="K1610" s="7">
        <v>30.33666419</v>
      </c>
      <c r="L1610" s="7">
        <v>-97.375959940000001</v>
      </c>
      <c r="M1610" s="6" t="s">
        <v>455</v>
      </c>
      <c r="N1610" s="6" t="s">
        <v>10</v>
      </c>
      <c r="O1610" s="6" t="s">
        <v>160</v>
      </c>
    </row>
    <row r="1611" spans="1:15" x14ac:dyDescent="0.25">
      <c r="A1611" s="6" t="s">
        <v>4063</v>
      </c>
      <c r="B1611" s="6" t="s">
        <v>4060</v>
      </c>
      <c r="C1611" s="6" t="s">
        <v>31</v>
      </c>
      <c r="E1611" s="6" t="s">
        <v>4059</v>
      </c>
      <c r="F1611" s="6" t="s">
        <v>2154</v>
      </c>
      <c r="G1611" s="6" t="s">
        <v>16</v>
      </c>
      <c r="H1611" s="6" t="s">
        <v>15</v>
      </c>
      <c r="I1611" s="6" t="s">
        <v>60</v>
      </c>
      <c r="J1611" s="6" t="s">
        <v>1861</v>
      </c>
      <c r="K1611" s="7">
        <v>30.721587</v>
      </c>
      <c r="L1611" s="7">
        <v>-96.465441999999996</v>
      </c>
      <c r="M1611" s="6" t="s">
        <v>121</v>
      </c>
      <c r="N1611" s="6" t="s">
        <v>23</v>
      </c>
      <c r="O1611" s="6" t="s">
        <v>120</v>
      </c>
    </row>
    <row r="1612" spans="1:15" x14ac:dyDescent="0.25">
      <c r="A1612" s="6" t="s">
        <v>4062</v>
      </c>
      <c r="B1612" s="6" t="s">
        <v>4060</v>
      </c>
      <c r="C1612" s="6" t="s">
        <v>19</v>
      </c>
      <c r="E1612" s="6" t="s">
        <v>4059</v>
      </c>
      <c r="F1612" s="6" t="s">
        <v>2154</v>
      </c>
      <c r="G1612" s="6" t="s">
        <v>16</v>
      </c>
      <c r="H1612" s="6" t="s">
        <v>15</v>
      </c>
      <c r="I1612" s="6" t="s">
        <v>60</v>
      </c>
      <c r="J1612" s="6" t="s">
        <v>1861</v>
      </c>
      <c r="K1612" s="7">
        <v>30.722639000000001</v>
      </c>
      <c r="L1612" s="7">
        <v>-96.459245999999993</v>
      </c>
      <c r="M1612" s="6" t="s">
        <v>121</v>
      </c>
      <c r="N1612" s="6" t="s">
        <v>23</v>
      </c>
      <c r="O1612" s="6" t="s">
        <v>120</v>
      </c>
    </row>
    <row r="1613" spans="1:15" x14ac:dyDescent="0.25">
      <c r="A1613" s="6" t="s">
        <v>4061</v>
      </c>
      <c r="B1613" s="6" t="s">
        <v>4060</v>
      </c>
      <c r="C1613" s="6" t="s">
        <v>436</v>
      </c>
      <c r="E1613" s="6" t="s">
        <v>4059</v>
      </c>
      <c r="F1613" s="6" t="s">
        <v>2154</v>
      </c>
      <c r="G1613" s="6" t="s">
        <v>16</v>
      </c>
      <c r="H1613" s="6" t="s">
        <v>15</v>
      </c>
      <c r="I1613" s="6" t="s">
        <v>60</v>
      </c>
      <c r="J1613" s="6" t="s">
        <v>1861</v>
      </c>
      <c r="K1613" s="7">
        <v>30.720262999999999</v>
      </c>
      <c r="L1613" s="7">
        <v>-96.462000000000003</v>
      </c>
      <c r="M1613" s="6" t="s">
        <v>121</v>
      </c>
      <c r="N1613" s="6" t="s">
        <v>23</v>
      </c>
      <c r="O1613" s="6" t="s">
        <v>120</v>
      </c>
    </row>
    <row r="1614" spans="1:15" x14ac:dyDescent="0.25">
      <c r="A1614" s="6" t="s">
        <v>12280</v>
      </c>
      <c r="B1614" s="6" t="s">
        <v>12279</v>
      </c>
      <c r="C1614" s="6" t="s">
        <v>31</v>
      </c>
      <c r="E1614" s="6" t="s">
        <v>12278</v>
      </c>
      <c r="F1614" s="6" t="s">
        <v>12277</v>
      </c>
      <c r="G1614" s="6" t="s">
        <v>16</v>
      </c>
      <c r="H1614" s="6" t="s">
        <v>15</v>
      </c>
      <c r="I1614" s="6" t="s">
        <v>36</v>
      </c>
      <c r="J1614" s="6" t="s">
        <v>35</v>
      </c>
      <c r="K1614" s="7">
        <v>29.741189179999999</v>
      </c>
      <c r="L1614" s="7">
        <v>-95.727084950000005</v>
      </c>
      <c r="M1614" s="6" t="s">
        <v>131</v>
      </c>
      <c r="N1614" s="6" t="s">
        <v>24</v>
      </c>
      <c r="O1614" s="6" t="s">
        <v>23</v>
      </c>
    </row>
    <row r="1615" spans="1:15" x14ac:dyDescent="0.25">
      <c r="A1615" s="6" t="s">
        <v>3899</v>
      </c>
      <c r="B1615" s="6" t="s">
        <v>3898</v>
      </c>
      <c r="C1615" s="6" t="s">
        <v>31</v>
      </c>
      <c r="E1615" s="6" t="s">
        <v>3897</v>
      </c>
      <c r="F1615" s="6" t="s">
        <v>3896</v>
      </c>
      <c r="G1615" s="6" t="s">
        <v>16</v>
      </c>
      <c r="H1615" s="6" t="s">
        <v>15</v>
      </c>
      <c r="I1615" s="6" t="s">
        <v>36</v>
      </c>
      <c r="J1615" s="6" t="s">
        <v>35</v>
      </c>
      <c r="K1615" s="7">
        <v>29.963362159999999</v>
      </c>
      <c r="L1615" s="7">
        <v>-95.205575150000001</v>
      </c>
      <c r="M1615" s="6" t="s">
        <v>198</v>
      </c>
      <c r="N1615" s="6" t="s">
        <v>24</v>
      </c>
      <c r="O1615" s="6" t="s">
        <v>23</v>
      </c>
    </row>
    <row r="1616" spans="1:15" x14ac:dyDescent="0.25">
      <c r="A1616" s="6" t="s">
        <v>2816</v>
      </c>
      <c r="B1616" s="6" t="s">
        <v>2815</v>
      </c>
      <c r="C1616" s="6" t="s">
        <v>31</v>
      </c>
      <c r="E1616" s="6" t="s">
        <v>2814</v>
      </c>
      <c r="F1616" s="6" t="s">
        <v>771</v>
      </c>
      <c r="G1616" s="6" t="s">
        <v>16</v>
      </c>
      <c r="H1616" s="6" t="s">
        <v>28</v>
      </c>
      <c r="I1616" s="6" t="s">
        <v>73</v>
      </c>
      <c r="J1616" s="6" t="s">
        <v>90</v>
      </c>
      <c r="K1616" s="7">
        <v>25.971255209999999</v>
      </c>
      <c r="L1616" s="7">
        <v>-97.393959480000007</v>
      </c>
      <c r="M1616" s="6" t="s">
        <v>770</v>
      </c>
      <c r="N1616" s="6" t="s">
        <v>11</v>
      </c>
      <c r="O1616" s="6" t="s">
        <v>23</v>
      </c>
    </row>
    <row r="1617" spans="1:15" x14ac:dyDescent="0.25">
      <c r="A1617" s="6" t="s">
        <v>3895</v>
      </c>
      <c r="B1617" s="6" t="s">
        <v>3894</v>
      </c>
      <c r="C1617" s="6" t="s">
        <v>31</v>
      </c>
      <c r="E1617" s="6" t="s">
        <v>3893</v>
      </c>
      <c r="F1617" s="6" t="s">
        <v>3892</v>
      </c>
      <c r="G1617" s="6" t="s">
        <v>16</v>
      </c>
      <c r="H1617" s="6" t="s">
        <v>15</v>
      </c>
      <c r="I1617" s="6" t="s">
        <v>36</v>
      </c>
      <c r="J1617" s="6" t="s">
        <v>35</v>
      </c>
      <c r="K1617" s="7">
        <v>29.940999999999999</v>
      </c>
      <c r="L1617" s="7">
        <v>-95.460635999999994</v>
      </c>
      <c r="M1617" s="6" t="s">
        <v>198</v>
      </c>
      <c r="N1617" s="6" t="s">
        <v>24</v>
      </c>
      <c r="O1617" s="6" t="s">
        <v>23</v>
      </c>
    </row>
    <row r="1618" spans="1:15" x14ac:dyDescent="0.25">
      <c r="A1618" s="6" t="s">
        <v>3903</v>
      </c>
      <c r="B1618" s="6" t="s">
        <v>3902</v>
      </c>
      <c r="C1618" s="6" t="s">
        <v>31</v>
      </c>
      <c r="E1618" s="6" t="s">
        <v>3901</v>
      </c>
      <c r="F1618" s="6" t="s">
        <v>3900</v>
      </c>
      <c r="G1618" s="6" t="s">
        <v>16</v>
      </c>
      <c r="H1618" s="6" t="s">
        <v>28</v>
      </c>
      <c r="I1618" s="6" t="s">
        <v>799</v>
      </c>
      <c r="J1618" s="6" t="s">
        <v>35</v>
      </c>
      <c r="K1618" s="7">
        <v>30.006076360000002</v>
      </c>
      <c r="L1618" s="7">
        <v>-95.511835590000004</v>
      </c>
      <c r="M1618" s="6" t="s">
        <v>279</v>
      </c>
      <c r="N1618" s="6" t="s">
        <v>24</v>
      </c>
      <c r="O1618" s="6" t="s">
        <v>23</v>
      </c>
    </row>
    <row r="1619" spans="1:15" x14ac:dyDescent="0.25">
      <c r="A1619" s="6" t="s">
        <v>11938</v>
      </c>
      <c r="B1619" s="6" t="s">
        <v>11937</v>
      </c>
      <c r="C1619" s="6" t="s">
        <v>31</v>
      </c>
      <c r="E1619" s="6" t="s">
        <v>11936</v>
      </c>
      <c r="F1619" s="6" t="s">
        <v>11935</v>
      </c>
      <c r="G1619" s="6" t="s">
        <v>16</v>
      </c>
      <c r="H1619" s="6" t="s">
        <v>15</v>
      </c>
      <c r="I1619" s="6" t="s">
        <v>14</v>
      </c>
      <c r="J1619" s="6" t="s">
        <v>132</v>
      </c>
      <c r="K1619" s="7">
        <v>29.526473769999999</v>
      </c>
      <c r="L1619" s="7">
        <v>-95.478222489999993</v>
      </c>
      <c r="M1619" s="6" t="s">
        <v>4387</v>
      </c>
      <c r="N1619" s="6" t="s">
        <v>23</v>
      </c>
      <c r="O1619" s="6" t="s">
        <v>23</v>
      </c>
    </row>
    <row r="1620" spans="1:15" x14ac:dyDescent="0.25">
      <c r="A1620" s="6" t="s">
        <v>10270</v>
      </c>
      <c r="B1620" s="6" t="s">
        <v>10269</v>
      </c>
      <c r="C1620" s="6" t="s">
        <v>31</v>
      </c>
      <c r="E1620" s="6" t="s">
        <v>10268</v>
      </c>
      <c r="F1620" s="6" t="s">
        <v>10267</v>
      </c>
      <c r="G1620" s="6" t="s">
        <v>16</v>
      </c>
      <c r="H1620" s="6" t="s">
        <v>28</v>
      </c>
      <c r="I1620" s="6" t="s">
        <v>60</v>
      </c>
      <c r="J1620" s="6" t="s">
        <v>632</v>
      </c>
      <c r="K1620" s="7">
        <v>30.135062130000001</v>
      </c>
      <c r="L1620" s="7">
        <v>-93.930898159999998</v>
      </c>
      <c r="M1620" s="6" t="s">
        <v>758</v>
      </c>
      <c r="N1620" s="6" t="s">
        <v>65</v>
      </c>
      <c r="O1620" s="6" t="s">
        <v>24</v>
      </c>
    </row>
    <row r="1621" spans="1:15" x14ac:dyDescent="0.25">
      <c r="A1621" s="6" t="s">
        <v>1134</v>
      </c>
      <c r="B1621" s="6" t="s">
        <v>1131</v>
      </c>
      <c r="C1621" s="6" t="s">
        <v>31</v>
      </c>
      <c r="E1621" s="6" t="s">
        <v>1130</v>
      </c>
      <c r="F1621" s="6" t="s">
        <v>1129</v>
      </c>
      <c r="G1621" s="6" t="s">
        <v>16</v>
      </c>
      <c r="H1621" s="6" t="s">
        <v>15</v>
      </c>
      <c r="I1621" s="6" t="s">
        <v>14</v>
      </c>
      <c r="J1621" s="6" t="s">
        <v>35</v>
      </c>
      <c r="K1621" s="7">
        <v>29.706935269999999</v>
      </c>
      <c r="L1621" s="7">
        <v>-95.078965859999997</v>
      </c>
      <c r="M1621" s="6" t="s">
        <v>599</v>
      </c>
      <c r="N1621" s="6" t="s">
        <v>24</v>
      </c>
      <c r="O1621" s="6" t="s">
        <v>23</v>
      </c>
    </row>
    <row r="1622" spans="1:15" x14ac:dyDescent="0.25">
      <c r="A1622" s="6" t="s">
        <v>1133</v>
      </c>
      <c r="B1622" s="6" t="s">
        <v>1131</v>
      </c>
      <c r="C1622" s="6" t="s">
        <v>19</v>
      </c>
      <c r="E1622" s="6" t="s">
        <v>1130</v>
      </c>
      <c r="F1622" s="6" t="s">
        <v>1129</v>
      </c>
      <c r="G1622" s="6" t="s">
        <v>16</v>
      </c>
      <c r="H1622" s="6" t="s">
        <v>430</v>
      </c>
      <c r="I1622" s="6" t="s">
        <v>14</v>
      </c>
      <c r="J1622" s="6" t="s">
        <v>35</v>
      </c>
      <c r="K1622" s="7">
        <v>29.706433130000001</v>
      </c>
      <c r="L1622" s="7">
        <v>-95.079941840000004</v>
      </c>
      <c r="M1622" s="6" t="s">
        <v>599</v>
      </c>
      <c r="N1622" s="6" t="s">
        <v>24</v>
      </c>
      <c r="O1622" s="6" t="s">
        <v>23</v>
      </c>
    </row>
    <row r="1623" spans="1:15" x14ac:dyDescent="0.25">
      <c r="A1623" s="6" t="s">
        <v>1132</v>
      </c>
      <c r="B1623" s="6" t="s">
        <v>1131</v>
      </c>
      <c r="C1623" s="6" t="s">
        <v>436</v>
      </c>
      <c r="E1623" s="6" t="s">
        <v>1130</v>
      </c>
      <c r="F1623" s="6" t="s">
        <v>1129</v>
      </c>
      <c r="G1623" s="6" t="s">
        <v>16</v>
      </c>
      <c r="H1623" s="6" t="s">
        <v>430</v>
      </c>
      <c r="I1623" s="6" t="s">
        <v>14</v>
      </c>
      <c r="J1623" s="6" t="s">
        <v>35</v>
      </c>
      <c r="K1623" s="7">
        <v>29.708482289999999</v>
      </c>
      <c r="L1623" s="7">
        <v>-95.075518029999998</v>
      </c>
      <c r="M1623" s="6" t="s">
        <v>599</v>
      </c>
      <c r="N1623" s="6" t="s">
        <v>24</v>
      </c>
      <c r="O1623" s="6" t="s">
        <v>23</v>
      </c>
    </row>
    <row r="1624" spans="1:15" x14ac:dyDescent="0.25">
      <c r="A1624" s="6" t="s">
        <v>10764</v>
      </c>
      <c r="B1624" s="6" t="s">
        <v>10763</v>
      </c>
      <c r="C1624" s="6" t="s">
        <v>31</v>
      </c>
      <c r="E1624" s="6" t="s">
        <v>10762</v>
      </c>
      <c r="F1624" s="6" t="s">
        <v>10761</v>
      </c>
      <c r="G1624" s="6" t="s">
        <v>16</v>
      </c>
      <c r="H1624" s="6" t="s">
        <v>15</v>
      </c>
      <c r="I1624" s="6" t="s">
        <v>46</v>
      </c>
      <c r="J1624" s="6" t="s">
        <v>1519</v>
      </c>
      <c r="K1624" s="7">
        <v>30.046935489999999</v>
      </c>
      <c r="L1624" s="7">
        <v>-94.815255539999995</v>
      </c>
      <c r="M1624" s="6" t="s">
        <v>2055</v>
      </c>
      <c r="N1624" s="6" t="s">
        <v>102</v>
      </c>
      <c r="O1624" s="6" t="s">
        <v>23</v>
      </c>
    </row>
    <row r="1625" spans="1:15" x14ac:dyDescent="0.25">
      <c r="A1625" s="6" t="s">
        <v>5248</v>
      </c>
      <c r="B1625" s="6" t="s">
        <v>5246</v>
      </c>
      <c r="C1625" s="6" t="s">
        <v>31</v>
      </c>
      <c r="E1625" s="6" t="s">
        <v>5245</v>
      </c>
      <c r="F1625" s="6" t="s">
        <v>5244</v>
      </c>
      <c r="G1625" s="6" t="s">
        <v>16</v>
      </c>
      <c r="H1625" s="6" t="s">
        <v>15</v>
      </c>
      <c r="I1625" s="6" t="s">
        <v>36</v>
      </c>
      <c r="J1625" s="6" t="s">
        <v>35</v>
      </c>
      <c r="K1625" s="7">
        <v>29.85942</v>
      </c>
      <c r="L1625" s="7">
        <v>-95.607404000000002</v>
      </c>
      <c r="M1625" s="6" t="s">
        <v>131</v>
      </c>
      <c r="N1625" s="6" t="s">
        <v>24</v>
      </c>
      <c r="O1625" s="6" t="s">
        <v>23</v>
      </c>
    </row>
    <row r="1626" spans="1:15" x14ac:dyDescent="0.25">
      <c r="A1626" s="6" t="s">
        <v>5247</v>
      </c>
      <c r="B1626" s="6" t="s">
        <v>5246</v>
      </c>
      <c r="C1626" s="6" t="s">
        <v>19</v>
      </c>
      <c r="E1626" s="6" t="s">
        <v>5245</v>
      </c>
      <c r="F1626" s="6" t="s">
        <v>5244</v>
      </c>
      <c r="G1626" s="6" t="s">
        <v>16</v>
      </c>
      <c r="H1626" s="6" t="s">
        <v>15</v>
      </c>
      <c r="I1626" s="6" t="s">
        <v>36</v>
      </c>
      <c r="J1626" s="6" t="s">
        <v>35</v>
      </c>
      <c r="K1626" s="7">
        <v>29.85942</v>
      </c>
      <c r="L1626" s="7">
        <v>-95.607404000000002</v>
      </c>
      <c r="M1626" s="6" t="s">
        <v>131</v>
      </c>
      <c r="N1626" s="6" t="s">
        <v>24</v>
      </c>
      <c r="O1626" s="6" t="s">
        <v>23</v>
      </c>
    </row>
    <row r="1627" spans="1:15" x14ac:dyDescent="0.25">
      <c r="A1627" s="6" t="s">
        <v>10299</v>
      </c>
      <c r="B1627" s="6" t="s">
        <v>10298</v>
      </c>
      <c r="C1627" s="6" t="s">
        <v>31</v>
      </c>
      <c r="E1627" s="6" t="s">
        <v>10297</v>
      </c>
      <c r="F1627" s="6" t="s">
        <v>10296</v>
      </c>
      <c r="G1627" s="6" t="s">
        <v>16</v>
      </c>
      <c r="H1627" s="6" t="s">
        <v>28</v>
      </c>
      <c r="I1627" s="6" t="s">
        <v>60</v>
      </c>
      <c r="J1627" s="6" t="s">
        <v>35</v>
      </c>
      <c r="K1627" s="7">
        <v>30.003346000000001</v>
      </c>
      <c r="L1627" s="7">
        <v>-95.470707000000004</v>
      </c>
      <c r="M1627" s="6" t="s">
        <v>279</v>
      </c>
      <c r="N1627" s="6" t="s">
        <v>24</v>
      </c>
      <c r="O1627" s="6" t="s">
        <v>23</v>
      </c>
    </row>
    <row r="1628" spans="1:15" x14ac:dyDescent="0.25">
      <c r="A1628" s="6" t="s">
        <v>11928</v>
      </c>
      <c r="B1628" s="6" t="s">
        <v>11927</v>
      </c>
      <c r="C1628" s="6" t="s">
        <v>31</v>
      </c>
      <c r="E1628" s="6" t="s">
        <v>11926</v>
      </c>
      <c r="F1628" s="6" t="s">
        <v>11925</v>
      </c>
      <c r="G1628" s="6" t="s">
        <v>16</v>
      </c>
      <c r="H1628" s="6" t="s">
        <v>28</v>
      </c>
      <c r="I1628" s="6" t="s">
        <v>14</v>
      </c>
      <c r="J1628" s="6" t="s">
        <v>873</v>
      </c>
      <c r="K1628" s="7">
        <v>29.214832130000001</v>
      </c>
      <c r="L1628" s="7">
        <v>-98.649721170000007</v>
      </c>
      <c r="M1628" s="6" t="s">
        <v>233</v>
      </c>
      <c r="N1628" s="6" t="s">
        <v>232</v>
      </c>
      <c r="O1628" s="6" t="s">
        <v>231</v>
      </c>
    </row>
    <row r="1629" spans="1:15" x14ac:dyDescent="0.25">
      <c r="A1629" s="6" t="s">
        <v>12272</v>
      </c>
      <c r="B1629" s="6" t="s">
        <v>12271</v>
      </c>
      <c r="C1629" s="6" t="s">
        <v>31</v>
      </c>
      <c r="E1629" s="6" t="s">
        <v>12270</v>
      </c>
      <c r="F1629" s="6" t="s">
        <v>12269</v>
      </c>
      <c r="G1629" s="6" t="s">
        <v>16</v>
      </c>
      <c r="H1629" s="6" t="s">
        <v>15</v>
      </c>
      <c r="I1629" s="6" t="s">
        <v>36</v>
      </c>
      <c r="J1629" s="6" t="s">
        <v>35</v>
      </c>
      <c r="K1629" s="7">
        <v>29.81736682</v>
      </c>
      <c r="L1629" s="7">
        <v>-95.741973380000005</v>
      </c>
      <c r="M1629" s="6" t="s">
        <v>131</v>
      </c>
      <c r="N1629" s="6" t="s">
        <v>24</v>
      </c>
      <c r="O1629" s="6" t="s">
        <v>23</v>
      </c>
    </row>
    <row r="1630" spans="1:15" x14ac:dyDescent="0.25">
      <c r="A1630" s="6" t="s">
        <v>4058</v>
      </c>
      <c r="B1630" s="6" t="s">
        <v>3882</v>
      </c>
      <c r="C1630" s="6" t="s">
        <v>31</v>
      </c>
      <c r="E1630" s="6" t="s">
        <v>3881</v>
      </c>
      <c r="F1630" s="6" t="s">
        <v>1870</v>
      </c>
      <c r="G1630" s="6" t="s">
        <v>16</v>
      </c>
      <c r="H1630" s="6" t="s">
        <v>15</v>
      </c>
      <c r="I1630" s="6" t="s">
        <v>14</v>
      </c>
      <c r="J1630" s="6" t="s">
        <v>576</v>
      </c>
      <c r="K1630" s="7">
        <v>30.6166871</v>
      </c>
      <c r="L1630" s="7">
        <v>-96.075503519999998</v>
      </c>
      <c r="M1630" s="6" t="s">
        <v>927</v>
      </c>
      <c r="N1630" s="6" t="s">
        <v>23</v>
      </c>
      <c r="O1630" s="6" t="s">
        <v>120</v>
      </c>
    </row>
    <row r="1631" spans="1:15" x14ac:dyDescent="0.25">
      <c r="A1631" s="6" t="s">
        <v>4057</v>
      </c>
      <c r="B1631" s="6" t="s">
        <v>3882</v>
      </c>
      <c r="C1631" s="6" t="s">
        <v>19</v>
      </c>
      <c r="E1631" s="6" t="s">
        <v>3881</v>
      </c>
      <c r="F1631" s="6" t="s">
        <v>1870</v>
      </c>
      <c r="G1631" s="6" t="s">
        <v>16</v>
      </c>
      <c r="H1631" s="6" t="s">
        <v>15</v>
      </c>
      <c r="I1631" s="6" t="s">
        <v>14</v>
      </c>
      <c r="J1631" s="6" t="s">
        <v>576</v>
      </c>
      <c r="K1631" s="7">
        <v>30.613107939999999</v>
      </c>
      <c r="L1631" s="7">
        <v>-96.085149090000002</v>
      </c>
      <c r="M1631" s="6" t="s">
        <v>927</v>
      </c>
      <c r="N1631" s="6" t="s">
        <v>23</v>
      </c>
      <c r="O1631" s="6" t="s">
        <v>120</v>
      </c>
    </row>
    <row r="1632" spans="1:15" x14ac:dyDescent="0.25">
      <c r="A1632" s="6" t="s">
        <v>3883</v>
      </c>
      <c r="B1632" s="6" t="s">
        <v>3882</v>
      </c>
      <c r="C1632" s="6" t="s">
        <v>597</v>
      </c>
      <c r="E1632" s="6" t="s">
        <v>3881</v>
      </c>
      <c r="F1632" s="6" t="s">
        <v>1870</v>
      </c>
      <c r="G1632" s="6" t="s">
        <v>16</v>
      </c>
      <c r="H1632" s="6" t="s">
        <v>15</v>
      </c>
      <c r="I1632" s="6" t="s">
        <v>14</v>
      </c>
      <c r="J1632" s="6" t="s">
        <v>576</v>
      </c>
      <c r="K1632" s="7">
        <v>30.625526529999998</v>
      </c>
      <c r="L1632" s="7">
        <v>-96.079458880000004</v>
      </c>
      <c r="M1632" s="6" t="s">
        <v>927</v>
      </c>
      <c r="N1632" s="6" t="s">
        <v>23</v>
      </c>
      <c r="O1632" s="6" t="s">
        <v>120</v>
      </c>
    </row>
    <row r="1633" spans="1:15" x14ac:dyDescent="0.25">
      <c r="A1633" s="6" t="s">
        <v>5063</v>
      </c>
      <c r="B1633" s="6" t="s">
        <v>3882</v>
      </c>
      <c r="C1633" s="6" t="s">
        <v>557</v>
      </c>
      <c r="E1633" s="6" t="s">
        <v>3881</v>
      </c>
      <c r="F1633" s="6" t="s">
        <v>1870</v>
      </c>
      <c r="G1633" s="6" t="s">
        <v>284</v>
      </c>
      <c r="H1633" s="6" t="s">
        <v>15</v>
      </c>
      <c r="I1633" s="6" t="s">
        <v>14</v>
      </c>
      <c r="J1633" s="6" t="s">
        <v>576</v>
      </c>
      <c r="K1633" s="7">
        <v>30.631945940000001</v>
      </c>
      <c r="L1633" s="7">
        <v>-96.081111919999998</v>
      </c>
      <c r="M1633" s="6" t="s">
        <v>927</v>
      </c>
      <c r="N1633" s="6" t="s">
        <v>23</v>
      </c>
      <c r="O1633" s="6" t="s">
        <v>120</v>
      </c>
    </row>
    <row r="1634" spans="1:15" x14ac:dyDescent="0.25">
      <c r="A1634" s="6" t="s">
        <v>2494</v>
      </c>
      <c r="B1634" s="6" t="s">
        <v>2493</v>
      </c>
      <c r="C1634" s="6" t="s">
        <v>31</v>
      </c>
      <c r="E1634" s="6" t="s">
        <v>2492</v>
      </c>
      <c r="F1634" s="6" t="s">
        <v>2491</v>
      </c>
      <c r="G1634" s="6" t="s">
        <v>16</v>
      </c>
      <c r="H1634" s="6" t="s">
        <v>15</v>
      </c>
      <c r="I1634" s="6" t="s">
        <v>36</v>
      </c>
      <c r="J1634" s="6" t="s">
        <v>35</v>
      </c>
      <c r="K1634" s="7">
        <v>29.935608330000001</v>
      </c>
      <c r="L1634" s="7">
        <v>-95.234745559999993</v>
      </c>
      <c r="M1634" s="6" t="s">
        <v>198</v>
      </c>
      <c r="N1634" s="6" t="s">
        <v>24</v>
      </c>
      <c r="O1634" s="6" t="s">
        <v>23</v>
      </c>
    </row>
    <row r="1635" spans="1:15" x14ac:dyDescent="0.25">
      <c r="A1635" s="6" t="s">
        <v>10314</v>
      </c>
      <c r="B1635" s="6" t="s">
        <v>10313</v>
      </c>
      <c r="C1635" s="6" t="s">
        <v>31</v>
      </c>
      <c r="E1635" s="6" t="s">
        <v>10312</v>
      </c>
      <c r="F1635" s="6" t="s">
        <v>10311</v>
      </c>
      <c r="G1635" s="6" t="s">
        <v>16</v>
      </c>
      <c r="H1635" s="6" t="s">
        <v>28</v>
      </c>
      <c r="I1635" s="6" t="s">
        <v>1200</v>
      </c>
      <c r="J1635" s="6" t="s">
        <v>35</v>
      </c>
      <c r="K1635" s="7">
        <v>30.046151999999999</v>
      </c>
      <c r="L1635" s="7">
        <v>-95.449393000000001</v>
      </c>
      <c r="M1635" s="6" t="s">
        <v>279</v>
      </c>
      <c r="N1635" s="6" t="s">
        <v>24</v>
      </c>
      <c r="O1635" s="6" t="s">
        <v>23</v>
      </c>
    </row>
    <row r="1636" spans="1:15" x14ac:dyDescent="0.25">
      <c r="A1636" s="6" t="s">
        <v>4626</v>
      </c>
      <c r="B1636" s="6" t="s">
        <v>4625</v>
      </c>
      <c r="C1636" s="6" t="s">
        <v>31</v>
      </c>
      <c r="E1636" s="6" t="s">
        <v>4624</v>
      </c>
      <c r="F1636" s="6" t="s">
        <v>4623</v>
      </c>
      <c r="G1636" s="6" t="s">
        <v>16</v>
      </c>
      <c r="H1636" s="6" t="s">
        <v>28</v>
      </c>
      <c r="I1636" s="6" t="s">
        <v>27</v>
      </c>
      <c r="J1636" s="6" t="s">
        <v>928</v>
      </c>
      <c r="K1636" s="7">
        <v>31.353434</v>
      </c>
      <c r="L1636" s="7">
        <v>-96.133432999999997</v>
      </c>
      <c r="M1636" s="6" t="s">
        <v>1031</v>
      </c>
      <c r="N1636" s="6" t="s">
        <v>102</v>
      </c>
      <c r="O1636" s="6" t="s">
        <v>120</v>
      </c>
    </row>
    <row r="1637" spans="1:15" x14ac:dyDescent="0.25">
      <c r="A1637" s="6" t="s">
        <v>8741</v>
      </c>
      <c r="B1637" s="6" t="s">
        <v>8740</v>
      </c>
      <c r="C1637" s="6" t="s">
        <v>31</v>
      </c>
      <c r="E1637" s="6" t="s">
        <v>8739</v>
      </c>
      <c r="F1637" s="6" t="s">
        <v>8738</v>
      </c>
      <c r="G1637" s="6" t="s">
        <v>16</v>
      </c>
      <c r="H1637" s="6" t="s">
        <v>28</v>
      </c>
      <c r="I1637" s="6" t="s">
        <v>73</v>
      </c>
      <c r="J1637" s="6" t="s">
        <v>873</v>
      </c>
      <c r="K1637" s="7">
        <v>29.355599000000002</v>
      </c>
      <c r="L1637" s="7">
        <v>-98.295325000000005</v>
      </c>
      <c r="M1637" s="6" t="s">
        <v>1792</v>
      </c>
      <c r="N1637" s="6" t="s">
        <v>232</v>
      </c>
      <c r="O1637" s="6" t="s">
        <v>231</v>
      </c>
    </row>
    <row r="1638" spans="1:15" x14ac:dyDescent="0.25">
      <c r="A1638" s="6" t="s">
        <v>10310</v>
      </c>
      <c r="B1638" s="6" t="s">
        <v>10309</v>
      </c>
      <c r="C1638" s="6" t="s">
        <v>31</v>
      </c>
      <c r="E1638" s="6" t="s">
        <v>10308</v>
      </c>
      <c r="F1638" s="6" t="s">
        <v>8028</v>
      </c>
      <c r="G1638" s="6" t="s">
        <v>16</v>
      </c>
      <c r="H1638" s="6" t="s">
        <v>15</v>
      </c>
      <c r="I1638" s="6" t="s">
        <v>14</v>
      </c>
      <c r="J1638" s="6" t="s">
        <v>409</v>
      </c>
      <c r="K1638" s="7">
        <v>30.456828179999999</v>
      </c>
      <c r="L1638" s="7">
        <v>-97.640969459999994</v>
      </c>
      <c r="M1638" s="6" t="s">
        <v>408</v>
      </c>
      <c r="N1638" s="6" t="s">
        <v>10</v>
      </c>
      <c r="O1638" s="6" t="s">
        <v>160</v>
      </c>
    </row>
    <row r="1639" spans="1:15" x14ac:dyDescent="0.25">
      <c r="A1639" s="6" t="s">
        <v>12312</v>
      </c>
      <c r="B1639" s="6" t="s">
        <v>12311</v>
      </c>
      <c r="C1639" s="6" t="s">
        <v>31</v>
      </c>
      <c r="E1639" s="6" t="s">
        <v>12310</v>
      </c>
      <c r="F1639" s="6" t="s">
        <v>12309</v>
      </c>
      <c r="G1639" s="6" t="s">
        <v>16</v>
      </c>
      <c r="H1639" s="6" t="s">
        <v>28</v>
      </c>
      <c r="I1639" s="6" t="s">
        <v>60</v>
      </c>
      <c r="J1639" s="6" t="s">
        <v>2267</v>
      </c>
      <c r="K1639" s="7">
        <v>32.317200999999997</v>
      </c>
      <c r="L1639" s="7">
        <v>-96.131321</v>
      </c>
      <c r="M1639" s="6" t="s">
        <v>193</v>
      </c>
      <c r="N1639" s="6" t="s">
        <v>102</v>
      </c>
      <c r="O1639" s="6" t="s">
        <v>65</v>
      </c>
    </row>
    <row r="1640" spans="1:15" x14ac:dyDescent="0.25">
      <c r="A1640" s="6" t="s">
        <v>1734</v>
      </c>
      <c r="B1640" s="6" t="s">
        <v>1733</v>
      </c>
      <c r="C1640" s="6" t="s">
        <v>31</v>
      </c>
      <c r="E1640" s="6" t="s">
        <v>1732</v>
      </c>
      <c r="F1640" s="6" t="s">
        <v>1731</v>
      </c>
      <c r="G1640" s="6" t="s">
        <v>16</v>
      </c>
      <c r="H1640" s="6" t="s">
        <v>28</v>
      </c>
      <c r="I1640" s="6" t="s">
        <v>27</v>
      </c>
      <c r="J1640" s="6" t="s">
        <v>35</v>
      </c>
      <c r="K1640" s="7">
        <v>30.061917000000001</v>
      </c>
      <c r="L1640" s="7">
        <v>-95.077006999999995</v>
      </c>
      <c r="M1640" s="6" t="s">
        <v>914</v>
      </c>
      <c r="N1640" s="6" t="s">
        <v>120</v>
      </c>
      <c r="O1640" s="6" t="s">
        <v>23</v>
      </c>
    </row>
    <row r="1641" spans="1:15" x14ac:dyDescent="0.25">
      <c r="A1641" s="6" t="s">
        <v>11963</v>
      </c>
      <c r="B1641" s="6" t="s">
        <v>11962</v>
      </c>
      <c r="C1641" s="6" t="s">
        <v>31</v>
      </c>
      <c r="E1641" s="6" t="s">
        <v>11961</v>
      </c>
      <c r="F1641" s="6" t="s">
        <v>2607</v>
      </c>
      <c r="G1641" s="6" t="s">
        <v>16</v>
      </c>
      <c r="H1641" s="6" t="s">
        <v>28</v>
      </c>
      <c r="I1641" s="6" t="s">
        <v>27</v>
      </c>
      <c r="J1641" s="6" t="s">
        <v>7038</v>
      </c>
      <c r="K1641" s="7">
        <v>31.203827359999998</v>
      </c>
      <c r="L1641" s="7">
        <v>-98.396837660000003</v>
      </c>
      <c r="M1641" s="6" t="s">
        <v>9783</v>
      </c>
      <c r="N1641" s="6" t="s">
        <v>10</v>
      </c>
      <c r="O1641" s="6" t="s">
        <v>120</v>
      </c>
    </row>
    <row r="1642" spans="1:15" x14ac:dyDescent="0.25">
      <c r="A1642" s="6" t="s">
        <v>3891</v>
      </c>
      <c r="B1642" s="6" t="s">
        <v>3890</v>
      </c>
      <c r="C1642" s="6" t="s">
        <v>31</v>
      </c>
      <c r="E1642" s="6" t="s">
        <v>3889</v>
      </c>
      <c r="F1642" s="6" t="s">
        <v>3888</v>
      </c>
      <c r="G1642" s="6" t="s">
        <v>16</v>
      </c>
      <c r="H1642" s="6" t="s">
        <v>15</v>
      </c>
      <c r="I1642" s="6" t="s">
        <v>36</v>
      </c>
      <c r="J1642" s="6" t="s">
        <v>35</v>
      </c>
      <c r="K1642" s="7">
        <v>29.87324812</v>
      </c>
      <c r="L1642" s="7">
        <v>-95.70764638</v>
      </c>
      <c r="M1642" s="6" t="s">
        <v>131</v>
      </c>
      <c r="N1642" s="6" t="s">
        <v>24</v>
      </c>
      <c r="O1642" s="6" t="s">
        <v>23</v>
      </c>
    </row>
    <row r="1643" spans="1:15" x14ac:dyDescent="0.25">
      <c r="A1643" s="6" t="s">
        <v>3887</v>
      </c>
      <c r="B1643" s="6" t="s">
        <v>3886</v>
      </c>
      <c r="C1643" s="6" t="s">
        <v>31</v>
      </c>
      <c r="E1643" s="6" t="s">
        <v>3885</v>
      </c>
      <c r="F1643" s="6" t="s">
        <v>3884</v>
      </c>
      <c r="G1643" s="6" t="s">
        <v>16</v>
      </c>
      <c r="H1643" s="6" t="s">
        <v>28</v>
      </c>
      <c r="I1643" s="6" t="s">
        <v>1200</v>
      </c>
      <c r="J1643" s="6" t="s">
        <v>35</v>
      </c>
      <c r="K1643" s="7">
        <v>29.955697000000001</v>
      </c>
      <c r="L1643" s="7">
        <v>-95.571548000000007</v>
      </c>
      <c r="M1643" s="6" t="s">
        <v>198</v>
      </c>
      <c r="N1643" s="6" t="s">
        <v>24</v>
      </c>
      <c r="O1643" s="6" t="s">
        <v>23</v>
      </c>
    </row>
    <row r="1644" spans="1:15" x14ac:dyDescent="0.25">
      <c r="A1644" s="6" t="s">
        <v>3687</v>
      </c>
      <c r="B1644" s="6" t="s">
        <v>3686</v>
      </c>
      <c r="C1644" s="6" t="s">
        <v>31</v>
      </c>
      <c r="E1644" s="6" t="s">
        <v>3685</v>
      </c>
      <c r="F1644" s="6" t="s">
        <v>3684</v>
      </c>
      <c r="G1644" s="6" t="s">
        <v>16</v>
      </c>
      <c r="H1644" s="6" t="s">
        <v>15</v>
      </c>
      <c r="I1644" s="6" t="s">
        <v>36</v>
      </c>
      <c r="J1644" s="6" t="s">
        <v>35</v>
      </c>
      <c r="K1644" s="7">
        <v>29.980146810000001</v>
      </c>
      <c r="L1644" s="7">
        <v>-95.677034419999998</v>
      </c>
      <c r="M1644" s="6" t="s">
        <v>279</v>
      </c>
      <c r="N1644" s="6" t="s">
        <v>24</v>
      </c>
      <c r="O1644" s="6" t="s">
        <v>23</v>
      </c>
    </row>
    <row r="1645" spans="1:15" x14ac:dyDescent="0.25">
      <c r="A1645" s="6" t="s">
        <v>7562</v>
      </c>
      <c r="B1645" s="6" t="s">
        <v>7561</v>
      </c>
      <c r="C1645" s="6" t="s">
        <v>31</v>
      </c>
      <c r="E1645" s="6" t="s">
        <v>7560</v>
      </c>
      <c r="F1645" s="6" t="s">
        <v>7556</v>
      </c>
      <c r="G1645" s="6" t="s">
        <v>16</v>
      </c>
      <c r="H1645" s="6" t="s">
        <v>15</v>
      </c>
      <c r="I1645" s="6" t="s">
        <v>14</v>
      </c>
      <c r="J1645" s="6" t="s">
        <v>221</v>
      </c>
      <c r="K1645" s="7">
        <v>30.514557</v>
      </c>
      <c r="L1645" s="7">
        <v>-97.665391</v>
      </c>
      <c r="M1645" s="6" t="s">
        <v>3908</v>
      </c>
      <c r="N1645" s="6" t="s">
        <v>23</v>
      </c>
      <c r="O1645" s="6" t="s">
        <v>160</v>
      </c>
    </row>
    <row r="1646" spans="1:15" x14ac:dyDescent="0.25">
      <c r="A1646" s="6" t="s">
        <v>3683</v>
      </c>
      <c r="B1646" s="6" t="s">
        <v>3682</v>
      </c>
      <c r="C1646" s="6" t="s">
        <v>31</v>
      </c>
      <c r="E1646" s="6" t="s">
        <v>3681</v>
      </c>
      <c r="F1646" s="6" t="s">
        <v>3680</v>
      </c>
      <c r="G1646" s="6" t="s">
        <v>16</v>
      </c>
      <c r="H1646" s="6" t="s">
        <v>28</v>
      </c>
      <c r="I1646" s="6" t="s">
        <v>1200</v>
      </c>
      <c r="J1646" s="6" t="s">
        <v>35</v>
      </c>
      <c r="K1646" s="7">
        <v>30.026774</v>
      </c>
      <c r="L1646" s="7">
        <v>-95.803488999999999</v>
      </c>
      <c r="M1646" s="6" t="s">
        <v>279</v>
      </c>
      <c r="N1646" s="6" t="s">
        <v>24</v>
      </c>
      <c r="O1646" s="6" t="s">
        <v>23</v>
      </c>
    </row>
    <row r="1647" spans="1:15" x14ac:dyDescent="0.25">
      <c r="A1647" s="6" t="s">
        <v>9435</v>
      </c>
      <c r="B1647" s="6" t="s">
        <v>9434</v>
      </c>
      <c r="C1647" s="6" t="s">
        <v>31</v>
      </c>
      <c r="E1647" s="6" t="s">
        <v>9433</v>
      </c>
      <c r="F1647" s="6" t="s">
        <v>9432</v>
      </c>
      <c r="G1647" s="6" t="s">
        <v>16</v>
      </c>
      <c r="H1647" s="6" t="s">
        <v>15</v>
      </c>
      <c r="I1647" s="6" t="s">
        <v>14</v>
      </c>
      <c r="J1647" s="6" t="s">
        <v>35</v>
      </c>
      <c r="K1647" s="7">
        <v>29.96191876</v>
      </c>
      <c r="L1647" s="7">
        <v>-95.588546609999995</v>
      </c>
      <c r="M1647" s="6" t="s">
        <v>279</v>
      </c>
      <c r="N1647" s="6" t="s">
        <v>24</v>
      </c>
      <c r="O1647" s="6" t="s">
        <v>23</v>
      </c>
    </row>
    <row r="1648" spans="1:15" x14ac:dyDescent="0.25">
      <c r="A1648" s="6" t="s">
        <v>4064</v>
      </c>
      <c r="B1648" s="6" t="s">
        <v>1916</v>
      </c>
      <c r="C1648" s="6" t="s">
        <v>31</v>
      </c>
      <c r="E1648" s="6" t="s">
        <v>1915</v>
      </c>
      <c r="F1648" s="6" t="s">
        <v>1914</v>
      </c>
      <c r="G1648" s="6" t="s">
        <v>16</v>
      </c>
      <c r="H1648" s="6" t="s">
        <v>15</v>
      </c>
      <c r="I1648" s="6" t="s">
        <v>14</v>
      </c>
      <c r="J1648" s="6" t="s">
        <v>35</v>
      </c>
      <c r="K1648" s="7">
        <v>29.61142856</v>
      </c>
      <c r="L1648" s="7">
        <v>-95.027757960000002</v>
      </c>
      <c r="M1648" s="6" t="s">
        <v>1913</v>
      </c>
      <c r="N1648" s="6" t="s">
        <v>160</v>
      </c>
      <c r="O1648" s="6" t="s">
        <v>23</v>
      </c>
    </row>
    <row r="1649" spans="1:15" x14ac:dyDescent="0.25">
      <c r="A1649" s="6" t="s">
        <v>3484</v>
      </c>
      <c r="B1649" s="6" t="s">
        <v>1916</v>
      </c>
      <c r="C1649" s="6" t="s">
        <v>19</v>
      </c>
      <c r="E1649" s="6" t="s">
        <v>1915</v>
      </c>
      <c r="F1649" s="6" t="s">
        <v>1914</v>
      </c>
      <c r="G1649" s="6" t="s">
        <v>16</v>
      </c>
      <c r="H1649" s="6" t="s">
        <v>15</v>
      </c>
      <c r="I1649" s="6" t="s">
        <v>14</v>
      </c>
      <c r="J1649" s="6" t="s">
        <v>35</v>
      </c>
      <c r="K1649" s="7">
        <v>29.606049720000001</v>
      </c>
      <c r="L1649" s="7">
        <v>-95.03048081</v>
      </c>
      <c r="M1649" s="6" t="s">
        <v>1913</v>
      </c>
      <c r="N1649" s="6" t="s">
        <v>160</v>
      </c>
      <c r="O1649" s="6" t="s">
        <v>23</v>
      </c>
    </row>
    <row r="1650" spans="1:15" x14ac:dyDescent="0.25">
      <c r="A1650" s="6" t="s">
        <v>1918</v>
      </c>
      <c r="B1650" s="6" t="s">
        <v>1916</v>
      </c>
      <c r="C1650" s="6" t="s">
        <v>436</v>
      </c>
      <c r="E1650" s="6" t="s">
        <v>1915</v>
      </c>
      <c r="F1650" s="6" t="s">
        <v>1914</v>
      </c>
      <c r="G1650" s="6" t="s">
        <v>16</v>
      </c>
      <c r="H1650" s="6" t="s">
        <v>15</v>
      </c>
      <c r="I1650" s="6" t="s">
        <v>14</v>
      </c>
      <c r="J1650" s="6" t="s">
        <v>35</v>
      </c>
      <c r="K1650" s="7">
        <v>29.604443889999999</v>
      </c>
      <c r="L1650" s="7">
        <v>-95.025359750000007</v>
      </c>
      <c r="M1650" s="6" t="s">
        <v>1913</v>
      </c>
      <c r="N1650" s="6" t="s">
        <v>160</v>
      </c>
      <c r="O1650" s="6" t="s">
        <v>23</v>
      </c>
    </row>
    <row r="1651" spans="1:15" x14ac:dyDescent="0.25">
      <c r="A1651" s="6" t="s">
        <v>1917</v>
      </c>
      <c r="B1651" s="6" t="s">
        <v>1916</v>
      </c>
      <c r="C1651" s="6" t="s">
        <v>597</v>
      </c>
      <c r="E1651" s="6" t="s">
        <v>1915</v>
      </c>
      <c r="F1651" s="6" t="s">
        <v>1914</v>
      </c>
      <c r="G1651" s="6" t="s">
        <v>16</v>
      </c>
      <c r="H1651" s="6" t="s">
        <v>15</v>
      </c>
      <c r="I1651" s="6" t="s">
        <v>14</v>
      </c>
      <c r="J1651" s="6" t="s">
        <v>35</v>
      </c>
      <c r="K1651" s="7">
        <v>29.60335787</v>
      </c>
      <c r="L1651" s="7">
        <v>-95.02723847</v>
      </c>
      <c r="M1651" s="6" t="s">
        <v>1913</v>
      </c>
      <c r="N1651" s="6" t="s">
        <v>160</v>
      </c>
      <c r="O1651" s="6" t="s">
        <v>23</v>
      </c>
    </row>
    <row r="1652" spans="1:15" x14ac:dyDescent="0.25">
      <c r="A1652" s="6" t="s">
        <v>4246</v>
      </c>
      <c r="B1652" s="6" t="s">
        <v>1916</v>
      </c>
      <c r="C1652" s="6" t="s">
        <v>557</v>
      </c>
      <c r="E1652" s="6" t="s">
        <v>1915</v>
      </c>
      <c r="F1652" s="6" t="s">
        <v>1914</v>
      </c>
      <c r="G1652" s="6" t="s">
        <v>16</v>
      </c>
      <c r="H1652" s="6" t="s">
        <v>15</v>
      </c>
      <c r="I1652" s="6" t="s">
        <v>14</v>
      </c>
      <c r="J1652" s="6" t="s">
        <v>35</v>
      </c>
      <c r="K1652" s="7">
        <v>29.613967370000001</v>
      </c>
      <c r="L1652" s="7">
        <v>-95.024643170000004</v>
      </c>
      <c r="M1652" s="6" t="s">
        <v>1913</v>
      </c>
      <c r="N1652" s="6" t="s">
        <v>160</v>
      </c>
      <c r="O1652" s="6" t="s">
        <v>23</v>
      </c>
    </row>
    <row r="1653" spans="1:15" x14ac:dyDescent="0.25">
      <c r="A1653" s="6" t="s">
        <v>1128</v>
      </c>
      <c r="B1653" s="6" t="s">
        <v>1127</v>
      </c>
      <c r="C1653" s="6" t="s">
        <v>31</v>
      </c>
      <c r="E1653" s="6" t="s">
        <v>1126</v>
      </c>
      <c r="F1653" s="6" t="s">
        <v>1125</v>
      </c>
      <c r="G1653" s="6" t="s">
        <v>16</v>
      </c>
      <c r="H1653" s="6" t="s">
        <v>430</v>
      </c>
      <c r="I1653" s="6" t="s">
        <v>14</v>
      </c>
      <c r="J1653" s="6" t="s">
        <v>215</v>
      </c>
      <c r="K1653" s="7">
        <v>29.37490893</v>
      </c>
      <c r="L1653" s="7">
        <v>-94.889779099999998</v>
      </c>
      <c r="M1653" s="6" t="s">
        <v>672</v>
      </c>
      <c r="N1653" s="6" t="s">
        <v>160</v>
      </c>
      <c r="O1653" s="6" t="s">
        <v>23</v>
      </c>
    </row>
    <row r="1654" spans="1:15" x14ac:dyDescent="0.25">
      <c r="A1654" s="6" t="s">
        <v>4065</v>
      </c>
      <c r="B1654" s="6" t="s">
        <v>1127</v>
      </c>
      <c r="C1654" s="6" t="s">
        <v>19</v>
      </c>
      <c r="E1654" s="6" t="s">
        <v>1126</v>
      </c>
      <c r="F1654" s="6" t="s">
        <v>1125</v>
      </c>
      <c r="G1654" s="6" t="s">
        <v>16</v>
      </c>
      <c r="H1654" s="6" t="s">
        <v>15</v>
      </c>
      <c r="I1654" s="6" t="s">
        <v>14</v>
      </c>
      <c r="J1654" s="6" t="s">
        <v>215</v>
      </c>
      <c r="K1654" s="7">
        <v>29.374853510000001</v>
      </c>
      <c r="L1654" s="7">
        <v>-94.889779140000002</v>
      </c>
      <c r="M1654" s="6" t="s">
        <v>672</v>
      </c>
      <c r="N1654" s="6" t="s">
        <v>160</v>
      </c>
      <c r="O1654" s="6" t="s">
        <v>23</v>
      </c>
    </row>
    <row r="1655" spans="1:15" x14ac:dyDescent="0.25">
      <c r="A1655" s="6" t="s">
        <v>3262</v>
      </c>
      <c r="B1655" s="6" t="s">
        <v>1127</v>
      </c>
      <c r="C1655" s="6" t="s">
        <v>436</v>
      </c>
      <c r="E1655" s="6" t="s">
        <v>1126</v>
      </c>
      <c r="F1655" s="6" t="s">
        <v>1125</v>
      </c>
      <c r="G1655" s="6" t="s">
        <v>16</v>
      </c>
      <c r="H1655" s="6" t="s">
        <v>430</v>
      </c>
      <c r="I1655" s="6" t="s">
        <v>14</v>
      </c>
      <c r="J1655" s="6" t="s">
        <v>215</v>
      </c>
      <c r="K1655" s="7">
        <v>29.372793720000001</v>
      </c>
      <c r="L1655" s="7">
        <v>-94.891165119999997</v>
      </c>
      <c r="M1655" s="6" t="s">
        <v>672</v>
      </c>
      <c r="N1655" s="6" t="s">
        <v>160</v>
      </c>
      <c r="O1655" s="6" t="s">
        <v>23</v>
      </c>
    </row>
    <row r="1656" spans="1:15" x14ac:dyDescent="0.25">
      <c r="A1656" s="6" t="s">
        <v>3261</v>
      </c>
      <c r="B1656" s="6" t="s">
        <v>1127</v>
      </c>
      <c r="C1656" s="6" t="s">
        <v>597</v>
      </c>
      <c r="E1656" s="6" t="s">
        <v>1126</v>
      </c>
      <c r="F1656" s="6" t="s">
        <v>1125</v>
      </c>
      <c r="G1656" s="6" t="s">
        <v>16</v>
      </c>
      <c r="H1656" s="6" t="s">
        <v>430</v>
      </c>
      <c r="I1656" s="6" t="s">
        <v>14</v>
      </c>
      <c r="J1656" s="6" t="s">
        <v>215</v>
      </c>
      <c r="K1656" s="7">
        <v>29.372950719999999</v>
      </c>
      <c r="L1656" s="7">
        <v>-94.892181980000004</v>
      </c>
      <c r="M1656" s="6" t="s">
        <v>672</v>
      </c>
      <c r="N1656" s="6" t="s">
        <v>160</v>
      </c>
      <c r="O1656" s="6" t="s">
        <v>23</v>
      </c>
    </row>
    <row r="1657" spans="1:15" x14ac:dyDescent="0.25">
      <c r="A1657" s="6" t="s">
        <v>3260</v>
      </c>
      <c r="B1657" s="6" t="s">
        <v>1127</v>
      </c>
      <c r="C1657" s="6" t="s">
        <v>557</v>
      </c>
      <c r="E1657" s="6" t="s">
        <v>1126</v>
      </c>
      <c r="F1657" s="6" t="s">
        <v>1125</v>
      </c>
      <c r="G1657" s="6" t="s">
        <v>16</v>
      </c>
      <c r="H1657" s="6" t="s">
        <v>430</v>
      </c>
      <c r="I1657" s="6" t="s">
        <v>14</v>
      </c>
      <c r="J1657" s="6" t="s">
        <v>215</v>
      </c>
      <c r="K1657" s="7">
        <v>29.372770240000001</v>
      </c>
      <c r="L1657" s="7">
        <v>-94.893245050000004</v>
      </c>
      <c r="M1657" s="6" t="s">
        <v>672</v>
      </c>
      <c r="N1657" s="6" t="s">
        <v>160</v>
      </c>
      <c r="O1657" s="6" t="s">
        <v>23</v>
      </c>
    </row>
    <row r="1658" spans="1:15" x14ac:dyDescent="0.25">
      <c r="A1658" s="6" t="s">
        <v>3259</v>
      </c>
      <c r="B1658" s="6" t="s">
        <v>1127</v>
      </c>
      <c r="C1658" s="6" t="s">
        <v>433</v>
      </c>
      <c r="E1658" s="6" t="s">
        <v>1126</v>
      </c>
      <c r="F1658" s="6" t="s">
        <v>1125</v>
      </c>
      <c r="G1658" s="6" t="s">
        <v>16</v>
      </c>
      <c r="H1658" s="6" t="s">
        <v>430</v>
      </c>
      <c r="I1658" s="6" t="s">
        <v>14</v>
      </c>
      <c r="J1658" s="6" t="s">
        <v>215</v>
      </c>
      <c r="K1658" s="7">
        <v>29.373493</v>
      </c>
      <c r="L1658" s="7">
        <v>-94.904325</v>
      </c>
      <c r="M1658" s="6" t="s">
        <v>672</v>
      </c>
      <c r="N1658" s="6" t="s">
        <v>160</v>
      </c>
      <c r="O1658" s="6" t="s">
        <v>23</v>
      </c>
    </row>
    <row r="1659" spans="1:15" x14ac:dyDescent="0.25">
      <c r="A1659" s="6" t="s">
        <v>12099</v>
      </c>
      <c r="B1659" s="6" t="s">
        <v>1127</v>
      </c>
      <c r="C1659" s="6" t="s">
        <v>1098</v>
      </c>
      <c r="E1659" s="6" t="s">
        <v>1126</v>
      </c>
      <c r="F1659" s="6" t="s">
        <v>1125</v>
      </c>
      <c r="G1659" s="6" t="s">
        <v>16</v>
      </c>
      <c r="H1659" s="6" t="s">
        <v>430</v>
      </c>
      <c r="I1659" s="6" t="s">
        <v>14</v>
      </c>
      <c r="J1659" s="6" t="s">
        <v>215</v>
      </c>
      <c r="K1659" s="7">
        <v>29.374675570000001</v>
      </c>
      <c r="L1659" s="7">
        <v>-94.901453079999996</v>
      </c>
      <c r="M1659" s="6" t="s">
        <v>672</v>
      </c>
      <c r="N1659" s="6" t="s">
        <v>160</v>
      </c>
      <c r="O1659" s="6" t="s">
        <v>23</v>
      </c>
    </row>
    <row r="1660" spans="1:15" x14ac:dyDescent="0.25">
      <c r="A1660" s="6" t="s">
        <v>3679</v>
      </c>
      <c r="B1660" s="6" t="s">
        <v>3678</v>
      </c>
      <c r="C1660" s="6" t="s">
        <v>31</v>
      </c>
      <c r="E1660" s="6" t="s">
        <v>3677</v>
      </c>
      <c r="F1660" s="6" t="s">
        <v>263</v>
      </c>
      <c r="G1660" s="6" t="s">
        <v>16</v>
      </c>
      <c r="H1660" s="6" t="s">
        <v>28</v>
      </c>
      <c r="I1660" s="6" t="s">
        <v>799</v>
      </c>
      <c r="J1660" s="6" t="s">
        <v>1249</v>
      </c>
      <c r="K1660" s="7">
        <v>31.752841</v>
      </c>
      <c r="L1660" s="7">
        <v>-95.832508000000004</v>
      </c>
      <c r="M1660" s="6" t="s">
        <v>1031</v>
      </c>
      <c r="N1660" s="6" t="s">
        <v>102</v>
      </c>
      <c r="O1660" s="6" t="s">
        <v>65</v>
      </c>
    </row>
    <row r="1661" spans="1:15" x14ac:dyDescent="0.25">
      <c r="A1661" s="6" t="s">
        <v>2211</v>
      </c>
      <c r="B1661" s="6" t="s">
        <v>2210</v>
      </c>
      <c r="C1661" s="6" t="s">
        <v>31</v>
      </c>
      <c r="E1661" s="6" t="s">
        <v>2209</v>
      </c>
      <c r="F1661" s="6" t="s">
        <v>2208</v>
      </c>
      <c r="G1661" s="6" t="s">
        <v>16</v>
      </c>
      <c r="H1661" s="6" t="s">
        <v>28</v>
      </c>
      <c r="I1661" s="6" t="s">
        <v>60</v>
      </c>
      <c r="J1661" s="6" t="s">
        <v>1451</v>
      </c>
      <c r="K1661" s="7">
        <v>31.879860999999998</v>
      </c>
      <c r="L1661" s="7">
        <v>-97.063319000000007</v>
      </c>
      <c r="M1661" s="6" t="s">
        <v>121</v>
      </c>
      <c r="N1661" s="6" t="s">
        <v>23</v>
      </c>
      <c r="O1661" s="6" t="s">
        <v>120</v>
      </c>
    </row>
    <row r="1662" spans="1:15" x14ac:dyDescent="0.25">
      <c r="A1662" s="6" t="s">
        <v>12395</v>
      </c>
      <c r="B1662" s="6" t="s">
        <v>12394</v>
      </c>
      <c r="C1662" s="6" t="s">
        <v>31</v>
      </c>
      <c r="E1662" s="6" t="s">
        <v>12393</v>
      </c>
      <c r="F1662" s="6" t="s">
        <v>12392</v>
      </c>
      <c r="G1662" s="6" t="s">
        <v>16</v>
      </c>
      <c r="H1662" s="6" t="s">
        <v>28</v>
      </c>
      <c r="I1662" s="6" t="s">
        <v>27</v>
      </c>
      <c r="J1662" s="6" t="s">
        <v>982</v>
      </c>
      <c r="K1662" s="7">
        <v>32.093474200000003</v>
      </c>
      <c r="L1662" s="7">
        <v>-96.706489899999994</v>
      </c>
      <c r="M1662" s="6" t="s">
        <v>10461</v>
      </c>
      <c r="N1662" s="6" t="s">
        <v>102</v>
      </c>
      <c r="O1662" s="6" t="s">
        <v>42</v>
      </c>
    </row>
    <row r="1663" spans="1:15" x14ac:dyDescent="0.25">
      <c r="A1663" s="6" t="s">
        <v>1699</v>
      </c>
      <c r="B1663" s="6" t="s">
        <v>1698</v>
      </c>
      <c r="C1663" s="6" t="s">
        <v>31</v>
      </c>
      <c r="E1663" s="6" t="s">
        <v>1697</v>
      </c>
      <c r="F1663" s="6" t="s">
        <v>895</v>
      </c>
      <c r="G1663" s="6" t="s">
        <v>16</v>
      </c>
      <c r="H1663" s="6" t="s">
        <v>15</v>
      </c>
      <c r="I1663" s="6" t="s">
        <v>36</v>
      </c>
      <c r="J1663" s="6" t="s">
        <v>35</v>
      </c>
      <c r="K1663" s="7">
        <v>29.86271481</v>
      </c>
      <c r="L1663" s="7">
        <v>-95.564951010000001</v>
      </c>
      <c r="M1663" s="6" t="s">
        <v>77</v>
      </c>
      <c r="N1663" s="6" t="s">
        <v>24</v>
      </c>
      <c r="O1663" s="6" t="s">
        <v>23</v>
      </c>
    </row>
    <row r="1664" spans="1:15" x14ac:dyDescent="0.25">
      <c r="A1664" s="6" t="s">
        <v>230</v>
      </c>
      <c r="B1664" s="6" t="s">
        <v>229</v>
      </c>
      <c r="C1664" s="6" t="s">
        <v>31</v>
      </c>
      <c r="E1664" s="6" t="s">
        <v>228</v>
      </c>
      <c r="F1664" s="6" t="s">
        <v>227</v>
      </c>
      <c r="G1664" s="6" t="s">
        <v>16</v>
      </c>
      <c r="H1664" s="6" t="s">
        <v>28</v>
      </c>
      <c r="I1664" s="6" t="s">
        <v>73</v>
      </c>
      <c r="J1664" s="6" t="s">
        <v>226</v>
      </c>
      <c r="K1664" s="7">
        <v>34.074306970000002</v>
      </c>
      <c r="L1664" s="7">
        <v>-98.1955849</v>
      </c>
      <c r="M1664" s="6" t="s">
        <v>208</v>
      </c>
      <c r="N1664" s="6" t="s">
        <v>43</v>
      </c>
      <c r="O1664" s="6" t="s">
        <v>95</v>
      </c>
    </row>
    <row r="1665" spans="1:15" x14ac:dyDescent="0.25">
      <c r="A1665" s="6" t="s">
        <v>7839</v>
      </c>
      <c r="B1665" s="6" t="s">
        <v>7838</v>
      </c>
      <c r="C1665" s="6" t="s">
        <v>31</v>
      </c>
      <c r="E1665" s="6" t="s">
        <v>7837</v>
      </c>
      <c r="F1665" s="6" t="s">
        <v>7836</v>
      </c>
      <c r="G1665" s="6" t="s">
        <v>16</v>
      </c>
      <c r="H1665" s="6" t="s">
        <v>28</v>
      </c>
      <c r="I1665" s="6" t="s">
        <v>27</v>
      </c>
      <c r="J1665" s="6" t="s">
        <v>90</v>
      </c>
      <c r="K1665" s="7">
        <v>26.261529670000002</v>
      </c>
      <c r="L1665" s="7">
        <v>-97.820618080000003</v>
      </c>
      <c r="M1665" s="6" t="s">
        <v>89</v>
      </c>
      <c r="N1665" s="6" t="s">
        <v>11</v>
      </c>
      <c r="O1665" s="6" t="s">
        <v>22</v>
      </c>
    </row>
    <row r="1666" spans="1:15" x14ac:dyDescent="0.25">
      <c r="A1666" s="6" t="s">
        <v>4573</v>
      </c>
      <c r="B1666" s="6" t="s">
        <v>4572</v>
      </c>
      <c r="C1666" s="6" t="s">
        <v>31</v>
      </c>
      <c r="E1666" s="6" t="s">
        <v>4571</v>
      </c>
      <c r="F1666" s="6" t="s">
        <v>4567</v>
      </c>
      <c r="G1666" s="6" t="s">
        <v>16</v>
      </c>
      <c r="H1666" s="6" t="s">
        <v>28</v>
      </c>
      <c r="I1666" s="6" t="s">
        <v>60</v>
      </c>
      <c r="J1666" s="6" t="s">
        <v>4566</v>
      </c>
      <c r="K1666" s="7">
        <v>33.154708999999997</v>
      </c>
      <c r="L1666" s="7">
        <v>-95.233581999999998</v>
      </c>
      <c r="M1666" s="6" t="s">
        <v>96</v>
      </c>
      <c r="N1666" s="6" t="s">
        <v>95</v>
      </c>
      <c r="O1666" s="6" t="s">
        <v>65</v>
      </c>
    </row>
    <row r="1667" spans="1:15" x14ac:dyDescent="0.25">
      <c r="A1667" s="6" t="s">
        <v>5420</v>
      </c>
      <c r="B1667" s="6" t="s">
        <v>5419</v>
      </c>
      <c r="C1667" s="6" t="s">
        <v>31</v>
      </c>
      <c r="E1667" s="6" t="s">
        <v>5418</v>
      </c>
      <c r="F1667" s="6" t="s">
        <v>5417</v>
      </c>
      <c r="G1667" s="6" t="s">
        <v>16</v>
      </c>
      <c r="H1667" s="6" t="s">
        <v>28</v>
      </c>
      <c r="I1667" s="6" t="s">
        <v>73</v>
      </c>
      <c r="J1667" s="6" t="s">
        <v>5416</v>
      </c>
      <c r="K1667" s="7">
        <v>34.544696999999999</v>
      </c>
      <c r="L1667" s="7">
        <v>-100.42673600000001</v>
      </c>
      <c r="M1667" s="6" t="s">
        <v>5415</v>
      </c>
      <c r="N1667" s="6" t="s">
        <v>43</v>
      </c>
      <c r="O1667" s="6" t="s">
        <v>535</v>
      </c>
    </row>
    <row r="1668" spans="1:15" x14ac:dyDescent="0.25">
      <c r="A1668" s="6" t="s">
        <v>6045</v>
      </c>
      <c r="B1668" s="6" t="s">
        <v>6044</v>
      </c>
      <c r="C1668" s="6" t="s">
        <v>31</v>
      </c>
      <c r="E1668" s="6" t="s">
        <v>6043</v>
      </c>
      <c r="F1668" s="6" t="s">
        <v>6042</v>
      </c>
      <c r="G1668" s="6" t="s">
        <v>16</v>
      </c>
      <c r="H1668" s="6" t="s">
        <v>28</v>
      </c>
      <c r="I1668" s="6" t="s">
        <v>60</v>
      </c>
      <c r="J1668" s="6" t="s">
        <v>682</v>
      </c>
      <c r="K1668" s="7">
        <v>32.099753</v>
      </c>
      <c r="L1668" s="7">
        <v>-98.944457999999997</v>
      </c>
      <c r="M1668" s="6" t="s">
        <v>6041</v>
      </c>
      <c r="N1668" s="6" t="s">
        <v>23</v>
      </c>
      <c r="O1668" s="6" t="s">
        <v>95</v>
      </c>
    </row>
    <row r="1669" spans="1:15" x14ac:dyDescent="0.25">
      <c r="A1669" s="6" t="s">
        <v>2687</v>
      </c>
      <c r="B1669" s="6" t="s">
        <v>2686</v>
      </c>
      <c r="C1669" s="6" t="s">
        <v>31</v>
      </c>
      <c r="E1669" s="6" t="s">
        <v>2685</v>
      </c>
      <c r="F1669" s="6" t="s">
        <v>2684</v>
      </c>
      <c r="G1669" s="6" t="s">
        <v>16</v>
      </c>
      <c r="H1669" s="6" t="s">
        <v>28</v>
      </c>
      <c r="I1669" s="6" t="s">
        <v>60</v>
      </c>
      <c r="J1669" s="6" t="s">
        <v>1281</v>
      </c>
      <c r="K1669" s="7">
        <v>31.401841999999998</v>
      </c>
      <c r="L1669" s="7">
        <v>-96.581367999999998</v>
      </c>
      <c r="M1669" s="6" t="s">
        <v>927</v>
      </c>
      <c r="N1669" s="6" t="s">
        <v>23</v>
      </c>
      <c r="O1669" s="6" t="s">
        <v>120</v>
      </c>
    </row>
    <row r="1670" spans="1:15" x14ac:dyDescent="0.25">
      <c r="A1670" s="6" t="s">
        <v>7876</v>
      </c>
      <c r="B1670" s="6" t="s">
        <v>7875</v>
      </c>
      <c r="C1670" s="6" t="s">
        <v>31</v>
      </c>
      <c r="E1670" s="6" t="s">
        <v>7874</v>
      </c>
      <c r="F1670" s="6" t="s">
        <v>7873</v>
      </c>
      <c r="G1670" s="6" t="s">
        <v>16</v>
      </c>
      <c r="H1670" s="6" t="s">
        <v>28</v>
      </c>
      <c r="I1670" s="6" t="s">
        <v>27</v>
      </c>
      <c r="J1670" s="6" t="s">
        <v>1209</v>
      </c>
      <c r="K1670" s="7">
        <v>31.665196000000002</v>
      </c>
      <c r="L1670" s="7">
        <v>-97.463693000000006</v>
      </c>
      <c r="M1670" s="6" t="s">
        <v>1208</v>
      </c>
      <c r="N1670" s="6" t="s">
        <v>23</v>
      </c>
      <c r="O1670" s="6" t="s">
        <v>120</v>
      </c>
    </row>
    <row r="1671" spans="1:15" x14ac:dyDescent="0.25">
      <c r="A1671" s="6" t="s">
        <v>9172</v>
      </c>
      <c r="B1671" s="6" t="s">
        <v>9171</v>
      </c>
      <c r="C1671" s="6" t="s">
        <v>31</v>
      </c>
      <c r="E1671" s="6" t="s">
        <v>9170</v>
      </c>
      <c r="F1671" s="6" t="s">
        <v>5708</v>
      </c>
      <c r="G1671" s="6" t="s">
        <v>16</v>
      </c>
      <c r="H1671" s="6" t="s">
        <v>28</v>
      </c>
      <c r="I1671" s="6" t="s">
        <v>27</v>
      </c>
      <c r="J1671" s="6" t="s">
        <v>35</v>
      </c>
      <c r="K1671" s="7">
        <v>29.894617</v>
      </c>
      <c r="L1671" s="7">
        <v>-95.431011999999996</v>
      </c>
      <c r="M1671" s="6" t="s">
        <v>34</v>
      </c>
      <c r="N1671" s="6" t="s">
        <v>24</v>
      </c>
      <c r="O1671" s="6" t="s">
        <v>23</v>
      </c>
    </row>
    <row r="1672" spans="1:15" x14ac:dyDescent="0.25">
      <c r="A1672" s="6" t="s">
        <v>10307</v>
      </c>
      <c r="B1672" s="6" t="s">
        <v>10306</v>
      </c>
      <c r="C1672" s="6" t="s">
        <v>31</v>
      </c>
      <c r="E1672" s="6" t="s">
        <v>10305</v>
      </c>
      <c r="F1672" s="6" t="s">
        <v>10304</v>
      </c>
      <c r="G1672" s="6" t="s">
        <v>16</v>
      </c>
      <c r="H1672" s="6" t="s">
        <v>28</v>
      </c>
      <c r="I1672" s="6" t="s">
        <v>60</v>
      </c>
      <c r="J1672" s="6" t="s">
        <v>35</v>
      </c>
      <c r="K1672" s="7">
        <v>30.011520000000001</v>
      </c>
      <c r="L1672" s="7">
        <v>-95.377514000000005</v>
      </c>
      <c r="M1672" s="6" t="s">
        <v>279</v>
      </c>
      <c r="N1672" s="6" t="s">
        <v>24</v>
      </c>
      <c r="O1672" s="6" t="s">
        <v>23</v>
      </c>
    </row>
    <row r="1673" spans="1:15" x14ac:dyDescent="0.25">
      <c r="A1673" s="6" t="s">
        <v>1026</v>
      </c>
      <c r="B1673" s="6" t="s">
        <v>1025</v>
      </c>
      <c r="C1673" s="6" t="s">
        <v>31</v>
      </c>
      <c r="E1673" s="6" t="s">
        <v>1024</v>
      </c>
      <c r="F1673" s="6" t="s">
        <v>1023</v>
      </c>
      <c r="G1673" s="6" t="s">
        <v>16</v>
      </c>
      <c r="H1673" s="6" t="s">
        <v>28</v>
      </c>
      <c r="I1673" s="6" t="s">
        <v>27</v>
      </c>
      <c r="J1673" s="6" t="s">
        <v>26</v>
      </c>
      <c r="K1673" s="7">
        <v>30.218129000000001</v>
      </c>
      <c r="L1673" s="7">
        <v>-95.410314</v>
      </c>
      <c r="M1673" s="6" t="s">
        <v>1022</v>
      </c>
      <c r="N1673" s="6" t="s">
        <v>24</v>
      </c>
      <c r="O1673" s="6" t="s">
        <v>23</v>
      </c>
    </row>
    <row r="1674" spans="1:15" x14ac:dyDescent="0.25">
      <c r="A1674" s="6" t="s">
        <v>11664</v>
      </c>
      <c r="B1674" s="6" t="s">
        <v>11663</v>
      </c>
      <c r="C1674" s="6" t="s">
        <v>31</v>
      </c>
      <c r="E1674" s="6" t="s">
        <v>11662</v>
      </c>
      <c r="F1674" s="6" t="s">
        <v>11661</v>
      </c>
      <c r="G1674" s="6" t="s">
        <v>16</v>
      </c>
      <c r="H1674" s="6" t="s">
        <v>28</v>
      </c>
      <c r="I1674" s="6" t="s">
        <v>14</v>
      </c>
      <c r="J1674" s="6" t="s">
        <v>35</v>
      </c>
      <c r="K1674" s="7">
        <v>29.789069479999998</v>
      </c>
      <c r="L1674" s="7">
        <v>-95.204977349999993</v>
      </c>
      <c r="M1674" s="6" t="s">
        <v>34</v>
      </c>
      <c r="N1674" s="6" t="s">
        <v>24</v>
      </c>
      <c r="O1674" s="6" t="s">
        <v>23</v>
      </c>
    </row>
    <row r="1675" spans="1:15" x14ac:dyDescent="0.25">
      <c r="A1675" s="6" t="s">
        <v>4553</v>
      </c>
      <c r="B1675" s="6" t="s">
        <v>4552</v>
      </c>
      <c r="C1675" s="6" t="s">
        <v>31</v>
      </c>
      <c r="E1675" s="6" t="s">
        <v>4551</v>
      </c>
      <c r="F1675" s="6" t="s">
        <v>4550</v>
      </c>
      <c r="G1675" s="6" t="s">
        <v>16</v>
      </c>
      <c r="H1675" s="6" t="s">
        <v>28</v>
      </c>
      <c r="I1675" s="6" t="s">
        <v>46</v>
      </c>
      <c r="J1675" s="6" t="s">
        <v>318</v>
      </c>
      <c r="K1675" s="7">
        <v>30.907798119999999</v>
      </c>
      <c r="L1675" s="7">
        <v>-94.825306040000001</v>
      </c>
      <c r="M1675" s="6" t="s">
        <v>2355</v>
      </c>
      <c r="N1675" s="6" t="s">
        <v>52</v>
      </c>
      <c r="O1675" s="6" t="s">
        <v>24</v>
      </c>
    </row>
    <row r="1676" spans="1:15" x14ac:dyDescent="0.25">
      <c r="A1676" s="6" t="s">
        <v>6330</v>
      </c>
      <c r="B1676" s="6" t="s">
        <v>6329</v>
      </c>
      <c r="C1676" s="6" t="s">
        <v>31</v>
      </c>
      <c r="E1676" s="6" t="s">
        <v>6328</v>
      </c>
      <c r="F1676" s="6" t="s">
        <v>6327</v>
      </c>
      <c r="G1676" s="6" t="s">
        <v>16</v>
      </c>
      <c r="H1676" s="6" t="s">
        <v>28</v>
      </c>
      <c r="I1676" s="6" t="s">
        <v>27</v>
      </c>
      <c r="J1676" s="6" t="s">
        <v>35</v>
      </c>
      <c r="K1676" s="7">
        <v>30.038929</v>
      </c>
      <c r="L1676" s="7">
        <v>-95.055458999999999</v>
      </c>
      <c r="M1676" s="6" t="s">
        <v>914</v>
      </c>
      <c r="N1676" s="6" t="s">
        <v>120</v>
      </c>
      <c r="O1676" s="6" t="s">
        <v>23</v>
      </c>
    </row>
    <row r="1677" spans="1:15" x14ac:dyDescent="0.25">
      <c r="A1677" s="6" t="s">
        <v>4537</v>
      </c>
      <c r="B1677" s="6" t="s">
        <v>4536</v>
      </c>
      <c r="C1677" s="6" t="s">
        <v>31</v>
      </c>
      <c r="E1677" s="6" t="s">
        <v>4535</v>
      </c>
      <c r="F1677" s="6" t="s">
        <v>4534</v>
      </c>
      <c r="G1677" s="6" t="s">
        <v>16</v>
      </c>
      <c r="H1677" s="6" t="s">
        <v>28</v>
      </c>
      <c r="I1677" s="6" t="s">
        <v>73</v>
      </c>
      <c r="J1677" s="6" t="s">
        <v>234</v>
      </c>
      <c r="K1677" s="7">
        <v>29.320201999999998</v>
      </c>
      <c r="L1677" s="7">
        <v>-99.291272000000006</v>
      </c>
      <c r="M1677" s="6" t="s">
        <v>4533</v>
      </c>
      <c r="N1677" s="6" t="s">
        <v>524</v>
      </c>
      <c r="O1677" s="6" t="s">
        <v>231</v>
      </c>
    </row>
    <row r="1678" spans="1:15" x14ac:dyDescent="0.25">
      <c r="A1678" s="6" t="s">
        <v>10303</v>
      </c>
      <c r="B1678" s="6" t="s">
        <v>10302</v>
      </c>
      <c r="C1678" s="6" t="s">
        <v>31</v>
      </c>
      <c r="E1678" s="6" t="s">
        <v>10301</v>
      </c>
      <c r="F1678" s="6" t="s">
        <v>10300</v>
      </c>
      <c r="G1678" s="6" t="s">
        <v>16</v>
      </c>
      <c r="H1678" s="6" t="s">
        <v>15</v>
      </c>
      <c r="I1678" s="6" t="s">
        <v>36</v>
      </c>
      <c r="J1678" s="6" t="s">
        <v>35</v>
      </c>
      <c r="K1678" s="7">
        <v>30.025677890000001</v>
      </c>
      <c r="L1678" s="7">
        <v>-95.617165700000001</v>
      </c>
      <c r="M1678" s="6" t="s">
        <v>279</v>
      </c>
      <c r="N1678" s="6" t="s">
        <v>24</v>
      </c>
      <c r="O1678" s="6" t="s">
        <v>23</v>
      </c>
    </row>
    <row r="1679" spans="1:15" x14ac:dyDescent="0.25">
      <c r="A1679" s="6" t="s">
        <v>5306</v>
      </c>
      <c r="B1679" s="6" t="s">
        <v>5305</v>
      </c>
      <c r="C1679" s="6" t="s">
        <v>31</v>
      </c>
      <c r="E1679" s="6" t="s">
        <v>5304</v>
      </c>
      <c r="F1679" s="6" t="s">
        <v>5303</v>
      </c>
      <c r="G1679" s="6" t="s">
        <v>16</v>
      </c>
      <c r="H1679" s="6" t="s">
        <v>28</v>
      </c>
      <c r="I1679" s="6" t="s">
        <v>60</v>
      </c>
      <c r="J1679" s="6" t="s">
        <v>3198</v>
      </c>
      <c r="K1679" s="7">
        <v>33.524141999999998</v>
      </c>
      <c r="L1679" s="7">
        <v>-101.67800699999999</v>
      </c>
      <c r="M1679" s="6" t="s">
        <v>3197</v>
      </c>
      <c r="N1679" s="6" t="s">
        <v>23</v>
      </c>
      <c r="O1679" s="6" t="s">
        <v>43</v>
      </c>
    </row>
    <row r="1680" spans="1:15" x14ac:dyDescent="0.25">
      <c r="A1680" s="6" t="s">
        <v>4908</v>
      </c>
      <c r="B1680" s="6" t="s">
        <v>4907</v>
      </c>
      <c r="C1680" s="6" t="s">
        <v>31</v>
      </c>
      <c r="E1680" s="6" t="s">
        <v>4906</v>
      </c>
      <c r="F1680" s="6" t="s">
        <v>4905</v>
      </c>
      <c r="G1680" s="6" t="s">
        <v>16</v>
      </c>
      <c r="H1680" s="6" t="s">
        <v>28</v>
      </c>
      <c r="I1680" s="6" t="s">
        <v>14</v>
      </c>
      <c r="J1680" s="6" t="s">
        <v>35</v>
      </c>
      <c r="K1680" s="7">
        <v>29.879631119999999</v>
      </c>
      <c r="L1680" s="7">
        <v>-95.534870530000006</v>
      </c>
      <c r="M1680" s="6" t="s">
        <v>77</v>
      </c>
      <c r="N1680" s="6" t="s">
        <v>24</v>
      </c>
      <c r="O1680" s="6" t="s">
        <v>23</v>
      </c>
    </row>
    <row r="1681" spans="1:15" x14ac:dyDescent="0.25">
      <c r="A1681" s="6" t="s">
        <v>7312</v>
      </c>
      <c r="B1681" s="6" t="s">
        <v>7311</v>
      </c>
      <c r="C1681" s="6" t="s">
        <v>31</v>
      </c>
      <c r="E1681" s="6" t="s">
        <v>7310</v>
      </c>
      <c r="F1681" s="6" t="s">
        <v>7309</v>
      </c>
      <c r="G1681" s="6" t="s">
        <v>16</v>
      </c>
      <c r="H1681" s="6" t="s">
        <v>15</v>
      </c>
      <c r="I1681" s="6" t="s">
        <v>46</v>
      </c>
      <c r="J1681" s="6" t="s">
        <v>1275</v>
      </c>
      <c r="K1681" s="7">
        <v>31.694420999999998</v>
      </c>
      <c r="L1681" s="7">
        <v>-96.141855000000007</v>
      </c>
      <c r="M1681" s="6" t="s">
        <v>1031</v>
      </c>
      <c r="N1681" s="6" t="s">
        <v>102</v>
      </c>
      <c r="O1681" s="6" t="s">
        <v>120</v>
      </c>
    </row>
    <row r="1682" spans="1:15" x14ac:dyDescent="0.25">
      <c r="A1682" s="6" t="s">
        <v>10295</v>
      </c>
      <c r="B1682" s="6" t="s">
        <v>10294</v>
      </c>
      <c r="C1682" s="6" t="s">
        <v>31</v>
      </c>
      <c r="E1682" s="6" t="s">
        <v>10293</v>
      </c>
      <c r="F1682" s="6" t="s">
        <v>10292</v>
      </c>
      <c r="G1682" s="6" t="s">
        <v>16</v>
      </c>
      <c r="H1682" s="6" t="s">
        <v>15</v>
      </c>
      <c r="I1682" s="6" t="s">
        <v>46</v>
      </c>
      <c r="J1682" s="6" t="s">
        <v>35</v>
      </c>
      <c r="K1682" s="7">
        <v>29.889331970000001</v>
      </c>
      <c r="L1682" s="7">
        <v>-95.637883489999993</v>
      </c>
      <c r="M1682" s="6" t="s">
        <v>131</v>
      </c>
      <c r="N1682" s="6" t="s">
        <v>24</v>
      </c>
      <c r="O1682" s="6" t="s">
        <v>23</v>
      </c>
    </row>
    <row r="1683" spans="1:15" x14ac:dyDescent="0.25">
      <c r="A1683" s="6" t="s">
        <v>9025</v>
      </c>
      <c r="B1683" s="6" t="s">
        <v>9024</v>
      </c>
      <c r="C1683" s="6" t="s">
        <v>31</v>
      </c>
      <c r="E1683" s="6" t="s">
        <v>9023</v>
      </c>
      <c r="F1683" s="6" t="s">
        <v>9022</v>
      </c>
      <c r="G1683" s="6" t="s">
        <v>16</v>
      </c>
      <c r="H1683" s="6" t="s">
        <v>28</v>
      </c>
      <c r="I1683" s="6" t="s">
        <v>27</v>
      </c>
      <c r="J1683" s="6" t="s">
        <v>4083</v>
      </c>
      <c r="K1683" s="7">
        <v>33.390199000000003</v>
      </c>
      <c r="L1683" s="7">
        <v>-99.835560999999998</v>
      </c>
      <c r="M1683" s="6" t="s">
        <v>6981</v>
      </c>
      <c r="N1683" s="6" t="s">
        <v>23</v>
      </c>
      <c r="O1683" s="6" t="s">
        <v>95</v>
      </c>
    </row>
    <row r="1684" spans="1:15" x14ac:dyDescent="0.25">
      <c r="A1684" s="6" t="s">
        <v>9936</v>
      </c>
      <c r="B1684" s="6" t="s">
        <v>9935</v>
      </c>
      <c r="C1684" s="6" t="s">
        <v>31</v>
      </c>
      <c r="E1684" s="6" t="s">
        <v>9934</v>
      </c>
      <c r="F1684" s="6" t="s">
        <v>9930</v>
      </c>
      <c r="G1684" s="6" t="s">
        <v>16</v>
      </c>
      <c r="H1684" s="6" t="s">
        <v>15</v>
      </c>
      <c r="I1684" s="6" t="s">
        <v>799</v>
      </c>
      <c r="J1684" s="6" t="s">
        <v>97</v>
      </c>
      <c r="K1684" s="7">
        <v>33.72546595</v>
      </c>
      <c r="L1684" s="7">
        <v>-95.56713268</v>
      </c>
      <c r="M1684" s="6" t="s">
        <v>44</v>
      </c>
      <c r="N1684" s="6" t="s">
        <v>43</v>
      </c>
      <c r="O1684" s="6" t="s">
        <v>65</v>
      </c>
    </row>
    <row r="1685" spans="1:15" x14ac:dyDescent="0.25">
      <c r="A1685" s="6" t="s">
        <v>8974</v>
      </c>
      <c r="B1685" s="6" t="s">
        <v>8973</v>
      </c>
      <c r="C1685" s="6" t="s">
        <v>31</v>
      </c>
      <c r="E1685" s="6" t="s">
        <v>8972</v>
      </c>
      <c r="F1685" s="6" t="s">
        <v>8971</v>
      </c>
      <c r="G1685" s="6" t="s">
        <v>16</v>
      </c>
      <c r="H1685" s="6" t="s">
        <v>28</v>
      </c>
      <c r="I1685" s="6" t="s">
        <v>73</v>
      </c>
      <c r="J1685" s="6" t="s">
        <v>318</v>
      </c>
      <c r="K1685" s="7">
        <v>30.68926489</v>
      </c>
      <c r="L1685" s="7">
        <v>-95.03498433</v>
      </c>
      <c r="M1685" s="6" t="s">
        <v>317</v>
      </c>
      <c r="N1685" s="6" t="s">
        <v>102</v>
      </c>
      <c r="O1685" s="6" t="s">
        <v>24</v>
      </c>
    </row>
    <row r="1686" spans="1:15" x14ac:dyDescent="0.25">
      <c r="A1686" s="6" t="s">
        <v>4111</v>
      </c>
      <c r="B1686" s="6" t="s">
        <v>4110</v>
      </c>
      <c r="C1686" s="6" t="s">
        <v>31</v>
      </c>
      <c r="E1686" s="6" t="s">
        <v>4109</v>
      </c>
      <c r="F1686" s="6" t="s">
        <v>4108</v>
      </c>
      <c r="G1686" s="6" t="s">
        <v>16</v>
      </c>
      <c r="H1686" s="6" t="s">
        <v>28</v>
      </c>
      <c r="I1686" s="6" t="s">
        <v>27</v>
      </c>
      <c r="J1686" s="6" t="s">
        <v>97</v>
      </c>
      <c r="K1686" s="7">
        <v>33.658997399999997</v>
      </c>
      <c r="L1686" s="7">
        <v>-95.36652024</v>
      </c>
      <c r="M1686" s="6" t="s">
        <v>96</v>
      </c>
      <c r="N1686" s="6" t="s">
        <v>95</v>
      </c>
      <c r="O1686" s="6" t="s">
        <v>65</v>
      </c>
    </row>
    <row r="1687" spans="1:15" x14ac:dyDescent="0.25">
      <c r="A1687" s="6" t="s">
        <v>10232</v>
      </c>
      <c r="B1687" s="6" t="s">
        <v>10231</v>
      </c>
      <c r="C1687" s="6" t="s">
        <v>31</v>
      </c>
      <c r="E1687" s="6" t="s">
        <v>10230</v>
      </c>
      <c r="F1687" s="6" t="s">
        <v>10229</v>
      </c>
      <c r="G1687" s="6" t="s">
        <v>16</v>
      </c>
      <c r="H1687" s="6" t="s">
        <v>28</v>
      </c>
      <c r="I1687" s="6" t="s">
        <v>27</v>
      </c>
      <c r="J1687" s="6" t="s">
        <v>35</v>
      </c>
      <c r="K1687" s="7">
        <v>29.869586999999999</v>
      </c>
      <c r="L1687" s="7">
        <v>-95.663967999999997</v>
      </c>
      <c r="M1687" s="6" t="s">
        <v>131</v>
      </c>
      <c r="N1687" s="6" t="s">
        <v>24</v>
      </c>
      <c r="O1687" s="6" t="s">
        <v>23</v>
      </c>
    </row>
    <row r="1688" spans="1:15" x14ac:dyDescent="0.25">
      <c r="A1688" s="6" t="s">
        <v>10232</v>
      </c>
      <c r="B1688" s="6" t="s">
        <v>10231</v>
      </c>
      <c r="C1688" s="6" t="s">
        <v>31</v>
      </c>
      <c r="E1688" s="6" t="s">
        <v>10230</v>
      </c>
      <c r="F1688" s="6" t="s">
        <v>10229</v>
      </c>
      <c r="G1688" s="6" t="s">
        <v>16</v>
      </c>
      <c r="H1688" s="6" t="s">
        <v>28</v>
      </c>
      <c r="I1688" s="6" t="s">
        <v>73</v>
      </c>
      <c r="J1688" s="6" t="s">
        <v>35</v>
      </c>
      <c r="K1688" s="7">
        <v>29.869586999999999</v>
      </c>
      <c r="L1688" s="7">
        <v>-95.663967999999997</v>
      </c>
      <c r="M1688" s="6" t="s">
        <v>131</v>
      </c>
      <c r="N1688" s="6" t="s">
        <v>24</v>
      </c>
      <c r="O1688" s="6" t="s">
        <v>23</v>
      </c>
    </row>
    <row r="1689" spans="1:15" x14ac:dyDescent="0.25">
      <c r="A1689" s="6" t="s">
        <v>10357</v>
      </c>
      <c r="B1689" s="6" t="s">
        <v>10356</v>
      </c>
      <c r="C1689" s="6" t="s">
        <v>31</v>
      </c>
      <c r="E1689" s="6" t="s">
        <v>10355</v>
      </c>
      <c r="F1689" s="6" t="s">
        <v>10354</v>
      </c>
      <c r="G1689" s="6" t="s">
        <v>16</v>
      </c>
      <c r="H1689" s="6" t="s">
        <v>28</v>
      </c>
      <c r="I1689" s="6" t="s">
        <v>60</v>
      </c>
      <c r="J1689" s="6" t="s">
        <v>323</v>
      </c>
      <c r="K1689" s="7">
        <v>30.614547439999999</v>
      </c>
      <c r="L1689" s="7">
        <v>-94.395002719999994</v>
      </c>
      <c r="M1689" s="6" t="s">
        <v>1704</v>
      </c>
      <c r="N1689" s="6" t="s">
        <v>52</v>
      </c>
      <c r="O1689" s="6" t="s">
        <v>24</v>
      </c>
    </row>
    <row r="1690" spans="1:15" x14ac:dyDescent="0.25">
      <c r="A1690" s="6" t="s">
        <v>3593</v>
      </c>
      <c r="B1690" s="6" t="s">
        <v>3592</v>
      </c>
      <c r="C1690" s="6" t="s">
        <v>31</v>
      </c>
      <c r="E1690" s="6" t="s">
        <v>3591</v>
      </c>
      <c r="F1690" s="6" t="s">
        <v>386</v>
      </c>
      <c r="G1690" s="6" t="s">
        <v>16</v>
      </c>
      <c r="H1690" s="6" t="s">
        <v>28</v>
      </c>
      <c r="I1690" s="6" t="s">
        <v>27</v>
      </c>
      <c r="J1690" s="6" t="s">
        <v>1861</v>
      </c>
      <c r="K1690" s="7">
        <v>30.632534</v>
      </c>
      <c r="L1690" s="7">
        <v>-96.471857999999997</v>
      </c>
      <c r="M1690" s="6" t="s">
        <v>121</v>
      </c>
      <c r="N1690" s="6" t="s">
        <v>23</v>
      </c>
      <c r="O1690" s="6" t="s">
        <v>120</v>
      </c>
    </row>
    <row r="1691" spans="1:15" x14ac:dyDescent="0.25">
      <c r="A1691" s="6" t="s">
        <v>10291</v>
      </c>
      <c r="B1691" s="6" t="s">
        <v>10290</v>
      </c>
      <c r="C1691" s="6" t="s">
        <v>31</v>
      </c>
      <c r="E1691" s="6" t="s">
        <v>10289</v>
      </c>
      <c r="F1691" s="6" t="s">
        <v>10288</v>
      </c>
      <c r="G1691" s="6" t="s">
        <v>16</v>
      </c>
      <c r="H1691" s="6" t="s">
        <v>28</v>
      </c>
      <c r="I1691" s="6" t="s">
        <v>27</v>
      </c>
      <c r="J1691" s="6" t="s">
        <v>35</v>
      </c>
      <c r="K1691" s="7">
        <v>29.822416</v>
      </c>
      <c r="L1691" s="7">
        <v>-95.022924000000003</v>
      </c>
      <c r="M1691" s="6" t="s">
        <v>2565</v>
      </c>
      <c r="N1691" s="6" t="s">
        <v>120</v>
      </c>
      <c r="O1691" s="6" t="s">
        <v>23</v>
      </c>
    </row>
    <row r="1692" spans="1:15" x14ac:dyDescent="0.25">
      <c r="A1692" s="6" t="s">
        <v>8603</v>
      </c>
      <c r="B1692" s="6" t="s">
        <v>8602</v>
      </c>
      <c r="C1692" s="6" t="s">
        <v>31</v>
      </c>
      <c r="E1692" s="6" t="s">
        <v>8601</v>
      </c>
      <c r="F1692" s="6" t="s">
        <v>5736</v>
      </c>
      <c r="G1692" s="6" t="s">
        <v>16</v>
      </c>
      <c r="H1692" s="6" t="s">
        <v>28</v>
      </c>
      <c r="I1692" s="6" t="s">
        <v>60</v>
      </c>
      <c r="J1692" s="6" t="s">
        <v>239</v>
      </c>
      <c r="K1692" s="7">
        <v>33.155278000000003</v>
      </c>
      <c r="L1692" s="7">
        <v>-96.375908999999993</v>
      </c>
      <c r="M1692" s="6" t="s">
        <v>349</v>
      </c>
      <c r="N1692" s="6" t="s">
        <v>102</v>
      </c>
      <c r="O1692" s="6" t="s">
        <v>42</v>
      </c>
    </row>
    <row r="1693" spans="1:15" x14ac:dyDescent="0.25">
      <c r="A1693" s="6" t="s">
        <v>5641</v>
      </c>
      <c r="B1693" s="6" t="s">
        <v>5640</v>
      </c>
      <c r="C1693" s="6" t="s">
        <v>31</v>
      </c>
      <c r="E1693" s="6" t="s">
        <v>5639</v>
      </c>
      <c r="F1693" s="6" t="s">
        <v>5638</v>
      </c>
      <c r="G1693" s="6" t="s">
        <v>16</v>
      </c>
      <c r="H1693" s="6" t="s">
        <v>28</v>
      </c>
      <c r="I1693" s="6" t="s">
        <v>60</v>
      </c>
      <c r="J1693" s="6" t="s">
        <v>54</v>
      </c>
      <c r="K1693" s="7">
        <v>31.036490730000001</v>
      </c>
      <c r="L1693" s="7">
        <v>-95.115220669999999</v>
      </c>
      <c r="M1693" s="6" t="s">
        <v>317</v>
      </c>
      <c r="N1693" s="6" t="s">
        <v>102</v>
      </c>
      <c r="O1693" s="6" t="s">
        <v>24</v>
      </c>
    </row>
    <row r="1694" spans="1:15" x14ac:dyDescent="0.25">
      <c r="A1694" s="6" t="s">
        <v>509</v>
      </c>
      <c r="B1694" s="6" t="s">
        <v>508</v>
      </c>
      <c r="C1694" s="6" t="s">
        <v>31</v>
      </c>
      <c r="E1694" s="6" t="s">
        <v>507</v>
      </c>
      <c r="F1694" s="6" t="s">
        <v>506</v>
      </c>
      <c r="G1694" s="6" t="s">
        <v>16</v>
      </c>
      <c r="H1694" s="6" t="s">
        <v>28</v>
      </c>
      <c r="I1694" s="6" t="s">
        <v>60</v>
      </c>
      <c r="J1694" s="6" t="s">
        <v>390</v>
      </c>
      <c r="K1694" s="7">
        <v>26.538097</v>
      </c>
      <c r="L1694" s="7">
        <v>-97.436763999999997</v>
      </c>
      <c r="M1694" s="6" t="s">
        <v>89</v>
      </c>
      <c r="N1694" s="6" t="s">
        <v>11</v>
      </c>
      <c r="O1694" s="6" t="s">
        <v>22</v>
      </c>
    </row>
    <row r="1695" spans="1:15" x14ac:dyDescent="0.25">
      <c r="A1695" s="6" t="s">
        <v>8955</v>
      </c>
      <c r="B1695" s="6" t="s">
        <v>8954</v>
      </c>
      <c r="C1695" s="6" t="s">
        <v>31</v>
      </c>
      <c r="E1695" s="6" t="s">
        <v>8953</v>
      </c>
      <c r="F1695" s="6" t="s">
        <v>8952</v>
      </c>
      <c r="G1695" s="6" t="s">
        <v>16</v>
      </c>
      <c r="H1695" s="6" t="s">
        <v>28</v>
      </c>
      <c r="I1695" s="6" t="s">
        <v>799</v>
      </c>
      <c r="J1695" s="6" t="s">
        <v>2531</v>
      </c>
      <c r="K1695" s="7">
        <v>30.676765</v>
      </c>
      <c r="L1695" s="7">
        <v>-104.02311400000001</v>
      </c>
      <c r="M1695" s="6" t="s">
        <v>604</v>
      </c>
      <c r="N1695" s="6" t="s">
        <v>373</v>
      </c>
      <c r="O1695" s="6" t="s">
        <v>52</v>
      </c>
    </row>
    <row r="1696" spans="1:15" x14ac:dyDescent="0.25">
      <c r="A1696" s="6" t="s">
        <v>10360</v>
      </c>
      <c r="B1696" s="6" t="s">
        <v>10359</v>
      </c>
      <c r="C1696" s="6" t="s">
        <v>31</v>
      </c>
      <c r="E1696" s="6" t="s">
        <v>10358</v>
      </c>
      <c r="F1696" s="6" t="s">
        <v>592</v>
      </c>
      <c r="G1696" s="6" t="s">
        <v>16</v>
      </c>
      <c r="H1696" s="6" t="s">
        <v>591</v>
      </c>
      <c r="I1696" s="6" t="s">
        <v>14</v>
      </c>
      <c r="J1696" s="6" t="s">
        <v>1281</v>
      </c>
      <c r="K1696" s="7">
        <v>31.307668199999998</v>
      </c>
      <c r="L1696" s="7">
        <v>-96.470673259999998</v>
      </c>
      <c r="M1696" s="6" t="s">
        <v>927</v>
      </c>
      <c r="N1696" s="6" t="s">
        <v>23</v>
      </c>
      <c r="O1696" s="6" t="s">
        <v>120</v>
      </c>
    </row>
    <row r="1697" spans="1:15" x14ac:dyDescent="0.25">
      <c r="A1697" s="6" t="s">
        <v>11982</v>
      </c>
      <c r="B1697" s="6" t="s">
        <v>11981</v>
      </c>
      <c r="C1697" s="6" t="s">
        <v>31</v>
      </c>
      <c r="E1697" s="6" t="s">
        <v>11980</v>
      </c>
      <c r="F1697" s="6" t="s">
        <v>11979</v>
      </c>
      <c r="G1697" s="6" t="s">
        <v>16</v>
      </c>
      <c r="H1697" s="6" t="s">
        <v>15</v>
      </c>
      <c r="I1697" s="6" t="s">
        <v>36</v>
      </c>
      <c r="J1697" s="6" t="s">
        <v>35</v>
      </c>
      <c r="K1697" s="7">
        <v>30.03805857</v>
      </c>
      <c r="L1697" s="7">
        <v>-95.436456399999997</v>
      </c>
      <c r="M1697" s="6" t="s">
        <v>279</v>
      </c>
      <c r="N1697" s="6" t="s">
        <v>24</v>
      </c>
      <c r="O1697" s="6" t="s">
        <v>23</v>
      </c>
    </row>
    <row r="1698" spans="1:15" x14ac:dyDescent="0.25">
      <c r="A1698" s="6" t="s">
        <v>4229</v>
      </c>
      <c r="B1698" s="6" t="s">
        <v>4228</v>
      </c>
      <c r="C1698" s="6" t="s">
        <v>31</v>
      </c>
      <c r="E1698" s="6" t="s">
        <v>4227</v>
      </c>
      <c r="F1698" s="6" t="s">
        <v>4226</v>
      </c>
      <c r="G1698" s="6" t="s">
        <v>16</v>
      </c>
      <c r="H1698" s="6" t="s">
        <v>28</v>
      </c>
      <c r="I1698" s="6" t="s">
        <v>350</v>
      </c>
      <c r="J1698" s="6" t="s">
        <v>645</v>
      </c>
      <c r="K1698" s="7">
        <v>31.822673000000002</v>
      </c>
      <c r="L1698" s="7">
        <v>-94.483498999999995</v>
      </c>
      <c r="M1698" s="6" t="s">
        <v>2821</v>
      </c>
      <c r="N1698" s="6" t="s">
        <v>52</v>
      </c>
      <c r="O1698" s="6" t="s">
        <v>24</v>
      </c>
    </row>
    <row r="1699" spans="1:15" x14ac:dyDescent="0.25">
      <c r="A1699" s="6" t="s">
        <v>10266</v>
      </c>
      <c r="B1699" s="6" t="s">
        <v>10265</v>
      </c>
      <c r="C1699" s="6" t="s">
        <v>31</v>
      </c>
      <c r="E1699" s="6" t="s">
        <v>10264</v>
      </c>
      <c r="F1699" s="6" t="s">
        <v>10263</v>
      </c>
      <c r="G1699" s="6" t="s">
        <v>16</v>
      </c>
      <c r="H1699" s="6" t="s">
        <v>28</v>
      </c>
      <c r="I1699" s="6" t="s">
        <v>60</v>
      </c>
      <c r="J1699" s="6" t="s">
        <v>26</v>
      </c>
      <c r="K1699" s="7">
        <v>30.126547630000001</v>
      </c>
      <c r="L1699" s="7">
        <v>-95.4438514</v>
      </c>
      <c r="M1699" s="6" t="s">
        <v>731</v>
      </c>
      <c r="N1699" s="6" t="s">
        <v>24</v>
      </c>
      <c r="O1699" s="6" t="s">
        <v>23</v>
      </c>
    </row>
    <row r="1700" spans="1:15" x14ac:dyDescent="0.25">
      <c r="A1700" s="6" t="s">
        <v>11974</v>
      </c>
      <c r="B1700" s="6" t="s">
        <v>11973</v>
      </c>
      <c r="C1700" s="6" t="s">
        <v>31</v>
      </c>
      <c r="E1700" s="6" t="s">
        <v>11972</v>
      </c>
      <c r="F1700" s="6" t="s">
        <v>11971</v>
      </c>
      <c r="G1700" s="6" t="s">
        <v>16</v>
      </c>
      <c r="H1700" s="6" t="s">
        <v>28</v>
      </c>
      <c r="I1700" s="6" t="s">
        <v>27</v>
      </c>
      <c r="J1700" s="6" t="s">
        <v>132</v>
      </c>
      <c r="K1700" s="7">
        <v>29.545428000000001</v>
      </c>
      <c r="L1700" s="7">
        <v>-95.687162999999998</v>
      </c>
      <c r="M1700" s="6" t="s">
        <v>355</v>
      </c>
      <c r="N1700" s="6" t="s">
        <v>23</v>
      </c>
      <c r="O1700" s="6" t="s">
        <v>23</v>
      </c>
    </row>
    <row r="1701" spans="1:15" x14ac:dyDescent="0.25">
      <c r="A1701" s="6" t="s">
        <v>11967</v>
      </c>
      <c r="B1701" s="6" t="s">
        <v>11966</v>
      </c>
      <c r="C1701" s="6" t="s">
        <v>31</v>
      </c>
      <c r="E1701" s="6" t="s">
        <v>11965</v>
      </c>
      <c r="F1701" s="6" t="s">
        <v>11964</v>
      </c>
      <c r="G1701" s="6" t="s">
        <v>16</v>
      </c>
      <c r="H1701" s="6" t="s">
        <v>28</v>
      </c>
      <c r="I1701" s="6" t="s">
        <v>27</v>
      </c>
      <c r="J1701" s="6" t="s">
        <v>35</v>
      </c>
      <c r="K1701" s="7">
        <v>29.919412000000001</v>
      </c>
      <c r="L1701" s="7">
        <v>-95.578558000000001</v>
      </c>
      <c r="M1701" s="6" t="s">
        <v>77</v>
      </c>
      <c r="N1701" s="6" t="s">
        <v>24</v>
      </c>
      <c r="O1701" s="6" t="s">
        <v>23</v>
      </c>
    </row>
    <row r="1702" spans="1:15" x14ac:dyDescent="0.25">
      <c r="A1702" s="6" t="s">
        <v>11978</v>
      </c>
      <c r="B1702" s="6" t="s">
        <v>11977</v>
      </c>
      <c r="C1702" s="6" t="s">
        <v>31</v>
      </c>
      <c r="E1702" s="6" t="s">
        <v>11976</v>
      </c>
      <c r="F1702" s="6" t="s">
        <v>11975</v>
      </c>
      <c r="G1702" s="6" t="s">
        <v>16</v>
      </c>
      <c r="H1702" s="6" t="s">
        <v>15</v>
      </c>
      <c r="I1702" s="6" t="s">
        <v>46</v>
      </c>
      <c r="J1702" s="6" t="s">
        <v>35</v>
      </c>
      <c r="K1702" s="7">
        <v>29.81604711</v>
      </c>
      <c r="L1702" s="7">
        <v>-95.712730949999994</v>
      </c>
      <c r="M1702" s="6" t="s">
        <v>131</v>
      </c>
      <c r="N1702" s="6" t="s">
        <v>24</v>
      </c>
      <c r="O1702" s="6" t="s">
        <v>23</v>
      </c>
    </row>
    <row r="1703" spans="1:15" x14ac:dyDescent="0.25">
      <c r="A1703" s="6" t="s">
        <v>4557</v>
      </c>
      <c r="B1703" s="6" t="s">
        <v>4556</v>
      </c>
      <c r="C1703" s="6" t="s">
        <v>31</v>
      </c>
      <c r="E1703" s="6" t="s">
        <v>4555</v>
      </c>
      <c r="F1703" s="6" t="s">
        <v>4554</v>
      </c>
      <c r="G1703" s="6" t="s">
        <v>16</v>
      </c>
      <c r="H1703" s="6" t="s">
        <v>28</v>
      </c>
      <c r="I1703" s="6" t="s">
        <v>46</v>
      </c>
      <c r="J1703" s="6" t="s">
        <v>13</v>
      </c>
      <c r="K1703" s="7">
        <v>27.728609330000001</v>
      </c>
      <c r="L1703" s="7">
        <v>-97.523746579999994</v>
      </c>
      <c r="M1703" s="6" t="s">
        <v>1309</v>
      </c>
      <c r="N1703" s="6" t="s">
        <v>11</v>
      </c>
      <c r="O1703" s="6" t="s">
        <v>10</v>
      </c>
    </row>
    <row r="1704" spans="1:15" x14ac:dyDescent="0.25">
      <c r="A1704" s="6" t="s">
        <v>11946</v>
      </c>
      <c r="B1704" s="6" t="s">
        <v>11945</v>
      </c>
      <c r="C1704" s="6" t="s">
        <v>31</v>
      </c>
      <c r="E1704" s="6" t="s">
        <v>11944</v>
      </c>
      <c r="F1704" s="6" t="s">
        <v>11943</v>
      </c>
      <c r="G1704" s="6" t="s">
        <v>16</v>
      </c>
      <c r="H1704" s="6" t="s">
        <v>28</v>
      </c>
      <c r="I1704" s="6" t="s">
        <v>60</v>
      </c>
      <c r="J1704" s="6" t="s">
        <v>35</v>
      </c>
      <c r="K1704" s="7">
        <v>29.802136000000001</v>
      </c>
      <c r="L1704" s="7">
        <v>-95.721924000000001</v>
      </c>
      <c r="M1704" s="6" t="s">
        <v>131</v>
      </c>
      <c r="N1704" s="6" t="s">
        <v>24</v>
      </c>
      <c r="O1704" s="6" t="s">
        <v>23</v>
      </c>
    </row>
    <row r="1705" spans="1:15" x14ac:dyDescent="0.25">
      <c r="A1705" s="6" t="s">
        <v>11960</v>
      </c>
      <c r="B1705" s="6" t="s">
        <v>11959</v>
      </c>
      <c r="C1705" s="6" t="s">
        <v>31</v>
      </c>
      <c r="E1705" s="6" t="s">
        <v>11958</v>
      </c>
      <c r="F1705" s="6" t="s">
        <v>11957</v>
      </c>
      <c r="G1705" s="6" t="s">
        <v>16</v>
      </c>
      <c r="H1705" s="6" t="s">
        <v>28</v>
      </c>
      <c r="I1705" s="6" t="s">
        <v>36</v>
      </c>
      <c r="J1705" s="6" t="s">
        <v>35</v>
      </c>
      <c r="K1705" s="7">
        <v>29.955544669999998</v>
      </c>
      <c r="L1705" s="7">
        <v>-95.601244570000006</v>
      </c>
      <c r="M1705" s="6" t="s">
        <v>279</v>
      </c>
      <c r="N1705" s="6" t="s">
        <v>24</v>
      </c>
      <c r="O1705" s="6" t="s">
        <v>23</v>
      </c>
    </row>
    <row r="1706" spans="1:15" x14ac:dyDescent="0.25">
      <c r="A1706" s="6" t="s">
        <v>11956</v>
      </c>
      <c r="B1706" s="6" t="s">
        <v>11955</v>
      </c>
      <c r="C1706" s="6" t="s">
        <v>31</v>
      </c>
      <c r="E1706" s="6" t="s">
        <v>11954</v>
      </c>
      <c r="F1706" s="6" t="s">
        <v>11947</v>
      </c>
      <c r="G1706" s="6" t="s">
        <v>16</v>
      </c>
      <c r="H1706" s="6" t="s">
        <v>15</v>
      </c>
      <c r="I1706" s="6" t="s">
        <v>36</v>
      </c>
      <c r="J1706" s="6" t="s">
        <v>35</v>
      </c>
      <c r="K1706" s="7">
        <v>30.030581569999999</v>
      </c>
      <c r="L1706" s="7">
        <v>-95.534205589999999</v>
      </c>
      <c r="M1706" s="6" t="s">
        <v>279</v>
      </c>
      <c r="N1706" s="6" t="s">
        <v>24</v>
      </c>
      <c r="O1706" s="6" t="s">
        <v>23</v>
      </c>
    </row>
    <row r="1707" spans="1:15" x14ac:dyDescent="0.25">
      <c r="A1707" s="6" t="s">
        <v>2755</v>
      </c>
      <c r="B1707" s="6" t="s">
        <v>2754</v>
      </c>
      <c r="C1707" s="6" t="s">
        <v>31</v>
      </c>
      <c r="E1707" s="6" t="s">
        <v>2753</v>
      </c>
      <c r="F1707" s="6" t="s">
        <v>2752</v>
      </c>
      <c r="G1707" s="6" t="s">
        <v>16</v>
      </c>
      <c r="H1707" s="6" t="s">
        <v>15</v>
      </c>
      <c r="I1707" s="6" t="s">
        <v>799</v>
      </c>
      <c r="J1707" s="6" t="s">
        <v>35</v>
      </c>
      <c r="K1707" s="7">
        <v>29.751738</v>
      </c>
      <c r="L1707" s="7">
        <v>-95.107106999999999</v>
      </c>
      <c r="M1707" s="6" t="s">
        <v>34</v>
      </c>
      <c r="N1707" s="6" t="s">
        <v>24</v>
      </c>
      <c r="O1707" s="6" t="s">
        <v>23</v>
      </c>
    </row>
    <row r="1708" spans="1:15" x14ac:dyDescent="0.25">
      <c r="A1708" s="6" t="s">
        <v>12426</v>
      </c>
      <c r="B1708" s="6" t="s">
        <v>8532</v>
      </c>
      <c r="C1708" s="6" t="s">
        <v>31</v>
      </c>
      <c r="E1708" s="6" t="s">
        <v>8531</v>
      </c>
      <c r="F1708" s="6" t="s">
        <v>2822</v>
      </c>
      <c r="G1708" s="6" t="s">
        <v>16</v>
      </c>
      <c r="H1708" s="6" t="s">
        <v>15</v>
      </c>
      <c r="I1708" s="6" t="s">
        <v>46</v>
      </c>
      <c r="J1708" s="6" t="s">
        <v>2696</v>
      </c>
      <c r="K1708" s="7">
        <v>31.802496000000001</v>
      </c>
      <c r="L1708" s="7">
        <v>-94.160677000000007</v>
      </c>
      <c r="M1708" s="6" t="s">
        <v>2695</v>
      </c>
      <c r="N1708" s="6" t="s">
        <v>65</v>
      </c>
      <c r="O1708" s="6" t="s">
        <v>24</v>
      </c>
    </row>
    <row r="1709" spans="1:15" x14ac:dyDescent="0.25">
      <c r="A1709" s="6" t="s">
        <v>8533</v>
      </c>
      <c r="B1709" s="6" t="s">
        <v>8532</v>
      </c>
      <c r="C1709" s="6" t="s">
        <v>19</v>
      </c>
      <c r="E1709" s="6" t="s">
        <v>8531</v>
      </c>
      <c r="F1709" s="6" t="s">
        <v>2822</v>
      </c>
      <c r="G1709" s="6" t="s">
        <v>16</v>
      </c>
      <c r="H1709" s="6" t="s">
        <v>15</v>
      </c>
      <c r="I1709" s="6" t="s">
        <v>46</v>
      </c>
      <c r="J1709" s="6" t="s">
        <v>2696</v>
      </c>
      <c r="K1709" s="7">
        <v>31.733927470000001</v>
      </c>
      <c r="L1709" s="7">
        <v>-94.164585340000002</v>
      </c>
      <c r="M1709" s="6" t="s">
        <v>2695</v>
      </c>
      <c r="N1709" s="6" t="s">
        <v>65</v>
      </c>
      <c r="O1709" s="6" t="s">
        <v>24</v>
      </c>
    </row>
    <row r="1710" spans="1:15" x14ac:dyDescent="0.25">
      <c r="A1710" s="6" t="s">
        <v>1315</v>
      </c>
      <c r="B1710" s="6" t="s">
        <v>1312</v>
      </c>
      <c r="C1710" s="6" t="s">
        <v>31</v>
      </c>
      <c r="E1710" s="6" t="s">
        <v>1311</v>
      </c>
      <c r="F1710" s="6" t="s">
        <v>1310</v>
      </c>
      <c r="G1710" s="6" t="s">
        <v>16</v>
      </c>
      <c r="H1710" s="6" t="s">
        <v>15</v>
      </c>
      <c r="I1710" s="6" t="s">
        <v>27</v>
      </c>
      <c r="J1710" s="6" t="s">
        <v>13</v>
      </c>
      <c r="K1710" s="7">
        <v>27.817638129999999</v>
      </c>
      <c r="L1710" s="7">
        <v>-97.474317350000007</v>
      </c>
      <c r="M1710" s="6" t="s">
        <v>12</v>
      </c>
      <c r="N1710" s="6" t="s">
        <v>11</v>
      </c>
      <c r="O1710" s="6" t="s">
        <v>10</v>
      </c>
    </row>
    <row r="1711" spans="1:15" x14ac:dyDescent="0.25">
      <c r="A1711" s="6" t="s">
        <v>1314</v>
      </c>
      <c r="B1711" s="6" t="s">
        <v>1312</v>
      </c>
      <c r="C1711" s="6" t="s">
        <v>19</v>
      </c>
      <c r="E1711" s="6" t="s">
        <v>1311</v>
      </c>
      <c r="F1711" s="6" t="s">
        <v>1310</v>
      </c>
      <c r="G1711" s="6" t="s">
        <v>16</v>
      </c>
      <c r="H1711" s="6" t="s">
        <v>430</v>
      </c>
      <c r="I1711" s="6" t="s">
        <v>60</v>
      </c>
      <c r="J1711" s="6" t="s">
        <v>13</v>
      </c>
      <c r="K1711" s="7">
        <v>27.840630999999998</v>
      </c>
      <c r="L1711" s="7">
        <v>-97.516891000000001</v>
      </c>
      <c r="M1711" s="6" t="s">
        <v>12</v>
      </c>
      <c r="N1711" s="6" t="s">
        <v>11</v>
      </c>
      <c r="O1711" s="6" t="s">
        <v>10</v>
      </c>
    </row>
    <row r="1712" spans="1:15" x14ac:dyDescent="0.25">
      <c r="A1712" s="6" t="s">
        <v>1313</v>
      </c>
      <c r="B1712" s="6" t="s">
        <v>1312</v>
      </c>
      <c r="C1712" s="6" t="s">
        <v>436</v>
      </c>
      <c r="E1712" s="6" t="s">
        <v>1311</v>
      </c>
      <c r="F1712" s="6" t="s">
        <v>1310</v>
      </c>
      <c r="G1712" s="6" t="s">
        <v>16</v>
      </c>
      <c r="H1712" s="6" t="s">
        <v>430</v>
      </c>
      <c r="I1712" s="6" t="s">
        <v>60</v>
      </c>
      <c r="J1712" s="6" t="s">
        <v>13</v>
      </c>
      <c r="K1712" s="7">
        <v>27.805129000000001</v>
      </c>
      <c r="L1712" s="7">
        <v>-97.594649000000004</v>
      </c>
      <c r="M1712" s="6" t="s">
        <v>1309</v>
      </c>
      <c r="N1712" s="6" t="s">
        <v>11</v>
      </c>
      <c r="O1712" s="6" t="s">
        <v>10</v>
      </c>
    </row>
    <row r="1713" spans="1:15" x14ac:dyDescent="0.25">
      <c r="A1713" s="6" t="s">
        <v>10164</v>
      </c>
      <c r="B1713" s="6" t="s">
        <v>10163</v>
      </c>
      <c r="C1713" s="6" t="s">
        <v>31</v>
      </c>
      <c r="E1713" s="6" t="s">
        <v>10162</v>
      </c>
      <c r="F1713" s="6" t="s">
        <v>1259</v>
      </c>
      <c r="G1713" s="6" t="s">
        <v>16</v>
      </c>
      <c r="H1713" s="6" t="s">
        <v>28</v>
      </c>
      <c r="I1713" s="6" t="s">
        <v>27</v>
      </c>
      <c r="J1713" s="6" t="s">
        <v>35</v>
      </c>
      <c r="K1713" s="7">
        <v>29.947659000000002</v>
      </c>
      <c r="L1713" s="7">
        <v>-95.556769000000003</v>
      </c>
      <c r="M1713" s="6" t="s">
        <v>198</v>
      </c>
      <c r="N1713" s="6" t="s">
        <v>24</v>
      </c>
      <c r="O1713" s="6" t="s">
        <v>23</v>
      </c>
    </row>
    <row r="1714" spans="1:15" x14ac:dyDescent="0.25">
      <c r="A1714" s="6" t="s">
        <v>10161</v>
      </c>
      <c r="B1714" s="6" t="s">
        <v>10160</v>
      </c>
      <c r="C1714" s="6" t="s">
        <v>31</v>
      </c>
      <c r="E1714" s="6" t="s">
        <v>10159</v>
      </c>
      <c r="F1714" s="6" t="s">
        <v>10158</v>
      </c>
      <c r="G1714" s="6" t="s">
        <v>16</v>
      </c>
      <c r="H1714" s="6" t="s">
        <v>15</v>
      </c>
      <c r="I1714" s="6" t="s">
        <v>14</v>
      </c>
      <c r="J1714" s="6" t="s">
        <v>132</v>
      </c>
      <c r="K1714" s="7">
        <v>29.634731420000001</v>
      </c>
      <c r="L1714" s="7">
        <v>-95.673325539999993</v>
      </c>
      <c r="M1714" s="6" t="s">
        <v>616</v>
      </c>
      <c r="N1714" s="6" t="s">
        <v>23</v>
      </c>
      <c r="O1714" s="6" t="s">
        <v>23</v>
      </c>
    </row>
    <row r="1715" spans="1:15" x14ac:dyDescent="0.25">
      <c r="A1715" s="6" t="s">
        <v>5403</v>
      </c>
      <c r="B1715" s="6" t="s">
        <v>5402</v>
      </c>
      <c r="C1715" s="6" t="s">
        <v>31</v>
      </c>
      <c r="E1715" s="6" t="s">
        <v>5401</v>
      </c>
      <c r="F1715" s="6" t="s">
        <v>874</v>
      </c>
      <c r="G1715" s="6" t="s">
        <v>16</v>
      </c>
      <c r="H1715" s="6" t="s">
        <v>15</v>
      </c>
      <c r="I1715" s="6" t="s">
        <v>14</v>
      </c>
      <c r="J1715" s="6" t="s">
        <v>873</v>
      </c>
      <c r="K1715" s="7">
        <v>29.55516484</v>
      </c>
      <c r="L1715" s="7">
        <v>-98.248537339999999</v>
      </c>
      <c r="M1715" s="6" t="s">
        <v>872</v>
      </c>
      <c r="N1715" s="6" t="s">
        <v>232</v>
      </c>
      <c r="O1715" s="6" t="s">
        <v>231</v>
      </c>
    </row>
    <row r="1716" spans="1:15" x14ac:dyDescent="0.25">
      <c r="A1716" s="6" t="s">
        <v>11742</v>
      </c>
      <c r="B1716" s="6" t="s">
        <v>5402</v>
      </c>
      <c r="C1716" s="6" t="s">
        <v>19</v>
      </c>
      <c r="E1716" s="6" t="s">
        <v>5401</v>
      </c>
      <c r="F1716" s="6" t="s">
        <v>874</v>
      </c>
      <c r="G1716" s="6" t="s">
        <v>16</v>
      </c>
      <c r="H1716" s="6" t="s">
        <v>15</v>
      </c>
      <c r="I1716" s="6" t="s">
        <v>14</v>
      </c>
      <c r="J1716" s="6" t="s">
        <v>873</v>
      </c>
      <c r="K1716" s="7">
        <v>29.556646300000001</v>
      </c>
      <c r="L1716" s="7">
        <v>-98.243790140000002</v>
      </c>
      <c r="M1716" s="6" t="s">
        <v>872</v>
      </c>
      <c r="N1716" s="6" t="s">
        <v>232</v>
      </c>
      <c r="O1716" s="6" t="s">
        <v>231</v>
      </c>
    </row>
    <row r="1717" spans="1:15" x14ac:dyDescent="0.25">
      <c r="A1717" s="6" t="s">
        <v>11942</v>
      </c>
      <c r="B1717" s="6" t="s">
        <v>11941</v>
      </c>
      <c r="C1717" s="6" t="s">
        <v>31</v>
      </c>
      <c r="E1717" s="6" t="s">
        <v>11940</v>
      </c>
      <c r="F1717" s="6" t="s">
        <v>11939</v>
      </c>
      <c r="G1717" s="6" t="s">
        <v>16</v>
      </c>
      <c r="H1717" s="6" t="s">
        <v>28</v>
      </c>
      <c r="I1717" s="6" t="s">
        <v>1200</v>
      </c>
      <c r="J1717" s="6" t="s">
        <v>26</v>
      </c>
      <c r="K1717" s="7">
        <v>30.172988</v>
      </c>
      <c r="L1717" s="7">
        <v>-95.177679999999995</v>
      </c>
      <c r="M1717" s="6" t="s">
        <v>4048</v>
      </c>
      <c r="N1717" s="6" t="s">
        <v>24</v>
      </c>
      <c r="O1717" s="6" t="s">
        <v>23</v>
      </c>
    </row>
    <row r="1718" spans="1:15" x14ac:dyDescent="0.25">
      <c r="A1718" s="6" t="s">
        <v>10138</v>
      </c>
      <c r="B1718" s="6" t="s">
        <v>10137</v>
      </c>
      <c r="C1718" s="6" t="s">
        <v>31</v>
      </c>
      <c r="E1718" s="6" t="s">
        <v>10136</v>
      </c>
      <c r="F1718" s="6" t="s">
        <v>983</v>
      </c>
      <c r="G1718" s="6" t="s">
        <v>16</v>
      </c>
      <c r="H1718" s="6" t="s">
        <v>28</v>
      </c>
      <c r="I1718" s="6" t="s">
        <v>27</v>
      </c>
      <c r="J1718" s="6" t="s">
        <v>1240</v>
      </c>
      <c r="K1718" s="7">
        <v>28.89084429</v>
      </c>
      <c r="L1718" s="7">
        <v>-96.823856559999996</v>
      </c>
      <c r="M1718" s="6" t="s">
        <v>1272</v>
      </c>
      <c r="N1718" s="6" t="s">
        <v>82</v>
      </c>
      <c r="O1718" s="6" t="s">
        <v>10</v>
      </c>
    </row>
    <row r="1719" spans="1:15" x14ac:dyDescent="0.25">
      <c r="A1719" s="6" t="s">
        <v>10153</v>
      </c>
      <c r="B1719" s="6" t="s">
        <v>10152</v>
      </c>
      <c r="C1719" s="6" t="s">
        <v>31</v>
      </c>
      <c r="E1719" s="6" t="s">
        <v>10151</v>
      </c>
      <c r="F1719" s="6" t="s">
        <v>983</v>
      </c>
      <c r="G1719" s="6" t="s">
        <v>16</v>
      </c>
      <c r="H1719" s="6" t="s">
        <v>28</v>
      </c>
      <c r="I1719" s="6" t="s">
        <v>60</v>
      </c>
      <c r="J1719" s="6" t="s">
        <v>883</v>
      </c>
      <c r="K1719" s="7">
        <v>33.054439170000002</v>
      </c>
      <c r="L1719" s="7">
        <v>-94.290227560000005</v>
      </c>
      <c r="M1719" s="6" t="s">
        <v>1114</v>
      </c>
      <c r="N1719" s="6" t="s">
        <v>42</v>
      </c>
      <c r="O1719" s="6" t="s">
        <v>65</v>
      </c>
    </row>
    <row r="1720" spans="1:15" x14ac:dyDescent="0.25">
      <c r="A1720" s="6" t="s">
        <v>10157</v>
      </c>
      <c r="B1720" s="6" t="s">
        <v>10156</v>
      </c>
      <c r="C1720" s="6" t="s">
        <v>31</v>
      </c>
      <c r="E1720" s="6" t="s">
        <v>10155</v>
      </c>
      <c r="F1720" s="6" t="s">
        <v>10154</v>
      </c>
      <c r="G1720" s="6" t="s">
        <v>16</v>
      </c>
      <c r="H1720" s="6" t="s">
        <v>28</v>
      </c>
      <c r="I1720" s="6" t="s">
        <v>60</v>
      </c>
      <c r="J1720" s="6" t="s">
        <v>590</v>
      </c>
      <c r="K1720" s="7">
        <v>30.361131</v>
      </c>
      <c r="L1720" s="7">
        <v>-96.810714000000004</v>
      </c>
      <c r="M1720" s="6" t="s">
        <v>589</v>
      </c>
      <c r="N1720" s="6" t="s">
        <v>23</v>
      </c>
      <c r="O1720" s="6" t="s">
        <v>160</v>
      </c>
    </row>
    <row r="1721" spans="1:15" x14ac:dyDescent="0.25">
      <c r="A1721" s="6" t="s">
        <v>10150</v>
      </c>
      <c r="B1721" s="6" t="s">
        <v>10149</v>
      </c>
      <c r="C1721" s="6" t="s">
        <v>31</v>
      </c>
      <c r="E1721" s="6" t="s">
        <v>10148</v>
      </c>
      <c r="F1721" s="6" t="s">
        <v>10147</v>
      </c>
      <c r="G1721" s="6" t="s">
        <v>16</v>
      </c>
      <c r="H1721" s="6" t="s">
        <v>28</v>
      </c>
      <c r="I1721" s="6" t="s">
        <v>60</v>
      </c>
      <c r="J1721" s="6" t="s">
        <v>132</v>
      </c>
      <c r="K1721" s="7">
        <v>29.374908000000001</v>
      </c>
      <c r="L1721" s="7">
        <v>-95.795259000000001</v>
      </c>
      <c r="M1721" s="6" t="s">
        <v>1063</v>
      </c>
      <c r="N1721" s="6" t="s">
        <v>231</v>
      </c>
      <c r="O1721" s="6" t="s">
        <v>23</v>
      </c>
    </row>
    <row r="1722" spans="1:15" x14ac:dyDescent="0.25">
      <c r="A1722" s="6" t="s">
        <v>10146</v>
      </c>
      <c r="B1722" s="6" t="s">
        <v>10145</v>
      </c>
      <c r="C1722" s="6" t="s">
        <v>31</v>
      </c>
      <c r="E1722" s="6" t="s">
        <v>10144</v>
      </c>
      <c r="F1722" s="6" t="s">
        <v>10143</v>
      </c>
      <c r="G1722" s="6" t="s">
        <v>16</v>
      </c>
      <c r="H1722" s="6" t="s">
        <v>28</v>
      </c>
      <c r="I1722" s="6" t="s">
        <v>27</v>
      </c>
      <c r="J1722" s="6" t="s">
        <v>1861</v>
      </c>
      <c r="K1722" s="7">
        <v>30.558026000000002</v>
      </c>
      <c r="L1722" s="7">
        <v>-96.318546999999995</v>
      </c>
      <c r="M1722" s="6" t="s">
        <v>121</v>
      </c>
      <c r="N1722" s="6" t="s">
        <v>23</v>
      </c>
      <c r="O1722" s="6" t="s">
        <v>120</v>
      </c>
    </row>
    <row r="1723" spans="1:15" x14ac:dyDescent="0.25">
      <c r="A1723" s="6" t="s">
        <v>2751</v>
      </c>
      <c r="B1723" s="6" t="s">
        <v>2750</v>
      </c>
      <c r="C1723" s="6" t="s">
        <v>31</v>
      </c>
      <c r="E1723" s="6" t="s">
        <v>2749</v>
      </c>
      <c r="F1723" s="6" t="s">
        <v>1809</v>
      </c>
      <c r="G1723" s="6" t="s">
        <v>16</v>
      </c>
      <c r="H1723" s="6" t="s">
        <v>15</v>
      </c>
      <c r="I1723" s="6" t="s">
        <v>14</v>
      </c>
      <c r="J1723" s="6" t="s">
        <v>274</v>
      </c>
      <c r="K1723" s="7">
        <v>29.671170270000001</v>
      </c>
      <c r="L1723" s="7">
        <v>-98.175734140000003</v>
      </c>
      <c r="M1723" s="6" t="s">
        <v>2748</v>
      </c>
      <c r="N1723" s="6" t="s">
        <v>559</v>
      </c>
      <c r="O1723" s="6" t="s">
        <v>231</v>
      </c>
    </row>
    <row r="1724" spans="1:15" x14ac:dyDescent="0.25">
      <c r="A1724" s="6" t="s">
        <v>2747</v>
      </c>
      <c r="B1724" s="6" t="s">
        <v>2745</v>
      </c>
      <c r="C1724" s="6" t="s">
        <v>31</v>
      </c>
      <c r="E1724" s="6" t="s">
        <v>2744</v>
      </c>
      <c r="F1724" s="6" t="s">
        <v>2743</v>
      </c>
      <c r="G1724" s="6" t="s">
        <v>16</v>
      </c>
      <c r="H1724" s="6" t="s">
        <v>15</v>
      </c>
      <c r="I1724" s="6" t="s">
        <v>14</v>
      </c>
      <c r="J1724" s="6" t="s">
        <v>84</v>
      </c>
      <c r="K1724" s="7">
        <v>28.558283679999999</v>
      </c>
      <c r="L1724" s="7">
        <v>-96.839225499999998</v>
      </c>
      <c r="M1724" s="6" t="s">
        <v>83</v>
      </c>
      <c r="N1724" s="6" t="s">
        <v>82</v>
      </c>
      <c r="O1724" s="6" t="s">
        <v>10</v>
      </c>
    </row>
    <row r="1725" spans="1:15" x14ac:dyDescent="0.25">
      <c r="A1725" s="6" t="s">
        <v>4871</v>
      </c>
      <c r="B1725" s="6" t="s">
        <v>2745</v>
      </c>
      <c r="C1725" s="6" t="s">
        <v>19</v>
      </c>
      <c r="E1725" s="6" t="s">
        <v>2744</v>
      </c>
      <c r="F1725" s="6" t="s">
        <v>2743</v>
      </c>
      <c r="G1725" s="6" t="s">
        <v>16</v>
      </c>
      <c r="H1725" s="6" t="s">
        <v>430</v>
      </c>
      <c r="I1725" s="6" t="s">
        <v>14</v>
      </c>
      <c r="J1725" s="6" t="s">
        <v>84</v>
      </c>
      <c r="K1725" s="7">
        <v>28.558781239999998</v>
      </c>
      <c r="L1725" s="7">
        <v>-96.839139970000005</v>
      </c>
      <c r="M1725" s="6" t="s">
        <v>83</v>
      </c>
      <c r="N1725" s="6" t="s">
        <v>82</v>
      </c>
      <c r="O1725" s="6" t="s">
        <v>10</v>
      </c>
    </row>
    <row r="1726" spans="1:15" x14ac:dyDescent="0.25">
      <c r="A1726" s="6" t="s">
        <v>4870</v>
      </c>
      <c r="B1726" s="6" t="s">
        <v>2745</v>
      </c>
      <c r="C1726" s="6" t="s">
        <v>436</v>
      </c>
      <c r="E1726" s="6" t="s">
        <v>2744</v>
      </c>
      <c r="F1726" s="6" t="s">
        <v>2743</v>
      </c>
      <c r="G1726" s="6" t="s">
        <v>16</v>
      </c>
      <c r="H1726" s="6" t="s">
        <v>430</v>
      </c>
      <c r="I1726" s="6" t="s">
        <v>14</v>
      </c>
      <c r="J1726" s="6" t="s">
        <v>84</v>
      </c>
      <c r="K1726" s="7">
        <v>28.564099989999999</v>
      </c>
      <c r="L1726" s="7">
        <v>-96.834888950000007</v>
      </c>
      <c r="M1726" s="6" t="s">
        <v>83</v>
      </c>
      <c r="N1726" s="6" t="s">
        <v>82</v>
      </c>
      <c r="O1726" s="6" t="s">
        <v>10</v>
      </c>
    </row>
    <row r="1727" spans="1:15" x14ac:dyDescent="0.25">
      <c r="A1727" s="6" t="s">
        <v>2746</v>
      </c>
      <c r="B1727" s="6" t="s">
        <v>2745</v>
      </c>
      <c r="C1727" s="6" t="s">
        <v>557</v>
      </c>
      <c r="E1727" s="6" t="s">
        <v>2744</v>
      </c>
      <c r="F1727" s="6" t="s">
        <v>2743</v>
      </c>
      <c r="G1727" s="6" t="s">
        <v>16</v>
      </c>
      <c r="H1727" s="6" t="s">
        <v>430</v>
      </c>
      <c r="I1727" s="6" t="s">
        <v>14</v>
      </c>
      <c r="J1727" s="6" t="s">
        <v>84</v>
      </c>
      <c r="K1727" s="7">
        <v>28.560799939999999</v>
      </c>
      <c r="L1727" s="7">
        <v>-96.852338790000005</v>
      </c>
      <c r="M1727" s="6" t="s">
        <v>83</v>
      </c>
      <c r="N1727" s="6" t="s">
        <v>82</v>
      </c>
      <c r="O1727" s="6" t="s">
        <v>10</v>
      </c>
    </row>
    <row r="1728" spans="1:15" x14ac:dyDescent="0.25">
      <c r="A1728" s="6" t="s">
        <v>4925</v>
      </c>
      <c r="B1728" s="6" t="s">
        <v>2745</v>
      </c>
      <c r="C1728" s="6" t="s">
        <v>433</v>
      </c>
      <c r="E1728" s="6" t="s">
        <v>2744</v>
      </c>
      <c r="F1728" s="6" t="s">
        <v>2743</v>
      </c>
      <c r="G1728" s="6" t="s">
        <v>284</v>
      </c>
      <c r="H1728" s="6" t="s">
        <v>430</v>
      </c>
      <c r="I1728" s="6" t="s">
        <v>14</v>
      </c>
      <c r="J1728" s="6" t="s">
        <v>84</v>
      </c>
      <c r="K1728" s="7">
        <v>28.564661959999999</v>
      </c>
      <c r="L1728" s="7">
        <v>-96.833179549999997</v>
      </c>
      <c r="M1728" s="6" t="s">
        <v>83</v>
      </c>
      <c r="N1728" s="6" t="s">
        <v>82</v>
      </c>
      <c r="O1728" s="6" t="s">
        <v>10</v>
      </c>
    </row>
    <row r="1729" spans="1:15" x14ac:dyDescent="0.25">
      <c r="A1729" s="6" t="s">
        <v>4924</v>
      </c>
      <c r="B1729" s="6" t="s">
        <v>2745</v>
      </c>
      <c r="C1729" s="6" t="s">
        <v>1098</v>
      </c>
      <c r="E1729" s="6" t="s">
        <v>2744</v>
      </c>
      <c r="F1729" s="6" t="s">
        <v>2743</v>
      </c>
      <c r="G1729" s="6" t="s">
        <v>284</v>
      </c>
      <c r="H1729" s="6" t="s">
        <v>430</v>
      </c>
      <c r="I1729" s="6" t="s">
        <v>14</v>
      </c>
      <c r="J1729" s="6" t="s">
        <v>84</v>
      </c>
      <c r="K1729" s="7">
        <v>28.56626563</v>
      </c>
      <c r="L1729" s="7">
        <v>-96.838074509999998</v>
      </c>
      <c r="M1729" s="6" t="s">
        <v>83</v>
      </c>
      <c r="N1729" s="6" t="s">
        <v>82</v>
      </c>
      <c r="O1729" s="6" t="s">
        <v>10</v>
      </c>
    </row>
    <row r="1730" spans="1:15" x14ac:dyDescent="0.25">
      <c r="A1730" s="6" t="s">
        <v>10142</v>
      </c>
      <c r="B1730" s="6" t="s">
        <v>10141</v>
      </c>
      <c r="C1730" s="6" t="s">
        <v>31</v>
      </c>
      <c r="E1730" s="6" t="s">
        <v>10140</v>
      </c>
      <c r="F1730" s="6" t="s">
        <v>10139</v>
      </c>
      <c r="G1730" s="6" t="s">
        <v>16</v>
      </c>
      <c r="H1730" s="6" t="s">
        <v>28</v>
      </c>
      <c r="I1730" s="6" t="s">
        <v>27</v>
      </c>
      <c r="J1730" s="6" t="s">
        <v>26</v>
      </c>
      <c r="K1730" s="7">
        <v>30.446370999999999</v>
      </c>
      <c r="L1730" s="7">
        <v>-95.608885000000001</v>
      </c>
      <c r="M1730" s="6" t="s">
        <v>340</v>
      </c>
      <c r="N1730" s="6" t="s">
        <v>24</v>
      </c>
      <c r="O1730" s="6" t="s">
        <v>23</v>
      </c>
    </row>
    <row r="1731" spans="1:15" x14ac:dyDescent="0.25">
      <c r="A1731" s="6" t="s">
        <v>1726</v>
      </c>
      <c r="B1731" s="6" t="s">
        <v>1725</v>
      </c>
      <c r="C1731" s="6" t="s">
        <v>31</v>
      </c>
      <c r="E1731" s="6" t="s">
        <v>1724</v>
      </c>
      <c r="F1731" s="6" t="s">
        <v>1723</v>
      </c>
      <c r="G1731" s="6" t="s">
        <v>16</v>
      </c>
      <c r="H1731" s="6" t="s">
        <v>28</v>
      </c>
      <c r="I1731" s="6" t="s">
        <v>73</v>
      </c>
      <c r="J1731" s="6" t="s">
        <v>1611</v>
      </c>
      <c r="K1731" s="7">
        <v>32.450861000000003</v>
      </c>
      <c r="L1731" s="7">
        <v>-94.935892999999993</v>
      </c>
      <c r="M1731" s="6" t="s">
        <v>1218</v>
      </c>
      <c r="N1731" s="6" t="s">
        <v>65</v>
      </c>
      <c r="O1731" s="6" t="s">
        <v>65</v>
      </c>
    </row>
    <row r="1732" spans="1:15" x14ac:dyDescent="0.25">
      <c r="A1732" s="6" t="s">
        <v>7418</v>
      </c>
      <c r="B1732" s="6" t="s">
        <v>7417</v>
      </c>
      <c r="C1732" s="6" t="s">
        <v>31</v>
      </c>
      <c r="E1732" s="6" t="s">
        <v>7416</v>
      </c>
      <c r="F1732" s="6" t="s">
        <v>6631</v>
      </c>
      <c r="G1732" s="6" t="s">
        <v>16</v>
      </c>
      <c r="H1732" s="6" t="s">
        <v>15</v>
      </c>
      <c r="I1732" s="6" t="s">
        <v>14</v>
      </c>
      <c r="J1732" s="6" t="s">
        <v>873</v>
      </c>
      <c r="K1732" s="7">
        <v>29.235826920000001</v>
      </c>
      <c r="L1732" s="7">
        <v>-98.41624401</v>
      </c>
      <c r="M1732" s="6" t="s">
        <v>233</v>
      </c>
      <c r="N1732" s="6" t="s">
        <v>232</v>
      </c>
      <c r="O1732" s="6" t="s">
        <v>231</v>
      </c>
    </row>
    <row r="1733" spans="1:15" x14ac:dyDescent="0.25">
      <c r="A1733" s="6" t="s">
        <v>10685</v>
      </c>
      <c r="B1733" s="6" t="s">
        <v>7417</v>
      </c>
      <c r="C1733" s="6" t="s">
        <v>19</v>
      </c>
      <c r="E1733" s="6" t="s">
        <v>7416</v>
      </c>
      <c r="F1733" s="6" t="s">
        <v>6631</v>
      </c>
      <c r="G1733" s="6" t="s">
        <v>16</v>
      </c>
      <c r="H1733" s="6" t="s">
        <v>15</v>
      </c>
      <c r="I1733" s="6" t="s">
        <v>14</v>
      </c>
      <c r="J1733" s="6" t="s">
        <v>873</v>
      </c>
      <c r="K1733" s="7">
        <v>29.46161622</v>
      </c>
      <c r="L1733" s="7">
        <v>-98.468752809999998</v>
      </c>
      <c r="M1733" s="6" t="s">
        <v>1792</v>
      </c>
      <c r="N1733" s="6" t="s">
        <v>232</v>
      </c>
      <c r="O1733" s="6" t="s">
        <v>231</v>
      </c>
    </row>
    <row r="1734" spans="1:15" x14ac:dyDescent="0.25">
      <c r="A1734" s="6" t="s">
        <v>10684</v>
      </c>
      <c r="B1734" s="6" t="s">
        <v>7417</v>
      </c>
      <c r="C1734" s="6" t="s">
        <v>436</v>
      </c>
      <c r="E1734" s="6" t="s">
        <v>7416</v>
      </c>
      <c r="F1734" s="6" t="s">
        <v>6631</v>
      </c>
      <c r="G1734" s="6" t="s">
        <v>16</v>
      </c>
      <c r="H1734" s="6" t="s">
        <v>15</v>
      </c>
      <c r="I1734" s="6" t="s">
        <v>14</v>
      </c>
      <c r="J1734" s="6" t="s">
        <v>873</v>
      </c>
      <c r="K1734" s="7">
        <v>29.44645384</v>
      </c>
      <c r="L1734" s="7">
        <v>-98.480740600000004</v>
      </c>
      <c r="M1734" s="6" t="s">
        <v>1792</v>
      </c>
      <c r="N1734" s="6" t="s">
        <v>232</v>
      </c>
      <c r="O1734" s="6" t="s">
        <v>231</v>
      </c>
    </row>
    <row r="1735" spans="1:15" x14ac:dyDescent="0.25">
      <c r="A1735" s="6" t="s">
        <v>10683</v>
      </c>
      <c r="B1735" s="6" t="s">
        <v>7417</v>
      </c>
      <c r="C1735" s="6" t="s">
        <v>597</v>
      </c>
      <c r="E1735" s="6" t="s">
        <v>7416</v>
      </c>
      <c r="F1735" s="6" t="s">
        <v>6631</v>
      </c>
      <c r="G1735" s="6" t="s">
        <v>16</v>
      </c>
      <c r="H1735" s="6" t="s">
        <v>15</v>
      </c>
      <c r="I1735" s="6" t="s">
        <v>14</v>
      </c>
      <c r="J1735" s="6" t="s">
        <v>873</v>
      </c>
      <c r="K1735" s="7">
        <v>29.484730630000001</v>
      </c>
      <c r="L1735" s="7">
        <v>-98.416818849999999</v>
      </c>
      <c r="M1735" s="6" t="s">
        <v>9381</v>
      </c>
      <c r="N1735" s="6" t="s">
        <v>232</v>
      </c>
      <c r="O1735" s="6" t="s">
        <v>231</v>
      </c>
    </row>
    <row r="1736" spans="1:15" x14ac:dyDescent="0.25">
      <c r="A1736" s="6" t="s">
        <v>11347</v>
      </c>
      <c r="B1736" s="6" t="s">
        <v>7417</v>
      </c>
      <c r="C1736" s="6" t="s">
        <v>557</v>
      </c>
      <c r="E1736" s="6" t="s">
        <v>7416</v>
      </c>
      <c r="F1736" s="6" t="s">
        <v>6631</v>
      </c>
      <c r="G1736" s="6" t="s">
        <v>16</v>
      </c>
      <c r="H1736" s="6" t="s">
        <v>15</v>
      </c>
      <c r="I1736" s="6" t="s">
        <v>14</v>
      </c>
      <c r="J1736" s="6" t="s">
        <v>873</v>
      </c>
      <c r="K1736" s="7">
        <v>29.420978659999999</v>
      </c>
      <c r="L1736" s="7">
        <v>-98.485351710000003</v>
      </c>
      <c r="M1736" s="6" t="s">
        <v>1792</v>
      </c>
      <c r="N1736" s="6" t="s">
        <v>232</v>
      </c>
      <c r="O1736" s="6" t="s">
        <v>231</v>
      </c>
    </row>
    <row r="1737" spans="1:15" x14ac:dyDescent="0.25">
      <c r="A1737" s="6" t="s">
        <v>10686</v>
      </c>
      <c r="B1737" s="6" t="s">
        <v>7417</v>
      </c>
      <c r="C1737" s="6" t="s">
        <v>433</v>
      </c>
      <c r="E1737" s="6" t="s">
        <v>7416</v>
      </c>
      <c r="F1737" s="6" t="s">
        <v>6631</v>
      </c>
      <c r="G1737" s="6" t="s">
        <v>16</v>
      </c>
      <c r="H1737" s="6" t="s">
        <v>15</v>
      </c>
      <c r="I1737" s="6" t="s">
        <v>14</v>
      </c>
      <c r="J1737" s="6" t="s">
        <v>873</v>
      </c>
      <c r="K1737" s="7">
        <v>29.275560129999999</v>
      </c>
      <c r="L1737" s="7">
        <v>-98.428978420000007</v>
      </c>
      <c r="M1737" s="6" t="s">
        <v>1792</v>
      </c>
      <c r="N1737" s="6" t="s">
        <v>232</v>
      </c>
      <c r="O1737" s="6" t="s">
        <v>231</v>
      </c>
    </row>
    <row r="1738" spans="1:15" x14ac:dyDescent="0.25">
      <c r="A1738" s="6" t="s">
        <v>7388</v>
      </c>
      <c r="B1738" s="6" t="s">
        <v>7387</v>
      </c>
      <c r="C1738" s="6" t="s">
        <v>31</v>
      </c>
      <c r="E1738" s="6" t="s">
        <v>7386</v>
      </c>
      <c r="F1738" s="6" t="s">
        <v>7385</v>
      </c>
      <c r="G1738" s="6" t="s">
        <v>16</v>
      </c>
      <c r="H1738" s="6" t="s">
        <v>28</v>
      </c>
      <c r="I1738" s="6" t="s">
        <v>60</v>
      </c>
      <c r="J1738" s="6" t="s">
        <v>928</v>
      </c>
      <c r="K1738" s="7">
        <v>31.256726</v>
      </c>
      <c r="L1738" s="7">
        <v>-95.971338000000003</v>
      </c>
      <c r="M1738" s="6" t="s">
        <v>1031</v>
      </c>
      <c r="N1738" s="6" t="s">
        <v>102</v>
      </c>
      <c r="O1738" s="6" t="s">
        <v>120</v>
      </c>
    </row>
    <row r="1739" spans="1:15" x14ac:dyDescent="0.25">
      <c r="A1739" s="6" t="s">
        <v>2742</v>
      </c>
      <c r="B1739" s="6" t="s">
        <v>2741</v>
      </c>
      <c r="C1739" s="6" t="s">
        <v>19</v>
      </c>
      <c r="E1739" s="6" t="s">
        <v>2740</v>
      </c>
      <c r="F1739" s="6" t="s">
        <v>2739</v>
      </c>
      <c r="G1739" s="6" t="s">
        <v>16</v>
      </c>
      <c r="H1739" s="6" t="s">
        <v>15</v>
      </c>
      <c r="I1739" s="6" t="s">
        <v>14</v>
      </c>
      <c r="J1739" s="6" t="s">
        <v>35</v>
      </c>
      <c r="K1739" s="7">
        <v>29.758914090000001</v>
      </c>
      <c r="L1739" s="7">
        <v>-95.003152270000001</v>
      </c>
      <c r="M1739" s="6" t="s">
        <v>2565</v>
      </c>
      <c r="N1739" s="6" t="s">
        <v>120</v>
      </c>
      <c r="O1739" s="6" t="s">
        <v>23</v>
      </c>
    </row>
    <row r="1740" spans="1:15" x14ac:dyDescent="0.25">
      <c r="A1740" s="6" t="s">
        <v>10135</v>
      </c>
      <c r="B1740" s="6" t="s">
        <v>10134</v>
      </c>
      <c r="C1740" s="6" t="s">
        <v>31</v>
      </c>
      <c r="E1740" s="6" t="s">
        <v>10133</v>
      </c>
      <c r="F1740" s="6" t="s">
        <v>10132</v>
      </c>
      <c r="G1740" s="6" t="s">
        <v>16</v>
      </c>
      <c r="H1740" s="6" t="s">
        <v>28</v>
      </c>
      <c r="I1740" s="6" t="s">
        <v>1200</v>
      </c>
      <c r="J1740" s="6" t="s">
        <v>35</v>
      </c>
      <c r="K1740" s="7">
        <v>30.038094000000001</v>
      </c>
      <c r="L1740" s="7">
        <v>-95.505690000000001</v>
      </c>
      <c r="M1740" s="6" t="s">
        <v>279</v>
      </c>
      <c r="N1740" s="6" t="s">
        <v>24</v>
      </c>
      <c r="O1740" s="6" t="s">
        <v>23</v>
      </c>
    </row>
    <row r="1741" spans="1:15" x14ac:dyDescent="0.25">
      <c r="A1741" s="6" t="s">
        <v>3616</v>
      </c>
      <c r="B1741" s="6" t="s">
        <v>3615</v>
      </c>
      <c r="C1741" s="6" t="s">
        <v>31</v>
      </c>
      <c r="E1741" s="6" t="s">
        <v>3614</v>
      </c>
      <c r="F1741" s="6" t="s">
        <v>3613</v>
      </c>
      <c r="G1741" s="6" t="s">
        <v>16</v>
      </c>
      <c r="H1741" s="6" t="s">
        <v>28</v>
      </c>
      <c r="I1741" s="6" t="s">
        <v>27</v>
      </c>
      <c r="J1741" s="6" t="s">
        <v>221</v>
      </c>
      <c r="K1741" s="7">
        <v>30.826156000000001</v>
      </c>
      <c r="L1741" s="7">
        <v>-97.778501000000006</v>
      </c>
      <c r="M1741" s="6" t="s">
        <v>3476</v>
      </c>
      <c r="N1741" s="6" t="s">
        <v>23</v>
      </c>
      <c r="O1741" s="6" t="s">
        <v>160</v>
      </c>
    </row>
    <row r="1742" spans="1:15" x14ac:dyDescent="0.25">
      <c r="A1742" s="6" t="s">
        <v>6346</v>
      </c>
      <c r="B1742" s="6" t="s">
        <v>6345</v>
      </c>
      <c r="C1742" s="6" t="s">
        <v>31</v>
      </c>
      <c r="E1742" s="6" t="s">
        <v>6344</v>
      </c>
      <c r="F1742" s="6" t="s">
        <v>3760</v>
      </c>
      <c r="G1742" s="6" t="s">
        <v>16</v>
      </c>
      <c r="H1742" s="6" t="s">
        <v>28</v>
      </c>
      <c r="I1742" s="6" t="s">
        <v>60</v>
      </c>
      <c r="J1742" s="6" t="s">
        <v>2267</v>
      </c>
      <c r="K1742" s="7">
        <v>32.224043999999999</v>
      </c>
      <c r="L1742" s="7">
        <v>-96.070244000000002</v>
      </c>
      <c r="M1742" s="6" t="s">
        <v>193</v>
      </c>
      <c r="N1742" s="6" t="s">
        <v>102</v>
      </c>
      <c r="O1742" s="6" t="s">
        <v>65</v>
      </c>
    </row>
    <row r="1743" spans="1:15" x14ac:dyDescent="0.25">
      <c r="A1743" s="6" t="s">
        <v>10131</v>
      </c>
      <c r="B1743" s="6" t="s">
        <v>10130</v>
      </c>
      <c r="C1743" s="6" t="s">
        <v>31</v>
      </c>
      <c r="E1743" s="6" t="s">
        <v>10129</v>
      </c>
      <c r="F1743" s="6" t="s">
        <v>10128</v>
      </c>
      <c r="G1743" s="6" t="s">
        <v>16</v>
      </c>
      <c r="H1743" s="6" t="s">
        <v>15</v>
      </c>
      <c r="I1743" s="6" t="s">
        <v>14</v>
      </c>
      <c r="J1743" s="6" t="s">
        <v>26</v>
      </c>
      <c r="K1743" s="7">
        <v>30.125693460000001</v>
      </c>
      <c r="L1743" s="7">
        <v>-95.405357390000006</v>
      </c>
      <c r="M1743" s="6" t="s">
        <v>731</v>
      </c>
      <c r="N1743" s="6" t="s">
        <v>24</v>
      </c>
      <c r="O1743" s="6" t="s">
        <v>23</v>
      </c>
    </row>
    <row r="1744" spans="1:15" x14ac:dyDescent="0.25">
      <c r="A1744" s="6" t="s">
        <v>4634</v>
      </c>
      <c r="B1744" s="6" t="s">
        <v>4633</v>
      </c>
      <c r="C1744" s="6" t="s">
        <v>31</v>
      </c>
      <c r="E1744" s="6" t="s">
        <v>4632</v>
      </c>
      <c r="F1744" s="6" t="s">
        <v>4631</v>
      </c>
      <c r="G1744" s="6" t="s">
        <v>16</v>
      </c>
      <c r="H1744" s="6" t="s">
        <v>28</v>
      </c>
      <c r="I1744" s="6" t="s">
        <v>1200</v>
      </c>
      <c r="J1744" s="6" t="s">
        <v>26</v>
      </c>
      <c r="K1744" s="7">
        <v>30.197405</v>
      </c>
      <c r="L1744" s="7">
        <v>-95.165816000000007</v>
      </c>
      <c r="M1744" s="6" t="s">
        <v>4048</v>
      </c>
      <c r="N1744" s="6" t="s">
        <v>24</v>
      </c>
      <c r="O1744" s="6" t="s">
        <v>23</v>
      </c>
    </row>
    <row r="1745" spans="1:15" x14ac:dyDescent="0.25">
      <c r="A1745" s="6" t="s">
        <v>10123</v>
      </c>
      <c r="B1745" s="6" t="s">
        <v>10122</v>
      </c>
      <c r="C1745" s="6" t="s">
        <v>31</v>
      </c>
      <c r="E1745" s="6" t="s">
        <v>10121</v>
      </c>
      <c r="F1745" s="6" t="s">
        <v>10120</v>
      </c>
      <c r="G1745" s="6" t="s">
        <v>16</v>
      </c>
      <c r="H1745" s="6" t="s">
        <v>15</v>
      </c>
      <c r="I1745" s="6" t="s">
        <v>14</v>
      </c>
      <c r="J1745" s="6" t="s">
        <v>35</v>
      </c>
      <c r="K1745" s="7">
        <v>30.051068019999999</v>
      </c>
      <c r="L1745" s="7">
        <v>-95.59674717</v>
      </c>
      <c r="M1745" s="6" t="s">
        <v>731</v>
      </c>
      <c r="N1745" s="6" t="s">
        <v>24</v>
      </c>
      <c r="O1745" s="6" t="s">
        <v>23</v>
      </c>
    </row>
    <row r="1746" spans="1:15" x14ac:dyDescent="0.25">
      <c r="A1746" s="6" t="s">
        <v>10127</v>
      </c>
      <c r="B1746" s="6" t="s">
        <v>10126</v>
      </c>
      <c r="C1746" s="6" t="s">
        <v>31</v>
      </c>
      <c r="E1746" s="6" t="s">
        <v>10125</v>
      </c>
      <c r="F1746" s="6" t="s">
        <v>10124</v>
      </c>
      <c r="G1746" s="6" t="s">
        <v>16</v>
      </c>
      <c r="H1746" s="6" t="s">
        <v>15</v>
      </c>
      <c r="I1746" s="6" t="s">
        <v>14</v>
      </c>
      <c r="J1746" s="6" t="s">
        <v>215</v>
      </c>
      <c r="K1746" s="7">
        <v>29.535293020000001</v>
      </c>
      <c r="L1746" s="7">
        <v>-95.009377889999996</v>
      </c>
      <c r="M1746" s="6" t="s">
        <v>5100</v>
      </c>
      <c r="N1746" s="6" t="s">
        <v>160</v>
      </c>
      <c r="O1746" s="6" t="s">
        <v>23</v>
      </c>
    </row>
    <row r="1747" spans="1:15" x14ac:dyDescent="0.25">
      <c r="A1747" s="6" t="s">
        <v>10119</v>
      </c>
      <c r="B1747" s="6" t="s">
        <v>10118</v>
      </c>
      <c r="C1747" s="6" t="s">
        <v>31</v>
      </c>
      <c r="E1747" s="6" t="s">
        <v>10117</v>
      </c>
      <c r="F1747" s="6" t="s">
        <v>116</v>
      </c>
      <c r="G1747" s="6" t="s">
        <v>16</v>
      </c>
      <c r="H1747" s="6" t="s">
        <v>15</v>
      </c>
      <c r="I1747" s="6" t="s">
        <v>46</v>
      </c>
      <c r="J1747" s="6" t="s">
        <v>115</v>
      </c>
      <c r="K1747" s="7">
        <v>32.877158999999999</v>
      </c>
      <c r="L1747" s="7">
        <v>-96.458313000000004</v>
      </c>
      <c r="M1747" s="6" t="s">
        <v>450</v>
      </c>
      <c r="N1747" s="6" t="s">
        <v>102</v>
      </c>
      <c r="O1747" s="6" t="s">
        <v>42</v>
      </c>
    </row>
    <row r="1748" spans="1:15" x14ac:dyDescent="0.25">
      <c r="A1748" s="6" t="s">
        <v>11313</v>
      </c>
      <c r="B1748" s="6" t="s">
        <v>11312</v>
      </c>
      <c r="C1748" s="6" t="s">
        <v>19</v>
      </c>
      <c r="E1748" s="6" t="s">
        <v>11311</v>
      </c>
      <c r="F1748" s="6" t="s">
        <v>11310</v>
      </c>
      <c r="G1748" s="6" t="s">
        <v>16</v>
      </c>
      <c r="H1748" s="6" t="s">
        <v>15</v>
      </c>
      <c r="I1748" s="6" t="s">
        <v>14</v>
      </c>
      <c r="J1748" s="6" t="s">
        <v>162</v>
      </c>
      <c r="K1748" s="7">
        <v>29.371560970000001</v>
      </c>
      <c r="L1748" s="7">
        <v>-95.441626350000007</v>
      </c>
      <c r="M1748" s="6" t="s">
        <v>1999</v>
      </c>
      <c r="N1748" s="6" t="s">
        <v>160</v>
      </c>
      <c r="O1748" s="6" t="s">
        <v>23</v>
      </c>
    </row>
    <row r="1749" spans="1:15" x14ac:dyDescent="0.25">
      <c r="A1749" s="6" t="s">
        <v>11471</v>
      </c>
      <c r="B1749" s="6" t="s">
        <v>11470</v>
      </c>
      <c r="C1749" s="6" t="s">
        <v>31</v>
      </c>
      <c r="E1749" s="6" t="s">
        <v>11469</v>
      </c>
      <c r="F1749" s="6" t="s">
        <v>1950</v>
      </c>
      <c r="G1749" s="6" t="s">
        <v>16</v>
      </c>
      <c r="H1749" s="6" t="s">
        <v>28</v>
      </c>
      <c r="I1749" s="6" t="s">
        <v>73</v>
      </c>
      <c r="J1749" s="6" t="s">
        <v>139</v>
      </c>
      <c r="K1749" s="7">
        <v>27.866076</v>
      </c>
      <c r="L1749" s="7">
        <v>-97.173309029999999</v>
      </c>
      <c r="M1749" s="6" t="s">
        <v>819</v>
      </c>
      <c r="N1749" s="6" t="s">
        <v>137</v>
      </c>
      <c r="O1749" s="6" t="s">
        <v>10</v>
      </c>
    </row>
    <row r="1750" spans="1:15" x14ac:dyDescent="0.25">
      <c r="A1750" s="6" t="s">
        <v>11464</v>
      </c>
      <c r="B1750" s="6" t="s">
        <v>11463</v>
      </c>
      <c r="C1750" s="6" t="s">
        <v>31</v>
      </c>
      <c r="E1750" s="6" t="s">
        <v>11462</v>
      </c>
      <c r="F1750" s="6" t="s">
        <v>3147</v>
      </c>
      <c r="G1750" s="6" t="s">
        <v>16</v>
      </c>
      <c r="H1750" s="6" t="s">
        <v>15</v>
      </c>
      <c r="I1750" s="6" t="s">
        <v>36</v>
      </c>
      <c r="J1750" s="6" t="s">
        <v>132</v>
      </c>
      <c r="K1750" s="7">
        <v>29.69099705</v>
      </c>
      <c r="L1750" s="7">
        <v>-95.679610999999994</v>
      </c>
      <c r="M1750" s="6" t="s">
        <v>866</v>
      </c>
      <c r="N1750" s="6" t="s">
        <v>24</v>
      </c>
      <c r="O1750" s="6" t="s">
        <v>23</v>
      </c>
    </row>
    <row r="1751" spans="1:15" x14ac:dyDescent="0.25">
      <c r="A1751" s="6" t="s">
        <v>11461</v>
      </c>
      <c r="B1751" s="6" t="s">
        <v>11460</v>
      </c>
      <c r="C1751" s="6" t="s">
        <v>31</v>
      </c>
      <c r="E1751" s="6" t="s">
        <v>11459</v>
      </c>
      <c r="F1751" s="6" t="s">
        <v>9029</v>
      </c>
      <c r="G1751" s="6" t="s">
        <v>16</v>
      </c>
      <c r="H1751" s="6" t="s">
        <v>28</v>
      </c>
      <c r="I1751" s="6" t="s">
        <v>350</v>
      </c>
      <c r="J1751" s="6" t="s">
        <v>35</v>
      </c>
      <c r="K1751" s="7">
        <v>29.936432</v>
      </c>
      <c r="L1751" s="7">
        <v>-95.349508999999998</v>
      </c>
      <c r="M1751" s="6" t="s">
        <v>198</v>
      </c>
      <c r="N1751" s="6" t="s">
        <v>24</v>
      </c>
      <c r="O1751" s="6" t="s">
        <v>23</v>
      </c>
    </row>
    <row r="1752" spans="1:15" x14ac:dyDescent="0.25">
      <c r="A1752" s="6" t="s">
        <v>11468</v>
      </c>
      <c r="B1752" s="6" t="s">
        <v>11467</v>
      </c>
      <c r="C1752" s="6" t="s">
        <v>31</v>
      </c>
      <c r="E1752" s="6" t="s">
        <v>11466</v>
      </c>
      <c r="F1752" s="6" t="s">
        <v>11465</v>
      </c>
      <c r="G1752" s="6" t="s">
        <v>16</v>
      </c>
      <c r="H1752" s="6" t="s">
        <v>28</v>
      </c>
      <c r="I1752" s="6" t="s">
        <v>60</v>
      </c>
      <c r="J1752" s="6" t="s">
        <v>35</v>
      </c>
      <c r="K1752" s="7">
        <v>30.008922999999999</v>
      </c>
      <c r="L1752" s="7">
        <v>-95.449569999999994</v>
      </c>
      <c r="M1752" s="6" t="s">
        <v>198</v>
      </c>
      <c r="N1752" s="6" t="s">
        <v>24</v>
      </c>
      <c r="O1752" s="6" t="s">
        <v>23</v>
      </c>
    </row>
    <row r="1753" spans="1:15" x14ac:dyDescent="0.25">
      <c r="A1753" s="6" t="s">
        <v>322</v>
      </c>
      <c r="B1753" s="6" t="s">
        <v>321</v>
      </c>
      <c r="C1753" s="6" t="s">
        <v>31</v>
      </c>
      <c r="E1753" s="6" t="s">
        <v>320</v>
      </c>
      <c r="F1753" s="6" t="s">
        <v>319</v>
      </c>
      <c r="G1753" s="6" t="s">
        <v>16</v>
      </c>
      <c r="H1753" s="6" t="s">
        <v>28</v>
      </c>
      <c r="I1753" s="6" t="s">
        <v>73</v>
      </c>
      <c r="J1753" s="6" t="s">
        <v>318</v>
      </c>
      <c r="K1753" s="7">
        <v>30.805486999999999</v>
      </c>
      <c r="L1753" s="7">
        <v>-95.111333999999999</v>
      </c>
      <c r="M1753" s="6" t="s">
        <v>317</v>
      </c>
      <c r="N1753" s="6" t="s">
        <v>102</v>
      </c>
      <c r="O1753" s="6" t="s">
        <v>24</v>
      </c>
    </row>
    <row r="1754" spans="1:15" x14ac:dyDescent="0.25">
      <c r="A1754" s="6" t="s">
        <v>11444</v>
      </c>
      <c r="B1754" s="6" t="s">
        <v>11443</v>
      </c>
      <c r="C1754" s="6" t="s">
        <v>31</v>
      </c>
      <c r="E1754" s="6" t="s">
        <v>11442</v>
      </c>
      <c r="F1754" s="6" t="s">
        <v>11441</v>
      </c>
      <c r="G1754" s="6" t="s">
        <v>16</v>
      </c>
      <c r="H1754" s="6" t="s">
        <v>28</v>
      </c>
      <c r="I1754" s="6" t="s">
        <v>36</v>
      </c>
      <c r="J1754" s="6" t="s">
        <v>35</v>
      </c>
      <c r="K1754" s="7">
        <v>29.892809400000001</v>
      </c>
      <c r="L1754" s="7">
        <v>-95.361200310000001</v>
      </c>
      <c r="M1754" s="6" t="s">
        <v>34</v>
      </c>
      <c r="N1754" s="6" t="s">
        <v>24</v>
      </c>
      <c r="O1754" s="6" t="s">
        <v>23</v>
      </c>
    </row>
    <row r="1755" spans="1:15" x14ac:dyDescent="0.25">
      <c r="A1755" s="6" t="s">
        <v>11455</v>
      </c>
      <c r="B1755" s="6" t="s">
        <v>11454</v>
      </c>
      <c r="C1755" s="6" t="s">
        <v>31</v>
      </c>
      <c r="E1755" s="6" t="s">
        <v>11453</v>
      </c>
      <c r="F1755" s="6" t="s">
        <v>11452</v>
      </c>
      <c r="G1755" s="6" t="s">
        <v>16</v>
      </c>
      <c r="H1755" s="6" t="s">
        <v>28</v>
      </c>
      <c r="I1755" s="6" t="s">
        <v>14</v>
      </c>
      <c r="J1755" s="6" t="s">
        <v>132</v>
      </c>
      <c r="K1755" s="7">
        <v>29.59153397</v>
      </c>
      <c r="L1755" s="7">
        <v>-95.520625670000001</v>
      </c>
      <c r="M1755" s="6" t="s">
        <v>866</v>
      </c>
      <c r="N1755" s="6" t="s">
        <v>24</v>
      </c>
      <c r="O1755" s="6" t="s">
        <v>23</v>
      </c>
    </row>
    <row r="1756" spans="1:15" x14ac:dyDescent="0.25">
      <c r="A1756" s="6" t="s">
        <v>2737</v>
      </c>
      <c r="B1756" s="6" t="s">
        <v>2736</v>
      </c>
      <c r="C1756" s="6" t="s">
        <v>31</v>
      </c>
      <c r="E1756" s="6" t="s">
        <v>2735</v>
      </c>
      <c r="F1756" s="6" t="s">
        <v>759</v>
      </c>
      <c r="G1756" s="6" t="s">
        <v>16</v>
      </c>
      <c r="H1756" s="6" t="s">
        <v>15</v>
      </c>
      <c r="I1756" s="6" t="s">
        <v>46</v>
      </c>
      <c r="J1756" s="6" t="s">
        <v>1382</v>
      </c>
      <c r="K1756" s="7">
        <v>31.363068999999999</v>
      </c>
      <c r="L1756" s="7">
        <v>-95.481190999999995</v>
      </c>
      <c r="M1756" s="6" t="s">
        <v>1031</v>
      </c>
      <c r="N1756" s="6" t="s">
        <v>102</v>
      </c>
      <c r="O1756" s="6" t="s">
        <v>24</v>
      </c>
    </row>
    <row r="1757" spans="1:15" x14ac:dyDescent="0.25">
      <c r="A1757" s="6" t="s">
        <v>8227</v>
      </c>
      <c r="B1757" s="6" t="s">
        <v>8226</v>
      </c>
      <c r="C1757" s="6" t="s">
        <v>31</v>
      </c>
      <c r="E1757" s="6" t="s">
        <v>8225</v>
      </c>
      <c r="F1757" s="6" t="s">
        <v>8224</v>
      </c>
      <c r="G1757" s="6" t="s">
        <v>16</v>
      </c>
      <c r="H1757" s="6" t="s">
        <v>28</v>
      </c>
      <c r="I1757" s="6" t="s">
        <v>60</v>
      </c>
      <c r="J1757" s="6" t="s">
        <v>35</v>
      </c>
      <c r="K1757" s="7">
        <v>30.000299999999999</v>
      </c>
      <c r="L1757" s="7">
        <v>-95.507195999999993</v>
      </c>
      <c r="M1757" s="6" t="s">
        <v>279</v>
      </c>
      <c r="N1757" s="6" t="s">
        <v>24</v>
      </c>
      <c r="O1757" s="6" t="s">
        <v>23</v>
      </c>
    </row>
    <row r="1758" spans="1:15" x14ac:dyDescent="0.25">
      <c r="A1758" s="6" t="s">
        <v>11448</v>
      </c>
      <c r="B1758" s="6" t="s">
        <v>11447</v>
      </c>
      <c r="C1758" s="6" t="s">
        <v>31</v>
      </c>
      <c r="E1758" s="6" t="s">
        <v>11446</v>
      </c>
      <c r="F1758" s="6" t="s">
        <v>11445</v>
      </c>
      <c r="G1758" s="6" t="s">
        <v>16</v>
      </c>
      <c r="H1758" s="6" t="s">
        <v>15</v>
      </c>
      <c r="I1758" s="6" t="s">
        <v>14</v>
      </c>
      <c r="J1758" s="6" t="s">
        <v>132</v>
      </c>
      <c r="K1758" s="7">
        <v>29.675370740000002</v>
      </c>
      <c r="L1758" s="7">
        <v>-95.632907200000005</v>
      </c>
      <c r="M1758" s="6" t="s">
        <v>866</v>
      </c>
      <c r="N1758" s="6" t="s">
        <v>24</v>
      </c>
      <c r="O1758" s="6" t="s">
        <v>23</v>
      </c>
    </row>
    <row r="1759" spans="1:15" x14ac:dyDescent="0.25">
      <c r="A1759" s="6" t="s">
        <v>11440</v>
      </c>
      <c r="B1759" s="6" t="s">
        <v>11439</v>
      </c>
      <c r="C1759" s="6" t="s">
        <v>31</v>
      </c>
      <c r="E1759" s="6" t="s">
        <v>11438</v>
      </c>
      <c r="F1759" s="6" t="s">
        <v>11437</v>
      </c>
      <c r="G1759" s="6" t="s">
        <v>16</v>
      </c>
      <c r="H1759" s="6" t="s">
        <v>28</v>
      </c>
      <c r="I1759" s="6" t="s">
        <v>60</v>
      </c>
      <c r="J1759" s="6" t="s">
        <v>4135</v>
      </c>
      <c r="K1759" s="7">
        <v>28.943684999999999</v>
      </c>
      <c r="L1759" s="7">
        <v>-96.536506000000003</v>
      </c>
      <c r="M1759" s="6" t="s">
        <v>2429</v>
      </c>
      <c r="N1759" s="6" t="s">
        <v>510</v>
      </c>
      <c r="O1759" s="6" t="s">
        <v>10</v>
      </c>
    </row>
    <row r="1760" spans="1:15" x14ac:dyDescent="0.25">
      <c r="A1760" s="6" t="s">
        <v>2518</v>
      </c>
      <c r="B1760" s="6" t="s">
        <v>2517</v>
      </c>
      <c r="C1760" s="6" t="s">
        <v>31</v>
      </c>
      <c r="E1760" s="6" t="s">
        <v>2516</v>
      </c>
      <c r="F1760" s="6" t="s">
        <v>2515</v>
      </c>
      <c r="G1760" s="6" t="s">
        <v>16</v>
      </c>
      <c r="H1760" s="6" t="s">
        <v>15</v>
      </c>
      <c r="I1760" s="6" t="s">
        <v>27</v>
      </c>
      <c r="J1760" s="6" t="s">
        <v>356</v>
      </c>
      <c r="K1760" s="7">
        <v>29.78585635</v>
      </c>
      <c r="L1760" s="7">
        <v>-95.901521509999995</v>
      </c>
      <c r="M1760" s="6" t="s">
        <v>131</v>
      </c>
      <c r="N1760" s="6" t="s">
        <v>24</v>
      </c>
      <c r="O1760" s="6" t="s">
        <v>23</v>
      </c>
    </row>
    <row r="1761" spans="1:15" x14ac:dyDescent="0.25">
      <c r="A1761" s="6" t="s">
        <v>11432</v>
      </c>
      <c r="B1761" s="6" t="s">
        <v>11431</v>
      </c>
      <c r="C1761" s="6" t="s">
        <v>31</v>
      </c>
      <c r="E1761" s="6" t="s">
        <v>11430</v>
      </c>
      <c r="F1761" s="6" t="s">
        <v>11429</v>
      </c>
      <c r="G1761" s="6" t="s">
        <v>16</v>
      </c>
      <c r="H1761" s="6" t="s">
        <v>28</v>
      </c>
      <c r="I1761" s="6" t="s">
        <v>60</v>
      </c>
      <c r="J1761" s="6" t="s">
        <v>385</v>
      </c>
      <c r="K1761" s="7">
        <v>29.921821000000001</v>
      </c>
      <c r="L1761" s="7">
        <v>-94.251679999999993</v>
      </c>
      <c r="M1761" s="6" t="s">
        <v>384</v>
      </c>
      <c r="N1761" s="6" t="s">
        <v>383</v>
      </c>
      <c r="O1761" s="6" t="s">
        <v>24</v>
      </c>
    </row>
    <row r="1762" spans="1:15" x14ac:dyDescent="0.25">
      <c r="A1762" s="6" t="s">
        <v>11405</v>
      </c>
      <c r="B1762" s="6" t="s">
        <v>11404</v>
      </c>
      <c r="C1762" s="6" t="s">
        <v>31</v>
      </c>
      <c r="E1762" s="6" t="s">
        <v>11403</v>
      </c>
      <c r="F1762" s="6" t="s">
        <v>11402</v>
      </c>
      <c r="G1762" s="6" t="s">
        <v>16</v>
      </c>
      <c r="H1762" s="6" t="s">
        <v>15</v>
      </c>
      <c r="I1762" s="6" t="s">
        <v>46</v>
      </c>
      <c r="J1762" s="6" t="s">
        <v>35</v>
      </c>
      <c r="K1762" s="7">
        <v>29.917721629999999</v>
      </c>
      <c r="L1762" s="7">
        <v>-95.586110910000002</v>
      </c>
      <c r="M1762" s="6" t="s">
        <v>77</v>
      </c>
      <c r="N1762" s="6" t="s">
        <v>24</v>
      </c>
      <c r="O1762" s="6" t="s">
        <v>23</v>
      </c>
    </row>
    <row r="1763" spans="1:15" x14ac:dyDescent="0.25">
      <c r="A1763" s="6" t="s">
        <v>11420</v>
      </c>
      <c r="B1763" s="6" t="s">
        <v>11419</v>
      </c>
      <c r="C1763" s="6" t="s">
        <v>31</v>
      </c>
      <c r="E1763" s="6" t="s">
        <v>11418</v>
      </c>
      <c r="F1763" s="6" t="s">
        <v>11417</v>
      </c>
      <c r="G1763" s="6" t="s">
        <v>16</v>
      </c>
      <c r="H1763" s="6" t="s">
        <v>28</v>
      </c>
      <c r="I1763" s="6" t="s">
        <v>46</v>
      </c>
      <c r="J1763" s="6" t="s">
        <v>35</v>
      </c>
      <c r="K1763" s="7">
        <v>29.805396340000001</v>
      </c>
      <c r="L1763" s="7">
        <v>-95.698203309999997</v>
      </c>
      <c r="M1763" s="6" t="s">
        <v>131</v>
      </c>
      <c r="N1763" s="6" t="s">
        <v>24</v>
      </c>
      <c r="O1763" s="6" t="s">
        <v>23</v>
      </c>
    </row>
    <row r="1764" spans="1:15" x14ac:dyDescent="0.25">
      <c r="A1764" s="6" t="s">
        <v>6914</v>
      </c>
      <c r="B1764" s="6" t="s">
        <v>6913</v>
      </c>
      <c r="C1764" s="6" t="s">
        <v>31</v>
      </c>
      <c r="E1764" s="6" t="s">
        <v>6912</v>
      </c>
      <c r="F1764" s="6" t="s">
        <v>6911</v>
      </c>
      <c r="G1764" s="6" t="s">
        <v>16</v>
      </c>
      <c r="H1764" s="6" t="s">
        <v>28</v>
      </c>
      <c r="I1764" s="6" t="s">
        <v>27</v>
      </c>
      <c r="J1764" s="6" t="s">
        <v>162</v>
      </c>
      <c r="K1764" s="7">
        <v>29.07327252</v>
      </c>
      <c r="L1764" s="7">
        <v>-95.618024930000004</v>
      </c>
      <c r="M1764" s="6" t="s">
        <v>262</v>
      </c>
      <c r="N1764" s="6" t="s">
        <v>231</v>
      </c>
      <c r="O1764" s="6" t="s">
        <v>23</v>
      </c>
    </row>
    <row r="1765" spans="1:15" x14ac:dyDescent="0.25">
      <c r="A1765" s="6" t="s">
        <v>11416</v>
      </c>
      <c r="B1765" s="6" t="s">
        <v>11415</v>
      </c>
      <c r="C1765" s="6" t="s">
        <v>31</v>
      </c>
      <c r="E1765" s="6" t="s">
        <v>11414</v>
      </c>
      <c r="F1765" s="6" t="s">
        <v>10554</v>
      </c>
      <c r="G1765" s="6" t="s">
        <v>16</v>
      </c>
      <c r="H1765" s="6" t="s">
        <v>28</v>
      </c>
      <c r="I1765" s="6" t="s">
        <v>27</v>
      </c>
      <c r="J1765" s="6" t="s">
        <v>162</v>
      </c>
      <c r="K1765" s="7">
        <v>29.215907000000001</v>
      </c>
      <c r="L1765" s="7">
        <v>-95.445999999999998</v>
      </c>
      <c r="M1765" s="6" t="s">
        <v>2680</v>
      </c>
      <c r="N1765" s="6" t="s">
        <v>160</v>
      </c>
      <c r="O1765" s="6" t="s">
        <v>23</v>
      </c>
    </row>
    <row r="1766" spans="1:15" x14ac:dyDescent="0.25">
      <c r="A1766" s="6" t="s">
        <v>11409</v>
      </c>
      <c r="B1766" s="6" t="s">
        <v>11408</v>
      </c>
      <c r="C1766" s="6" t="s">
        <v>31</v>
      </c>
      <c r="E1766" s="6" t="s">
        <v>11407</v>
      </c>
      <c r="F1766" s="6" t="s">
        <v>11406</v>
      </c>
      <c r="G1766" s="6" t="s">
        <v>16</v>
      </c>
      <c r="H1766" s="6" t="s">
        <v>28</v>
      </c>
      <c r="I1766" s="6" t="s">
        <v>73</v>
      </c>
      <c r="J1766" s="6" t="s">
        <v>35</v>
      </c>
      <c r="K1766" s="7">
        <v>29.712419000000001</v>
      </c>
      <c r="L1766" s="7">
        <v>-95.671991000000006</v>
      </c>
      <c r="M1766" s="6" t="s">
        <v>866</v>
      </c>
      <c r="N1766" s="6" t="s">
        <v>24</v>
      </c>
      <c r="O1766" s="6" t="s">
        <v>23</v>
      </c>
    </row>
    <row r="1767" spans="1:15" x14ac:dyDescent="0.25">
      <c r="A1767" s="6" t="s">
        <v>11401</v>
      </c>
      <c r="B1767" s="6" t="s">
        <v>11400</v>
      </c>
      <c r="C1767" s="6" t="s">
        <v>31</v>
      </c>
      <c r="E1767" s="6" t="s">
        <v>11399</v>
      </c>
      <c r="F1767" s="6" t="s">
        <v>895</v>
      </c>
      <c r="G1767" s="6" t="s">
        <v>16</v>
      </c>
      <c r="H1767" s="6" t="s">
        <v>28</v>
      </c>
      <c r="I1767" s="6" t="s">
        <v>14</v>
      </c>
      <c r="J1767" s="6" t="s">
        <v>35</v>
      </c>
      <c r="K1767" s="7">
        <v>29.76652824</v>
      </c>
      <c r="L1767" s="7">
        <v>-95.138465729999993</v>
      </c>
      <c r="M1767" s="6" t="s">
        <v>34</v>
      </c>
      <c r="N1767" s="6" t="s">
        <v>24</v>
      </c>
      <c r="O1767" s="6" t="s">
        <v>23</v>
      </c>
    </row>
    <row r="1768" spans="1:15" x14ac:dyDescent="0.25">
      <c r="A1768" s="6" t="s">
        <v>11413</v>
      </c>
      <c r="B1768" s="6" t="s">
        <v>11412</v>
      </c>
      <c r="C1768" s="6" t="s">
        <v>31</v>
      </c>
      <c r="E1768" s="6" t="s">
        <v>11411</v>
      </c>
      <c r="F1768" s="6" t="s">
        <v>11410</v>
      </c>
      <c r="G1768" s="6" t="s">
        <v>16</v>
      </c>
      <c r="H1768" s="6" t="s">
        <v>15</v>
      </c>
      <c r="I1768" s="6" t="s">
        <v>46</v>
      </c>
      <c r="J1768" s="6" t="s">
        <v>104</v>
      </c>
      <c r="K1768" s="7">
        <v>32.561391479999998</v>
      </c>
      <c r="L1768" s="7">
        <v>-96.296674170000003</v>
      </c>
      <c r="M1768" s="6" t="s">
        <v>193</v>
      </c>
      <c r="N1768" s="6" t="s">
        <v>102</v>
      </c>
      <c r="O1768" s="6" t="s">
        <v>42</v>
      </c>
    </row>
    <row r="1769" spans="1:15" x14ac:dyDescent="0.25">
      <c r="A1769" s="6" t="s">
        <v>11394</v>
      </c>
      <c r="B1769" s="6" t="s">
        <v>11393</v>
      </c>
      <c r="C1769" s="6" t="s">
        <v>31</v>
      </c>
      <c r="E1769" s="6" t="s">
        <v>11392</v>
      </c>
      <c r="F1769" s="6" t="s">
        <v>11391</v>
      </c>
      <c r="G1769" s="6" t="s">
        <v>16</v>
      </c>
      <c r="H1769" s="6" t="s">
        <v>28</v>
      </c>
      <c r="I1769" s="6" t="s">
        <v>60</v>
      </c>
      <c r="J1769" s="6" t="s">
        <v>35</v>
      </c>
      <c r="K1769" s="7">
        <v>29.955212920000001</v>
      </c>
      <c r="L1769" s="7">
        <v>-95.494385059999999</v>
      </c>
      <c r="M1769" s="6" t="s">
        <v>198</v>
      </c>
      <c r="N1769" s="6" t="s">
        <v>24</v>
      </c>
      <c r="O1769" s="6" t="s">
        <v>23</v>
      </c>
    </row>
    <row r="1770" spans="1:15" x14ac:dyDescent="0.25">
      <c r="A1770" s="6" t="s">
        <v>11390</v>
      </c>
      <c r="B1770" s="6" t="s">
        <v>11389</v>
      </c>
      <c r="C1770" s="6" t="s">
        <v>31</v>
      </c>
      <c r="E1770" s="6" t="s">
        <v>11388</v>
      </c>
      <c r="F1770" s="6" t="s">
        <v>11387</v>
      </c>
      <c r="G1770" s="6" t="s">
        <v>16</v>
      </c>
      <c r="H1770" s="6" t="s">
        <v>28</v>
      </c>
      <c r="I1770" s="6" t="s">
        <v>60</v>
      </c>
      <c r="J1770" s="6" t="s">
        <v>35</v>
      </c>
      <c r="K1770" s="7">
        <v>29.854880000000001</v>
      </c>
      <c r="L1770" s="7">
        <v>-95.615645999999998</v>
      </c>
      <c r="M1770" s="6" t="s">
        <v>131</v>
      </c>
      <c r="N1770" s="6" t="s">
        <v>24</v>
      </c>
      <c r="O1770" s="6" t="s">
        <v>23</v>
      </c>
    </row>
    <row r="1771" spans="1:15" x14ac:dyDescent="0.25">
      <c r="A1771" s="6" t="s">
        <v>1186</v>
      </c>
      <c r="B1771" s="6" t="s">
        <v>1185</v>
      </c>
      <c r="C1771" s="6" t="s">
        <v>597</v>
      </c>
      <c r="E1771" s="6" t="s">
        <v>1184</v>
      </c>
      <c r="F1771" s="6" t="s">
        <v>1183</v>
      </c>
      <c r="G1771" s="6" t="s">
        <v>16</v>
      </c>
      <c r="H1771" s="6" t="s">
        <v>28</v>
      </c>
      <c r="I1771" s="6" t="s">
        <v>14</v>
      </c>
      <c r="J1771" s="6" t="s">
        <v>35</v>
      </c>
      <c r="K1771" s="7">
        <v>29.619918550000001</v>
      </c>
      <c r="L1771" s="7">
        <v>-95.413191960000006</v>
      </c>
      <c r="M1771" s="6" t="s">
        <v>866</v>
      </c>
      <c r="N1771" s="6" t="s">
        <v>24</v>
      </c>
      <c r="O1771" s="6" t="s">
        <v>23</v>
      </c>
    </row>
    <row r="1772" spans="1:15" x14ac:dyDescent="0.25">
      <c r="A1772" s="6" t="s">
        <v>10236</v>
      </c>
      <c r="B1772" s="6" t="s">
        <v>10235</v>
      </c>
      <c r="C1772" s="6" t="s">
        <v>31</v>
      </c>
      <c r="E1772" s="6" t="s">
        <v>10234</v>
      </c>
      <c r="F1772" s="6" t="s">
        <v>10233</v>
      </c>
      <c r="G1772" s="6" t="s">
        <v>16</v>
      </c>
      <c r="H1772" s="6" t="s">
        <v>28</v>
      </c>
      <c r="I1772" s="6" t="s">
        <v>60</v>
      </c>
      <c r="J1772" s="6" t="s">
        <v>35</v>
      </c>
      <c r="K1772" s="7">
        <v>29.812398999999999</v>
      </c>
      <c r="L1772" s="7">
        <v>-95.735714999999999</v>
      </c>
      <c r="M1772" s="6" t="s">
        <v>131</v>
      </c>
      <c r="N1772" s="6" t="s">
        <v>24</v>
      </c>
      <c r="O1772" s="6" t="s">
        <v>23</v>
      </c>
    </row>
    <row r="1773" spans="1:15" x14ac:dyDescent="0.25">
      <c r="A1773" s="6" t="s">
        <v>10236</v>
      </c>
      <c r="B1773" s="6" t="s">
        <v>10235</v>
      </c>
      <c r="C1773" s="6" t="s">
        <v>31</v>
      </c>
      <c r="E1773" s="6" t="s">
        <v>10234</v>
      </c>
      <c r="F1773" s="6" t="s">
        <v>10233</v>
      </c>
      <c r="G1773" s="6" t="s">
        <v>16</v>
      </c>
      <c r="H1773" s="6" t="s">
        <v>28</v>
      </c>
      <c r="I1773" s="6" t="s">
        <v>73</v>
      </c>
      <c r="J1773" s="6" t="s">
        <v>35</v>
      </c>
      <c r="K1773" s="7">
        <v>29.812398999999999</v>
      </c>
      <c r="L1773" s="7">
        <v>-95.735714999999999</v>
      </c>
      <c r="M1773" s="6" t="s">
        <v>131</v>
      </c>
      <c r="N1773" s="6" t="s">
        <v>24</v>
      </c>
      <c r="O1773" s="6" t="s">
        <v>23</v>
      </c>
    </row>
    <row r="1774" spans="1:15" x14ac:dyDescent="0.25">
      <c r="A1774" s="6" t="s">
        <v>11386</v>
      </c>
      <c r="B1774" s="6" t="s">
        <v>11385</v>
      </c>
      <c r="C1774" s="6" t="s">
        <v>31</v>
      </c>
      <c r="E1774" s="6" t="s">
        <v>11384</v>
      </c>
      <c r="F1774" s="6" t="s">
        <v>11383</v>
      </c>
      <c r="G1774" s="6" t="s">
        <v>16</v>
      </c>
      <c r="H1774" s="6" t="s">
        <v>28</v>
      </c>
      <c r="I1774" s="6" t="s">
        <v>60</v>
      </c>
      <c r="J1774" s="6" t="s">
        <v>35</v>
      </c>
      <c r="K1774" s="7">
        <v>29.781787000000001</v>
      </c>
      <c r="L1774" s="7">
        <v>-95.374465999999998</v>
      </c>
      <c r="M1774" s="6" t="s">
        <v>77</v>
      </c>
      <c r="N1774" s="6" t="s">
        <v>24</v>
      </c>
      <c r="O1774" s="6" t="s">
        <v>23</v>
      </c>
    </row>
    <row r="1775" spans="1:15" x14ac:dyDescent="0.25">
      <c r="A1775" s="6" t="s">
        <v>11398</v>
      </c>
      <c r="B1775" s="6" t="s">
        <v>11397</v>
      </c>
      <c r="C1775" s="6" t="s">
        <v>31</v>
      </c>
      <c r="E1775" s="6" t="s">
        <v>11396</v>
      </c>
      <c r="F1775" s="6" t="s">
        <v>11395</v>
      </c>
      <c r="G1775" s="6" t="s">
        <v>16</v>
      </c>
      <c r="H1775" s="6" t="s">
        <v>28</v>
      </c>
      <c r="I1775" s="6" t="s">
        <v>73</v>
      </c>
      <c r="J1775" s="6" t="s">
        <v>35</v>
      </c>
      <c r="K1775" s="7">
        <v>29.862189000000001</v>
      </c>
      <c r="L1775" s="7">
        <v>-95.639768000000004</v>
      </c>
      <c r="M1775" s="6" t="s">
        <v>131</v>
      </c>
      <c r="N1775" s="6" t="s">
        <v>24</v>
      </c>
      <c r="O1775" s="6" t="s">
        <v>23</v>
      </c>
    </row>
    <row r="1776" spans="1:15" x14ac:dyDescent="0.25">
      <c r="A1776" s="6" t="s">
        <v>11374</v>
      </c>
      <c r="B1776" s="6" t="s">
        <v>11373</v>
      </c>
      <c r="C1776" s="6" t="s">
        <v>31</v>
      </c>
      <c r="E1776" s="6" t="s">
        <v>11372</v>
      </c>
      <c r="F1776" s="6" t="s">
        <v>11371</v>
      </c>
      <c r="G1776" s="6" t="s">
        <v>16</v>
      </c>
      <c r="H1776" s="6" t="s">
        <v>28</v>
      </c>
      <c r="I1776" s="6" t="s">
        <v>60</v>
      </c>
      <c r="J1776" s="6" t="s">
        <v>1831</v>
      </c>
      <c r="K1776" s="7">
        <v>33.160987370000001</v>
      </c>
      <c r="L1776" s="7">
        <v>-95.103328750000003</v>
      </c>
      <c r="M1776" s="6" t="s">
        <v>1830</v>
      </c>
      <c r="N1776" s="6" t="s">
        <v>42</v>
      </c>
      <c r="O1776" s="6" t="s">
        <v>65</v>
      </c>
    </row>
    <row r="1777" spans="1:15" x14ac:dyDescent="0.25">
      <c r="A1777" s="6" t="s">
        <v>11283</v>
      </c>
      <c r="B1777" s="6" t="s">
        <v>11282</v>
      </c>
      <c r="C1777" s="6" t="s">
        <v>31</v>
      </c>
      <c r="E1777" s="6" t="s">
        <v>11281</v>
      </c>
      <c r="F1777" s="6" t="s">
        <v>11280</v>
      </c>
      <c r="G1777" s="6" t="s">
        <v>16</v>
      </c>
      <c r="H1777" s="6" t="s">
        <v>28</v>
      </c>
      <c r="I1777" s="6" t="s">
        <v>27</v>
      </c>
      <c r="J1777" s="6" t="s">
        <v>11279</v>
      </c>
      <c r="K1777" s="7">
        <v>31.204810999999999</v>
      </c>
      <c r="L1777" s="7">
        <v>-99.840526999999994</v>
      </c>
      <c r="M1777" s="6" t="s">
        <v>500</v>
      </c>
      <c r="N1777" s="6" t="s">
        <v>10</v>
      </c>
      <c r="O1777" s="6" t="s">
        <v>102</v>
      </c>
    </row>
    <row r="1778" spans="1:15" x14ac:dyDescent="0.25">
      <c r="A1778" s="6" t="s">
        <v>11382</v>
      </c>
      <c r="B1778" s="6" t="s">
        <v>11381</v>
      </c>
      <c r="C1778" s="6" t="s">
        <v>31</v>
      </c>
      <c r="E1778" s="6" t="s">
        <v>11380</v>
      </c>
      <c r="F1778" s="6" t="s">
        <v>11379</v>
      </c>
      <c r="G1778" s="6" t="s">
        <v>16</v>
      </c>
      <c r="H1778" s="6" t="s">
        <v>28</v>
      </c>
      <c r="I1778" s="6" t="s">
        <v>73</v>
      </c>
      <c r="J1778" s="6" t="s">
        <v>3151</v>
      </c>
      <c r="K1778" s="7">
        <v>31.278411030000001</v>
      </c>
      <c r="L1778" s="7">
        <v>-93.722638070000002</v>
      </c>
      <c r="M1778" s="6" t="s">
        <v>2695</v>
      </c>
      <c r="N1778" s="6" t="s">
        <v>65</v>
      </c>
      <c r="O1778" s="6" t="s">
        <v>24</v>
      </c>
    </row>
    <row r="1779" spans="1:15" x14ac:dyDescent="0.25">
      <c r="A1779" s="6" t="s">
        <v>11378</v>
      </c>
      <c r="B1779" s="6" t="s">
        <v>11377</v>
      </c>
      <c r="C1779" s="6" t="s">
        <v>31</v>
      </c>
      <c r="E1779" s="6" t="s">
        <v>11376</v>
      </c>
      <c r="F1779" s="6" t="s">
        <v>11375</v>
      </c>
      <c r="G1779" s="6" t="s">
        <v>16</v>
      </c>
      <c r="H1779" s="6" t="s">
        <v>15</v>
      </c>
      <c r="I1779" s="6" t="s">
        <v>36</v>
      </c>
      <c r="J1779" s="6" t="s">
        <v>35</v>
      </c>
      <c r="K1779" s="7">
        <v>29.973754889999999</v>
      </c>
      <c r="L1779" s="7">
        <v>-95.477269199999995</v>
      </c>
      <c r="M1779" s="6" t="s">
        <v>198</v>
      </c>
      <c r="N1779" s="6" t="s">
        <v>24</v>
      </c>
      <c r="O1779" s="6" t="s">
        <v>23</v>
      </c>
    </row>
    <row r="1780" spans="1:15" x14ac:dyDescent="0.25">
      <c r="A1780" s="6" t="s">
        <v>11535</v>
      </c>
      <c r="B1780" s="6" t="s">
        <v>11534</v>
      </c>
      <c r="C1780" s="6" t="s">
        <v>31</v>
      </c>
      <c r="E1780" s="6" t="s">
        <v>11533</v>
      </c>
      <c r="F1780" s="6" t="s">
        <v>11532</v>
      </c>
      <c r="G1780" s="6" t="s">
        <v>16</v>
      </c>
      <c r="H1780" s="6" t="s">
        <v>28</v>
      </c>
      <c r="I1780" s="6" t="s">
        <v>27</v>
      </c>
      <c r="J1780" s="6" t="s">
        <v>35</v>
      </c>
      <c r="K1780" s="7">
        <v>29.86082545</v>
      </c>
      <c r="L1780" s="7">
        <v>-95.524787709999998</v>
      </c>
      <c r="M1780" s="6" t="s">
        <v>77</v>
      </c>
      <c r="N1780" s="6" t="s">
        <v>24</v>
      </c>
      <c r="O1780" s="6" t="s">
        <v>23</v>
      </c>
    </row>
    <row r="1781" spans="1:15" x14ac:dyDescent="0.25">
      <c r="A1781" s="6" t="s">
        <v>11370</v>
      </c>
      <c r="B1781" s="6" t="s">
        <v>11369</v>
      </c>
      <c r="C1781" s="6" t="s">
        <v>31</v>
      </c>
      <c r="E1781" s="6" t="s">
        <v>11368</v>
      </c>
      <c r="F1781" s="6" t="s">
        <v>2579</v>
      </c>
      <c r="G1781" s="6" t="s">
        <v>16</v>
      </c>
      <c r="H1781" s="6" t="s">
        <v>28</v>
      </c>
      <c r="I1781" s="6" t="s">
        <v>60</v>
      </c>
      <c r="J1781" s="6" t="s">
        <v>35</v>
      </c>
      <c r="K1781" s="7">
        <v>30.132439000000002</v>
      </c>
      <c r="L1781" s="7">
        <v>-95.532719</v>
      </c>
      <c r="M1781" s="6" t="s">
        <v>731</v>
      </c>
      <c r="N1781" s="6" t="s">
        <v>24</v>
      </c>
      <c r="O1781" s="6" t="s">
        <v>23</v>
      </c>
    </row>
    <row r="1782" spans="1:15" x14ac:dyDescent="0.25">
      <c r="A1782" s="6" t="s">
        <v>9010</v>
      </c>
      <c r="B1782" s="6" t="s">
        <v>9009</v>
      </c>
      <c r="C1782" s="6" t="s">
        <v>31</v>
      </c>
      <c r="E1782" s="6" t="s">
        <v>9008</v>
      </c>
      <c r="F1782" s="6" t="s">
        <v>9007</v>
      </c>
      <c r="G1782" s="6" t="s">
        <v>16</v>
      </c>
      <c r="H1782" s="6" t="s">
        <v>15</v>
      </c>
      <c r="I1782" s="6" t="s">
        <v>36</v>
      </c>
      <c r="J1782" s="6" t="s">
        <v>35</v>
      </c>
      <c r="K1782" s="7">
        <v>30.017146319999998</v>
      </c>
      <c r="L1782" s="7">
        <v>-95.491009309999995</v>
      </c>
      <c r="M1782" s="6" t="s">
        <v>279</v>
      </c>
      <c r="N1782" s="6" t="s">
        <v>24</v>
      </c>
      <c r="O1782" s="6" t="s">
        <v>23</v>
      </c>
    </row>
    <row r="1783" spans="1:15" x14ac:dyDescent="0.25">
      <c r="A1783" s="6" t="s">
        <v>9802</v>
      </c>
      <c r="B1783" s="6" t="s">
        <v>9801</v>
      </c>
      <c r="C1783" s="6" t="s">
        <v>31</v>
      </c>
      <c r="E1783" s="6" t="s">
        <v>9800</v>
      </c>
      <c r="F1783" s="6" t="s">
        <v>9799</v>
      </c>
      <c r="G1783" s="6" t="s">
        <v>16</v>
      </c>
      <c r="H1783" s="6" t="s">
        <v>28</v>
      </c>
      <c r="I1783" s="6" t="s">
        <v>73</v>
      </c>
      <c r="J1783" s="6" t="s">
        <v>2831</v>
      </c>
      <c r="K1783" s="7">
        <v>29.255976619999998</v>
      </c>
      <c r="L1783" s="7">
        <v>-103.7756248</v>
      </c>
      <c r="M1783" s="6" t="s">
        <v>2896</v>
      </c>
      <c r="N1783" s="6" t="s">
        <v>373</v>
      </c>
      <c r="O1783" s="6" t="s">
        <v>52</v>
      </c>
    </row>
    <row r="1784" spans="1:15" x14ac:dyDescent="0.25">
      <c r="A1784" s="6" t="s">
        <v>3308</v>
      </c>
      <c r="B1784" s="6" t="s">
        <v>3307</v>
      </c>
      <c r="C1784" s="6" t="s">
        <v>31</v>
      </c>
      <c r="E1784" s="6" t="s">
        <v>3306</v>
      </c>
      <c r="F1784" s="6" t="s">
        <v>3305</v>
      </c>
      <c r="G1784" s="6" t="s">
        <v>16</v>
      </c>
      <c r="H1784" s="6" t="s">
        <v>15</v>
      </c>
      <c r="I1784" s="6" t="s">
        <v>46</v>
      </c>
      <c r="J1784" s="6" t="s">
        <v>1013</v>
      </c>
      <c r="K1784" s="7">
        <v>31.338072180000001</v>
      </c>
      <c r="L1784" s="7">
        <v>-94.713520610000003</v>
      </c>
      <c r="M1784" s="6" t="s">
        <v>53</v>
      </c>
      <c r="N1784" s="6" t="s">
        <v>52</v>
      </c>
      <c r="O1784" s="6" t="s">
        <v>24</v>
      </c>
    </row>
    <row r="1785" spans="1:15" x14ac:dyDescent="0.25">
      <c r="A1785" s="6" t="s">
        <v>11065</v>
      </c>
      <c r="B1785" s="6" t="s">
        <v>11064</v>
      </c>
      <c r="C1785" s="6" t="s">
        <v>31</v>
      </c>
      <c r="E1785" s="6" t="s">
        <v>11063</v>
      </c>
      <c r="F1785" s="6" t="s">
        <v>11062</v>
      </c>
      <c r="G1785" s="6" t="s">
        <v>16</v>
      </c>
      <c r="H1785" s="6" t="s">
        <v>28</v>
      </c>
      <c r="I1785" s="6" t="s">
        <v>73</v>
      </c>
      <c r="J1785" s="6" t="s">
        <v>97</v>
      </c>
      <c r="K1785" s="7">
        <v>33.693969529999997</v>
      </c>
      <c r="L1785" s="7">
        <v>-95.480528050000004</v>
      </c>
      <c r="M1785" s="6" t="s">
        <v>44</v>
      </c>
      <c r="N1785" s="6" t="s">
        <v>43</v>
      </c>
      <c r="O1785" s="6" t="s">
        <v>65</v>
      </c>
    </row>
    <row r="1786" spans="1:15" x14ac:dyDescent="0.25">
      <c r="A1786" s="6" t="s">
        <v>81</v>
      </c>
      <c r="B1786" s="6" t="s">
        <v>80</v>
      </c>
      <c r="C1786" s="6" t="s">
        <v>31</v>
      </c>
      <c r="E1786" s="6" t="s">
        <v>79</v>
      </c>
      <c r="F1786" s="6" t="s">
        <v>78</v>
      </c>
      <c r="G1786" s="6" t="s">
        <v>16</v>
      </c>
      <c r="H1786" s="6" t="s">
        <v>15</v>
      </c>
      <c r="I1786" s="6" t="s">
        <v>46</v>
      </c>
      <c r="J1786" s="6" t="s">
        <v>35</v>
      </c>
      <c r="K1786" s="7">
        <v>29.91297548</v>
      </c>
      <c r="L1786" s="7">
        <v>-95.571581969999997</v>
      </c>
      <c r="M1786" s="6" t="s">
        <v>77</v>
      </c>
      <c r="N1786" s="6" t="s">
        <v>24</v>
      </c>
      <c r="O1786" s="6" t="s">
        <v>23</v>
      </c>
    </row>
    <row r="1787" spans="1:15" x14ac:dyDescent="0.25">
      <c r="A1787" s="6" t="s">
        <v>11061</v>
      </c>
      <c r="B1787" s="6" t="s">
        <v>11060</v>
      </c>
      <c r="C1787" s="6" t="s">
        <v>31</v>
      </c>
      <c r="E1787" s="6" t="s">
        <v>11059</v>
      </c>
      <c r="F1787" s="6" t="s">
        <v>11058</v>
      </c>
      <c r="G1787" s="6" t="s">
        <v>16</v>
      </c>
      <c r="H1787" s="6" t="s">
        <v>28</v>
      </c>
      <c r="I1787" s="6" t="s">
        <v>60</v>
      </c>
      <c r="J1787" s="6" t="s">
        <v>296</v>
      </c>
      <c r="K1787" s="7">
        <v>29.896148199999999</v>
      </c>
      <c r="L1787" s="7">
        <v>-96.842587910000006</v>
      </c>
      <c r="M1787" s="6" t="s">
        <v>295</v>
      </c>
      <c r="N1787" s="6" t="s">
        <v>10</v>
      </c>
      <c r="O1787" s="6" t="s">
        <v>160</v>
      </c>
    </row>
    <row r="1788" spans="1:15" x14ac:dyDescent="0.25">
      <c r="A1788" s="6" t="s">
        <v>8400</v>
      </c>
      <c r="B1788" s="6" t="s">
        <v>8399</v>
      </c>
      <c r="C1788" s="6" t="s">
        <v>31</v>
      </c>
      <c r="E1788" s="6" t="s">
        <v>8398</v>
      </c>
      <c r="F1788" s="6" t="s">
        <v>8397</v>
      </c>
      <c r="G1788" s="6" t="s">
        <v>16</v>
      </c>
      <c r="H1788" s="6" t="s">
        <v>28</v>
      </c>
      <c r="I1788" s="6" t="s">
        <v>73</v>
      </c>
      <c r="J1788" s="6" t="s">
        <v>3105</v>
      </c>
      <c r="K1788" s="7">
        <v>28.913749979999999</v>
      </c>
      <c r="L1788" s="7">
        <v>-98.551801249999997</v>
      </c>
      <c r="M1788" s="6" t="s">
        <v>3104</v>
      </c>
      <c r="N1788" s="6" t="s">
        <v>524</v>
      </c>
      <c r="O1788" s="6" t="s">
        <v>231</v>
      </c>
    </row>
    <row r="1789" spans="1:15" x14ac:dyDescent="0.25">
      <c r="A1789" s="6" t="s">
        <v>1286</v>
      </c>
      <c r="B1789" s="6" t="s">
        <v>1278</v>
      </c>
      <c r="C1789" s="6" t="s">
        <v>31</v>
      </c>
      <c r="E1789" s="6" t="s">
        <v>1277</v>
      </c>
      <c r="F1789" s="6" t="s">
        <v>1276</v>
      </c>
      <c r="G1789" s="6" t="s">
        <v>16</v>
      </c>
      <c r="H1789" s="6" t="s">
        <v>15</v>
      </c>
      <c r="I1789" s="6" t="s">
        <v>14</v>
      </c>
      <c r="J1789" s="6" t="s">
        <v>1281</v>
      </c>
      <c r="K1789" s="7">
        <v>31.418065259999999</v>
      </c>
      <c r="L1789" s="7">
        <v>-96.247797419999998</v>
      </c>
      <c r="M1789" s="6" t="s">
        <v>1274</v>
      </c>
      <c r="N1789" s="6" t="s">
        <v>23</v>
      </c>
      <c r="O1789" s="6" t="s">
        <v>120</v>
      </c>
    </row>
    <row r="1790" spans="1:15" x14ac:dyDescent="0.25">
      <c r="A1790" s="6" t="s">
        <v>1919</v>
      </c>
      <c r="B1790" s="6" t="s">
        <v>1278</v>
      </c>
      <c r="C1790" s="6" t="s">
        <v>19</v>
      </c>
      <c r="E1790" s="6" t="s">
        <v>1277</v>
      </c>
      <c r="F1790" s="6" t="s">
        <v>1276</v>
      </c>
      <c r="G1790" s="6" t="s">
        <v>16</v>
      </c>
      <c r="H1790" s="6" t="s">
        <v>15</v>
      </c>
      <c r="I1790" s="6" t="s">
        <v>14</v>
      </c>
      <c r="J1790" s="6" t="s">
        <v>1275</v>
      </c>
      <c r="K1790" s="7">
        <v>31.425202259999999</v>
      </c>
      <c r="L1790" s="7">
        <v>-96.243511720000001</v>
      </c>
      <c r="M1790" s="6" t="s">
        <v>1274</v>
      </c>
      <c r="N1790" s="6" t="s">
        <v>23</v>
      </c>
      <c r="O1790" s="6" t="s">
        <v>120</v>
      </c>
    </row>
    <row r="1791" spans="1:15" x14ac:dyDescent="0.25">
      <c r="A1791" s="6" t="s">
        <v>1285</v>
      </c>
      <c r="B1791" s="6" t="s">
        <v>1278</v>
      </c>
      <c r="C1791" s="6" t="s">
        <v>436</v>
      </c>
      <c r="E1791" s="6" t="s">
        <v>1277</v>
      </c>
      <c r="F1791" s="6" t="s">
        <v>1276</v>
      </c>
      <c r="G1791" s="6" t="s">
        <v>16</v>
      </c>
      <c r="H1791" s="6" t="s">
        <v>15</v>
      </c>
      <c r="I1791" s="6" t="s">
        <v>14</v>
      </c>
      <c r="J1791" s="6" t="s">
        <v>1281</v>
      </c>
      <c r="K1791" s="7">
        <v>31.420530169999999</v>
      </c>
      <c r="L1791" s="7">
        <v>-96.248950669999999</v>
      </c>
      <c r="M1791" s="6" t="s">
        <v>1274</v>
      </c>
      <c r="N1791" s="6" t="s">
        <v>23</v>
      </c>
      <c r="O1791" s="6" t="s">
        <v>120</v>
      </c>
    </row>
    <row r="1792" spans="1:15" x14ac:dyDescent="0.25">
      <c r="A1792" s="6" t="s">
        <v>1284</v>
      </c>
      <c r="B1792" s="6" t="s">
        <v>1278</v>
      </c>
      <c r="C1792" s="6" t="s">
        <v>597</v>
      </c>
      <c r="E1792" s="6" t="s">
        <v>1277</v>
      </c>
      <c r="F1792" s="6" t="s">
        <v>1276</v>
      </c>
      <c r="G1792" s="6" t="s">
        <v>16</v>
      </c>
      <c r="H1792" s="6" t="s">
        <v>15</v>
      </c>
      <c r="I1792" s="6" t="s">
        <v>14</v>
      </c>
      <c r="J1792" s="6" t="s">
        <v>1281</v>
      </c>
      <c r="K1792" s="7">
        <v>31.41603327</v>
      </c>
      <c r="L1792" s="7">
        <v>-96.256396140000007</v>
      </c>
      <c r="M1792" s="6" t="s">
        <v>1274</v>
      </c>
      <c r="N1792" s="6" t="s">
        <v>23</v>
      </c>
      <c r="O1792" s="6" t="s">
        <v>120</v>
      </c>
    </row>
    <row r="1793" spans="1:15" x14ac:dyDescent="0.25">
      <c r="A1793" s="6" t="s">
        <v>1283</v>
      </c>
      <c r="B1793" s="6" t="s">
        <v>1278</v>
      </c>
      <c r="C1793" s="6" t="s">
        <v>557</v>
      </c>
      <c r="E1793" s="6" t="s">
        <v>1277</v>
      </c>
      <c r="F1793" s="6" t="s">
        <v>1276</v>
      </c>
      <c r="G1793" s="6" t="s">
        <v>16</v>
      </c>
      <c r="H1793" s="6" t="s">
        <v>15</v>
      </c>
      <c r="I1793" s="6" t="s">
        <v>14</v>
      </c>
      <c r="J1793" s="6" t="s">
        <v>1281</v>
      </c>
      <c r="K1793" s="7">
        <v>31.41604281</v>
      </c>
      <c r="L1793" s="7">
        <v>-96.256395870000006</v>
      </c>
      <c r="M1793" s="6" t="s">
        <v>1274</v>
      </c>
      <c r="N1793" s="6" t="s">
        <v>23</v>
      </c>
      <c r="O1793" s="6" t="s">
        <v>120</v>
      </c>
    </row>
    <row r="1794" spans="1:15" x14ac:dyDescent="0.25">
      <c r="A1794" s="6" t="s">
        <v>1282</v>
      </c>
      <c r="B1794" s="6" t="s">
        <v>1278</v>
      </c>
      <c r="C1794" s="6" t="s">
        <v>433</v>
      </c>
      <c r="E1794" s="6" t="s">
        <v>1277</v>
      </c>
      <c r="F1794" s="6" t="s">
        <v>1276</v>
      </c>
      <c r="G1794" s="6" t="s">
        <v>16</v>
      </c>
      <c r="H1794" s="6" t="s">
        <v>28</v>
      </c>
      <c r="I1794" s="6" t="s">
        <v>14</v>
      </c>
      <c r="J1794" s="6" t="s">
        <v>1281</v>
      </c>
      <c r="K1794" s="7">
        <v>31.420075300000001</v>
      </c>
      <c r="L1794" s="7">
        <v>-96.247320950000002</v>
      </c>
      <c r="M1794" s="6" t="s">
        <v>1274</v>
      </c>
      <c r="N1794" s="6" t="s">
        <v>23</v>
      </c>
      <c r="O1794" s="6" t="s">
        <v>120</v>
      </c>
    </row>
    <row r="1795" spans="1:15" x14ac:dyDescent="0.25">
      <c r="A1795" s="6" t="s">
        <v>1280</v>
      </c>
      <c r="B1795" s="6" t="s">
        <v>1278</v>
      </c>
      <c r="C1795" s="6" t="s">
        <v>1098</v>
      </c>
      <c r="E1795" s="6" t="s">
        <v>1277</v>
      </c>
      <c r="F1795" s="6" t="s">
        <v>1276</v>
      </c>
      <c r="G1795" s="6" t="s">
        <v>16</v>
      </c>
      <c r="H1795" s="6" t="s">
        <v>28</v>
      </c>
      <c r="I1795" s="6" t="s">
        <v>14</v>
      </c>
      <c r="J1795" s="6" t="s">
        <v>1275</v>
      </c>
      <c r="K1795" s="7">
        <v>31.424844820000001</v>
      </c>
      <c r="L1795" s="7">
        <v>-96.242387039999997</v>
      </c>
      <c r="M1795" s="6" t="s">
        <v>1274</v>
      </c>
      <c r="N1795" s="6" t="s">
        <v>23</v>
      </c>
      <c r="O1795" s="6" t="s">
        <v>120</v>
      </c>
    </row>
    <row r="1796" spans="1:15" x14ac:dyDescent="0.25">
      <c r="A1796" s="6" t="s">
        <v>1279</v>
      </c>
      <c r="B1796" s="6" t="s">
        <v>1278</v>
      </c>
      <c r="C1796" s="6" t="s">
        <v>1096</v>
      </c>
      <c r="E1796" s="6" t="s">
        <v>1277</v>
      </c>
      <c r="F1796" s="6" t="s">
        <v>1276</v>
      </c>
      <c r="G1796" s="6" t="s">
        <v>16</v>
      </c>
      <c r="H1796" s="6" t="s">
        <v>15</v>
      </c>
      <c r="I1796" s="6" t="s">
        <v>14</v>
      </c>
      <c r="J1796" s="6" t="s">
        <v>1275</v>
      </c>
      <c r="K1796" s="7">
        <v>31.42595017</v>
      </c>
      <c r="L1796" s="7">
        <v>-96.238208659999998</v>
      </c>
      <c r="M1796" s="6" t="s">
        <v>1274</v>
      </c>
      <c r="N1796" s="6" t="s">
        <v>23</v>
      </c>
      <c r="O1796" s="6" t="s">
        <v>120</v>
      </c>
    </row>
    <row r="1797" spans="1:15" x14ac:dyDescent="0.25">
      <c r="A1797" s="6" t="s">
        <v>4879</v>
      </c>
      <c r="B1797" s="6" t="s">
        <v>4878</v>
      </c>
      <c r="C1797" s="6" t="s">
        <v>597</v>
      </c>
      <c r="E1797" s="6" t="s">
        <v>4877</v>
      </c>
      <c r="F1797" s="6" t="s">
        <v>4876</v>
      </c>
      <c r="G1797" s="6" t="s">
        <v>16</v>
      </c>
      <c r="H1797" s="6" t="s">
        <v>15</v>
      </c>
      <c r="I1797" s="6" t="s">
        <v>14</v>
      </c>
      <c r="J1797" s="6" t="s">
        <v>1074</v>
      </c>
      <c r="K1797" s="7">
        <v>29.898357000000001</v>
      </c>
      <c r="L1797" s="7">
        <v>-96.214100000000002</v>
      </c>
      <c r="M1797" s="6" t="s">
        <v>355</v>
      </c>
      <c r="N1797" s="6" t="s">
        <v>23</v>
      </c>
      <c r="O1797" s="6" t="s">
        <v>23</v>
      </c>
    </row>
    <row r="1798" spans="1:15" x14ac:dyDescent="0.25">
      <c r="A1798" s="6" t="s">
        <v>11053</v>
      </c>
      <c r="B1798" s="6" t="s">
        <v>11052</v>
      </c>
      <c r="C1798" s="6" t="s">
        <v>31</v>
      </c>
      <c r="E1798" s="6" t="s">
        <v>11051</v>
      </c>
      <c r="F1798" s="6" t="s">
        <v>11050</v>
      </c>
      <c r="G1798" s="6" t="s">
        <v>16</v>
      </c>
      <c r="H1798" s="6" t="s">
        <v>28</v>
      </c>
      <c r="I1798" s="6" t="s">
        <v>73</v>
      </c>
      <c r="J1798" s="6" t="s">
        <v>35</v>
      </c>
      <c r="K1798" s="7">
        <v>29.807604999999999</v>
      </c>
      <c r="L1798" s="7">
        <v>-95.727671000000001</v>
      </c>
      <c r="M1798" s="6" t="s">
        <v>131</v>
      </c>
      <c r="N1798" s="6" t="s">
        <v>24</v>
      </c>
      <c r="O1798" s="6" t="s">
        <v>23</v>
      </c>
    </row>
    <row r="1799" spans="1:15" x14ac:dyDescent="0.25">
      <c r="A1799" s="6" t="s">
        <v>11049</v>
      </c>
      <c r="B1799" s="6" t="s">
        <v>11048</v>
      </c>
      <c r="C1799" s="6" t="s">
        <v>31</v>
      </c>
      <c r="E1799" s="6" t="s">
        <v>11047</v>
      </c>
      <c r="F1799" s="6" t="s">
        <v>4160</v>
      </c>
      <c r="G1799" s="6" t="s">
        <v>16</v>
      </c>
      <c r="H1799" s="6" t="s">
        <v>28</v>
      </c>
      <c r="I1799" s="6" t="s">
        <v>27</v>
      </c>
      <c r="J1799" s="6" t="s">
        <v>2267</v>
      </c>
      <c r="K1799" s="7">
        <v>32.353762000000003</v>
      </c>
      <c r="L1799" s="7">
        <v>-96.004296999999994</v>
      </c>
      <c r="M1799" s="6" t="s">
        <v>193</v>
      </c>
      <c r="N1799" s="6" t="s">
        <v>102</v>
      </c>
      <c r="O1799" s="6" t="s">
        <v>65</v>
      </c>
    </row>
    <row r="1800" spans="1:15" x14ac:dyDescent="0.25">
      <c r="A1800" s="6" t="s">
        <v>9450</v>
      </c>
      <c r="B1800" s="6" t="s">
        <v>9449</v>
      </c>
      <c r="C1800" s="6" t="s">
        <v>31</v>
      </c>
      <c r="E1800" s="6" t="s">
        <v>9448</v>
      </c>
      <c r="F1800" s="6" t="s">
        <v>9447</v>
      </c>
      <c r="G1800" s="6" t="s">
        <v>16</v>
      </c>
      <c r="H1800" s="6" t="s">
        <v>28</v>
      </c>
      <c r="I1800" s="6" t="s">
        <v>36</v>
      </c>
      <c r="J1800" s="6" t="s">
        <v>35</v>
      </c>
      <c r="K1800" s="7">
        <v>29.926441959999998</v>
      </c>
      <c r="L1800" s="7">
        <v>-95.521531710000005</v>
      </c>
      <c r="M1800" s="6" t="s">
        <v>77</v>
      </c>
      <c r="N1800" s="6" t="s">
        <v>24</v>
      </c>
      <c r="O1800" s="6" t="s">
        <v>23</v>
      </c>
    </row>
    <row r="1801" spans="1:15" x14ac:dyDescent="0.25">
      <c r="A1801" s="6" t="s">
        <v>11057</v>
      </c>
      <c r="B1801" s="6" t="s">
        <v>11056</v>
      </c>
      <c r="C1801" s="6" t="s">
        <v>31</v>
      </c>
      <c r="E1801" s="6" t="s">
        <v>11055</v>
      </c>
      <c r="F1801" s="6" t="s">
        <v>11054</v>
      </c>
      <c r="G1801" s="6" t="s">
        <v>16</v>
      </c>
      <c r="H1801" s="6" t="s">
        <v>28</v>
      </c>
      <c r="I1801" s="6" t="s">
        <v>27</v>
      </c>
      <c r="J1801" s="6" t="s">
        <v>424</v>
      </c>
      <c r="K1801" s="7">
        <v>32.916445699999997</v>
      </c>
      <c r="L1801" s="7">
        <v>-95.576711540000005</v>
      </c>
      <c r="M1801" s="6" t="s">
        <v>956</v>
      </c>
      <c r="N1801" s="6" t="s">
        <v>65</v>
      </c>
      <c r="O1801" s="6" t="s">
        <v>65</v>
      </c>
    </row>
    <row r="1802" spans="1:15" x14ac:dyDescent="0.25">
      <c r="A1802" s="6" t="s">
        <v>6553</v>
      </c>
      <c r="B1802" s="6" t="s">
        <v>6552</v>
      </c>
      <c r="C1802" s="6" t="s">
        <v>31</v>
      </c>
      <c r="E1802" s="6" t="s">
        <v>6551</v>
      </c>
      <c r="F1802" s="6" t="s">
        <v>6550</v>
      </c>
      <c r="G1802" s="6" t="s">
        <v>16</v>
      </c>
      <c r="H1802" s="6" t="s">
        <v>28</v>
      </c>
      <c r="I1802" s="6" t="s">
        <v>46</v>
      </c>
      <c r="J1802" s="6" t="s">
        <v>1787</v>
      </c>
      <c r="K1802" s="7">
        <v>32.672952690000002</v>
      </c>
      <c r="L1802" s="7">
        <v>-95.801046630000002</v>
      </c>
      <c r="M1802" s="6" t="s">
        <v>423</v>
      </c>
      <c r="N1802" s="6" t="s">
        <v>65</v>
      </c>
      <c r="O1802" s="6" t="s">
        <v>65</v>
      </c>
    </row>
    <row r="1803" spans="1:15" x14ac:dyDescent="0.25">
      <c r="A1803" s="6" t="s">
        <v>10108</v>
      </c>
      <c r="B1803" s="6" t="s">
        <v>10107</v>
      </c>
      <c r="C1803" s="6" t="s">
        <v>31</v>
      </c>
      <c r="E1803" s="6" t="s">
        <v>10106</v>
      </c>
      <c r="F1803" s="6" t="s">
        <v>10105</v>
      </c>
      <c r="G1803" s="6" t="s">
        <v>16</v>
      </c>
      <c r="H1803" s="6" t="s">
        <v>28</v>
      </c>
      <c r="I1803" s="6" t="s">
        <v>73</v>
      </c>
      <c r="J1803" s="6" t="s">
        <v>139</v>
      </c>
      <c r="K1803" s="7">
        <v>27.917867879999999</v>
      </c>
      <c r="L1803" s="7">
        <v>-97.300792749999999</v>
      </c>
      <c r="M1803" s="6" t="s">
        <v>1168</v>
      </c>
      <c r="N1803" s="6" t="s">
        <v>137</v>
      </c>
      <c r="O1803" s="6" t="s">
        <v>10</v>
      </c>
    </row>
    <row r="1804" spans="1:15" x14ac:dyDescent="0.25">
      <c r="A1804" s="6" t="s">
        <v>11046</v>
      </c>
      <c r="B1804" s="6" t="s">
        <v>11045</v>
      </c>
      <c r="C1804" s="6" t="s">
        <v>31</v>
      </c>
      <c r="E1804" s="6" t="s">
        <v>11044</v>
      </c>
      <c r="F1804" s="6" t="s">
        <v>11043</v>
      </c>
      <c r="G1804" s="6" t="s">
        <v>16</v>
      </c>
      <c r="H1804" s="6" t="s">
        <v>28</v>
      </c>
      <c r="I1804" s="6" t="s">
        <v>60</v>
      </c>
      <c r="J1804" s="6" t="s">
        <v>6760</v>
      </c>
      <c r="K1804" s="7">
        <v>30.178564999999999</v>
      </c>
      <c r="L1804" s="7">
        <v>-96.595195000000004</v>
      </c>
      <c r="M1804" s="6" t="s">
        <v>355</v>
      </c>
      <c r="N1804" s="6" t="s">
        <v>23</v>
      </c>
      <c r="O1804" s="6" t="s">
        <v>120</v>
      </c>
    </row>
    <row r="1805" spans="1:15" x14ac:dyDescent="0.25">
      <c r="A1805" s="6" t="s">
        <v>12139</v>
      </c>
      <c r="B1805" s="6" t="s">
        <v>1873</v>
      </c>
      <c r="C1805" s="6" t="s">
        <v>19</v>
      </c>
      <c r="D1805" s="6" t="s">
        <v>1872</v>
      </c>
      <c r="E1805" s="6" t="s">
        <v>1871</v>
      </c>
      <c r="F1805" s="6" t="s">
        <v>1870</v>
      </c>
      <c r="G1805" s="6" t="s">
        <v>16</v>
      </c>
      <c r="H1805" s="6" t="s">
        <v>591</v>
      </c>
      <c r="I1805" s="6" t="s">
        <v>14</v>
      </c>
      <c r="J1805" s="6" t="s">
        <v>576</v>
      </c>
      <c r="K1805" s="7">
        <v>30.591645140000001</v>
      </c>
      <c r="L1805" s="7">
        <v>-96.084395520000001</v>
      </c>
      <c r="M1805" s="6" t="s">
        <v>927</v>
      </c>
      <c r="N1805" s="6" t="s">
        <v>23</v>
      </c>
      <c r="O1805" s="6" t="s">
        <v>120</v>
      </c>
    </row>
    <row r="1806" spans="1:15" x14ac:dyDescent="0.25">
      <c r="A1806" s="6" t="s">
        <v>1875</v>
      </c>
      <c r="B1806" s="6" t="s">
        <v>1873</v>
      </c>
      <c r="C1806" s="6" t="s">
        <v>436</v>
      </c>
      <c r="D1806" s="6" t="s">
        <v>1872</v>
      </c>
      <c r="E1806" s="6" t="s">
        <v>1871</v>
      </c>
      <c r="F1806" s="6" t="s">
        <v>1870</v>
      </c>
      <c r="G1806" s="6" t="s">
        <v>16</v>
      </c>
      <c r="H1806" s="6" t="s">
        <v>591</v>
      </c>
      <c r="I1806" s="6" t="s">
        <v>14</v>
      </c>
      <c r="J1806" s="6" t="s">
        <v>576</v>
      </c>
      <c r="K1806" s="7">
        <v>30.543678369999999</v>
      </c>
      <c r="L1806" s="7">
        <v>-96.101093989999995</v>
      </c>
      <c r="M1806" s="6" t="s">
        <v>927</v>
      </c>
      <c r="N1806" s="6" t="s">
        <v>23</v>
      </c>
      <c r="O1806" s="6" t="s">
        <v>120</v>
      </c>
    </row>
    <row r="1807" spans="1:15" x14ac:dyDescent="0.25">
      <c r="A1807" s="6" t="s">
        <v>1874</v>
      </c>
      <c r="B1807" s="6" t="s">
        <v>1873</v>
      </c>
      <c r="C1807" s="6" t="s">
        <v>597</v>
      </c>
      <c r="D1807" s="6" t="s">
        <v>1872</v>
      </c>
      <c r="E1807" s="6" t="s">
        <v>1871</v>
      </c>
      <c r="F1807" s="6" t="s">
        <v>1870</v>
      </c>
      <c r="G1807" s="6" t="s">
        <v>16</v>
      </c>
      <c r="H1807" s="6" t="s">
        <v>591</v>
      </c>
      <c r="I1807" s="6" t="s">
        <v>14</v>
      </c>
      <c r="J1807" s="6" t="s">
        <v>576</v>
      </c>
      <c r="K1807" s="7">
        <v>30.560670160000001</v>
      </c>
      <c r="L1807" s="7">
        <v>-96.082317970000005</v>
      </c>
      <c r="M1807" s="6" t="s">
        <v>927</v>
      </c>
      <c r="N1807" s="6" t="s">
        <v>23</v>
      </c>
      <c r="O1807" s="6" t="s">
        <v>120</v>
      </c>
    </row>
    <row r="1808" spans="1:15" x14ac:dyDescent="0.25">
      <c r="A1808" s="6" t="s">
        <v>9523</v>
      </c>
      <c r="B1808" s="6" t="s">
        <v>9522</v>
      </c>
      <c r="C1808" s="6" t="s">
        <v>31</v>
      </c>
      <c r="E1808" s="6" t="s">
        <v>9521</v>
      </c>
      <c r="F1808" s="6" t="s">
        <v>3760</v>
      </c>
      <c r="G1808" s="6" t="s">
        <v>16</v>
      </c>
      <c r="H1808" s="6" t="s">
        <v>28</v>
      </c>
      <c r="I1808" s="6" t="s">
        <v>60</v>
      </c>
      <c r="J1808" s="6" t="s">
        <v>2267</v>
      </c>
      <c r="K1808" s="7">
        <v>32.273389999999999</v>
      </c>
      <c r="L1808" s="7">
        <v>-96.098851999999994</v>
      </c>
      <c r="M1808" s="6" t="s">
        <v>193</v>
      </c>
      <c r="N1808" s="6" t="s">
        <v>102</v>
      </c>
      <c r="O1808" s="6" t="s">
        <v>65</v>
      </c>
    </row>
    <row r="1809" spans="1:15" x14ac:dyDescent="0.25">
      <c r="A1809" s="6" t="s">
        <v>1571</v>
      </c>
      <c r="B1809" s="6" t="s">
        <v>1570</v>
      </c>
      <c r="C1809" s="6" t="s">
        <v>31</v>
      </c>
      <c r="E1809" s="6" t="s">
        <v>1569</v>
      </c>
      <c r="F1809" s="6" t="s">
        <v>1568</v>
      </c>
      <c r="G1809" s="6" t="s">
        <v>16</v>
      </c>
      <c r="H1809" s="6" t="s">
        <v>15</v>
      </c>
      <c r="I1809" s="6" t="s">
        <v>14</v>
      </c>
      <c r="J1809" s="6" t="s">
        <v>1032</v>
      </c>
      <c r="K1809" s="7">
        <v>29.57407572</v>
      </c>
      <c r="L1809" s="7">
        <v>-98.032090269999998</v>
      </c>
      <c r="M1809" s="6" t="s">
        <v>1567</v>
      </c>
      <c r="N1809" s="6" t="s">
        <v>559</v>
      </c>
      <c r="O1809" s="6" t="s">
        <v>231</v>
      </c>
    </row>
    <row r="1810" spans="1:15" x14ac:dyDescent="0.25">
      <c r="A1810" s="6" t="s">
        <v>11039</v>
      </c>
      <c r="B1810" s="6" t="s">
        <v>11038</v>
      </c>
      <c r="C1810" s="6" t="s">
        <v>31</v>
      </c>
      <c r="E1810" s="6" t="s">
        <v>11037</v>
      </c>
      <c r="F1810" s="6" t="s">
        <v>640</v>
      </c>
      <c r="G1810" s="6" t="s">
        <v>16</v>
      </c>
      <c r="H1810" s="6" t="s">
        <v>28</v>
      </c>
      <c r="I1810" s="6" t="s">
        <v>60</v>
      </c>
      <c r="J1810" s="6" t="s">
        <v>26</v>
      </c>
      <c r="K1810" s="7">
        <v>30.17217226</v>
      </c>
      <c r="L1810" s="7">
        <v>-95.318356699999995</v>
      </c>
      <c r="M1810" s="6" t="s">
        <v>59</v>
      </c>
      <c r="N1810" s="6" t="s">
        <v>24</v>
      </c>
      <c r="O1810" s="6" t="s">
        <v>23</v>
      </c>
    </row>
    <row r="1811" spans="1:15" x14ac:dyDescent="0.25">
      <c r="A1811" s="6" t="s">
        <v>11042</v>
      </c>
      <c r="B1811" s="6" t="s">
        <v>11041</v>
      </c>
      <c r="C1811" s="6" t="s">
        <v>31</v>
      </c>
      <c r="E1811" s="6" t="s">
        <v>11040</v>
      </c>
      <c r="F1811" s="6" t="s">
        <v>640</v>
      </c>
      <c r="G1811" s="6" t="s">
        <v>16</v>
      </c>
      <c r="H1811" s="6" t="s">
        <v>28</v>
      </c>
      <c r="I1811" s="6" t="s">
        <v>60</v>
      </c>
      <c r="J1811" s="6" t="s">
        <v>26</v>
      </c>
      <c r="K1811" s="7">
        <v>30.332777279999998</v>
      </c>
      <c r="L1811" s="7">
        <v>-95.332767520000004</v>
      </c>
      <c r="M1811" s="6" t="s">
        <v>59</v>
      </c>
      <c r="N1811" s="6" t="s">
        <v>24</v>
      </c>
      <c r="O1811" s="6" t="s">
        <v>23</v>
      </c>
    </row>
    <row r="1812" spans="1:15" x14ac:dyDescent="0.25">
      <c r="A1812" s="6" t="s">
        <v>11036</v>
      </c>
      <c r="B1812" s="6" t="s">
        <v>11035</v>
      </c>
      <c r="C1812" s="6" t="s">
        <v>31</v>
      </c>
      <c r="E1812" s="6" t="s">
        <v>11034</v>
      </c>
      <c r="F1812" s="6" t="s">
        <v>11033</v>
      </c>
      <c r="G1812" s="6" t="s">
        <v>16</v>
      </c>
      <c r="H1812" s="6" t="s">
        <v>28</v>
      </c>
      <c r="I1812" s="6" t="s">
        <v>73</v>
      </c>
      <c r="J1812" s="6" t="s">
        <v>35</v>
      </c>
      <c r="K1812" s="7">
        <v>29.952372449999999</v>
      </c>
      <c r="L1812" s="7">
        <v>-95.385377969999993</v>
      </c>
      <c r="M1812" s="6" t="s">
        <v>198</v>
      </c>
      <c r="N1812" s="6" t="s">
        <v>24</v>
      </c>
      <c r="O1812" s="6" t="s">
        <v>23</v>
      </c>
    </row>
    <row r="1813" spans="1:15" x14ac:dyDescent="0.25">
      <c r="A1813" s="6" t="s">
        <v>11020</v>
      </c>
      <c r="B1813" s="6" t="s">
        <v>11019</v>
      </c>
      <c r="C1813" s="6" t="s">
        <v>31</v>
      </c>
      <c r="E1813" s="6" t="s">
        <v>11018</v>
      </c>
      <c r="F1813" s="6" t="s">
        <v>7419</v>
      </c>
      <c r="G1813" s="6" t="s">
        <v>16</v>
      </c>
      <c r="H1813" s="6" t="s">
        <v>28</v>
      </c>
      <c r="I1813" s="6" t="s">
        <v>1200</v>
      </c>
      <c r="J1813" s="6" t="s">
        <v>35</v>
      </c>
      <c r="K1813" s="7">
        <v>29.983996999999999</v>
      </c>
      <c r="L1813" s="7">
        <v>-95.478733000000005</v>
      </c>
      <c r="M1813" s="6" t="s">
        <v>198</v>
      </c>
      <c r="N1813" s="6" t="s">
        <v>24</v>
      </c>
      <c r="O1813" s="6" t="s">
        <v>23</v>
      </c>
    </row>
    <row r="1814" spans="1:15" x14ac:dyDescent="0.25">
      <c r="A1814" s="6" t="s">
        <v>1292</v>
      </c>
      <c r="B1814" s="6" t="s">
        <v>1291</v>
      </c>
      <c r="C1814" s="6" t="s">
        <v>31</v>
      </c>
      <c r="E1814" s="6" t="s">
        <v>1290</v>
      </c>
      <c r="F1814" s="6" t="s">
        <v>1289</v>
      </c>
      <c r="G1814" s="6" t="s">
        <v>16</v>
      </c>
      <c r="H1814" s="6" t="s">
        <v>15</v>
      </c>
      <c r="I1814" s="6" t="s">
        <v>46</v>
      </c>
      <c r="J1814" s="6" t="s">
        <v>1288</v>
      </c>
      <c r="K1814" s="7">
        <v>32.5212711</v>
      </c>
      <c r="L1814" s="7">
        <v>-97.011412059999998</v>
      </c>
      <c r="M1814" s="6" t="s">
        <v>1287</v>
      </c>
      <c r="N1814" s="6" t="s">
        <v>102</v>
      </c>
      <c r="O1814" s="6" t="s">
        <v>42</v>
      </c>
    </row>
    <row r="1815" spans="1:15" x14ac:dyDescent="0.25">
      <c r="A1815" s="6" t="s">
        <v>4305</v>
      </c>
      <c r="B1815" s="6" t="s">
        <v>4304</v>
      </c>
      <c r="C1815" s="6" t="s">
        <v>31</v>
      </c>
      <c r="E1815" s="6" t="s">
        <v>4303</v>
      </c>
      <c r="F1815" s="6" t="s">
        <v>4302</v>
      </c>
      <c r="G1815" s="6" t="s">
        <v>16</v>
      </c>
      <c r="H1815" s="6" t="s">
        <v>591</v>
      </c>
      <c r="I1815" s="6" t="s">
        <v>14</v>
      </c>
      <c r="J1815" s="6" t="s">
        <v>3105</v>
      </c>
      <c r="K1815" s="7">
        <v>28.686906400000002</v>
      </c>
      <c r="L1815" s="7">
        <v>-98.474235399999998</v>
      </c>
      <c r="M1815" s="6" t="s">
        <v>1675</v>
      </c>
      <c r="N1815" s="6" t="s">
        <v>524</v>
      </c>
      <c r="O1815" s="6" t="s">
        <v>231</v>
      </c>
    </row>
    <row r="1816" spans="1:15" x14ac:dyDescent="0.25">
      <c r="A1816" s="6" t="s">
        <v>11014</v>
      </c>
      <c r="B1816" s="6" t="s">
        <v>11013</v>
      </c>
      <c r="C1816" s="6" t="s">
        <v>31</v>
      </c>
      <c r="E1816" s="6" t="s">
        <v>11012</v>
      </c>
      <c r="F1816" s="6" t="s">
        <v>11011</v>
      </c>
      <c r="G1816" s="6" t="s">
        <v>16</v>
      </c>
      <c r="H1816" s="6" t="s">
        <v>28</v>
      </c>
      <c r="I1816" s="6" t="s">
        <v>27</v>
      </c>
      <c r="J1816" s="6" t="s">
        <v>35</v>
      </c>
      <c r="K1816" s="7">
        <v>29.915049</v>
      </c>
      <c r="L1816" s="7">
        <v>-95.641391999999996</v>
      </c>
      <c r="M1816" s="6" t="s">
        <v>131</v>
      </c>
      <c r="N1816" s="6" t="s">
        <v>24</v>
      </c>
      <c r="O1816" s="6" t="s">
        <v>23</v>
      </c>
    </row>
    <row r="1817" spans="1:15" x14ac:dyDescent="0.25">
      <c r="A1817" s="6" t="s">
        <v>11032</v>
      </c>
      <c r="B1817" s="6" t="s">
        <v>11031</v>
      </c>
      <c r="C1817" s="6" t="s">
        <v>31</v>
      </c>
      <c r="E1817" s="6" t="s">
        <v>11030</v>
      </c>
      <c r="F1817" s="6" t="s">
        <v>11029</v>
      </c>
      <c r="G1817" s="6" t="s">
        <v>16</v>
      </c>
      <c r="H1817" s="6" t="s">
        <v>15</v>
      </c>
      <c r="I1817" s="6" t="s">
        <v>14</v>
      </c>
      <c r="J1817" s="6" t="s">
        <v>35</v>
      </c>
      <c r="K1817" s="7">
        <v>29.857164869999998</v>
      </c>
      <c r="L1817" s="7">
        <v>-95.700469709999993</v>
      </c>
      <c r="M1817" s="6" t="s">
        <v>131</v>
      </c>
      <c r="N1817" s="6" t="s">
        <v>24</v>
      </c>
      <c r="O1817" s="6" t="s">
        <v>23</v>
      </c>
    </row>
    <row r="1818" spans="1:15" x14ac:dyDescent="0.25">
      <c r="A1818" s="6" t="s">
        <v>10992</v>
      </c>
      <c r="B1818" s="6" t="s">
        <v>10991</v>
      </c>
      <c r="C1818" s="6" t="s">
        <v>31</v>
      </c>
      <c r="E1818" s="6" t="s">
        <v>10990</v>
      </c>
      <c r="F1818" s="6" t="s">
        <v>10989</v>
      </c>
      <c r="G1818" s="6" t="s">
        <v>16</v>
      </c>
      <c r="H1818" s="6" t="s">
        <v>15</v>
      </c>
      <c r="I1818" s="6" t="s">
        <v>36</v>
      </c>
      <c r="J1818" s="6" t="s">
        <v>35</v>
      </c>
      <c r="K1818" s="7">
        <v>29.98676584</v>
      </c>
      <c r="L1818" s="7">
        <v>-95.440402019999993</v>
      </c>
      <c r="M1818" s="6" t="s">
        <v>198</v>
      </c>
      <c r="N1818" s="6" t="s">
        <v>24</v>
      </c>
      <c r="O1818" s="6" t="s">
        <v>23</v>
      </c>
    </row>
    <row r="1819" spans="1:15" x14ac:dyDescent="0.25">
      <c r="A1819" s="6" t="s">
        <v>11010</v>
      </c>
      <c r="B1819" s="6" t="s">
        <v>11009</v>
      </c>
      <c r="C1819" s="6" t="s">
        <v>31</v>
      </c>
      <c r="E1819" s="6" t="s">
        <v>11008</v>
      </c>
      <c r="F1819" s="6" t="s">
        <v>11007</v>
      </c>
      <c r="G1819" s="6" t="s">
        <v>16</v>
      </c>
      <c r="H1819" s="6" t="s">
        <v>28</v>
      </c>
      <c r="I1819" s="6" t="s">
        <v>1200</v>
      </c>
      <c r="J1819" s="6" t="s">
        <v>35</v>
      </c>
      <c r="K1819" s="7">
        <v>30.050031000000001</v>
      </c>
      <c r="L1819" s="7">
        <v>-95.527390999999994</v>
      </c>
      <c r="M1819" s="6" t="s">
        <v>279</v>
      </c>
      <c r="N1819" s="6" t="s">
        <v>24</v>
      </c>
      <c r="O1819" s="6" t="s">
        <v>23</v>
      </c>
    </row>
    <row r="1820" spans="1:15" x14ac:dyDescent="0.25">
      <c r="A1820" s="6" t="s">
        <v>1296</v>
      </c>
      <c r="B1820" s="6" t="s">
        <v>1295</v>
      </c>
      <c r="C1820" s="6" t="s">
        <v>31</v>
      </c>
      <c r="E1820" s="6" t="s">
        <v>1294</v>
      </c>
      <c r="F1820" s="6" t="s">
        <v>1293</v>
      </c>
      <c r="G1820" s="6" t="s">
        <v>16</v>
      </c>
      <c r="H1820" s="6" t="s">
        <v>15</v>
      </c>
      <c r="I1820" s="6" t="s">
        <v>14</v>
      </c>
      <c r="J1820" s="6" t="s">
        <v>385</v>
      </c>
      <c r="K1820" s="7">
        <v>29.856155340000001</v>
      </c>
      <c r="L1820" s="7">
        <v>-94.097219580000001</v>
      </c>
      <c r="M1820" s="6" t="s">
        <v>384</v>
      </c>
      <c r="N1820" s="6" t="s">
        <v>383</v>
      </c>
      <c r="O1820" s="6" t="s">
        <v>24</v>
      </c>
    </row>
    <row r="1821" spans="1:15" x14ac:dyDescent="0.25">
      <c r="A1821" s="6" t="s">
        <v>10988</v>
      </c>
      <c r="B1821" s="6" t="s">
        <v>10987</v>
      </c>
      <c r="C1821" s="6" t="s">
        <v>31</v>
      </c>
      <c r="E1821" s="6" t="s">
        <v>10986</v>
      </c>
      <c r="F1821" s="6" t="s">
        <v>10985</v>
      </c>
      <c r="G1821" s="6" t="s">
        <v>16</v>
      </c>
      <c r="H1821" s="6" t="s">
        <v>28</v>
      </c>
      <c r="I1821" s="6" t="s">
        <v>60</v>
      </c>
      <c r="J1821" s="6" t="s">
        <v>35</v>
      </c>
      <c r="K1821" s="7">
        <v>29.991887999999999</v>
      </c>
      <c r="L1821" s="7">
        <v>-95.394659000000004</v>
      </c>
      <c r="M1821" s="6" t="s">
        <v>198</v>
      </c>
      <c r="N1821" s="6" t="s">
        <v>24</v>
      </c>
      <c r="O1821" s="6" t="s">
        <v>23</v>
      </c>
    </row>
    <row r="1822" spans="1:15" x14ac:dyDescent="0.25">
      <c r="A1822" s="6" t="s">
        <v>11002</v>
      </c>
      <c r="B1822" s="6" t="s">
        <v>11001</v>
      </c>
      <c r="C1822" s="6" t="s">
        <v>31</v>
      </c>
      <c r="E1822" s="6" t="s">
        <v>11000</v>
      </c>
      <c r="F1822" s="6" t="s">
        <v>10999</v>
      </c>
      <c r="G1822" s="6" t="s">
        <v>16</v>
      </c>
      <c r="H1822" s="6" t="s">
        <v>28</v>
      </c>
      <c r="I1822" s="6" t="s">
        <v>36</v>
      </c>
      <c r="J1822" s="6" t="s">
        <v>461</v>
      </c>
      <c r="K1822" s="7">
        <v>32.838576500000002</v>
      </c>
      <c r="L1822" s="7">
        <v>-96.147054350000005</v>
      </c>
      <c r="M1822" s="6" t="s">
        <v>109</v>
      </c>
      <c r="N1822" s="6" t="s">
        <v>65</v>
      </c>
      <c r="O1822" s="6" t="s">
        <v>42</v>
      </c>
    </row>
    <row r="1823" spans="1:15" x14ac:dyDescent="0.25">
      <c r="A1823" s="6" t="s">
        <v>10998</v>
      </c>
      <c r="B1823" s="6" t="s">
        <v>10997</v>
      </c>
      <c r="C1823" s="6" t="s">
        <v>31</v>
      </c>
      <c r="E1823" s="6" t="s">
        <v>10996</v>
      </c>
      <c r="F1823" s="6" t="s">
        <v>1259</v>
      </c>
      <c r="G1823" s="6" t="s">
        <v>16</v>
      </c>
      <c r="H1823" s="6" t="s">
        <v>28</v>
      </c>
      <c r="I1823" s="6" t="s">
        <v>60</v>
      </c>
      <c r="J1823" s="6" t="s">
        <v>35</v>
      </c>
      <c r="K1823" s="7">
        <v>29.77601181</v>
      </c>
      <c r="L1823" s="7">
        <v>-95.453084860000004</v>
      </c>
      <c r="M1823" s="6" t="s">
        <v>131</v>
      </c>
      <c r="N1823" s="6" t="s">
        <v>24</v>
      </c>
      <c r="O1823" s="6" t="s">
        <v>23</v>
      </c>
    </row>
    <row r="1824" spans="1:15" x14ac:dyDescent="0.25">
      <c r="A1824" s="6" t="s">
        <v>11017</v>
      </c>
      <c r="B1824" s="6" t="s">
        <v>11016</v>
      </c>
      <c r="C1824" s="6" t="s">
        <v>31</v>
      </c>
      <c r="E1824" s="6" t="s">
        <v>11015</v>
      </c>
      <c r="F1824" s="6" t="s">
        <v>895</v>
      </c>
      <c r="G1824" s="6" t="s">
        <v>16</v>
      </c>
      <c r="H1824" s="6" t="s">
        <v>28</v>
      </c>
      <c r="I1824" s="6" t="s">
        <v>27</v>
      </c>
      <c r="J1824" s="6" t="s">
        <v>35</v>
      </c>
      <c r="K1824" s="7">
        <v>29.864201999999999</v>
      </c>
      <c r="L1824" s="7">
        <v>-95.554801999999995</v>
      </c>
      <c r="M1824" s="6" t="s">
        <v>77</v>
      </c>
      <c r="N1824" s="6" t="s">
        <v>24</v>
      </c>
      <c r="O1824" s="6" t="s">
        <v>23</v>
      </c>
    </row>
    <row r="1825" spans="1:15" x14ac:dyDescent="0.25">
      <c r="A1825" s="6" t="s">
        <v>9021</v>
      </c>
      <c r="B1825" s="6" t="s">
        <v>9020</v>
      </c>
      <c r="C1825" s="6" t="s">
        <v>31</v>
      </c>
      <c r="E1825" s="6" t="s">
        <v>9019</v>
      </c>
      <c r="F1825" s="6" t="s">
        <v>895</v>
      </c>
      <c r="G1825" s="6" t="s">
        <v>16</v>
      </c>
      <c r="H1825" s="6" t="s">
        <v>28</v>
      </c>
      <c r="I1825" s="6" t="s">
        <v>73</v>
      </c>
      <c r="J1825" s="6" t="s">
        <v>35</v>
      </c>
      <c r="K1825" s="7">
        <v>30.103009</v>
      </c>
      <c r="L1825" s="7">
        <v>-95.545779999999993</v>
      </c>
      <c r="M1825" s="6" t="s">
        <v>731</v>
      </c>
      <c r="N1825" s="6" t="s">
        <v>24</v>
      </c>
      <c r="O1825" s="6" t="s">
        <v>23</v>
      </c>
    </row>
    <row r="1826" spans="1:15" x14ac:dyDescent="0.25">
      <c r="A1826" s="6" t="s">
        <v>10995</v>
      </c>
      <c r="B1826" s="6" t="s">
        <v>10994</v>
      </c>
      <c r="C1826" s="6" t="s">
        <v>31</v>
      </c>
      <c r="E1826" s="6" t="s">
        <v>10993</v>
      </c>
      <c r="F1826" s="6" t="s">
        <v>4160</v>
      </c>
      <c r="G1826" s="6" t="s">
        <v>16</v>
      </c>
      <c r="H1826" s="6" t="s">
        <v>28</v>
      </c>
      <c r="I1826" s="6" t="s">
        <v>27</v>
      </c>
      <c r="J1826" s="6" t="s">
        <v>132</v>
      </c>
      <c r="K1826" s="7">
        <v>29.368848710000002</v>
      </c>
      <c r="L1826" s="7">
        <v>-95.59675301</v>
      </c>
      <c r="M1826" s="6" t="s">
        <v>355</v>
      </c>
      <c r="N1826" s="6" t="s">
        <v>23</v>
      </c>
      <c r="O1826" s="6" t="s">
        <v>23</v>
      </c>
    </row>
    <row r="1827" spans="1:15" x14ac:dyDescent="0.25">
      <c r="A1827" s="6" t="s">
        <v>10980</v>
      </c>
      <c r="B1827" s="6" t="s">
        <v>10979</v>
      </c>
      <c r="C1827" s="6" t="s">
        <v>31</v>
      </c>
      <c r="E1827" s="6" t="s">
        <v>10978</v>
      </c>
      <c r="F1827" s="6" t="s">
        <v>10977</v>
      </c>
      <c r="G1827" s="6" t="s">
        <v>16</v>
      </c>
      <c r="H1827" s="6" t="s">
        <v>15</v>
      </c>
      <c r="I1827" s="6" t="s">
        <v>14</v>
      </c>
      <c r="J1827" s="6" t="s">
        <v>26</v>
      </c>
      <c r="K1827" s="7">
        <v>30.08550722</v>
      </c>
      <c r="L1827" s="7">
        <v>-95.228766449999995</v>
      </c>
      <c r="M1827" s="6" t="s">
        <v>1766</v>
      </c>
      <c r="N1827" s="6" t="s">
        <v>24</v>
      </c>
      <c r="O1827" s="6" t="s">
        <v>23</v>
      </c>
    </row>
    <row r="1828" spans="1:15" x14ac:dyDescent="0.25">
      <c r="A1828" s="6" t="s">
        <v>11207</v>
      </c>
      <c r="B1828" s="6" t="s">
        <v>11206</v>
      </c>
      <c r="C1828" s="6" t="s">
        <v>31</v>
      </c>
      <c r="E1828" s="6" t="s">
        <v>11205</v>
      </c>
      <c r="F1828" s="6" t="s">
        <v>3673</v>
      </c>
      <c r="G1828" s="6" t="s">
        <v>16</v>
      </c>
      <c r="H1828" s="6" t="s">
        <v>28</v>
      </c>
      <c r="I1828" s="6" t="s">
        <v>27</v>
      </c>
      <c r="J1828" s="6" t="s">
        <v>35</v>
      </c>
      <c r="K1828" s="7">
        <v>30.01924</v>
      </c>
      <c r="L1828" s="7">
        <v>-95.090845999999999</v>
      </c>
      <c r="M1828" s="6" t="s">
        <v>914</v>
      </c>
      <c r="N1828" s="6" t="s">
        <v>120</v>
      </c>
      <c r="O1828" s="6" t="s">
        <v>23</v>
      </c>
    </row>
    <row r="1829" spans="1:15" x14ac:dyDescent="0.25">
      <c r="A1829" s="6" t="s">
        <v>10984</v>
      </c>
      <c r="B1829" s="6" t="s">
        <v>10983</v>
      </c>
      <c r="C1829" s="6" t="s">
        <v>31</v>
      </c>
      <c r="E1829" s="6" t="s">
        <v>10982</v>
      </c>
      <c r="F1829" s="6" t="s">
        <v>10981</v>
      </c>
      <c r="G1829" s="6" t="s">
        <v>16</v>
      </c>
      <c r="H1829" s="6" t="s">
        <v>28</v>
      </c>
      <c r="I1829" s="6" t="s">
        <v>60</v>
      </c>
      <c r="J1829" s="6" t="s">
        <v>35</v>
      </c>
      <c r="K1829" s="7">
        <v>29.991247999999999</v>
      </c>
      <c r="L1829" s="7">
        <v>-95.403460999999993</v>
      </c>
      <c r="M1829" s="6" t="s">
        <v>279</v>
      </c>
      <c r="N1829" s="6" t="s">
        <v>24</v>
      </c>
      <c r="O1829" s="6" t="s">
        <v>23</v>
      </c>
    </row>
    <row r="1830" spans="1:15" x14ac:dyDescent="0.25">
      <c r="A1830" s="6" t="s">
        <v>1605</v>
      </c>
      <c r="B1830" s="6" t="s">
        <v>1604</v>
      </c>
      <c r="C1830" s="6" t="s">
        <v>31</v>
      </c>
      <c r="E1830" s="6" t="s">
        <v>1603</v>
      </c>
      <c r="F1830" s="6" t="s">
        <v>969</v>
      </c>
      <c r="G1830" s="6" t="s">
        <v>16</v>
      </c>
      <c r="H1830" s="6" t="s">
        <v>28</v>
      </c>
      <c r="I1830" s="6" t="s">
        <v>27</v>
      </c>
      <c r="J1830" s="6" t="s">
        <v>35</v>
      </c>
      <c r="K1830" s="7">
        <v>29.994989520000001</v>
      </c>
      <c r="L1830" s="7">
        <v>-95.389969059999999</v>
      </c>
      <c r="M1830" s="6" t="s">
        <v>198</v>
      </c>
      <c r="N1830" s="6" t="s">
        <v>24</v>
      </c>
      <c r="O1830" s="6" t="s">
        <v>23</v>
      </c>
    </row>
    <row r="1831" spans="1:15" x14ac:dyDescent="0.25">
      <c r="A1831" s="6" t="s">
        <v>1154</v>
      </c>
      <c r="B1831" s="6" t="s">
        <v>1152</v>
      </c>
      <c r="C1831" s="6" t="s">
        <v>31</v>
      </c>
      <c r="E1831" s="6" t="s">
        <v>1151</v>
      </c>
      <c r="F1831" s="6" t="s">
        <v>1150</v>
      </c>
      <c r="G1831" s="6" t="s">
        <v>16</v>
      </c>
      <c r="H1831" s="6" t="s">
        <v>430</v>
      </c>
      <c r="I1831" s="6" t="s">
        <v>14</v>
      </c>
      <c r="J1831" s="6" t="s">
        <v>35</v>
      </c>
      <c r="K1831" s="7">
        <v>29.744689999999999</v>
      </c>
      <c r="L1831" s="7">
        <v>-95.095265600000005</v>
      </c>
      <c r="M1831" s="6" t="s">
        <v>34</v>
      </c>
      <c r="N1831" s="6" t="s">
        <v>24</v>
      </c>
      <c r="O1831" s="6" t="s">
        <v>23</v>
      </c>
    </row>
    <row r="1832" spans="1:15" x14ac:dyDescent="0.25">
      <c r="A1832" s="6" t="s">
        <v>1153</v>
      </c>
      <c r="B1832" s="6" t="s">
        <v>1152</v>
      </c>
      <c r="C1832" s="6" t="s">
        <v>19</v>
      </c>
      <c r="E1832" s="6" t="s">
        <v>1151</v>
      </c>
      <c r="F1832" s="6" t="s">
        <v>1150</v>
      </c>
      <c r="G1832" s="6" t="s">
        <v>16</v>
      </c>
      <c r="H1832" s="6" t="s">
        <v>15</v>
      </c>
      <c r="I1832" s="6" t="s">
        <v>14</v>
      </c>
      <c r="J1832" s="6" t="s">
        <v>35</v>
      </c>
      <c r="K1832" s="7">
        <v>29.747758999999999</v>
      </c>
      <c r="L1832" s="7">
        <v>-95.097085000000007</v>
      </c>
      <c r="M1832" s="6" t="s">
        <v>34</v>
      </c>
      <c r="N1832" s="6" t="s">
        <v>24</v>
      </c>
      <c r="O1832" s="6" t="s">
        <v>23</v>
      </c>
    </row>
    <row r="1833" spans="1:15" x14ac:dyDescent="0.25">
      <c r="A1833" s="6" t="s">
        <v>1496</v>
      </c>
      <c r="B1833" s="6" t="s">
        <v>1152</v>
      </c>
      <c r="C1833" s="6" t="s">
        <v>436</v>
      </c>
      <c r="E1833" s="6" t="s">
        <v>1151</v>
      </c>
      <c r="F1833" s="6" t="s">
        <v>1150</v>
      </c>
      <c r="G1833" s="6" t="s">
        <v>16</v>
      </c>
      <c r="H1833" s="6" t="s">
        <v>15</v>
      </c>
      <c r="I1833" s="6" t="s">
        <v>14</v>
      </c>
      <c r="J1833" s="6" t="s">
        <v>35</v>
      </c>
      <c r="K1833" s="7">
        <v>29.748756499999999</v>
      </c>
      <c r="L1833" s="7">
        <v>-95.095613889999996</v>
      </c>
      <c r="M1833" s="6" t="s">
        <v>34</v>
      </c>
      <c r="N1833" s="6" t="s">
        <v>24</v>
      </c>
      <c r="O1833" s="6" t="s">
        <v>23</v>
      </c>
    </row>
    <row r="1834" spans="1:15" x14ac:dyDescent="0.25">
      <c r="A1834" s="6" t="s">
        <v>3804</v>
      </c>
      <c r="B1834" s="6" t="s">
        <v>3803</v>
      </c>
      <c r="C1834" s="6" t="s">
        <v>31</v>
      </c>
      <c r="E1834" s="6" t="s">
        <v>3802</v>
      </c>
      <c r="F1834" s="6" t="s">
        <v>3801</v>
      </c>
      <c r="G1834" s="6" t="s">
        <v>16</v>
      </c>
      <c r="H1834" s="6" t="s">
        <v>15</v>
      </c>
      <c r="I1834" s="6" t="s">
        <v>14</v>
      </c>
      <c r="J1834" s="6" t="s">
        <v>35</v>
      </c>
      <c r="K1834" s="7">
        <v>29.949469149999999</v>
      </c>
      <c r="L1834" s="7">
        <v>-95.384443329999996</v>
      </c>
      <c r="M1834" s="6" t="s">
        <v>198</v>
      </c>
      <c r="N1834" s="6" t="s">
        <v>24</v>
      </c>
      <c r="O1834" s="6" t="s">
        <v>23</v>
      </c>
    </row>
    <row r="1835" spans="1:15" x14ac:dyDescent="0.25">
      <c r="A1835" s="6" t="s">
        <v>1495</v>
      </c>
      <c r="B1835" s="6" t="s">
        <v>1494</v>
      </c>
      <c r="C1835" s="6" t="s">
        <v>31</v>
      </c>
      <c r="E1835" s="6" t="s">
        <v>1493</v>
      </c>
      <c r="F1835" s="6" t="s">
        <v>1301</v>
      </c>
      <c r="G1835" s="6" t="s">
        <v>16</v>
      </c>
      <c r="H1835" s="6" t="s">
        <v>15</v>
      </c>
      <c r="I1835" s="6" t="s">
        <v>14</v>
      </c>
      <c r="J1835" s="6" t="s">
        <v>461</v>
      </c>
      <c r="K1835" s="7">
        <v>33.034917540000002</v>
      </c>
      <c r="L1835" s="7">
        <v>-96.204171099999996</v>
      </c>
      <c r="M1835" s="6" t="s">
        <v>109</v>
      </c>
      <c r="N1835" s="6" t="s">
        <v>65</v>
      </c>
      <c r="O1835" s="6" t="s">
        <v>42</v>
      </c>
    </row>
    <row r="1836" spans="1:15" x14ac:dyDescent="0.25">
      <c r="A1836" s="6" t="s">
        <v>11184</v>
      </c>
      <c r="B1836" s="6" t="s">
        <v>11183</v>
      </c>
      <c r="C1836" s="6" t="s">
        <v>31</v>
      </c>
      <c r="E1836" s="6" t="s">
        <v>11182</v>
      </c>
      <c r="F1836" s="6" t="s">
        <v>11181</v>
      </c>
      <c r="G1836" s="6" t="s">
        <v>16</v>
      </c>
      <c r="H1836" s="6" t="s">
        <v>28</v>
      </c>
      <c r="I1836" s="6" t="s">
        <v>60</v>
      </c>
      <c r="J1836" s="6" t="s">
        <v>1451</v>
      </c>
      <c r="K1836" s="7">
        <v>32.170653000000001</v>
      </c>
      <c r="L1836" s="7">
        <v>-97.252808999999999</v>
      </c>
      <c r="M1836" s="6" t="s">
        <v>9091</v>
      </c>
      <c r="N1836" s="6" t="s">
        <v>23</v>
      </c>
      <c r="O1836" s="6" t="s">
        <v>120</v>
      </c>
    </row>
    <row r="1837" spans="1:15" x14ac:dyDescent="0.25">
      <c r="A1837" s="6" t="s">
        <v>11204</v>
      </c>
      <c r="B1837" s="6" t="s">
        <v>11203</v>
      </c>
      <c r="C1837" s="6" t="s">
        <v>31</v>
      </c>
      <c r="E1837" s="6" t="s">
        <v>11202</v>
      </c>
      <c r="F1837" s="6" t="s">
        <v>11201</v>
      </c>
      <c r="G1837" s="6" t="s">
        <v>16</v>
      </c>
      <c r="H1837" s="6" t="s">
        <v>15</v>
      </c>
      <c r="I1837" s="6" t="s">
        <v>36</v>
      </c>
      <c r="J1837" s="6" t="s">
        <v>35</v>
      </c>
      <c r="K1837" s="7">
        <v>29.691961150000001</v>
      </c>
      <c r="L1837" s="7">
        <v>-95.625044259999996</v>
      </c>
      <c r="M1837" s="6" t="s">
        <v>866</v>
      </c>
      <c r="N1837" s="6" t="s">
        <v>24</v>
      </c>
      <c r="O1837" s="6" t="s">
        <v>23</v>
      </c>
    </row>
    <row r="1838" spans="1:15" x14ac:dyDescent="0.25">
      <c r="A1838" s="6" t="s">
        <v>10976</v>
      </c>
      <c r="B1838" s="6" t="s">
        <v>10975</v>
      </c>
      <c r="C1838" s="6" t="s">
        <v>31</v>
      </c>
      <c r="E1838" s="6" t="s">
        <v>10974</v>
      </c>
      <c r="F1838" s="6" t="s">
        <v>10973</v>
      </c>
      <c r="G1838" s="6" t="s">
        <v>16</v>
      </c>
      <c r="H1838" s="6" t="s">
        <v>28</v>
      </c>
      <c r="I1838" s="6" t="s">
        <v>73</v>
      </c>
      <c r="J1838" s="6" t="s">
        <v>35</v>
      </c>
      <c r="K1838" s="7">
        <v>29.807449999999999</v>
      </c>
      <c r="L1838" s="7">
        <v>-95.727815000000007</v>
      </c>
      <c r="M1838" s="6" t="s">
        <v>131</v>
      </c>
      <c r="N1838" s="6" t="s">
        <v>24</v>
      </c>
      <c r="O1838" s="6" t="s">
        <v>23</v>
      </c>
    </row>
    <row r="1839" spans="1:15" x14ac:dyDescent="0.25">
      <c r="A1839" s="6" t="s">
        <v>11211</v>
      </c>
      <c r="B1839" s="6" t="s">
        <v>11210</v>
      </c>
      <c r="C1839" s="6" t="s">
        <v>31</v>
      </c>
      <c r="E1839" s="6" t="s">
        <v>11209</v>
      </c>
      <c r="F1839" s="6" t="s">
        <v>11208</v>
      </c>
      <c r="G1839" s="6" t="s">
        <v>16</v>
      </c>
      <c r="H1839" s="6" t="s">
        <v>28</v>
      </c>
      <c r="I1839" s="6" t="s">
        <v>799</v>
      </c>
      <c r="J1839" s="6" t="s">
        <v>35</v>
      </c>
      <c r="K1839" s="7">
        <v>29.632031999999999</v>
      </c>
      <c r="L1839" s="7">
        <v>-95.530839999999998</v>
      </c>
      <c r="M1839" s="6" t="s">
        <v>866</v>
      </c>
      <c r="N1839" s="6" t="s">
        <v>24</v>
      </c>
      <c r="O1839" s="6" t="s">
        <v>23</v>
      </c>
    </row>
    <row r="1840" spans="1:15" x14ac:dyDescent="0.25">
      <c r="A1840" s="6" t="s">
        <v>11200</v>
      </c>
      <c r="B1840" s="6" t="s">
        <v>11199</v>
      </c>
      <c r="C1840" s="6" t="s">
        <v>31</v>
      </c>
      <c r="E1840" s="6" t="s">
        <v>11198</v>
      </c>
      <c r="F1840" s="6" t="s">
        <v>11197</v>
      </c>
      <c r="G1840" s="6" t="s">
        <v>16</v>
      </c>
      <c r="H1840" s="6" t="s">
        <v>28</v>
      </c>
      <c r="I1840" s="6" t="s">
        <v>73</v>
      </c>
      <c r="J1840" s="6" t="s">
        <v>35</v>
      </c>
      <c r="K1840" s="7">
        <v>29.897915999999999</v>
      </c>
      <c r="L1840" s="7">
        <v>-95.348387000000002</v>
      </c>
      <c r="M1840" s="6" t="s">
        <v>34</v>
      </c>
      <c r="N1840" s="6" t="s">
        <v>24</v>
      </c>
      <c r="O1840" s="6" t="s">
        <v>23</v>
      </c>
    </row>
    <row r="1841" spans="1:15" x14ac:dyDescent="0.25">
      <c r="A1841" s="6" t="s">
        <v>3044</v>
      </c>
      <c r="B1841" s="6" t="s">
        <v>3043</v>
      </c>
      <c r="C1841" s="6" t="s">
        <v>31</v>
      </c>
      <c r="E1841" s="6" t="s">
        <v>3042</v>
      </c>
      <c r="F1841" s="6" t="s">
        <v>3041</v>
      </c>
      <c r="G1841" s="6" t="s">
        <v>16</v>
      </c>
      <c r="H1841" s="6" t="s">
        <v>15</v>
      </c>
      <c r="I1841" s="6" t="s">
        <v>73</v>
      </c>
      <c r="J1841" s="6" t="s">
        <v>209</v>
      </c>
      <c r="K1841" s="7">
        <v>33.995758170000002</v>
      </c>
      <c r="L1841" s="7">
        <v>-98.515232749999996</v>
      </c>
      <c r="M1841" s="6" t="s">
        <v>208</v>
      </c>
      <c r="N1841" s="6" t="s">
        <v>43</v>
      </c>
      <c r="O1841" s="6" t="s">
        <v>95</v>
      </c>
    </row>
    <row r="1842" spans="1:15" x14ac:dyDescent="0.25">
      <c r="A1842" s="6" t="s">
        <v>1159</v>
      </c>
      <c r="B1842" s="6" t="s">
        <v>1157</v>
      </c>
      <c r="C1842" s="6" t="s">
        <v>31</v>
      </c>
      <c r="E1842" s="6" t="s">
        <v>1156</v>
      </c>
      <c r="F1842" s="6" t="s">
        <v>1155</v>
      </c>
      <c r="G1842" s="6" t="s">
        <v>16</v>
      </c>
      <c r="H1842" s="6" t="s">
        <v>430</v>
      </c>
      <c r="I1842" s="6" t="s">
        <v>27</v>
      </c>
      <c r="J1842" s="6" t="s">
        <v>35</v>
      </c>
      <c r="K1842" s="7">
        <v>29.718938000000001</v>
      </c>
      <c r="L1842" s="7">
        <v>-95.188722999999996</v>
      </c>
      <c r="M1842" s="6" t="s">
        <v>866</v>
      </c>
      <c r="N1842" s="6" t="s">
        <v>24</v>
      </c>
      <c r="O1842" s="6" t="s">
        <v>23</v>
      </c>
    </row>
    <row r="1843" spans="1:15" x14ac:dyDescent="0.25">
      <c r="A1843" s="6" t="s">
        <v>1158</v>
      </c>
      <c r="B1843" s="6" t="s">
        <v>1157</v>
      </c>
      <c r="C1843" s="6" t="s">
        <v>19</v>
      </c>
      <c r="E1843" s="6" t="s">
        <v>1156</v>
      </c>
      <c r="F1843" s="6" t="s">
        <v>1155</v>
      </c>
      <c r="G1843" s="6" t="s">
        <v>16</v>
      </c>
      <c r="H1843" s="6" t="s">
        <v>430</v>
      </c>
      <c r="I1843" s="6" t="s">
        <v>27</v>
      </c>
      <c r="J1843" s="6" t="s">
        <v>35</v>
      </c>
      <c r="K1843" s="7">
        <v>29.717227149999999</v>
      </c>
      <c r="L1843" s="7">
        <v>-95.188871939999999</v>
      </c>
      <c r="M1843" s="6" t="s">
        <v>866</v>
      </c>
      <c r="N1843" s="6" t="s">
        <v>24</v>
      </c>
      <c r="O1843" s="6" t="s">
        <v>23</v>
      </c>
    </row>
    <row r="1844" spans="1:15" x14ac:dyDescent="0.25">
      <c r="A1844" s="6" t="s">
        <v>11188</v>
      </c>
      <c r="B1844" s="6" t="s">
        <v>11187</v>
      </c>
      <c r="C1844" s="6" t="s">
        <v>31</v>
      </c>
      <c r="E1844" s="6" t="s">
        <v>11186</v>
      </c>
      <c r="F1844" s="6" t="s">
        <v>11185</v>
      </c>
      <c r="G1844" s="6" t="s">
        <v>16</v>
      </c>
      <c r="H1844" s="6" t="s">
        <v>15</v>
      </c>
      <c r="I1844" s="6" t="s">
        <v>46</v>
      </c>
      <c r="J1844" s="6" t="s">
        <v>26</v>
      </c>
      <c r="K1844" s="7">
        <v>30.137954000000001</v>
      </c>
      <c r="L1844" s="7">
        <v>-95.203227999999996</v>
      </c>
      <c r="M1844" s="6" t="s">
        <v>59</v>
      </c>
      <c r="N1844" s="6" t="s">
        <v>24</v>
      </c>
      <c r="O1844" s="6" t="s">
        <v>23</v>
      </c>
    </row>
    <row r="1845" spans="1:15" x14ac:dyDescent="0.25">
      <c r="A1845" s="6" t="s">
        <v>11196</v>
      </c>
      <c r="B1845" s="6" t="s">
        <v>11195</v>
      </c>
      <c r="C1845" s="6" t="s">
        <v>31</v>
      </c>
      <c r="E1845" s="6" t="s">
        <v>11194</v>
      </c>
      <c r="F1845" s="6" t="s">
        <v>11193</v>
      </c>
      <c r="G1845" s="6" t="s">
        <v>16</v>
      </c>
      <c r="H1845" s="6" t="s">
        <v>28</v>
      </c>
      <c r="I1845" s="6" t="s">
        <v>14</v>
      </c>
      <c r="J1845" s="6" t="s">
        <v>35</v>
      </c>
      <c r="K1845" s="7">
        <v>29.88060217</v>
      </c>
      <c r="L1845" s="7">
        <v>-95.381351660000007</v>
      </c>
      <c r="M1845" s="6" t="s">
        <v>34</v>
      </c>
      <c r="N1845" s="6" t="s">
        <v>24</v>
      </c>
      <c r="O1845" s="6" t="s">
        <v>23</v>
      </c>
    </row>
    <row r="1846" spans="1:15" x14ac:dyDescent="0.25">
      <c r="A1846" s="6" t="s">
        <v>394</v>
      </c>
      <c r="B1846" s="6" t="s">
        <v>393</v>
      </c>
      <c r="C1846" s="6" t="s">
        <v>31</v>
      </c>
      <c r="E1846" s="6" t="s">
        <v>392</v>
      </c>
      <c r="F1846" s="6" t="s">
        <v>391</v>
      </c>
      <c r="G1846" s="6" t="s">
        <v>16</v>
      </c>
      <c r="H1846" s="6" t="s">
        <v>28</v>
      </c>
      <c r="I1846" s="6" t="s">
        <v>27</v>
      </c>
      <c r="J1846" s="6" t="s">
        <v>390</v>
      </c>
      <c r="K1846" s="7">
        <v>26.415448999999999</v>
      </c>
      <c r="L1846" s="7">
        <v>-97.767938000000001</v>
      </c>
      <c r="M1846" s="6" t="s">
        <v>89</v>
      </c>
      <c r="N1846" s="6" t="s">
        <v>11</v>
      </c>
      <c r="O1846" s="6" t="s">
        <v>22</v>
      </c>
    </row>
    <row r="1847" spans="1:15" x14ac:dyDescent="0.25">
      <c r="A1847" s="6" t="s">
        <v>10972</v>
      </c>
      <c r="B1847" s="6" t="s">
        <v>10971</v>
      </c>
      <c r="C1847" s="6" t="s">
        <v>31</v>
      </c>
      <c r="E1847" s="6" t="s">
        <v>10970</v>
      </c>
      <c r="F1847" s="6" t="s">
        <v>1259</v>
      </c>
      <c r="G1847" s="6" t="s">
        <v>16</v>
      </c>
      <c r="H1847" s="6" t="s">
        <v>28</v>
      </c>
      <c r="I1847" s="6" t="s">
        <v>14</v>
      </c>
      <c r="J1847" s="6" t="s">
        <v>35</v>
      </c>
      <c r="K1847" s="7">
        <v>29.985865100000002</v>
      </c>
      <c r="L1847" s="7">
        <v>-95.57002722</v>
      </c>
      <c r="M1847" s="6" t="s">
        <v>279</v>
      </c>
      <c r="N1847" s="6" t="s">
        <v>24</v>
      </c>
      <c r="O1847" s="6" t="s">
        <v>23</v>
      </c>
    </row>
    <row r="1848" spans="1:15" x14ac:dyDescent="0.25">
      <c r="A1848" s="6" t="s">
        <v>1300</v>
      </c>
      <c r="B1848" s="6" t="s">
        <v>1299</v>
      </c>
      <c r="C1848" s="6" t="s">
        <v>31</v>
      </c>
      <c r="E1848" s="6" t="s">
        <v>1298</v>
      </c>
      <c r="F1848" s="6" t="s">
        <v>1297</v>
      </c>
      <c r="G1848" s="6" t="s">
        <v>16</v>
      </c>
      <c r="H1848" s="6" t="s">
        <v>15</v>
      </c>
      <c r="I1848" s="6" t="s">
        <v>14</v>
      </c>
      <c r="J1848" s="6" t="s">
        <v>35</v>
      </c>
      <c r="K1848" s="7">
        <v>29.725985819999998</v>
      </c>
      <c r="L1848" s="7">
        <v>-95.080580940000004</v>
      </c>
      <c r="M1848" s="6" t="s">
        <v>701</v>
      </c>
      <c r="N1848" s="6" t="s">
        <v>24</v>
      </c>
      <c r="O1848" s="6" t="s">
        <v>23</v>
      </c>
    </row>
    <row r="1849" spans="1:15" x14ac:dyDescent="0.25">
      <c r="A1849" s="6" t="s">
        <v>9202</v>
      </c>
      <c r="B1849" s="6" t="s">
        <v>9201</v>
      </c>
      <c r="C1849" s="6" t="s">
        <v>31</v>
      </c>
      <c r="E1849" s="6" t="s">
        <v>9200</v>
      </c>
      <c r="F1849" s="6" t="s">
        <v>5708</v>
      </c>
      <c r="G1849" s="6" t="s">
        <v>16</v>
      </c>
      <c r="H1849" s="6" t="s">
        <v>15</v>
      </c>
      <c r="I1849" s="6" t="s">
        <v>36</v>
      </c>
      <c r="J1849" s="6" t="s">
        <v>35</v>
      </c>
      <c r="K1849" s="7">
        <v>29.945728089999999</v>
      </c>
      <c r="L1849" s="7">
        <v>-95.434542750000006</v>
      </c>
      <c r="M1849" s="6" t="s">
        <v>198</v>
      </c>
      <c r="N1849" s="6" t="s">
        <v>24</v>
      </c>
      <c r="O1849" s="6" t="s">
        <v>23</v>
      </c>
    </row>
    <row r="1850" spans="1:15" x14ac:dyDescent="0.25">
      <c r="A1850" s="6" t="s">
        <v>9870</v>
      </c>
      <c r="B1850" s="6" t="s">
        <v>9869</v>
      </c>
      <c r="C1850" s="6" t="s">
        <v>31</v>
      </c>
      <c r="E1850" s="6" t="s">
        <v>9868</v>
      </c>
      <c r="F1850" s="6" t="s">
        <v>513</v>
      </c>
      <c r="G1850" s="6" t="s">
        <v>16</v>
      </c>
      <c r="H1850" s="6" t="s">
        <v>15</v>
      </c>
      <c r="I1850" s="6" t="s">
        <v>36</v>
      </c>
      <c r="J1850" s="6" t="s">
        <v>512</v>
      </c>
      <c r="K1850" s="7">
        <v>27.445942819999999</v>
      </c>
      <c r="L1850" s="7">
        <v>-99.495016559999996</v>
      </c>
      <c r="M1850" s="6" t="s">
        <v>511</v>
      </c>
      <c r="N1850" s="6" t="s">
        <v>373</v>
      </c>
      <c r="O1850" s="6" t="s">
        <v>510</v>
      </c>
    </row>
    <row r="1851" spans="1:15" x14ac:dyDescent="0.25">
      <c r="A1851" s="6" t="s">
        <v>11180</v>
      </c>
      <c r="B1851" s="6" t="s">
        <v>11179</v>
      </c>
      <c r="C1851" s="6" t="s">
        <v>31</v>
      </c>
      <c r="E1851" s="6" t="s">
        <v>11178</v>
      </c>
      <c r="F1851" s="6" t="s">
        <v>11177</v>
      </c>
      <c r="G1851" s="6" t="s">
        <v>16</v>
      </c>
      <c r="H1851" s="6" t="s">
        <v>28</v>
      </c>
      <c r="I1851" s="6" t="s">
        <v>27</v>
      </c>
      <c r="J1851" s="6" t="s">
        <v>35</v>
      </c>
      <c r="K1851" s="7">
        <v>29.756893000000002</v>
      </c>
      <c r="L1851" s="7">
        <v>-95.712973000000005</v>
      </c>
      <c r="M1851" s="6" t="s">
        <v>131</v>
      </c>
      <c r="N1851" s="6" t="s">
        <v>24</v>
      </c>
      <c r="O1851" s="6" t="s">
        <v>23</v>
      </c>
    </row>
    <row r="1852" spans="1:15" x14ac:dyDescent="0.25">
      <c r="A1852" s="6" t="s">
        <v>11172</v>
      </c>
      <c r="B1852" s="6" t="s">
        <v>11171</v>
      </c>
      <c r="C1852" s="6" t="s">
        <v>31</v>
      </c>
      <c r="E1852" s="6" t="s">
        <v>11170</v>
      </c>
      <c r="F1852" s="6" t="s">
        <v>10691</v>
      </c>
      <c r="G1852" s="6" t="s">
        <v>16</v>
      </c>
      <c r="H1852" s="6" t="s">
        <v>28</v>
      </c>
      <c r="I1852" s="6" t="s">
        <v>60</v>
      </c>
      <c r="J1852" s="6" t="s">
        <v>162</v>
      </c>
      <c r="K1852" s="7">
        <v>29.579236999999999</v>
      </c>
      <c r="L1852" s="7">
        <v>-95.363620999999995</v>
      </c>
      <c r="M1852" s="6" t="s">
        <v>542</v>
      </c>
      <c r="N1852" s="6" t="s">
        <v>160</v>
      </c>
      <c r="O1852" s="6" t="s">
        <v>23</v>
      </c>
    </row>
    <row r="1853" spans="1:15" x14ac:dyDescent="0.25">
      <c r="A1853" s="6" t="s">
        <v>11176</v>
      </c>
      <c r="B1853" s="6" t="s">
        <v>11175</v>
      </c>
      <c r="C1853" s="6" t="s">
        <v>31</v>
      </c>
      <c r="E1853" s="6" t="s">
        <v>11174</v>
      </c>
      <c r="F1853" s="6" t="s">
        <v>11173</v>
      </c>
      <c r="G1853" s="6" t="s">
        <v>16</v>
      </c>
      <c r="H1853" s="6" t="s">
        <v>15</v>
      </c>
      <c r="I1853" s="6" t="s">
        <v>36</v>
      </c>
      <c r="J1853" s="6" t="s">
        <v>35</v>
      </c>
      <c r="K1853" s="7">
        <v>29.9726116</v>
      </c>
      <c r="L1853" s="7">
        <v>-95.431053480000003</v>
      </c>
      <c r="M1853" s="6" t="s">
        <v>198</v>
      </c>
      <c r="N1853" s="6" t="s">
        <v>24</v>
      </c>
      <c r="O1853" s="6" t="s">
        <v>23</v>
      </c>
    </row>
    <row r="1854" spans="1:15" x14ac:dyDescent="0.25">
      <c r="A1854" s="6" t="s">
        <v>479</v>
      </c>
      <c r="B1854" s="6" t="s">
        <v>478</v>
      </c>
      <c r="C1854" s="6" t="s">
        <v>31</v>
      </c>
      <c r="E1854" s="6" t="s">
        <v>477</v>
      </c>
      <c r="F1854" s="6" t="s">
        <v>476</v>
      </c>
      <c r="G1854" s="6" t="s">
        <v>16</v>
      </c>
      <c r="H1854" s="6" t="s">
        <v>28</v>
      </c>
      <c r="I1854" s="6" t="s">
        <v>27</v>
      </c>
      <c r="J1854" s="6" t="s">
        <v>132</v>
      </c>
      <c r="K1854" s="7">
        <v>29.712475000000001</v>
      </c>
      <c r="L1854" s="7">
        <v>-95.783364000000006</v>
      </c>
      <c r="M1854" s="6" t="s">
        <v>131</v>
      </c>
      <c r="N1854" s="6" t="s">
        <v>24</v>
      </c>
      <c r="O1854" s="6" t="s">
        <v>23</v>
      </c>
    </row>
    <row r="1855" spans="1:15" x14ac:dyDescent="0.25">
      <c r="A1855" s="6" t="s">
        <v>11169</v>
      </c>
      <c r="B1855" s="6" t="s">
        <v>11168</v>
      </c>
      <c r="C1855" s="6" t="s">
        <v>31</v>
      </c>
      <c r="E1855" s="6" t="s">
        <v>11167</v>
      </c>
      <c r="F1855" s="6" t="s">
        <v>11166</v>
      </c>
      <c r="G1855" s="6" t="s">
        <v>16</v>
      </c>
      <c r="H1855" s="6" t="s">
        <v>28</v>
      </c>
      <c r="I1855" s="6" t="s">
        <v>14</v>
      </c>
      <c r="J1855" s="6" t="s">
        <v>1861</v>
      </c>
      <c r="K1855" s="7">
        <v>30.64308587</v>
      </c>
      <c r="L1855" s="7">
        <v>-96.260800599999996</v>
      </c>
      <c r="M1855" s="6" t="s">
        <v>927</v>
      </c>
      <c r="N1855" s="6" t="s">
        <v>23</v>
      </c>
      <c r="O1855" s="6" t="s">
        <v>120</v>
      </c>
    </row>
    <row r="1856" spans="1:15" x14ac:dyDescent="0.25">
      <c r="A1856" s="6" t="s">
        <v>1273</v>
      </c>
      <c r="B1856" s="6" t="s">
        <v>1090</v>
      </c>
      <c r="C1856" s="6" t="s">
        <v>31</v>
      </c>
      <c r="E1856" s="6" t="s">
        <v>1089</v>
      </c>
      <c r="F1856" s="6" t="s">
        <v>1088</v>
      </c>
      <c r="G1856" s="6" t="s">
        <v>16</v>
      </c>
      <c r="H1856" s="6" t="s">
        <v>15</v>
      </c>
      <c r="I1856" s="6" t="s">
        <v>14</v>
      </c>
      <c r="J1856" s="6" t="s">
        <v>84</v>
      </c>
      <c r="K1856" s="7">
        <v>28.681667189999999</v>
      </c>
      <c r="L1856" s="7">
        <v>-96.5816667</v>
      </c>
      <c r="M1856" s="6" t="s">
        <v>1272</v>
      </c>
      <c r="N1856" s="6" t="s">
        <v>22</v>
      </c>
      <c r="O1856" s="6" t="s">
        <v>10</v>
      </c>
    </row>
    <row r="1857" spans="1:15" x14ac:dyDescent="0.25">
      <c r="A1857" s="6" t="s">
        <v>1271</v>
      </c>
      <c r="B1857" s="6" t="s">
        <v>1090</v>
      </c>
      <c r="C1857" s="6" t="s">
        <v>19</v>
      </c>
      <c r="E1857" s="6" t="s">
        <v>1089</v>
      </c>
      <c r="F1857" s="6" t="s">
        <v>1088</v>
      </c>
      <c r="G1857" s="6" t="s">
        <v>16</v>
      </c>
      <c r="H1857" s="6" t="s">
        <v>430</v>
      </c>
      <c r="I1857" s="6" t="s">
        <v>14</v>
      </c>
      <c r="J1857" s="6" t="s">
        <v>84</v>
      </c>
      <c r="K1857" s="7">
        <v>28.68410115</v>
      </c>
      <c r="L1857" s="7">
        <v>-96.538882830000006</v>
      </c>
      <c r="M1857" s="6" t="s">
        <v>1087</v>
      </c>
      <c r="N1857" s="6" t="s">
        <v>22</v>
      </c>
      <c r="O1857" s="6" t="s">
        <v>10</v>
      </c>
    </row>
    <row r="1858" spans="1:15" x14ac:dyDescent="0.25">
      <c r="A1858" s="6" t="s">
        <v>1270</v>
      </c>
      <c r="B1858" s="6" t="s">
        <v>1090</v>
      </c>
      <c r="C1858" s="6" t="s">
        <v>436</v>
      </c>
      <c r="E1858" s="6" t="s">
        <v>1089</v>
      </c>
      <c r="F1858" s="6" t="s">
        <v>1088</v>
      </c>
      <c r="G1858" s="6" t="s">
        <v>16</v>
      </c>
      <c r="H1858" s="6" t="s">
        <v>430</v>
      </c>
      <c r="I1858" s="6" t="s">
        <v>14</v>
      </c>
      <c r="J1858" s="6" t="s">
        <v>84</v>
      </c>
      <c r="K1858" s="7">
        <v>28.679444740000001</v>
      </c>
      <c r="L1858" s="7">
        <v>-96.54833515</v>
      </c>
      <c r="M1858" s="6" t="s">
        <v>1087</v>
      </c>
      <c r="N1858" s="6" t="s">
        <v>22</v>
      </c>
      <c r="O1858" s="6" t="s">
        <v>10</v>
      </c>
    </row>
    <row r="1859" spans="1:15" x14ac:dyDescent="0.25">
      <c r="A1859" s="6" t="s">
        <v>1269</v>
      </c>
      <c r="B1859" s="6" t="s">
        <v>1090</v>
      </c>
      <c r="C1859" s="6" t="s">
        <v>597</v>
      </c>
      <c r="E1859" s="6" t="s">
        <v>1089</v>
      </c>
      <c r="F1859" s="6" t="s">
        <v>1088</v>
      </c>
      <c r="G1859" s="6" t="s">
        <v>16</v>
      </c>
      <c r="H1859" s="6" t="s">
        <v>430</v>
      </c>
      <c r="I1859" s="6" t="s">
        <v>14</v>
      </c>
      <c r="J1859" s="6" t="s">
        <v>84</v>
      </c>
      <c r="K1859" s="7">
        <v>28.684199549999999</v>
      </c>
      <c r="L1859" s="7">
        <v>-96.538709569999995</v>
      </c>
      <c r="M1859" s="6" t="s">
        <v>1087</v>
      </c>
      <c r="N1859" s="6" t="s">
        <v>22</v>
      </c>
      <c r="O1859" s="6" t="s">
        <v>10</v>
      </c>
    </row>
    <row r="1860" spans="1:15" x14ac:dyDescent="0.25">
      <c r="A1860" s="6" t="s">
        <v>1268</v>
      </c>
      <c r="B1860" s="6" t="s">
        <v>1090</v>
      </c>
      <c r="C1860" s="6" t="s">
        <v>557</v>
      </c>
      <c r="E1860" s="6" t="s">
        <v>1089</v>
      </c>
      <c r="F1860" s="6" t="s">
        <v>1088</v>
      </c>
      <c r="G1860" s="6" t="s">
        <v>16</v>
      </c>
      <c r="H1860" s="6" t="s">
        <v>430</v>
      </c>
      <c r="I1860" s="6" t="s">
        <v>14</v>
      </c>
      <c r="J1860" s="6" t="s">
        <v>84</v>
      </c>
      <c r="K1860" s="7">
        <v>28.68500169</v>
      </c>
      <c r="L1860" s="7">
        <v>-96.536949039999996</v>
      </c>
      <c r="M1860" s="6" t="s">
        <v>1087</v>
      </c>
      <c r="N1860" s="6" t="s">
        <v>22</v>
      </c>
      <c r="O1860" s="6" t="s">
        <v>10</v>
      </c>
    </row>
    <row r="1861" spans="1:15" x14ac:dyDescent="0.25">
      <c r="A1861" s="6" t="s">
        <v>1267</v>
      </c>
      <c r="B1861" s="6" t="s">
        <v>1090</v>
      </c>
      <c r="C1861" s="6" t="s">
        <v>433</v>
      </c>
      <c r="E1861" s="6" t="s">
        <v>1089</v>
      </c>
      <c r="F1861" s="6" t="s">
        <v>1088</v>
      </c>
      <c r="G1861" s="6" t="s">
        <v>16</v>
      </c>
      <c r="H1861" s="6" t="s">
        <v>430</v>
      </c>
      <c r="I1861" s="6" t="s">
        <v>14</v>
      </c>
      <c r="J1861" s="6" t="s">
        <v>84</v>
      </c>
      <c r="K1861" s="7">
        <v>28.688887869999999</v>
      </c>
      <c r="L1861" s="7">
        <v>-96.529170789999995</v>
      </c>
      <c r="M1861" s="6" t="s">
        <v>1087</v>
      </c>
      <c r="N1861" s="6" t="s">
        <v>22</v>
      </c>
      <c r="O1861" s="6" t="s">
        <v>10</v>
      </c>
    </row>
    <row r="1862" spans="1:15" x14ac:dyDescent="0.25">
      <c r="A1862" s="6" t="s">
        <v>1099</v>
      </c>
      <c r="B1862" s="6" t="s">
        <v>1090</v>
      </c>
      <c r="C1862" s="6" t="s">
        <v>1098</v>
      </c>
      <c r="E1862" s="6" t="s">
        <v>1089</v>
      </c>
      <c r="F1862" s="6" t="s">
        <v>1088</v>
      </c>
      <c r="G1862" s="6" t="s">
        <v>16</v>
      </c>
      <c r="H1862" s="6" t="s">
        <v>430</v>
      </c>
      <c r="I1862" s="6" t="s">
        <v>14</v>
      </c>
      <c r="J1862" s="6" t="s">
        <v>84</v>
      </c>
      <c r="K1862" s="7">
        <v>28.692222990000001</v>
      </c>
      <c r="L1862" s="7">
        <v>-96.529166759999995</v>
      </c>
      <c r="M1862" s="6" t="s">
        <v>1087</v>
      </c>
      <c r="N1862" s="6" t="s">
        <v>22</v>
      </c>
      <c r="O1862" s="6" t="s">
        <v>10</v>
      </c>
    </row>
    <row r="1863" spans="1:15" x14ac:dyDescent="0.25">
      <c r="A1863" s="6" t="s">
        <v>1097</v>
      </c>
      <c r="B1863" s="6" t="s">
        <v>1090</v>
      </c>
      <c r="C1863" s="6" t="s">
        <v>1096</v>
      </c>
      <c r="E1863" s="6" t="s">
        <v>1089</v>
      </c>
      <c r="F1863" s="6" t="s">
        <v>1088</v>
      </c>
      <c r="G1863" s="6" t="s">
        <v>16</v>
      </c>
      <c r="H1863" s="6" t="s">
        <v>430</v>
      </c>
      <c r="I1863" s="6" t="s">
        <v>14</v>
      </c>
      <c r="J1863" s="6" t="s">
        <v>84</v>
      </c>
      <c r="K1863" s="7">
        <v>28.696943009999998</v>
      </c>
      <c r="L1863" s="7">
        <v>-96.530484029999997</v>
      </c>
      <c r="M1863" s="6" t="s">
        <v>1087</v>
      </c>
      <c r="N1863" s="6" t="s">
        <v>22</v>
      </c>
      <c r="O1863" s="6" t="s">
        <v>10</v>
      </c>
    </row>
    <row r="1864" spans="1:15" x14ac:dyDescent="0.25">
      <c r="A1864" s="6" t="s">
        <v>1095</v>
      </c>
      <c r="B1864" s="6" t="s">
        <v>1090</v>
      </c>
      <c r="C1864" s="6" t="s">
        <v>638</v>
      </c>
      <c r="E1864" s="6" t="s">
        <v>1089</v>
      </c>
      <c r="F1864" s="6" t="s">
        <v>1088</v>
      </c>
      <c r="G1864" s="6" t="s">
        <v>16</v>
      </c>
      <c r="H1864" s="6" t="s">
        <v>430</v>
      </c>
      <c r="I1864" s="6" t="s">
        <v>14</v>
      </c>
      <c r="J1864" s="6" t="s">
        <v>84</v>
      </c>
      <c r="K1864" s="7">
        <v>28.700124939999998</v>
      </c>
      <c r="L1864" s="7">
        <v>-96.531064430000001</v>
      </c>
      <c r="M1864" s="6" t="s">
        <v>1087</v>
      </c>
      <c r="N1864" s="6" t="s">
        <v>22</v>
      </c>
      <c r="O1864" s="6" t="s">
        <v>10</v>
      </c>
    </row>
    <row r="1865" spans="1:15" x14ac:dyDescent="0.25">
      <c r="A1865" s="6" t="s">
        <v>1094</v>
      </c>
      <c r="B1865" s="6" t="s">
        <v>1090</v>
      </c>
      <c r="C1865" s="6" t="s">
        <v>635</v>
      </c>
      <c r="E1865" s="6" t="s">
        <v>1089</v>
      </c>
      <c r="F1865" s="6" t="s">
        <v>1088</v>
      </c>
      <c r="G1865" s="6" t="s">
        <v>16</v>
      </c>
      <c r="H1865" s="6" t="s">
        <v>430</v>
      </c>
      <c r="I1865" s="6" t="s">
        <v>14</v>
      </c>
      <c r="J1865" s="6" t="s">
        <v>84</v>
      </c>
      <c r="K1865" s="7">
        <v>28.670522890000001</v>
      </c>
      <c r="L1865" s="7">
        <v>-96.553700649999996</v>
      </c>
      <c r="M1865" s="6" t="s">
        <v>1087</v>
      </c>
      <c r="N1865" s="6" t="s">
        <v>22</v>
      </c>
      <c r="O1865" s="6" t="s">
        <v>10</v>
      </c>
    </row>
    <row r="1866" spans="1:15" x14ac:dyDescent="0.25">
      <c r="A1866" s="6" t="s">
        <v>1093</v>
      </c>
      <c r="B1866" s="6" t="s">
        <v>1090</v>
      </c>
      <c r="C1866" s="6" t="s">
        <v>1092</v>
      </c>
      <c r="E1866" s="6" t="s">
        <v>1089</v>
      </c>
      <c r="F1866" s="6" t="s">
        <v>1088</v>
      </c>
      <c r="G1866" s="6" t="s">
        <v>16</v>
      </c>
      <c r="H1866" s="6" t="s">
        <v>430</v>
      </c>
      <c r="I1866" s="6" t="s">
        <v>14</v>
      </c>
      <c r="J1866" s="6" t="s">
        <v>84</v>
      </c>
      <c r="K1866" s="7">
        <v>28.646481619999999</v>
      </c>
      <c r="L1866" s="7">
        <v>-96.549017500000005</v>
      </c>
      <c r="M1866" s="6" t="s">
        <v>1087</v>
      </c>
      <c r="N1866" s="6" t="s">
        <v>22</v>
      </c>
      <c r="O1866" s="6" t="s">
        <v>10</v>
      </c>
    </row>
    <row r="1867" spans="1:15" x14ac:dyDescent="0.25">
      <c r="A1867" s="6" t="s">
        <v>1091</v>
      </c>
      <c r="B1867" s="6" t="s">
        <v>1090</v>
      </c>
      <c r="C1867" s="6" t="s">
        <v>869</v>
      </c>
      <c r="E1867" s="6" t="s">
        <v>1089</v>
      </c>
      <c r="F1867" s="6" t="s">
        <v>1088</v>
      </c>
      <c r="G1867" s="6" t="s">
        <v>16</v>
      </c>
      <c r="H1867" s="6" t="s">
        <v>430</v>
      </c>
      <c r="I1867" s="6" t="s">
        <v>14</v>
      </c>
      <c r="J1867" s="6" t="s">
        <v>84</v>
      </c>
      <c r="K1867" s="7">
        <v>28.706243659999998</v>
      </c>
      <c r="L1867" s="7">
        <v>-96.529317090000006</v>
      </c>
      <c r="M1867" s="6" t="s">
        <v>1087</v>
      </c>
      <c r="N1867" s="6" t="s">
        <v>22</v>
      </c>
      <c r="O1867" s="6" t="s">
        <v>10</v>
      </c>
    </row>
    <row r="1868" spans="1:15" x14ac:dyDescent="0.25">
      <c r="A1868" s="6" t="s">
        <v>11678</v>
      </c>
      <c r="B1868" s="6" t="s">
        <v>1090</v>
      </c>
      <c r="C1868" s="6" t="s">
        <v>1844</v>
      </c>
      <c r="E1868" s="6" t="s">
        <v>1089</v>
      </c>
      <c r="F1868" s="6" t="s">
        <v>1088</v>
      </c>
      <c r="G1868" s="6" t="s">
        <v>16</v>
      </c>
      <c r="H1868" s="6" t="s">
        <v>430</v>
      </c>
      <c r="I1868" s="6" t="s">
        <v>14</v>
      </c>
      <c r="J1868" s="6" t="s">
        <v>84</v>
      </c>
      <c r="K1868" s="7">
        <v>28.645638909999999</v>
      </c>
      <c r="L1868" s="7">
        <v>-96.537155810000002</v>
      </c>
      <c r="M1868" s="6" t="s">
        <v>1087</v>
      </c>
      <c r="N1868" s="6" t="s">
        <v>22</v>
      </c>
      <c r="O1868" s="6" t="s">
        <v>10</v>
      </c>
    </row>
    <row r="1869" spans="1:15" x14ac:dyDescent="0.25">
      <c r="A1869" s="6" t="s">
        <v>5043</v>
      </c>
      <c r="B1869" s="6" t="s">
        <v>1090</v>
      </c>
      <c r="C1869" s="6" t="s">
        <v>1189</v>
      </c>
      <c r="E1869" s="6" t="s">
        <v>1089</v>
      </c>
      <c r="F1869" s="6" t="s">
        <v>1088</v>
      </c>
      <c r="G1869" s="6" t="s">
        <v>284</v>
      </c>
      <c r="H1869" s="6" t="s">
        <v>430</v>
      </c>
      <c r="I1869" s="6" t="s">
        <v>14</v>
      </c>
      <c r="J1869" s="6" t="s">
        <v>84</v>
      </c>
      <c r="K1869" s="7">
        <v>28.709660100000001</v>
      </c>
      <c r="L1869" s="7">
        <v>-96.529811640000005</v>
      </c>
      <c r="M1869" s="6" t="s">
        <v>1087</v>
      </c>
      <c r="N1869" s="6" t="s">
        <v>22</v>
      </c>
      <c r="O1869" s="6" t="s">
        <v>10</v>
      </c>
    </row>
    <row r="1870" spans="1:15" x14ac:dyDescent="0.25">
      <c r="A1870" s="6" t="s">
        <v>11159</v>
      </c>
      <c r="B1870" s="6" t="s">
        <v>11158</v>
      </c>
      <c r="C1870" s="6" t="s">
        <v>31</v>
      </c>
      <c r="E1870" s="6" t="s">
        <v>11157</v>
      </c>
      <c r="F1870" s="6" t="s">
        <v>11156</v>
      </c>
      <c r="G1870" s="6" t="s">
        <v>16</v>
      </c>
      <c r="H1870" s="6" t="s">
        <v>15</v>
      </c>
      <c r="I1870" s="6" t="s">
        <v>799</v>
      </c>
      <c r="J1870" s="6" t="s">
        <v>35</v>
      </c>
      <c r="K1870" s="7">
        <v>29.890461999999999</v>
      </c>
      <c r="L1870" s="7">
        <v>-95.609961999999996</v>
      </c>
      <c r="M1870" s="6" t="s">
        <v>131</v>
      </c>
      <c r="N1870" s="6" t="s">
        <v>24</v>
      </c>
      <c r="O1870" s="6" t="s">
        <v>23</v>
      </c>
    </row>
    <row r="1871" spans="1:15" x14ac:dyDescent="0.25">
      <c r="A1871" s="6" t="s">
        <v>5558</v>
      </c>
      <c r="B1871" s="6" t="s">
        <v>5557</v>
      </c>
      <c r="C1871" s="6" t="s">
        <v>31</v>
      </c>
      <c r="E1871" s="6" t="s">
        <v>5556</v>
      </c>
      <c r="F1871" s="6" t="s">
        <v>4872</v>
      </c>
      <c r="G1871" s="6" t="s">
        <v>16</v>
      </c>
      <c r="H1871" s="6" t="s">
        <v>15</v>
      </c>
      <c r="I1871" s="6" t="s">
        <v>14</v>
      </c>
      <c r="J1871" s="6" t="s">
        <v>215</v>
      </c>
      <c r="K1871" s="7">
        <v>29.518543619999999</v>
      </c>
      <c r="L1871" s="7">
        <v>-95.097034690000001</v>
      </c>
      <c r="M1871" s="6" t="s">
        <v>1037</v>
      </c>
      <c r="N1871" s="6" t="s">
        <v>160</v>
      </c>
      <c r="O1871" s="6" t="s">
        <v>23</v>
      </c>
    </row>
    <row r="1872" spans="1:15" x14ac:dyDescent="0.25">
      <c r="A1872" s="6" t="s">
        <v>11162</v>
      </c>
      <c r="B1872" s="6" t="s">
        <v>11161</v>
      </c>
      <c r="C1872" s="6" t="s">
        <v>31</v>
      </c>
      <c r="E1872" s="6" t="s">
        <v>11160</v>
      </c>
      <c r="F1872" s="6" t="s">
        <v>895</v>
      </c>
      <c r="G1872" s="6" t="s">
        <v>16</v>
      </c>
      <c r="H1872" s="6" t="s">
        <v>28</v>
      </c>
      <c r="I1872" s="6" t="s">
        <v>60</v>
      </c>
      <c r="J1872" s="6" t="s">
        <v>35</v>
      </c>
      <c r="K1872" s="7">
        <v>30.096636</v>
      </c>
      <c r="L1872" s="7">
        <v>-95.506896999999995</v>
      </c>
      <c r="M1872" s="6" t="s">
        <v>731</v>
      </c>
      <c r="N1872" s="6" t="s">
        <v>24</v>
      </c>
      <c r="O1872" s="6" t="s">
        <v>23</v>
      </c>
    </row>
    <row r="1873" spans="1:15" x14ac:dyDescent="0.25">
      <c r="A1873" s="6" t="s">
        <v>11155</v>
      </c>
      <c r="B1873" s="6" t="s">
        <v>11154</v>
      </c>
      <c r="C1873" s="6" t="s">
        <v>31</v>
      </c>
      <c r="E1873" s="6" t="s">
        <v>11153</v>
      </c>
      <c r="F1873" s="6" t="s">
        <v>11152</v>
      </c>
      <c r="G1873" s="6" t="s">
        <v>16</v>
      </c>
      <c r="H1873" s="6" t="s">
        <v>28</v>
      </c>
      <c r="I1873" s="6" t="s">
        <v>73</v>
      </c>
      <c r="J1873" s="6" t="s">
        <v>97</v>
      </c>
      <c r="K1873" s="7">
        <v>33.597180000000002</v>
      </c>
      <c r="L1873" s="7">
        <v>-95.813417999999999</v>
      </c>
      <c r="M1873" s="6" t="s">
        <v>2115</v>
      </c>
      <c r="N1873" s="6" t="s">
        <v>95</v>
      </c>
      <c r="O1873" s="6" t="s">
        <v>65</v>
      </c>
    </row>
    <row r="1874" spans="1:15" x14ac:dyDescent="0.25">
      <c r="A1874" s="6" t="s">
        <v>11151</v>
      </c>
      <c r="B1874" s="6" t="s">
        <v>11150</v>
      </c>
      <c r="C1874" s="6" t="s">
        <v>31</v>
      </c>
      <c r="E1874" s="6" t="s">
        <v>11149</v>
      </c>
      <c r="F1874" s="6" t="s">
        <v>11148</v>
      </c>
      <c r="G1874" s="6" t="s">
        <v>16</v>
      </c>
      <c r="H1874" s="6" t="s">
        <v>15</v>
      </c>
      <c r="I1874" s="6" t="s">
        <v>14</v>
      </c>
      <c r="J1874" s="6" t="s">
        <v>221</v>
      </c>
      <c r="K1874" s="7">
        <v>30.494819360000001</v>
      </c>
      <c r="L1874" s="7">
        <v>-97.806250410000004</v>
      </c>
      <c r="M1874" s="6" t="s">
        <v>3908</v>
      </c>
      <c r="N1874" s="6" t="s">
        <v>23</v>
      </c>
      <c r="O1874" s="6" t="s">
        <v>160</v>
      </c>
    </row>
    <row r="1875" spans="1:15" x14ac:dyDescent="0.25">
      <c r="A1875" s="6" t="s">
        <v>1086</v>
      </c>
      <c r="B1875" s="6" t="s">
        <v>1084</v>
      </c>
      <c r="C1875" s="6" t="s">
        <v>31</v>
      </c>
      <c r="E1875" s="6" t="s">
        <v>1083</v>
      </c>
      <c r="F1875" s="6" t="s">
        <v>1082</v>
      </c>
      <c r="G1875" s="6" t="s">
        <v>16</v>
      </c>
      <c r="H1875" s="6" t="s">
        <v>15</v>
      </c>
      <c r="I1875" s="6" t="s">
        <v>14</v>
      </c>
      <c r="J1875" s="6" t="s">
        <v>132</v>
      </c>
      <c r="K1875" s="7">
        <v>29.59294384</v>
      </c>
      <c r="L1875" s="7">
        <v>-95.868432240000004</v>
      </c>
      <c r="M1875" s="6" t="s">
        <v>355</v>
      </c>
      <c r="N1875" s="6" t="s">
        <v>23</v>
      </c>
      <c r="O1875" s="6" t="s">
        <v>23</v>
      </c>
    </row>
    <row r="1876" spans="1:15" x14ac:dyDescent="0.25">
      <c r="A1876" s="6" t="s">
        <v>1085</v>
      </c>
      <c r="B1876" s="6" t="s">
        <v>1084</v>
      </c>
      <c r="C1876" s="6" t="s">
        <v>19</v>
      </c>
      <c r="E1876" s="6" t="s">
        <v>1083</v>
      </c>
      <c r="F1876" s="6" t="s">
        <v>1082</v>
      </c>
      <c r="G1876" s="6" t="s">
        <v>16</v>
      </c>
      <c r="H1876" s="6" t="s">
        <v>28</v>
      </c>
      <c r="I1876" s="6" t="s">
        <v>14</v>
      </c>
      <c r="J1876" s="6" t="s">
        <v>132</v>
      </c>
      <c r="K1876" s="7">
        <v>29.58193803</v>
      </c>
      <c r="L1876" s="7">
        <v>-95.869988269999993</v>
      </c>
      <c r="M1876" s="6" t="s">
        <v>355</v>
      </c>
      <c r="N1876" s="6" t="s">
        <v>23</v>
      </c>
      <c r="O1876" s="6" t="s">
        <v>23</v>
      </c>
    </row>
    <row r="1877" spans="1:15" x14ac:dyDescent="0.25">
      <c r="A1877" s="6" t="s">
        <v>1387</v>
      </c>
      <c r="B1877" s="6" t="s">
        <v>1084</v>
      </c>
      <c r="C1877" s="6" t="s">
        <v>436</v>
      </c>
      <c r="E1877" s="6" t="s">
        <v>1083</v>
      </c>
      <c r="F1877" s="6" t="s">
        <v>1082</v>
      </c>
      <c r="G1877" s="6" t="s">
        <v>16</v>
      </c>
      <c r="H1877" s="6" t="s">
        <v>15</v>
      </c>
      <c r="I1877" s="6" t="s">
        <v>14</v>
      </c>
      <c r="J1877" s="6" t="s">
        <v>132</v>
      </c>
      <c r="K1877" s="7">
        <v>29.596602699999998</v>
      </c>
      <c r="L1877" s="7">
        <v>-95.863600829999996</v>
      </c>
      <c r="M1877" s="6" t="s">
        <v>355</v>
      </c>
      <c r="N1877" s="6" t="s">
        <v>23</v>
      </c>
      <c r="O1877" s="6" t="s">
        <v>23</v>
      </c>
    </row>
    <row r="1878" spans="1:15" x14ac:dyDescent="0.25">
      <c r="A1878" s="6" t="s">
        <v>11124</v>
      </c>
      <c r="B1878" s="6" t="s">
        <v>11123</v>
      </c>
      <c r="C1878" s="6" t="s">
        <v>31</v>
      </c>
      <c r="E1878" s="6" t="s">
        <v>11122</v>
      </c>
      <c r="F1878" s="6" t="s">
        <v>10586</v>
      </c>
      <c r="G1878" s="6" t="s">
        <v>16</v>
      </c>
      <c r="H1878" s="6" t="s">
        <v>28</v>
      </c>
      <c r="I1878" s="6" t="s">
        <v>27</v>
      </c>
      <c r="J1878" s="6" t="s">
        <v>35</v>
      </c>
      <c r="K1878" s="7">
        <v>29.910550000000001</v>
      </c>
      <c r="L1878" s="7">
        <v>-95.542815000000004</v>
      </c>
      <c r="M1878" s="6" t="s">
        <v>77</v>
      </c>
      <c r="N1878" s="6" t="s">
        <v>24</v>
      </c>
      <c r="O1878" s="6" t="s">
        <v>23</v>
      </c>
    </row>
    <row r="1879" spans="1:15" x14ac:dyDescent="0.25">
      <c r="A1879" s="6" t="s">
        <v>11147</v>
      </c>
      <c r="B1879" s="6" t="s">
        <v>11146</v>
      </c>
      <c r="C1879" s="6" t="s">
        <v>31</v>
      </c>
      <c r="E1879" s="6" t="s">
        <v>11145</v>
      </c>
      <c r="F1879" s="6" t="s">
        <v>11144</v>
      </c>
      <c r="G1879" s="6" t="s">
        <v>16</v>
      </c>
      <c r="H1879" s="6" t="s">
        <v>28</v>
      </c>
      <c r="I1879" s="6" t="s">
        <v>1200</v>
      </c>
      <c r="J1879" s="6" t="s">
        <v>35</v>
      </c>
      <c r="K1879" s="7">
        <v>29.875377</v>
      </c>
      <c r="L1879" s="7">
        <v>-95.623621</v>
      </c>
      <c r="M1879" s="6" t="s">
        <v>131</v>
      </c>
      <c r="N1879" s="6" t="s">
        <v>24</v>
      </c>
      <c r="O1879" s="6" t="s">
        <v>23</v>
      </c>
    </row>
    <row r="1880" spans="1:15" x14ac:dyDescent="0.25">
      <c r="A1880" s="6" t="s">
        <v>1078</v>
      </c>
      <c r="B1880" s="6" t="s">
        <v>1077</v>
      </c>
      <c r="C1880" s="6" t="s">
        <v>31</v>
      </c>
      <c r="E1880" s="6" t="s">
        <v>1076</v>
      </c>
      <c r="F1880" s="6" t="s">
        <v>1075</v>
      </c>
      <c r="G1880" s="6" t="s">
        <v>16</v>
      </c>
      <c r="H1880" s="6" t="s">
        <v>15</v>
      </c>
      <c r="I1880" s="6" t="s">
        <v>14</v>
      </c>
      <c r="J1880" s="6" t="s">
        <v>1074</v>
      </c>
      <c r="K1880" s="7">
        <v>29.759753880000002</v>
      </c>
      <c r="L1880" s="7">
        <v>-96.217160430000007</v>
      </c>
      <c r="M1880" s="6" t="s">
        <v>1063</v>
      </c>
      <c r="N1880" s="6" t="s">
        <v>231</v>
      </c>
      <c r="O1880" s="6" t="s">
        <v>23</v>
      </c>
    </row>
    <row r="1881" spans="1:15" x14ac:dyDescent="0.25">
      <c r="A1881" s="6" t="s">
        <v>4705</v>
      </c>
      <c r="B1881" s="6" t="s">
        <v>4704</v>
      </c>
      <c r="C1881" s="6" t="s">
        <v>31</v>
      </c>
      <c r="E1881" s="6" t="s">
        <v>4703</v>
      </c>
      <c r="F1881" s="6" t="s">
        <v>4702</v>
      </c>
      <c r="G1881" s="6" t="s">
        <v>16</v>
      </c>
      <c r="H1881" s="6" t="s">
        <v>28</v>
      </c>
      <c r="I1881" s="6" t="s">
        <v>60</v>
      </c>
      <c r="J1881" s="6" t="s">
        <v>853</v>
      </c>
      <c r="K1881" s="7">
        <v>29.80226197</v>
      </c>
      <c r="L1881" s="7">
        <v>-94.835815249999996</v>
      </c>
      <c r="M1881" s="6" t="s">
        <v>894</v>
      </c>
      <c r="N1881" s="6" t="s">
        <v>102</v>
      </c>
      <c r="O1881" s="6" t="s">
        <v>23</v>
      </c>
    </row>
    <row r="1882" spans="1:15" x14ac:dyDescent="0.25">
      <c r="A1882" s="6" t="s">
        <v>2544</v>
      </c>
      <c r="B1882" s="6" t="s">
        <v>2541</v>
      </c>
      <c r="C1882" s="6" t="s">
        <v>31</v>
      </c>
      <c r="E1882" s="6" t="s">
        <v>2540</v>
      </c>
      <c r="F1882" s="6" t="s">
        <v>2539</v>
      </c>
      <c r="G1882" s="6" t="s">
        <v>16</v>
      </c>
      <c r="H1882" s="6" t="s">
        <v>15</v>
      </c>
      <c r="I1882" s="6" t="s">
        <v>36</v>
      </c>
      <c r="J1882" s="6" t="s">
        <v>35</v>
      </c>
      <c r="K1882" s="7">
        <v>29.757086659999999</v>
      </c>
      <c r="L1882" s="7">
        <v>-95.097588569999999</v>
      </c>
      <c r="M1882" s="6" t="s">
        <v>34</v>
      </c>
      <c r="N1882" s="6" t="s">
        <v>24</v>
      </c>
      <c r="O1882" s="6" t="s">
        <v>23</v>
      </c>
    </row>
    <row r="1883" spans="1:15" x14ac:dyDescent="0.25">
      <c r="A1883" s="6" t="s">
        <v>2543</v>
      </c>
      <c r="B1883" s="6" t="s">
        <v>2541</v>
      </c>
      <c r="C1883" s="6" t="s">
        <v>19</v>
      </c>
      <c r="E1883" s="6" t="s">
        <v>2540</v>
      </c>
      <c r="F1883" s="6" t="s">
        <v>2539</v>
      </c>
      <c r="G1883" s="6" t="s">
        <v>16</v>
      </c>
      <c r="H1883" s="6" t="s">
        <v>15</v>
      </c>
      <c r="I1883" s="6" t="s">
        <v>36</v>
      </c>
      <c r="J1883" s="6" t="s">
        <v>35</v>
      </c>
      <c r="K1883" s="7">
        <v>29.757524029999999</v>
      </c>
      <c r="L1883" s="7">
        <v>-95.09848676</v>
      </c>
      <c r="M1883" s="6" t="s">
        <v>34</v>
      </c>
      <c r="N1883" s="6" t="s">
        <v>24</v>
      </c>
      <c r="O1883" s="6" t="s">
        <v>23</v>
      </c>
    </row>
    <row r="1884" spans="1:15" x14ac:dyDescent="0.25">
      <c r="A1884" s="6" t="s">
        <v>2542</v>
      </c>
      <c r="B1884" s="6" t="s">
        <v>2541</v>
      </c>
      <c r="C1884" s="6" t="s">
        <v>436</v>
      </c>
      <c r="E1884" s="6" t="s">
        <v>2540</v>
      </c>
      <c r="F1884" s="6" t="s">
        <v>2539</v>
      </c>
      <c r="G1884" s="6" t="s">
        <v>16</v>
      </c>
      <c r="H1884" s="6" t="s">
        <v>15</v>
      </c>
      <c r="I1884" s="6" t="s">
        <v>36</v>
      </c>
      <c r="J1884" s="6" t="s">
        <v>35</v>
      </c>
      <c r="K1884" s="7">
        <v>29.75645145</v>
      </c>
      <c r="L1884" s="7">
        <v>-95.096633560000001</v>
      </c>
      <c r="M1884" s="6" t="s">
        <v>34</v>
      </c>
      <c r="N1884" s="6" t="s">
        <v>24</v>
      </c>
      <c r="O1884" s="6" t="s">
        <v>23</v>
      </c>
    </row>
    <row r="1885" spans="1:15" x14ac:dyDescent="0.25">
      <c r="A1885" s="6" t="s">
        <v>1081</v>
      </c>
      <c r="B1885" s="6" t="s">
        <v>1080</v>
      </c>
      <c r="C1885" s="6" t="s">
        <v>31</v>
      </c>
      <c r="E1885" s="6" t="s">
        <v>1079</v>
      </c>
      <c r="F1885" s="6" t="s">
        <v>472</v>
      </c>
      <c r="G1885" s="6" t="s">
        <v>16</v>
      </c>
      <c r="H1885" s="6" t="s">
        <v>430</v>
      </c>
      <c r="I1885" s="6" t="s">
        <v>799</v>
      </c>
      <c r="J1885" s="6" t="s">
        <v>35</v>
      </c>
      <c r="K1885" s="7">
        <v>29.875824000000001</v>
      </c>
      <c r="L1885" s="7">
        <v>-95.577270999999996</v>
      </c>
      <c r="M1885" s="6" t="s">
        <v>131</v>
      </c>
      <c r="N1885" s="6" t="s">
        <v>24</v>
      </c>
      <c r="O1885" s="6" t="s">
        <v>23</v>
      </c>
    </row>
    <row r="1886" spans="1:15" x14ac:dyDescent="0.25">
      <c r="A1886" s="6" t="s">
        <v>3805</v>
      </c>
      <c r="B1886" s="6" t="s">
        <v>1080</v>
      </c>
      <c r="C1886" s="6" t="s">
        <v>19</v>
      </c>
      <c r="E1886" s="6" t="s">
        <v>1079</v>
      </c>
      <c r="F1886" s="6" t="s">
        <v>472</v>
      </c>
      <c r="G1886" s="6" t="s">
        <v>16</v>
      </c>
      <c r="H1886" s="6" t="s">
        <v>430</v>
      </c>
      <c r="I1886" s="6" t="s">
        <v>799</v>
      </c>
      <c r="J1886" s="6" t="s">
        <v>35</v>
      </c>
      <c r="K1886" s="7">
        <v>29.875824000000001</v>
      </c>
      <c r="L1886" s="7">
        <v>-95.577270999999996</v>
      </c>
      <c r="M1886" s="6" t="s">
        <v>131</v>
      </c>
      <c r="N1886" s="6" t="s">
        <v>24</v>
      </c>
      <c r="O1886" s="6" t="s">
        <v>23</v>
      </c>
    </row>
    <row r="1887" spans="1:15" x14ac:dyDescent="0.25">
      <c r="A1887" s="6" t="s">
        <v>5727</v>
      </c>
      <c r="B1887" s="6" t="s">
        <v>1080</v>
      </c>
      <c r="C1887" s="6" t="s">
        <v>436</v>
      </c>
      <c r="E1887" s="6" t="s">
        <v>1079</v>
      </c>
      <c r="F1887" s="6" t="s">
        <v>472</v>
      </c>
      <c r="G1887" s="6" t="s">
        <v>16</v>
      </c>
      <c r="H1887" s="6" t="s">
        <v>430</v>
      </c>
      <c r="I1887" s="6" t="s">
        <v>799</v>
      </c>
      <c r="J1887" s="6" t="s">
        <v>35</v>
      </c>
      <c r="K1887" s="7">
        <v>29.875824000000001</v>
      </c>
      <c r="L1887" s="7">
        <v>-95.577270999999996</v>
      </c>
      <c r="M1887" s="6" t="s">
        <v>131</v>
      </c>
      <c r="N1887" s="6" t="s">
        <v>24</v>
      </c>
      <c r="O1887" s="6" t="s">
        <v>23</v>
      </c>
    </row>
    <row r="1888" spans="1:15" x14ac:dyDescent="0.25">
      <c r="A1888" s="6" t="s">
        <v>11132</v>
      </c>
      <c r="B1888" s="6" t="s">
        <v>11131</v>
      </c>
      <c r="C1888" s="6" t="s">
        <v>31</v>
      </c>
      <c r="E1888" s="6" t="s">
        <v>11130</v>
      </c>
      <c r="F1888" s="6" t="s">
        <v>11129</v>
      </c>
      <c r="G1888" s="6" t="s">
        <v>16</v>
      </c>
      <c r="H1888" s="6" t="s">
        <v>28</v>
      </c>
      <c r="I1888" s="6" t="s">
        <v>46</v>
      </c>
      <c r="J1888" s="6" t="s">
        <v>35</v>
      </c>
      <c r="K1888" s="7">
        <v>29.981211999999999</v>
      </c>
      <c r="L1888" s="7">
        <v>-95.700345999999996</v>
      </c>
      <c r="M1888" s="6" t="s">
        <v>279</v>
      </c>
      <c r="N1888" s="6" t="s">
        <v>24</v>
      </c>
      <c r="O1888" s="6" t="s">
        <v>23</v>
      </c>
    </row>
    <row r="1889" spans="1:15" x14ac:dyDescent="0.25">
      <c r="A1889" s="6" t="s">
        <v>12245</v>
      </c>
      <c r="B1889" s="6" t="s">
        <v>12244</v>
      </c>
      <c r="C1889" s="6" t="s">
        <v>436</v>
      </c>
      <c r="E1889" s="6" t="s">
        <v>12243</v>
      </c>
      <c r="F1889" s="6" t="s">
        <v>12242</v>
      </c>
      <c r="G1889" s="6" t="s">
        <v>16</v>
      </c>
      <c r="H1889" s="6" t="s">
        <v>15</v>
      </c>
      <c r="I1889" s="6" t="s">
        <v>14</v>
      </c>
      <c r="J1889" s="6" t="s">
        <v>2178</v>
      </c>
      <c r="K1889" s="7">
        <v>31.66399079</v>
      </c>
      <c r="L1889" s="7">
        <v>-106.26264146</v>
      </c>
      <c r="M1889" s="6" t="s">
        <v>945</v>
      </c>
      <c r="N1889" s="6" t="s">
        <v>373</v>
      </c>
      <c r="O1889" s="6" t="s">
        <v>52</v>
      </c>
    </row>
    <row r="1890" spans="1:15" x14ac:dyDescent="0.25">
      <c r="A1890" s="6" t="s">
        <v>10569</v>
      </c>
      <c r="B1890" s="6" t="s">
        <v>10568</v>
      </c>
      <c r="C1890" s="6" t="s">
        <v>31</v>
      </c>
      <c r="E1890" s="6" t="s">
        <v>10567</v>
      </c>
      <c r="F1890" s="6" t="s">
        <v>10566</v>
      </c>
      <c r="G1890" s="6" t="s">
        <v>16</v>
      </c>
      <c r="H1890" s="6" t="s">
        <v>28</v>
      </c>
      <c r="I1890" s="6" t="s">
        <v>60</v>
      </c>
      <c r="J1890" s="6" t="s">
        <v>356</v>
      </c>
      <c r="K1890" s="7">
        <v>30.095929000000002</v>
      </c>
      <c r="L1890" s="7">
        <v>-95.839202</v>
      </c>
      <c r="M1890" s="6" t="s">
        <v>731</v>
      </c>
      <c r="N1890" s="6" t="s">
        <v>24</v>
      </c>
      <c r="O1890" s="6" t="s">
        <v>23</v>
      </c>
    </row>
    <row r="1891" spans="1:15" x14ac:dyDescent="0.25">
      <c r="A1891" s="6" t="s">
        <v>6918</v>
      </c>
      <c r="B1891" s="6" t="s">
        <v>6917</v>
      </c>
      <c r="C1891" s="6" t="s">
        <v>31</v>
      </c>
      <c r="E1891" s="6" t="s">
        <v>6916</v>
      </c>
      <c r="F1891" s="6" t="s">
        <v>6915</v>
      </c>
      <c r="G1891" s="6" t="s">
        <v>16</v>
      </c>
      <c r="H1891" s="6" t="s">
        <v>28</v>
      </c>
      <c r="I1891" s="6" t="s">
        <v>60</v>
      </c>
      <c r="J1891" s="6" t="s">
        <v>1519</v>
      </c>
      <c r="K1891" s="7">
        <v>29.96713987</v>
      </c>
      <c r="L1891" s="7">
        <v>-94.98444413</v>
      </c>
      <c r="M1891" s="6" t="s">
        <v>914</v>
      </c>
      <c r="N1891" s="6" t="s">
        <v>120</v>
      </c>
      <c r="O1891" s="6" t="s">
        <v>23</v>
      </c>
    </row>
    <row r="1892" spans="1:15" x14ac:dyDescent="0.25">
      <c r="A1892" s="6" t="s">
        <v>11121</v>
      </c>
      <c r="B1892" s="6" t="s">
        <v>6917</v>
      </c>
      <c r="C1892" s="6" t="s">
        <v>19</v>
      </c>
      <c r="E1892" s="6" t="s">
        <v>6916</v>
      </c>
      <c r="F1892" s="6" t="s">
        <v>6915</v>
      </c>
      <c r="G1892" s="6" t="s">
        <v>16</v>
      </c>
      <c r="H1892" s="6" t="s">
        <v>28</v>
      </c>
      <c r="I1892" s="6" t="s">
        <v>60</v>
      </c>
      <c r="J1892" s="6" t="s">
        <v>1519</v>
      </c>
      <c r="K1892" s="7">
        <v>29.971991760000002</v>
      </c>
      <c r="L1892" s="7">
        <v>-94.983993630000001</v>
      </c>
      <c r="M1892" s="6" t="s">
        <v>914</v>
      </c>
      <c r="N1892" s="6" t="s">
        <v>120</v>
      </c>
      <c r="O1892" s="6" t="s">
        <v>23</v>
      </c>
    </row>
    <row r="1893" spans="1:15" x14ac:dyDescent="0.25">
      <c r="A1893" s="6" t="s">
        <v>2240</v>
      </c>
      <c r="B1893" s="6" t="s">
        <v>2239</v>
      </c>
      <c r="C1893" s="6" t="s">
        <v>31</v>
      </c>
      <c r="E1893" s="6" t="s">
        <v>2238</v>
      </c>
      <c r="F1893" s="6" t="s">
        <v>2237</v>
      </c>
      <c r="G1893" s="6" t="s">
        <v>16</v>
      </c>
      <c r="H1893" s="6" t="s">
        <v>28</v>
      </c>
      <c r="I1893" s="6" t="s">
        <v>60</v>
      </c>
      <c r="J1893" s="6" t="s">
        <v>35</v>
      </c>
      <c r="K1893" s="7">
        <v>29.766684739999999</v>
      </c>
      <c r="L1893" s="7">
        <v>-95.133442489999993</v>
      </c>
      <c r="M1893" s="6" t="s">
        <v>34</v>
      </c>
      <c r="N1893" s="6" t="s">
        <v>24</v>
      </c>
      <c r="O1893" s="6" t="s">
        <v>23</v>
      </c>
    </row>
    <row r="1894" spans="1:15" x14ac:dyDescent="0.25">
      <c r="A1894" s="6" t="s">
        <v>11128</v>
      </c>
      <c r="B1894" s="6" t="s">
        <v>11127</v>
      </c>
      <c r="C1894" s="6" t="s">
        <v>31</v>
      </c>
      <c r="E1894" s="6" t="s">
        <v>11126</v>
      </c>
      <c r="F1894" s="6" t="s">
        <v>11125</v>
      </c>
      <c r="G1894" s="6" t="s">
        <v>16</v>
      </c>
      <c r="H1894" s="6" t="s">
        <v>15</v>
      </c>
      <c r="I1894" s="6" t="s">
        <v>14</v>
      </c>
      <c r="J1894" s="6" t="s">
        <v>162</v>
      </c>
      <c r="K1894" s="7">
        <v>29.542424919999998</v>
      </c>
      <c r="L1894" s="7">
        <v>-95.345035690000003</v>
      </c>
      <c r="M1894" s="6" t="s">
        <v>542</v>
      </c>
      <c r="N1894" s="6" t="s">
        <v>160</v>
      </c>
      <c r="O1894" s="6" t="s">
        <v>23</v>
      </c>
    </row>
    <row r="1895" spans="1:15" x14ac:dyDescent="0.25">
      <c r="A1895" s="6" t="s">
        <v>11120</v>
      </c>
      <c r="B1895" s="6" t="s">
        <v>11119</v>
      </c>
      <c r="C1895" s="6" t="s">
        <v>31</v>
      </c>
      <c r="E1895" s="6" t="s">
        <v>11118</v>
      </c>
      <c r="F1895" s="6" t="s">
        <v>11117</v>
      </c>
      <c r="G1895" s="6" t="s">
        <v>16</v>
      </c>
      <c r="H1895" s="6" t="s">
        <v>28</v>
      </c>
      <c r="I1895" s="6" t="s">
        <v>60</v>
      </c>
      <c r="J1895" s="6" t="s">
        <v>35</v>
      </c>
      <c r="K1895" s="7">
        <v>29.789284840000001</v>
      </c>
      <c r="L1895" s="7">
        <v>-95.707880939999995</v>
      </c>
      <c r="M1895" s="6" t="s">
        <v>131</v>
      </c>
      <c r="N1895" s="6" t="s">
        <v>24</v>
      </c>
      <c r="O1895" s="6" t="s">
        <v>23</v>
      </c>
    </row>
    <row r="1896" spans="1:15" x14ac:dyDescent="0.25">
      <c r="A1896" s="6" t="s">
        <v>1069</v>
      </c>
      <c r="B1896" s="6" t="s">
        <v>1067</v>
      </c>
      <c r="C1896" s="6" t="s">
        <v>31</v>
      </c>
      <c r="E1896" s="6" t="s">
        <v>1066</v>
      </c>
      <c r="F1896" s="6" t="s">
        <v>1065</v>
      </c>
      <c r="G1896" s="6" t="s">
        <v>16</v>
      </c>
      <c r="H1896" s="6" t="s">
        <v>15</v>
      </c>
      <c r="I1896" s="6" t="s">
        <v>14</v>
      </c>
      <c r="J1896" s="6" t="s">
        <v>1064</v>
      </c>
      <c r="K1896" s="7">
        <v>29.437372889999999</v>
      </c>
      <c r="L1896" s="7">
        <v>-96.017618409999997</v>
      </c>
      <c r="M1896" s="6" t="s">
        <v>1063</v>
      </c>
      <c r="N1896" s="6" t="s">
        <v>231</v>
      </c>
      <c r="O1896" s="6" t="s">
        <v>23</v>
      </c>
    </row>
    <row r="1897" spans="1:15" x14ac:dyDescent="0.25">
      <c r="A1897" s="6" t="s">
        <v>1068</v>
      </c>
      <c r="B1897" s="6" t="s">
        <v>1067</v>
      </c>
      <c r="C1897" s="6" t="s">
        <v>19</v>
      </c>
      <c r="E1897" s="6" t="s">
        <v>1066</v>
      </c>
      <c r="F1897" s="6" t="s">
        <v>1065</v>
      </c>
      <c r="G1897" s="6" t="s">
        <v>16</v>
      </c>
      <c r="H1897" s="6" t="s">
        <v>430</v>
      </c>
      <c r="I1897" s="6" t="s">
        <v>14</v>
      </c>
      <c r="J1897" s="6" t="s">
        <v>1064</v>
      </c>
      <c r="K1897" s="7">
        <v>29.437372830000001</v>
      </c>
      <c r="L1897" s="7">
        <v>-96.017618389999996</v>
      </c>
      <c r="M1897" s="6" t="s">
        <v>1063</v>
      </c>
      <c r="N1897" s="6" t="s">
        <v>231</v>
      </c>
      <c r="O1897" s="6" t="s">
        <v>23</v>
      </c>
    </row>
    <row r="1898" spans="1:15" x14ac:dyDescent="0.25">
      <c r="A1898" s="6" t="s">
        <v>5759</v>
      </c>
      <c r="B1898" s="6" t="s">
        <v>5758</v>
      </c>
      <c r="C1898" s="6" t="s">
        <v>31</v>
      </c>
      <c r="E1898" s="6" t="s">
        <v>5757</v>
      </c>
      <c r="F1898" s="6" t="s">
        <v>697</v>
      </c>
      <c r="G1898" s="6" t="s">
        <v>16</v>
      </c>
      <c r="H1898" s="6" t="s">
        <v>15</v>
      </c>
      <c r="I1898" s="6" t="s">
        <v>14</v>
      </c>
      <c r="J1898" s="6" t="s">
        <v>1240</v>
      </c>
      <c r="K1898" s="7">
        <v>28.619584060000001</v>
      </c>
      <c r="L1898" s="7">
        <v>-96.935418229999996</v>
      </c>
      <c r="M1898" s="6" t="s">
        <v>83</v>
      </c>
      <c r="N1898" s="6" t="s">
        <v>82</v>
      </c>
      <c r="O1898" s="6" t="s">
        <v>10</v>
      </c>
    </row>
    <row r="1899" spans="1:15" x14ac:dyDescent="0.25">
      <c r="A1899" s="6" t="s">
        <v>3957</v>
      </c>
      <c r="B1899" s="6" t="s">
        <v>3956</v>
      </c>
      <c r="C1899" s="6" t="s">
        <v>31</v>
      </c>
      <c r="E1899" s="6" t="s">
        <v>3955</v>
      </c>
      <c r="F1899" s="6" t="s">
        <v>3954</v>
      </c>
      <c r="G1899" s="6" t="s">
        <v>16</v>
      </c>
      <c r="H1899" s="6" t="s">
        <v>591</v>
      </c>
      <c r="I1899" s="6" t="s">
        <v>14</v>
      </c>
      <c r="J1899" s="6" t="s">
        <v>928</v>
      </c>
      <c r="K1899" s="7">
        <v>31.40528054</v>
      </c>
      <c r="L1899" s="7">
        <v>-96.240566529999995</v>
      </c>
      <c r="M1899" s="6" t="s">
        <v>1274</v>
      </c>
      <c r="N1899" s="6" t="s">
        <v>23</v>
      </c>
      <c r="O1899" s="6" t="s">
        <v>120</v>
      </c>
    </row>
    <row r="1900" spans="1:15" x14ac:dyDescent="0.25">
      <c r="A1900" s="6" t="s">
        <v>1073</v>
      </c>
      <c r="B1900" s="6" t="s">
        <v>1072</v>
      </c>
      <c r="C1900" s="6" t="s">
        <v>31</v>
      </c>
      <c r="E1900" s="6" t="s">
        <v>1071</v>
      </c>
      <c r="F1900" s="6" t="s">
        <v>1070</v>
      </c>
      <c r="G1900" s="6" t="s">
        <v>16</v>
      </c>
      <c r="H1900" s="6" t="s">
        <v>15</v>
      </c>
      <c r="I1900" s="6" t="s">
        <v>14</v>
      </c>
      <c r="J1900" s="6" t="s">
        <v>215</v>
      </c>
      <c r="K1900" s="7">
        <v>29.314010320000001</v>
      </c>
      <c r="L1900" s="7">
        <v>-94.809648600000003</v>
      </c>
      <c r="M1900" s="6" t="s">
        <v>496</v>
      </c>
      <c r="N1900" s="6" t="s">
        <v>160</v>
      </c>
      <c r="O1900" s="6" t="s">
        <v>23</v>
      </c>
    </row>
    <row r="1901" spans="1:15" x14ac:dyDescent="0.25">
      <c r="A1901" s="6" t="s">
        <v>11116</v>
      </c>
      <c r="B1901" s="6" t="s">
        <v>11115</v>
      </c>
      <c r="C1901" s="6" t="s">
        <v>31</v>
      </c>
      <c r="E1901" s="6" t="s">
        <v>11114</v>
      </c>
      <c r="F1901" s="6" t="s">
        <v>2029</v>
      </c>
      <c r="G1901" s="6" t="s">
        <v>16</v>
      </c>
      <c r="H1901" s="6" t="s">
        <v>28</v>
      </c>
      <c r="I1901" s="6" t="s">
        <v>27</v>
      </c>
      <c r="J1901" s="6" t="s">
        <v>26</v>
      </c>
      <c r="K1901" s="7">
        <v>30.393311000000001</v>
      </c>
      <c r="L1901" s="7">
        <v>-95.540780999999996</v>
      </c>
      <c r="M1901" s="6" t="s">
        <v>340</v>
      </c>
      <c r="N1901" s="6" t="s">
        <v>24</v>
      </c>
      <c r="O1901" s="6" t="s">
        <v>23</v>
      </c>
    </row>
    <row r="1902" spans="1:15" x14ac:dyDescent="0.25">
      <c r="A1902" s="6" t="s">
        <v>11113</v>
      </c>
      <c r="B1902" s="6" t="s">
        <v>11112</v>
      </c>
      <c r="C1902" s="6" t="s">
        <v>31</v>
      </c>
      <c r="E1902" s="6" t="s">
        <v>11111</v>
      </c>
      <c r="F1902" s="6" t="s">
        <v>11110</v>
      </c>
      <c r="G1902" s="6" t="s">
        <v>16</v>
      </c>
      <c r="H1902" s="6" t="s">
        <v>28</v>
      </c>
      <c r="I1902" s="6" t="s">
        <v>60</v>
      </c>
      <c r="J1902" s="6" t="s">
        <v>35</v>
      </c>
      <c r="K1902" s="7">
        <v>29.776779000000001</v>
      </c>
      <c r="L1902" s="7">
        <v>-95.695575000000005</v>
      </c>
      <c r="M1902" s="6" t="s">
        <v>131</v>
      </c>
      <c r="N1902" s="6" t="s">
        <v>24</v>
      </c>
      <c r="O1902" s="6" t="s">
        <v>23</v>
      </c>
    </row>
    <row r="1903" spans="1:15" x14ac:dyDescent="0.25">
      <c r="A1903" s="6" t="s">
        <v>8430</v>
      </c>
      <c r="B1903" s="6" t="s">
        <v>8429</v>
      </c>
      <c r="C1903" s="6" t="s">
        <v>31</v>
      </c>
      <c r="E1903" s="6" t="s">
        <v>8428</v>
      </c>
      <c r="F1903" s="6" t="s">
        <v>3114</v>
      </c>
      <c r="G1903" s="6" t="s">
        <v>16</v>
      </c>
      <c r="H1903" s="6" t="s">
        <v>15</v>
      </c>
      <c r="I1903" s="6" t="s">
        <v>27</v>
      </c>
      <c r="J1903" s="6" t="s">
        <v>2178</v>
      </c>
      <c r="K1903" s="7">
        <v>31.78850577</v>
      </c>
      <c r="L1903" s="7">
        <v>-106.52528263000001</v>
      </c>
      <c r="M1903" s="6" t="s">
        <v>2177</v>
      </c>
      <c r="N1903" s="6" t="s">
        <v>373</v>
      </c>
      <c r="O1903" s="6" t="s">
        <v>52</v>
      </c>
    </row>
    <row r="1904" spans="1:15" x14ac:dyDescent="0.25">
      <c r="A1904" s="6" t="s">
        <v>11109</v>
      </c>
      <c r="B1904" s="6" t="s">
        <v>11108</v>
      </c>
      <c r="C1904" s="6" t="s">
        <v>31</v>
      </c>
      <c r="E1904" s="6" t="s">
        <v>11107</v>
      </c>
      <c r="F1904" s="6" t="s">
        <v>11106</v>
      </c>
      <c r="G1904" s="6" t="s">
        <v>16</v>
      </c>
      <c r="H1904" s="6" t="s">
        <v>28</v>
      </c>
      <c r="I1904" s="6" t="s">
        <v>27</v>
      </c>
      <c r="J1904" s="6" t="s">
        <v>132</v>
      </c>
      <c r="K1904" s="7">
        <v>29.757712000000001</v>
      </c>
      <c r="L1904" s="7">
        <v>-95.818775000000002</v>
      </c>
      <c r="M1904" s="6" t="s">
        <v>131</v>
      </c>
      <c r="N1904" s="6" t="s">
        <v>24</v>
      </c>
      <c r="O1904" s="6" t="s">
        <v>23</v>
      </c>
    </row>
    <row r="1905" spans="1:15" x14ac:dyDescent="0.25">
      <c r="A1905" s="6" t="s">
        <v>6124</v>
      </c>
      <c r="B1905" s="6" t="s">
        <v>6122</v>
      </c>
      <c r="C1905" s="6" t="s">
        <v>31</v>
      </c>
      <c r="E1905" s="6" t="s">
        <v>6121</v>
      </c>
      <c r="F1905" s="6" t="s">
        <v>1310</v>
      </c>
      <c r="G1905" s="6" t="s">
        <v>16</v>
      </c>
      <c r="H1905" s="6" t="s">
        <v>15</v>
      </c>
      <c r="I1905" s="6" t="s">
        <v>14</v>
      </c>
      <c r="J1905" s="6" t="s">
        <v>290</v>
      </c>
      <c r="K1905" s="7">
        <v>28.781592740000001</v>
      </c>
      <c r="L1905" s="7">
        <v>-95.990395460000002</v>
      </c>
      <c r="M1905" s="6" t="s">
        <v>2092</v>
      </c>
      <c r="N1905" s="6" t="s">
        <v>10</v>
      </c>
      <c r="O1905" s="6" t="s">
        <v>23</v>
      </c>
    </row>
    <row r="1906" spans="1:15" x14ac:dyDescent="0.25">
      <c r="A1906" s="6" t="s">
        <v>6123</v>
      </c>
      <c r="B1906" s="6" t="s">
        <v>6122</v>
      </c>
      <c r="C1906" s="6" t="s">
        <v>19</v>
      </c>
      <c r="E1906" s="6" t="s">
        <v>6121</v>
      </c>
      <c r="F1906" s="6" t="s">
        <v>1310</v>
      </c>
      <c r="G1906" s="6" t="s">
        <v>16</v>
      </c>
      <c r="H1906" s="6" t="s">
        <v>15</v>
      </c>
      <c r="I1906" s="6" t="s">
        <v>14</v>
      </c>
      <c r="J1906" s="6" t="s">
        <v>290</v>
      </c>
      <c r="K1906" s="7">
        <v>28.78326818</v>
      </c>
      <c r="L1906" s="7">
        <v>-95.941517300000001</v>
      </c>
      <c r="M1906" s="6" t="s">
        <v>4268</v>
      </c>
      <c r="N1906" s="6" t="s">
        <v>231</v>
      </c>
      <c r="O1906" s="6" t="s">
        <v>23</v>
      </c>
    </row>
    <row r="1907" spans="1:15" x14ac:dyDescent="0.25">
      <c r="A1907" s="6" t="s">
        <v>4292</v>
      </c>
      <c r="B1907" s="6" t="s">
        <v>1061</v>
      </c>
      <c r="C1907" s="6" t="s">
        <v>31</v>
      </c>
      <c r="E1907" s="6" t="s">
        <v>1060</v>
      </c>
      <c r="F1907" s="6" t="s">
        <v>915</v>
      </c>
      <c r="G1907" s="6" t="s">
        <v>16</v>
      </c>
      <c r="H1907" s="6" t="s">
        <v>15</v>
      </c>
      <c r="I1907" s="6" t="s">
        <v>14</v>
      </c>
      <c r="J1907" s="6" t="s">
        <v>26</v>
      </c>
      <c r="K1907" s="7">
        <v>30.314488990000001</v>
      </c>
      <c r="L1907" s="7">
        <v>-95.39067541</v>
      </c>
      <c r="M1907" s="6" t="s">
        <v>1022</v>
      </c>
      <c r="N1907" s="6" t="s">
        <v>24</v>
      </c>
      <c r="O1907" s="6" t="s">
        <v>23</v>
      </c>
    </row>
    <row r="1908" spans="1:15" x14ac:dyDescent="0.25">
      <c r="A1908" s="6" t="s">
        <v>1062</v>
      </c>
      <c r="B1908" s="6" t="s">
        <v>1061</v>
      </c>
      <c r="C1908" s="6" t="s">
        <v>19</v>
      </c>
      <c r="E1908" s="6" t="s">
        <v>1060</v>
      </c>
      <c r="F1908" s="6" t="s">
        <v>915</v>
      </c>
      <c r="G1908" s="6" t="s">
        <v>16</v>
      </c>
      <c r="H1908" s="6" t="s">
        <v>15</v>
      </c>
      <c r="I1908" s="6" t="s">
        <v>14</v>
      </c>
      <c r="J1908" s="6" t="s">
        <v>26</v>
      </c>
      <c r="K1908" s="7">
        <v>30.314487830000001</v>
      </c>
      <c r="L1908" s="7">
        <v>-95.390675529999996</v>
      </c>
      <c r="M1908" s="6" t="s">
        <v>1022</v>
      </c>
      <c r="N1908" s="6" t="s">
        <v>24</v>
      </c>
      <c r="O1908" s="6" t="s">
        <v>23</v>
      </c>
    </row>
    <row r="1909" spans="1:15" x14ac:dyDescent="0.25">
      <c r="A1909" s="6" t="s">
        <v>724</v>
      </c>
      <c r="B1909" s="6" t="s">
        <v>723</v>
      </c>
      <c r="C1909" s="6" t="s">
        <v>31</v>
      </c>
      <c r="E1909" s="6" t="s">
        <v>722</v>
      </c>
      <c r="F1909" s="6" t="s">
        <v>721</v>
      </c>
      <c r="G1909" s="6" t="s">
        <v>16</v>
      </c>
      <c r="H1909" s="6" t="s">
        <v>28</v>
      </c>
      <c r="I1909" s="6" t="s">
        <v>27</v>
      </c>
      <c r="J1909" s="6" t="s">
        <v>54</v>
      </c>
      <c r="K1909" s="7">
        <v>30.932352000000002</v>
      </c>
      <c r="L1909" s="7">
        <v>-95.314929000000006</v>
      </c>
      <c r="M1909" s="6" t="s">
        <v>317</v>
      </c>
      <c r="N1909" s="6" t="s">
        <v>102</v>
      </c>
      <c r="O1909" s="6" t="s">
        <v>24</v>
      </c>
    </row>
    <row r="1910" spans="1:15" x14ac:dyDescent="0.25">
      <c r="A1910" s="6" t="s">
        <v>2249</v>
      </c>
      <c r="B1910" s="6" t="s">
        <v>2248</v>
      </c>
      <c r="C1910" s="6" t="s">
        <v>31</v>
      </c>
      <c r="E1910" s="6" t="s">
        <v>2247</v>
      </c>
      <c r="F1910" s="6" t="s">
        <v>2246</v>
      </c>
      <c r="G1910" s="6" t="s">
        <v>16</v>
      </c>
      <c r="H1910" s="6" t="s">
        <v>15</v>
      </c>
      <c r="I1910" s="6" t="s">
        <v>14</v>
      </c>
      <c r="J1910" s="6" t="s">
        <v>35</v>
      </c>
      <c r="K1910" s="7">
        <v>29.7697158</v>
      </c>
      <c r="L1910" s="7">
        <v>-95.019118950000006</v>
      </c>
      <c r="M1910" s="6" t="s">
        <v>2245</v>
      </c>
      <c r="N1910" s="6" t="s">
        <v>120</v>
      </c>
      <c r="O1910" s="6" t="s">
        <v>23</v>
      </c>
    </row>
    <row r="1911" spans="1:15" x14ac:dyDescent="0.25">
      <c r="A1911" s="6" t="s">
        <v>10593</v>
      </c>
      <c r="B1911" s="6" t="s">
        <v>10592</v>
      </c>
      <c r="C1911" s="6" t="s">
        <v>31</v>
      </c>
      <c r="E1911" s="6" t="s">
        <v>10591</v>
      </c>
      <c r="F1911" s="6" t="s">
        <v>10590</v>
      </c>
      <c r="G1911" s="6" t="s">
        <v>16</v>
      </c>
      <c r="H1911" s="6" t="s">
        <v>15</v>
      </c>
      <c r="I1911" s="6" t="s">
        <v>36</v>
      </c>
      <c r="J1911" s="6" t="s">
        <v>132</v>
      </c>
      <c r="K1911" s="7">
        <v>29.67984186</v>
      </c>
      <c r="L1911" s="7">
        <v>-95.663555200000005</v>
      </c>
      <c r="M1911" s="6" t="s">
        <v>866</v>
      </c>
      <c r="N1911" s="6" t="s">
        <v>24</v>
      </c>
      <c r="O1911" s="6" t="s">
        <v>23</v>
      </c>
    </row>
    <row r="1912" spans="1:15" x14ac:dyDescent="0.25">
      <c r="A1912" s="6" t="s">
        <v>3705</v>
      </c>
      <c r="B1912" s="6" t="s">
        <v>3704</v>
      </c>
      <c r="C1912" s="6" t="s">
        <v>31</v>
      </c>
      <c r="E1912" s="6" t="s">
        <v>3703</v>
      </c>
      <c r="F1912" s="6" t="s">
        <v>3702</v>
      </c>
      <c r="G1912" s="6" t="s">
        <v>16</v>
      </c>
      <c r="H1912" s="6" t="s">
        <v>28</v>
      </c>
      <c r="I1912" s="6" t="s">
        <v>27</v>
      </c>
      <c r="J1912" s="6" t="s">
        <v>726</v>
      </c>
      <c r="K1912" s="7">
        <v>33.467617529999998</v>
      </c>
      <c r="L1912" s="7">
        <v>-97.160530339999994</v>
      </c>
      <c r="M1912" s="6" t="s">
        <v>3701</v>
      </c>
      <c r="N1912" s="6" t="s">
        <v>102</v>
      </c>
      <c r="O1912" s="6" t="s">
        <v>42</v>
      </c>
    </row>
    <row r="1913" spans="1:15" x14ac:dyDescent="0.25">
      <c r="A1913" s="6" t="s">
        <v>11101</v>
      </c>
      <c r="B1913" s="6" t="s">
        <v>11100</v>
      </c>
      <c r="C1913" s="6" t="s">
        <v>31</v>
      </c>
      <c r="E1913" s="6" t="s">
        <v>11099</v>
      </c>
      <c r="F1913" s="6" t="s">
        <v>11095</v>
      </c>
      <c r="G1913" s="6" t="s">
        <v>16</v>
      </c>
      <c r="H1913" s="6" t="s">
        <v>28</v>
      </c>
      <c r="I1913" s="6" t="s">
        <v>73</v>
      </c>
      <c r="J1913" s="6" t="s">
        <v>566</v>
      </c>
      <c r="K1913" s="7">
        <v>32.240862</v>
      </c>
      <c r="L1913" s="7">
        <v>-94.963599000000002</v>
      </c>
      <c r="M1913" s="6" t="s">
        <v>203</v>
      </c>
      <c r="N1913" s="6" t="s">
        <v>52</v>
      </c>
      <c r="O1913" s="6" t="s">
        <v>65</v>
      </c>
    </row>
    <row r="1914" spans="1:15" x14ac:dyDescent="0.25">
      <c r="A1914" s="6" t="s">
        <v>5751</v>
      </c>
      <c r="B1914" s="6" t="s">
        <v>5750</v>
      </c>
      <c r="C1914" s="6" t="s">
        <v>31</v>
      </c>
      <c r="E1914" s="6" t="s">
        <v>5749</v>
      </c>
      <c r="F1914" s="6" t="s">
        <v>5748</v>
      </c>
      <c r="G1914" s="6" t="s">
        <v>16</v>
      </c>
      <c r="H1914" s="6" t="s">
        <v>15</v>
      </c>
      <c r="I1914" s="6" t="s">
        <v>14</v>
      </c>
      <c r="J1914" s="6" t="s">
        <v>90</v>
      </c>
      <c r="K1914" s="7">
        <v>26.149491040000001</v>
      </c>
      <c r="L1914" s="7">
        <v>-97.302986059999995</v>
      </c>
      <c r="M1914" s="6" t="s">
        <v>89</v>
      </c>
      <c r="N1914" s="6" t="s">
        <v>11</v>
      </c>
      <c r="O1914" s="6" t="s">
        <v>22</v>
      </c>
    </row>
    <row r="1915" spans="1:15" x14ac:dyDescent="0.25">
      <c r="A1915" s="6" t="s">
        <v>10589</v>
      </c>
      <c r="B1915" s="6" t="s">
        <v>10588</v>
      </c>
      <c r="C1915" s="6" t="s">
        <v>31</v>
      </c>
      <c r="E1915" s="6" t="s">
        <v>10587</v>
      </c>
      <c r="F1915" s="6" t="s">
        <v>10586</v>
      </c>
      <c r="G1915" s="6" t="s">
        <v>16</v>
      </c>
      <c r="H1915" s="6" t="s">
        <v>28</v>
      </c>
      <c r="I1915" s="6" t="s">
        <v>27</v>
      </c>
      <c r="J1915" s="6" t="s">
        <v>35</v>
      </c>
      <c r="K1915" s="7">
        <v>30.112701000000001</v>
      </c>
      <c r="L1915" s="7">
        <v>-95.501851000000002</v>
      </c>
      <c r="M1915" s="6" t="s">
        <v>731</v>
      </c>
      <c r="N1915" s="6" t="s">
        <v>24</v>
      </c>
      <c r="O1915" s="6" t="s">
        <v>23</v>
      </c>
    </row>
    <row r="1916" spans="1:15" x14ac:dyDescent="0.25">
      <c r="A1916" s="6" t="s">
        <v>10585</v>
      </c>
      <c r="B1916" s="6" t="s">
        <v>10584</v>
      </c>
      <c r="C1916" s="6" t="s">
        <v>31</v>
      </c>
      <c r="E1916" s="6" t="s">
        <v>10583</v>
      </c>
      <c r="F1916" s="6" t="s">
        <v>996</v>
      </c>
      <c r="G1916" s="6" t="s">
        <v>16</v>
      </c>
      <c r="H1916" s="6" t="s">
        <v>28</v>
      </c>
      <c r="I1916" s="6" t="s">
        <v>60</v>
      </c>
      <c r="J1916" s="6" t="s">
        <v>35</v>
      </c>
      <c r="K1916" s="7">
        <v>29.861397</v>
      </c>
      <c r="L1916" s="7">
        <v>-95.122281999999998</v>
      </c>
      <c r="M1916" s="6" t="s">
        <v>716</v>
      </c>
      <c r="N1916" s="6" t="s">
        <v>24</v>
      </c>
      <c r="O1916" s="6" t="s">
        <v>23</v>
      </c>
    </row>
    <row r="1917" spans="1:15" x14ac:dyDescent="0.25">
      <c r="A1917" s="6" t="s">
        <v>1463</v>
      </c>
      <c r="B1917" s="6" t="s">
        <v>1461</v>
      </c>
      <c r="C1917" s="6" t="s">
        <v>31</v>
      </c>
      <c r="E1917" s="6" t="s">
        <v>1460</v>
      </c>
      <c r="F1917" s="6" t="s">
        <v>1459</v>
      </c>
      <c r="G1917" s="6" t="s">
        <v>16</v>
      </c>
      <c r="H1917" s="6" t="s">
        <v>15</v>
      </c>
      <c r="I1917" s="6" t="s">
        <v>14</v>
      </c>
      <c r="J1917" s="6" t="s">
        <v>35</v>
      </c>
      <c r="K1917" s="7">
        <v>29.849154989999999</v>
      </c>
      <c r="L1917" s="7">
        <v>-95.135539120000004</v>
      </c>
      <c r="M1917" s="6" t="s">
        <v>716</v>
      </c>
      <c r="N1917" s="6" t="s">
        <v>24</v>
      </c>
      <c r="O1917" s="6" t="s">
        <v>23</v>
      </c>
    </row>
    <row r="1918" spans="1:15" x14ac:dyDescent="0.25">
      <c r="A1918" s="6" t="s">
        <v>1462</v>
      </c>
      <c r="B1918" s="6" t="s">
        <v>1461</v>
      </c>
      <c r="C1918" s="6" t="s">
        <v>19</v>
      </c>
      <c r="E1918" s="6" t="s">
        <v>1460</v>
      </c>
      <c r="F1918" s="6" t="s">
        <v>1459</v>
      </c>
      <c r="G1918" s="6" t="s">
        <v>16</v>
      </c>
      <c r="H1918" s="6" t="s">
        <v>430</v>
      </c>
      <c r="I1918" s="6" t="s">
        <v>14</v>
      </c>
      <c r="J1918" s="6" t="s">
        <v>35</v>
      </c>
      <c r="K1918" s="7">
        <v>29.85062233</v>
      </c>
      <c r="L1918" s="7">
        <v>-95.128241079999995</v>
      </c>
      <c r="M1918" s="6" t="s">
        <v>716</v>
      </c>
      <c r="N1918" s="6" t="s">
        <v>24</v>
      </c>
      <c r="O1918" s="6" t="s">
        <v>23</v>
      </c>
    </row>
    <row r="1919" spans="1:15" x14ac:dyDescent="0.25">
      <c r="A1919" s="6" t="s">
        <v>7796</v>
      </c>
      <c r="B1919" s="6" t="s">
        <v>1461</v>
      </c>
      <c r="C1919" s="6" t="s">
        <v>436</v>
      </c>
      <c r="E1919" s="6" t="s">
        <v>1460</v>
      </c>
      <c r="F1919" s="6" t="s">
        <v>1459</v>
      </c>
      <c r="G1919" s="6" t="s">
        <v>16</v>
      </c>
      <c r="H1919" s="6" t="s">
        <v>430</v>
      </c>
      <c r="I1919" s="6" t="s">
        <v>14</v>
      </c>
      <c r="J1919" s="6" t="s">
        <v>35</v>
      </c>
      <c r="K1919" s="7">
        <v>29.849511979999999</v>
      </c>
      <c r="L1919" s="7">
        <v>-95.128043660000003</v>
      </c>
      <c r="M1919" s="6" t="s">
        <v>716</v>
      </c>
      <c r="N1919" s="6" t="s">
        <v>24</v>
      </c>
      <c r="O1919" s="6" t="s">
        <v>23</v>
      </c>
    </row>
    <row r="1920" spans="1:15" x14ac:dyDescent="0.25">
      <c r="A1920" s="6" t="s">
        <v>7795</v>
      </c>
      <c r="B1920" s="6" t="s">
        <v>1461</v>
      </c>
      <c r="C1920" s="6" t="s">
        <v>597</v>
      </c>
      <c r="E1920" s="6" t="s">
        <v>1460</v>
      </c>
      <c r="F1920" s="6" t="s">
        <v>1459</v>
      </c>
      <c r="G1920" s="6" t="s">
        <v>16</v>
      </c>
      <c r="H1920" s="6" t="s">
        <v>430</v>
      </c>
      <c r="I1920" s="6" t="s">
        <v>14</v>
      </c>
      <c r="J1920" s="6" t="s">
        <v>35</v>
      </c>
      <c r="K1920" s="7">
        <v>29.847778470000002</v>
      </c>
      <c r="L1920" s="7">
        <v>-95.135577659999996</v>
      </c>
      <c r="M1920" s="6" t="s">
        <v>716</v>
      </c>
      <c r="N1920" s="6" t="s">
        <v>24</v>
      </c>
      <c r="O1920" s="6" t="s">
        <v>23</v>
      </c>
    </row>
    <row r="1921" spans="1:15" x14ac:dyDescent="0.25">
      <c r="A1921" s="6" t="s">
        <v>7794</v>
      </c>
      <c r="B1921" s="6" t="s">
        <v>1461</v>
      </c>
      <c r="C1921" s="6" t="s">
        <v>557</v>
      </c>
      <c r="E1921" s="6" t="s">
        <v>1460</v>
      </c>
      <c r="F1921" s="6" t="s">
        <v>1459</v>
      </c>
      <c r="G1921" s="6" t="s">
        <v>16</v>
      </c>
      <c r="H1921" s="6" t="s">
        <v>430</v>
      </c>
      <c r="I1921" s="6" t="s">
        <v>14</v>
      </c>
      <c r="J1921" s="6" t="s">
        <v>35</v>
      </c>
      <c r="K1921" s="7">
        <v>29.84541973</v>
      </c>
      <c r="L1921" s="7">
        <v>-95.135576060000005</v>
      </c>
      <c r="M1921" s="6" t="s">
        <v>716</v>
      </c>
      <c r="N1921" s="6" t="s">
        <v>24</v>
      </c>
      <c r="O1921" s="6" t="s">
        <v>23</v>
      </c>
    </row>
    <row r="1922" spans="1:15" x14ac:dyDescent="0.25">
      <c r="A1922" s="6" t="s">
        <v>8526</v>
      </c>
      <c r="B1922" s="6" t="s">
        <v>1461</v>
      </c>
      <c r="C1922" s="6" t="s">
        <v>433</v>
      </c>
      <c r="E1922" s="6" t="s">
        <v>1460</v>
      </c>
      <c r="F1922" s="6" t="s">
        <v>1459</v>
      </c>
      <c r="G1922" s="6" t="s">
        <v>16</v>
      </c>
      <c r="H1922" s="6" t="s">
        <v>430</v>
      </c>
      <c r="I1922" s="6" t="s">
        <v>14</v>
      </c>
      <c r="J1922" s="6" t="s">
        <v>35</v>
      </c>
      <c r="K1922" s="7">
        <v>29.848910020000002</v>
      </c>
      <c r="L1922" s="7">
        <v>-95.135576709999995</v>
      </c>
      <c r="M1922" s="6" t="s">
        <v>716</v>
      </c>
      <c r="N1922" s="6" t="s">
        <v>24</v>
      </c>
      <c r="O1922" s="6" t="s">
        <v>23</v>
      </c>
    </row>
    <row r="1923" spans="1:15" x14ac:dyDescent="0.25">
      <c r="A1923" s="6" t="s">
        <v>1230</v>
      </c>
      <c r="B1923" s="6" t="s">
        <v>1229</v>
      </c>
      <c r="C1923" s="6" t="s">
        <v>31</v>
      </c>
      <c r="E1923" s="6" t="s">
        <v>1228</v>
      </c>
      <c r="F1923" s="6" t="s">
        <v>1227</v>
      </c>
      <c r="G1923" s="6" t="s">
        <v>16</v>
      </c>
      <c r="H1923" s="6" t="s">
        <v>15</v>
      </c>
      <c r="I1923" s="6" t="s">
        <v>14</v>
      </c>
      <c r="J1923" s="6" t="s">
        <v>385</v>
      </c>
      <c r="K1923" s="7">
        <v>29.993601779999999</v>
      </c>
      <c r="L1923" s="7">
        <v>-93.942167859999998</v>
      </c>
      <c r="M1923" s="6" t="s">
        <v>429</v>
      </c>
      <c r="N1923" s="6" t="s">
        <v>52</v>
      </c>
      <c r="O1923" s="6" t="s">
        <v>24</v>
      </c>
    </row>
    <row r="1924" spans="1:15" x14ac:dyDescent="0.25">
      <c r="A1924" s="6" t="s">
        <v>10577</v>
      </c>
      <c r="B1924" s="6" t="s">
        <v>10576</v>
      </c>
      <c r="C1924" s="6" t="s">
        <v>31</v>
      </c>
      <c r="E1924" s="6" t="s">
        <v>10575</v>
      </c>
      <c r="F1924" s="6" t="s">
        <v>10574</v>
      </c>
      <c r="G1924" s="6" t="s">
        <v>16</v>
      </c>
      <c r="H1924" s="6" t="s">
        <v>28</v>
      </c>
      <c r="I1924" s="6" t="s">
        <v>27</v>
      </c>
      <c r="J1924" s="6" t="s">
        <v>781</v>
      </c>
      <c r="K1924" s="7">
        <v>32.539214000000001</v>
      </c>
      <c r="L1924" s="7">
        <v>-94.250215999999995</v>
      </c>
      <c r="M1924" s="6" t="s">
        <v>1218</v>
      </c>
      <c r="N1924" s="6" t="s">
        <v>65</v>
      </c>
      <c r="O1924" s="6" t="s">
        <v>65</v>
      </c>
    </row>
    <row r="1925" spans="1:15" x14ac:dyDescent="0.25">
      <c r="A1925" s="6" t="s">
        <v>1226</v>
      </c>
      <c r="B1925" s="6" t="s">
        <v>1221</v>
      </c>
      <c r="C1925" s="6" t="s">
        <v>19</v>
      </c>
      <c r="E1925" s="6" t="s">
        <v>1220</v>
      </c>
      <c r="F1925" s="6" t="s">
        <v>1219</v>
      </c>
      <c r="G1925" s="6" t="s">
        <v>16</v>
      </c>
      <c r="H1925" s="6" t="s">
        <v>15</v>
      </c>
      <c r="I1925" s="6" t="s">
        <v>46</v>
      </c>
      <c r="J1925" s="6" t="s">
        <v>781</v>
      </c>
      <c r="K1925" s="7">
        <v>32.458450999999997</v>
      </c>
      <c r="L1925" s="7">
        <v>-94.472880000000004</v>
      </c>
      <c r="M1925" s="6" t="s">
        <v>1218</v>
      </c>
      <c r="N1925" s="6" t="s">
        <v>65</v>
      </c>
      <c r="O1925" s="6" t="s">
        <v>65</v>
      </c>
    </row>
    <row r="1926" spans="1:15" x14ac:dyDescent="0.25">
      <c r="A1926" s="6" t="s">
        <v>1225</v>
      </c>
      <c r="B1926" s="6" t="s">
        <v>1221</v>
      </c>
      <c r="C1926" s="6" t="s">
        <v>436</v>
      </c>
      <c r="E1926" s="6" t="s">
        <v>1220</v>
      </c>
      <c r="F1926" s="6" t="s">
        <v>1219</v>
      </c>
      <c r="G1926" s="6" t="s">
        <v>16</v>
      </c>
      <c r="H1926" s="6" t="s">
        <v>15</v>
      </c>
      <c r="I1926" s="6" t="s">
        <v>46</v>
      </c>
      <c r="J1926" s="6" t="s">
        <v>781</v>
      </c>
      <c r="K1926" s="7">
        <v>32.456747</v>
      </c>
      <c r="L1926" s="7">
        <v>-94.485189000000005</v>
      </c>
      <c r="M1926" s="6" t="s">
        <v>1218</v>
      </c>
      <c r="N1926" s="6" t="s">
        <v>65</v>
      </c>
      <c r="O1926" s="6" t="s">
        <v>65</v>
      </c>
    </row>
    <row r="1927" spans="1:15" x14ac:dyDescent="0.25">
      <c r="A1927" s="6" t="s">
        <v>1224</v>
      </c>
      <c r="B1927" s="6" t="s">
        <v>1221</v>
      </c>
      <c r="C1927" s="6" t="s">
        <v>597</v>
      </c>
      <c r="E1927" s="6" t="s">
        <v>1220</v>
      </c>
      <c r="F1927" s="6" t="s">
        <v>1219</v>
      </c>
      <c r="G1927" s="6" t="s">
        <v>16</v>
      </c>
      <c r="H1927" s="6" t="s">
        <v>15</v>
      </c>
      <c r="I1927" s="6" t="s">
        <v>46</v>
      </c>
      <c r="J1927" s="6" t="s">
        <v>781</v>
      </c>
      <c r="K1927" s="7">
        <v>32.450519</v>
      </c>
      <c r="L1927" s="7">
        <v>-94.498530000000002</v>
      </c>
      <c r="M1927" s="6" t="s">
        <v>1218</v>
      </c>
      <c r="N1927" s="6" t="s">
        <v>65</v>
      </c>
      <c r="O1927" s="6" t="s">
        <v>65</v>
      </c>
    </row>
    <row r="1928" spans="1:15" x14ac:dyDescent="0.25">
      <c r="A1928" s="6" t="s">
        <v>1223</v>
      </c>
      <c r="B1928" s="6" t="s">
        <v>1221</v>
      </c>
      <c r="C1928" s="6" t="s">
        <v>557</v>
      </c>
      <c r="E1928" s="6" t="s">
        <v>1220</v>
      </c>
      <c r="F1928" s="6" t="s">
        <v>1219</v>
      </c>
      <c r="G1928" s="6" t="s">
        <v>16</v>
      </c>
      <c r="H1928" s="6" t="s">
        <v>15</v>
      </c>
      <c r="I1928" s="6" t="s">
        <v>46</v>
      </c>
      <c r="J1928" s="6" t="s">
        <v>781</v>
      </c>
      <c r="K1928" s="7">
        <v>32.463728000000003</v>
      </c>
      <c r="L1928" s="7">
        <v>-94.492007000000001</v>
      </c>
      <c r="M1928" s="6" t="s">
        <v>1218</v>
      </c>
      <c r="N1928" s="6" t="s">
        <v>65</v>
      </c>
      <c r="O1928" s="6" t="s">
        <v>65</v>
      </c>
    </row>
    <row r="1929" spans="1:15" x14ac:dyDescent="0.25">
      <c r="A1929" s="6" t="s">
        <v>1222</v>
      </c>
      <c r="B1929" s="6" t="s">
        <v>1221</v>
      </c>
      <c r="C1929" s="6" t="s">
        <v>433</v>
      </c>
      <c r="E1929" s="6" t="s">
        <v>1220</v>
      </c>
      <c r="F1929" s="6" t="s">
        <v>1219</v>
      </c>
      <c r="G1929" s="6" t="s">
        <v>16</v>
      </c>
      <c r="H1929" s="6" t="s">
        <v>15</v>
      </c>
      <c r="I1929" s="6" t="s">
        <v>46</v>
      </c>
      <c r="J1929" s="6" t="s">
        <v>781</v>
      </c>
      <c r="K1929" s="7">
        <v>32.465333999999999</v>
      </c>
      <c r="L1929" s="7">
        <v>-94.488893000000004</v>
      </c>
      <c r="M1929" s="6" t="s">
        <v>1218</v>
      </c>
      <c r="N1929" s="6" t="s">
        <v>65</v>
      </c>
      <c r="O1929" s="6" t="s">
        <v>65</v>
      </c>
    </row>
    <row r="1930" spans="1:15" x14ac:dyDescent="0.25">
      <c r="A1930" s="6" t="s">
        <v>5340</v>
      </c>
      <c r="B1930" s="6" t="s">
        <v>1221</v>
      </c>
      <c r="C1930" s="6" t="s">
        <v>1098</v>
      </c>
      <c r="E1930" s="6" t="s">
        <v>1220</v>
      </c>
      <c r="F1930" s="6" t="s">
        <v>1219</v>
      </c>
      <c r="G1930" s="6" t="s">
        <v>16</v>
      </c>
      <c r="H1930" s="6" t="s">
        <v>15</v>
      </c>
      <c r="I1930" s="6" t="s">
        <v>46</v>
      </c>
      <c r="J1930" s="6" t="s">
        <v>781</v>
      </c>
      <c r="K1930" s="7">
        <v>32.446937800000001</v>
      </c>
      <c r="L1930" s="7">
        <v>-94.499917499999995</v>
      </c>
      <c r="M1930" s="6" t="s">
        <v>1218</v>
      </c>
      <c r="N1930" s="6" t="s">
        <v>65</v>
      </c>
      <c r="O1930" s="6" t="s">
        <v>65</v>
      </c>
    </row>
    <row r="1931" spans="1:15" x14ac:dyDescent="0.25">
      <c r="A1931" s="6" t="s">
        <v>6843</v>
      </c>
      <c r="B1931" s="6" t="s">
        <v>6842</v>
      </c>
      <c r="C1931" s="6" t="s">
        <v>31</v>
      </c>
      <c r="E1931" s="6" t="s">
        <v>6841</v>
      </c>
      <c r="F1931" s="6" t="s">
        <v>6840</v>
      </c>
      <c r="G1931" s="6" t="s">
        <v>16</v>
      </c>
      <c r="H1931" s="6" t="s">
        <v>15</v>
      </c>
      <c r="I1931" s="6" t="s">
        <v>14</v>
      </c>
      <c r="J1931" s="6" t="s">
        <v>234</v>
      </c>
      <c r="K1931" s="7">
        <v>29.33771599</v>
      </c>
      <c r="L1931" s="7">
        <v>-99.128836879999994</v>
      </c>
      <c r="M1931" s="6" t="s">
        <v>525</v>
      </c>
      <c r="N1931" s="6" t="s">
        <v>524</v>
      </c>
      <c r="O1931" s="6" t="s">
        <v>231</v>
      </c>
    </row>
    <row r="1932" spans="1:15" x14ac:dyDescent="0.25">
      <c r="A1932" s="6" t="s">
        <v>10573</v>
      </c>
      <c r="B1932" s="6" t="s">
        <v>10572</v>
      </c>
      <c r="C1932" s="6" t="s">
        <v>31</v>
      </c>
      <c r="E1932" s="6" t="s">
        <v>10571</v>
      </c>
      <c r="F1932" s="6" t="s">
        <v>10570</v>
      </c>
      <c r="G1932" s="6" t="s">
        <v>16</v>
      </c>
      <c r="H1932" s="6" t="s">
        <v>28</v>
      </c>
      <c r="I1932" s="6" t="s">
        <v>36</v>
      </c>
      <c r="J1932" s="6" t="s">
        <v>35</v>
      </c>
      <c r="K1932" s="7">
        <v>29.890909019999999</v>
      </c>
      <c r="L1932" s="7">
        <v>-95.36122829</v>
      </c>
      <c r="M1932" s="6" t="s">
        <v>34</v>
      </c>
      <c r="N1932" s="6" t="s">
        <v>24</v>
      </c>
      <c r="O1932" s="6" t="s">
        <v>23</v>
      </c>
    </row>
    <row r="1933" spans="1:15" x14ac:dyDescent="0.25">
      <c r="A1933" s="6" t="s">
        <v>4181</v>
      </c>
      <c r="B1933" s="6" t="s">
        <v>4180</v>
      </c>
      <c r="C1933" s="6" t="s">
        <v>19</v>
      </c>
      <c r="E1933" s="6" t="s">
        <v>4179</v>
      </c>
      <c r="F1933" s="6" t="s">
        <v>3181</v>
      </c>
      <c r="G1933" s="6" t="s">
        <v>16</v>
      </c>
      <c r="H1933" s="6" t="s">
        <v>15</v>
      </c>
      <c r="I1933" s="6" t="s">
        <v>14</v>
      </c>
      <c r="J1933" s="6" t="s">
        <v>26</v>
      </c>
      <c r="K1933" s="7">
        <v>30.16229573</v>
      </c>
      <c r="L1933" s="7">
        <v>-95.378005150000007</v>
      </c>
      <c r="M1933" s="6" t="s">
        <v>1022</v>
      </c>
      <c r="N1933" s="6" t="s">
        <v>24</v>
      </c>
      <c r="O1933" s="6" t="s">
        <v>23</v>
      </c>
    </row>
    <row r="1934" spans="1:15" x14ac:dyDescent="0.25">
      <c r="A1934" s="6" t="s">
        <v>10012</v>
      </c>
      <c r="B1934" s="6" t="s">
        <v>10011</v>
      </c>
      <c r="C1934" s="6" t="s">
        <v>31</v>
      </c>
      <c r="E1934" s="6" t="s">
        <v>10010</v>
      </c>
      <c r="F1934" s="6" t="s">
        <v>10009</v>
      </c>
      <c r="G1934" s="6" t="s">
        <v>16</v>
      </c>
      <c r="H1934" s="6" t="s">
        <v>15</v>
      </c>
      <c r="I1934" s="6" t="s">
        <v>46</v>
      </c>
      <c r="J1934" s="6" t="s">
        <v>4169</v>
      </c>
      <c r="K1934" s="7">
        <v>34.074738000000004</v>
      </c>
      <c r="L1934" s="7">
        <v>-99.170398000000006</v>
      </c>
      <c r="M1934" s="6" t="s">
        <v>208</v>
      </c>
      <c r="N1934" s="6" t="s">
        <v>43</v>
      </c>
      <c r="O1934" s="6" t="s">
        <v>95</v>
      </c>
    </row>
    <row r="1935" spans="1:15" x14ac:dyDescent="0.25">
      <c r="A1935" s="6" t="s">
        <v>6161</v>
      </c>
      <c r="B1935" s="6" t="s">
        <v>6160</v>
      </c>
      <c r="C1935" s="6" t="s">
        <v>31</v>
      </c>
      <c r="E1935" s="6" t="s">
        <v>6159</v>
      </c>
      <c r="F1935" s="6" t="s">
        <v>6158</v>
      </c>
      <c r="G1935" s="6" t="s">
        <v>16</v>
      </c>
      <c r="H1935" s="6" t="s">
        <v>28</v>
      </c>
      <c r="I1935" s="6" t="s">
        <v>60</v>
      </c>
      <c r="J1935" s="6" t="s">
        <v>1716</v>
      </c>
      <c r="K1935" s="7">
        <v>30.539606320000001</v>
      </c>
      <c r="L1935" s="7">
        <v>-95.493959959999998</v>
      </c>
      <c r="M1935" s="6" t="s">
        <v>59</v>
      </c>
      <c r="N1935" s="6" t="s">
        <v>24</v>
      </c>
      <c r="O1935" s="6" t="s">
        <v>23</v>
      </c>
    </row>
    <row r="1936" spans="1:15" x14ac:dyDescent="0.25">
      <c r="A1936" s="6" t="s">
        <v>10911</v>
      </c>
      <c r="B1936" s="6" t="s">
        <v>10910</v>
      </c>
      <c r="C1936" s="6" t="s">
        <v>31</v>
      </c>
      <c r="E1936" s="6" t="s">
        <v>10909</v>
      </c>
      <c r="F1936" s="6" t="s">
        <v>10908</v>
      </c>
      <c r="G1936" s="6" t="s">
        <v>16</v>
      </c>
      <c r="H1936" s="6" t="s">
        <v>28</v>
      </c>
      <c r="I1936" s="6" t="s">
        <v>60</v>
      </c>
      <c r="J1936" s="6" t="s">
        <v>318</v>
      </c>
      <c r="K1936" s="7">
        <v>30.616765999999998</v>
      </c>
      <c r="L1936" s="7">
        <v>-94.962455000000006</v>
      </c>
      <c r="M1936" s="6" t="s">
        <v>2355</v>
      </c>
      <c r="N1936" s="6" t="s">
        <v>102</v>
      </c>
      <c r="O1936" s="6" t="s">
        <v>24</v>
      </c>
    </row>
    <row r="1937" spans="1:15" x14ac:dyDescent="0.25">
      <c r="A1937" s="6" t="s">
        <v>3991</v>
      </c>
      <c r="B1937" s="6" t="s">
        <v>3989</v>
      </c>
      <c r="C1937" s="6" t="s">
        <v>31</v>
      </c>
      <c r="E1937" s="6" t="s">
        <v>3988</v>
      </c>
      <c r="F1937" s="6" t="s">
        <v>3987</v>
      </c>
      <c r="G1937" s="6" t="s">
        <v>16</v>
      </c>
      <c r="H1937" s="6" t="s">
        <v>15</v>
      </c>
      <c r="I1937" s="6" t="s">
        <v>14</v>
      </c>
      <c r="J1937" s="6" t="s">
        <v>35</v>
      </c>
      <c r="K1937" s="7">
        <v>29.71611815</v>
      </c>
      <c r="L1937" s="7">
        <v>-95.085346990000005</v>
      </c>
      <c r="M1937" s="6" t="s">
        <v>701</v>
      </c>
      <c r="N1937" s="6" t="s">
        <v>24</v>
      </c>
      <c r="O1937" s="6" t="s">
        <v>23</v>
      </c>
    </row>
    <row r="1938" spans="1:15" x14ac:dyDescent="0.25">
      <c r="A1938" s="6" t="s">
        <v>3990</v>
      </c>
      <c r="B1938" s="6" t="s">
        <v>3989</v>
      </c>
      <c r="C1938" s="6" t="s">
        <v>19</v>
      </c>
      <c r="E1938" s="6" t="s">
        <v>3988</v>
      </c>
      <c r="F1938" s="6" t="s">
        <v>3987</v>
      </c>
      <c r="G1938" s="6" t="s">
        <v>16</v>
      </c>
      <c r="H1938" s="6" t="s">
        <v>15</v>
      </c>
      <c r="I1938" s="6" t="s">
        <v>14</v>
      </c>
      <c r="J1938" s="6" t="s">
        <v>35</v>
      </c>
      <c r="K1938" s="7">
        <v>29.716113530000001</v>
      </c>
      <c r="L1938" s="7">
        <v>-95.085333059999996</v>
      </c>
      <c r="M1938" s="6" t="s">
        <v>701</v>
      </c>
      <c r="N1938" s="6" t="s">
        <v>24</v>
      </c>
      <c r="O1938" s="6" t="s">
        <v>23</v>
      </c>
    </row>
    <row r="1939" spans="1:15" x14ac:dyDescent="0.25">
      <c r="A1939" s="6" t="s">
        <v>11105</v>
      </c>
      <c r="B1939" s="6" t="s">
        <v>11104</v>
      </c>
      <c r="C1939" s="6" t="s">
        <v>31</v>
      </c>
      <c r="E1939" s="6" t="s">
        <v>11103</v>
      </c>
      <c r="F1939" s="6" t="s">
        <v>11102</v>
      </c>
      <c r="G1939" s="6" t="s">
        <v>16</v>
      </c>
      <c r="H1939" s="6" t="s">
        <v>28</v>
      </c>
      <c r="I1939" s="6" t="s">
        <v>27</v>
      </c>
      <c r="J1939" s="6" t="s">
        <v>35</v>
      </c>
      <c r="K1939" s="7">
        <v>29.750533000000001</v>
      </c>
      <c r="L1939" s="7">
        <v>-95.106820999999997</v>
      </c>
      <c r="M1939" s="6" t="s">
        <v>34</v>
      </c>
      <c r="N1939" s="6" t="s">
        <v>24</v>
      </c>
      <c r="O1939" s="6" t="s">
        <v>23</v>
      </c>
    </row>
    <row r="1940" spans="1:15" x14ac:dyDescent="0.25">
      <c r="A1940" s="6" t="s">
        <v>2587</v>
      </c>
      <c r="B1940" s="6" t="s">
        <v>2586</v>
      </c>
      <c r="C1940" s="6" t="s">
        <v>31</v>
      </c>
      <c r="E1940" s="6" t="s">
        <v>2585</v>
      </c>
      <c r="F1940" s="6" t="s">
        <v>2584</v>
      </c>
      <c r="G1940" s="6" t="s">
        <v>16</v>
      </c>
      <c r="H1940" s="6" t="s">
        <v>28</v>
      </c>
      <c r="I1940" s="6" t="s">
        <v>73</v>
      </c>
      <c r="J1940" s="6" t="s">
        <v>2583</v>
      </c>
      <c r="K1940" s="7">
        <v>32.907569330000001</v>
      </c>
      <c r="L1940" s="7">
        <v>-94.705776569999998</v>
      </c>
      <c r="M1940" s="6" t="s">
        <v>2105</v>
      </c>
      <c r="N1940" s="6" t="s">
        <v>42</v>
      </c>
      <c r="O1940" s="6" t="s">
        <v>65</v>
      </c>
    </row>
    <row r="1941" spans="1:15" x14ac:dyDescent="0.25">
      <c r="A1941" s="6" t="s">
        <v>10565</v>
      </c>
      <c r="B1941" s="6" t="s">
        <v>10564</v>
      </c>
      <c r="C1941" s="6" t="s">
        <v>31</v>
      </c>
      <c r="E1941" s="6" t="s">
        <v>10563</v>
      </c>
      <c r="F1941" s="6" t="s">
        <v>10562</v>
      </c>
      <c r="G1941" s="6" t="s">
        <v>16</v>
      </c>
      <c r="H1941" s="6" t="s">
        <v>28</v>
      </c>
      <c r="I1941" s="6" t="s">
        <v>27</v>
      </c>
      <c r="J1941" s="6" t="s">
        <v>35</v>
      </c>
      <c r="K1941" s="7">
        <v>29.919125080000001</v>
      </c>
      <c r="L1941" s="7">
        <v>-95.458206320000002</v>
      </c>
      <c r="M1941" s="6" t="s">
        <v>34</v>
      </c>
      <c r="N1941" s="6" t="s">
        <v>24</v>
      </c>
      <c r="O1941" s="6" t="s">
        <v>23</v>
      </c>
    </row>
    <row r="1942" spans="1:15" x14ac:dyDescent="0.25">
      <c r="A1942" s="6" t="s">
        <v>10561</v>
      </c>
      <c r="B1942" s="6" t="s">
        <v>10560</v>
      </c>
      <c r="C1942" s="6" t="s">
        <v>31</v>
      </c>
      <c r="E1942" s="6" t="s">
        <v>10559</v>
      </c>
      <c r="F1942" s="6" t="s">
        <v>10558</v>
      </c>
      <c r="G1942" s="6" t="s">
        <v>16</v>
      </c>
      <c r="H1942" s="6" t="s">
        <v>28</v>
      </c>
      <c r="I1942" s="6" t="s">
        <v>46</v>
      </c>
      <c r="J1942" s="6" t="s">
        <v>26</v>
      </c>
      <c r="K1942" s="7">
        <v>30.454953</v>
      </c>
      <c r="L1942" s="7">
        <v>-95.540253000000007</v>
      </c>
      <c r="M1942" s="6" t="s">
        <v>340</v>
      </c>
      <c r="N1942" s="6" t="s">
        <v>24</v>
      </c>
      <c r="O1942" s="6" t="s">
        <v>23</v>
      </c>
    </row>
    <row r="1943" spans="1:15" x14ac:dyDescent="0.25">
      <c r="A1943" s="6" t="s">
        <v>8790</v>
      </c>
      <c r="B1943" s="6" t="s">
        <v>8789</v>
      </c>
      <c r="C1943" s="6" t="s">
        <v>31</v>
      </c>
      <c r="E1943" s="6" t="s">
        <v>8788</v>
      </c>
      <c r="F1943" s="6" t="s">
        <v>5708</v>
      </c>
      <c r="G1943" s="6" t="s">
        <v>16</v>
      </c>
      <c r="H1943" s="6" t="s">
        <v>15</v>
      </c>
      <c r="I1943" s="6" t="s">
        <v>14</v>
      </c>
      <c r="J1943" s="6" t="s">
        <v>35</v>
      </c>
      <c r="K1943" s="7">
        <v>29.7167563</v>
      </c>
      <c r="L1943" s="7">
        <v>-95.588914849999995</v>
      </c>
      <c r="M1943" s="6" t="s">
        <v>866</v>
      </c>
      <c r="N1943" s="6" t="s">
        <v>24</v>
      </c>
      <c r="O1943" s="6" t="s">
        <v>23</v>
      </c>
    </row>
    <row r="1944" spans="1:15" x14ac:dyDescent="0.25">
      <c r="A1944" s="6" t="s">
        <v>6966</v>
      </c>
      <c r="B1944" s="6" t="s">
        <v>6965</v>
      </c>
      <c r="C1944" s="6" t="s">
        <v>31</v>
      </c>
      <c r="E1944" s="6" t="s">
        <v>6964</v>
      </c>
      <c r="F1944" s="6" t="s">
        <v>1033</v>
      </c>
      <c r="G1944" s="6" t="s">
        <v>16</v>
      </c>
      <c r="H1944" s="6" t="s">
        <v>15</v>
      </c>
      <c r="I1944" s="6" t="s">
        <v>14</v>
      </c>
      <c r="J1944" s="6" t="s">
        <v>274</v>
      </c>
      <c r="K1944" s="7">
        <v>29.687367999999999</v>
      </c>
      <c r="L1944" s="7">
        <v>-98.098603999999995</v>
      </c>
      <c r="M1944" s="6" t="s">
        <v>1567</v>
      </c>
      <c r="N1944" s="6" t="s">
        <v>559</v>
      </c>
      <c r="O1944" s="6" t="s">
        <v>231</v>
      </c>
    </row>
    <row r="1945" spans="1:15" x14ac:dyDescent="0.25">
      <c r="A1945" s="6" t="s">
        <v>10553</v>
      </c>
      <c r="B1945" s="6" t="s">
        <v>10552</v>
      </c>
      <c r="C1945" s="6" t="s">
        <v>31</v>
      </c>
      <c r="E1945" s="6" t="s">
        <v>10551</v>
      </c>
      <c r="F1945" s="6" t="s">
        <v>10550</v>
      </c>
      <c r="G1945" s="6" t="s">
        <v>16</v>
      </c>
      <c r="H1945" s="6" t="s">
        <v>28</v>
      </c>
      <c r="I1945" s="6" t="s">
        <v>60</v>
      </c>
      <c r="J1945" s="6" t="s">
        <v>35</v>
      </c>
      <c r="K1945" s="7">
        <v>29.746547</v>
      </c>
      <c r="L1945" s="7">
        <v>-95.644817000000003</v>
      </c>
      <c r="M1945" s="6" t="s">
        <v>131</v>
      </c>
      <c r="N1945" s="6" t="s">
        <v>24</v>
      </c>
      <c r="O1945" s="6" t="s">
        <v>23</v>
      </c>
    </row>
    <row r="1946" spans="1:15" x14ac:dyDescent="0.25">
      <c r="A1946" s="6" t="s">
        <v>7073</v>
      </c>
      <c r="B1946" s="6" t="s">
        <v>7071</v>
      </c>
      <c r="C1946" s="6" t="s">
        <v>31</v>
      </c>
      <c r="E1946" s="6" t="s">
        <v>7070</v>
      </c>
      <c r="F1946" s="6" t="s">
        <v>1406</v>
      </c>
      <c r="G1946" s="6" t="s">
        <v>16</v>
      </c>
      <c r="H1946" s="6" t="s">
        <v>15</v>
      </c>
      <c r="I1946" s="6" t="s">
        <v>14</v>
      </c>
      <c r="J1946" s="6" t="s">
        <v>1336</v>
      </c>
      <c r="K1946" s="7">
        <v>28.455792219999999</v>
      </c>
      <c r="L1946" s="7">
        <v>-98.196096830000002</v>
      </c>
      <c r="M1946" s="6" t="s">
        <v>1335</v>
      </c>
      <c r="N1946" s="6" t="s">
        <v>524</v>
      </c>
      <c r="O1946" s="6" t="s">
        <v>10</v>
      </c>
    </row>
    <row r="1947" spans="1:15" x14ac:dyDescent="0.25">
      <c r="A1947" s="6" t="s">
        <v>7072</v>
      </c>
      <c r="B1947" s="6" t="s">
        <v>7071</v>
      </c>
      <c r="C1947" s="6" t="s">
        <v>19</v>
      </c>
      <c r="E1947" s="6" t="s">
        <v>7070</v>
      </c>
      <c r="F1947" s="6" t="s">
        <v>1406</v>
      </c>
      <c r="G1947" s="6" t="s">
        <v>16</v>
      </c>
      <c r="H1947" s="6" t="s">
        <v>430</v>
      </c>
      <c r="I1947" s="6" t="s">
        <v>14</v>
      </c>
      <c r="J1947" s="6" t="s">
        <v>1336</v>
      </c>
      <c r="K1947" s="7">
        <v>28.455792259999999</v>
      </c>
      <c r="L1947" s="7">
        <v>-98.196097370000004</v>
      </c>
      <c r="M1947" s="6" t="s">
        <v>1335</v>
      </c>
      <c r="N1947" s="6" t="s">
        <v>524</v>
      </c>
      <c r="O1947" s="6" t="s">
        <v>10</v>
      </c>
    </row>
    <row r="1948" spans="1:15" x14ac:dyDescent="0.25">
      <c r="A1948" s="6" t="s">
        <v>10557</v>
      </c>
      <c r="B1948" s="6" t="s">
        <v>10556</v>
      </c>
      <c r="C1948" s="6" t="s">
        <v>31</v>
      </c>
      <c r="E1948" s="6" t="s">
        <v>10555</v>
      </c>
      <c r="F1948" s="6" t="s">
        <v>10554</v>
      </c>
      <c r="G1948" s="6" t="s">
        <v>16</v>
      </c>
      <c r="H1948" s="6" t="s">
        <v>28</v>
      </c>
      <c r="I1948" s="6" t="s">
        <v>60</v>
      </c>
      <c r="J1948" s="6" t="s">
        <v>162</v>
      </c>
      <c r="K1948" s="7">
        <v>29.156848</v>
      </c>
      <c r="L1948" s="7">
        <v>-95.397514000000001</v>
      </c>
      <c r="M1948" s="6" t="s">
        <v>1999</v>
      </c>
      <c r="N1948" s="6" t="s">
        <v>160</v>
      </c>
      <c r="O1948" s="6" t="s">
        <v>23</v>
      </c>
    </row>
    <row r="1949" spans="1:15" x14ac:dyDescent="0.25">
      <c r="A1949" s="6" t="s">
        <v>10549</v>
      </c>
      <c r="B1949" s="6" t="s">
        <v>10548</v>
      </c>
      <c r="C1949" s="6" t="s">
        <v>31</v>
      </c>
      <c r="E1949" s="6" t="s">
        <v>10547</v>
      </c>
      <c r="F1949" s="6" t="s">
        <v>10546</v>
      </c>
      <c r="G1949" s="6" t="s">
        <v>16</v>
      </c>
      <c r="H1949" s="6" t="s">
        <v>28</v>
      </c>
      <c r="I1949" s="6" t="s">
        <v>60</v>
      </c>
      <c r="J1949" s="6" t="s">
        <v>26</v>
      </c>
      <c r="K1949" s="7">
        <v>30.353812999999999</v>
      </c>
      <c r="L1949" s="7">
        <v>-95.577432000000002</v>
      </c>
      <c r="M1949" s="6" t="s">
        <v>340</v>
      </c>
      <c r="N1949" s="6" t="s">
        <v>24</v>
      </c>
      <c r="O1949" s="6" t="s">
        <v>23</v>
      </c>
    </row>
    <row r="1950" spans="1:15" x14ac:dyDescent="0.25">
      <c r="A1950" s="6" t="s">
        <v>4745</v>
      </c>
      <c r="B1950" s="6" t="s">
        <v>4744</v>
      </c>
      <c r="C1950" s="6" t="s">
        <v>31</v>
      </c>
      <c r="E1950" s="6" t="s">
        <v>4743</v>
      </c>
      <c r="F1950" s="6" t="s">
        <v>4742</v>
      </c>
      <c r="G1950" s="6" t="s">
        <v>16</v>
      </c>
      <c r="H1950" s="6" t="s">
        <v>28</v>
      </c>
      <c r="I1950" s="6" t="s">
        <v>14</v>
      </c>
      <c r="J1950" s="6" t="s">
        <v>35</v>
      </c>
      <c r="K1950" s="7">
        <v>29.840436</v>
      </c>
      <c r="L1950" s="7">
        <v>-95.135271000000003</v>
      </c>
      <c r="M1950" s="6" t="s">
        <v>716</v>
      </c>
      <c r="N1950" s="6" t="s">
        <v>24</v>
      </c>
      <c r="O1950" s="6" t="s">
        <v>23</v>
      </c>
    </row>
    <row r="1951" spans="1:15" x14ac:dyDescent="0.25">
      <c r="A1951" s="6" t="s">
        <v>9190</v>
      </c>
      <c r="B1951" s="6" t="s">
        <v>9189</v>
      </c>
      <c r="C1951" s="6" t="s">
        <v>31</v>
      </c>
      <c r="E1951" s="6" t="s">
        <v>9188</v>
      </c>
      <c r="F1951" s="6" t="s">
        <v>5708</v>
      </c>
      <c r="G1951" s="6" t="s">
        <v>16</v>
      </c>
      <c r="H1951" s="6" t="s">
        <v>15</v>
      </c>
      <c r="I1951" s="6" t="s">
        <v>14</v>
      </c>
      <c r="J1951" s="6" t="s">
        <v>26</v>
      </c>
      <c r="K1951" s="7">
        <v>30.0590768</v>
      </c>
      <c r="L1951" s="7">
        <v>-95.264060069999999</v>
      </c>
      <c r="M1951" s="6" t="s">
        <v>1022</v>
      </c>
      <c r="N1951" s="6" t="s">
        <v>24</v>
      </c>
      <c r="O1951" s="6" t="s">
        <v>23</v>
      </c>
    </row>
    <row r="1952" spans="1:15" x14ac:dyDescent="0.25">
      <c r="A1952" s="6" t="s">
        <v>4178</v>
      </c>
      <c r="B1952" s="6" t="s">
        <v>4177</v>
      </c>
      <c r="C1952" s="6" t="s">
        <v>31</v>
      </c>
      <c r="E1952" s="6" t="s">
        <v>4176</v>
      </c>
      <c r="F1952" s="6" t="s">
        <v>4175</v>
      </c>
      <c r="G1952" s="6" t="s">
        <v>16</v>
      </c>
      <c r="H1952" s="6" t="s">
        <v>15</v>
      </c>
      <c r="I1952" s="6" t="s">
        <v>14</v>
      </c>
      <c r="J1952" s="6" t="s">
        <v>35</v>
      </c>
      <c r="K1952" s="7">
        <v>29.69313215</v>
      </c>
      <c r="L1952" s="7">
        <v>-95.033739729999994</v>
      </c>
      <c r="M1952" s="6" t="s">
        <v>599</v>
      </c>
      <c r="N1952" s="6" t="s">
        <v>160</v>
      </c>
      <c r="O1952" s="6" t="s">
        <v>23</v>
      </c>
    </row>
    <row r="1953" spans="1:15" x14ac:dyDescent="0.25">
      <c r="A1953" s="6" t="s">
        <v>7295</v>
      </c>
      <c r="B1953" s="6" t="s">
        <v>7294</v>
      </c>
      <c r="C1953" s="6" t="s">
        <v>31</v>
      </c>
      <c r="E1953" s="6" t="s">
        <v>7293</v>
      </c>
      <c r="F1953" s="6" t="s">
        <v>116</v>
      </c>
      <c r="G1953" s="6" t="s">
        <v>16</v>
      </c>
      <c r="H1953" s="6" t="s">
        <v>15</v>
      </c>
      <c r="I1953" s="6" t="s">
        <v>46</v>
      </c>
      <c r="J1953" s="6" t="s">
        <v>239</v>
      </c>
      <c r="K1953" s="7">
        <v>33.121479039999997</v>
      </c>
      <c r="L1953" s="7">
        <v>-96.552811980000001</v>
      </c>
      <c r="M1953" s="6" t="s">
        <v>349</v>
      </c>
      <c r="N1953" s="6" t="s">
        <v>102</v>
      </c>
      <c r="O1953" s="6" t="s">
        <v>42</v>
      </c>
    </row>
    <row r="1954" spans="1:15" x14ac:dyDescent="0.25">
      <c r="A1954" s="6" t="s">
        <v>7288</v>
      </c>
      <c r="B1954" s="6" t="s">
        <v>7287</v>
      </c>
      <c r="C1954" s="6" t="s">
        <v>31</v>
      </c>
      <c r="E1954" s="6" t="s">
        <v>7286</v>
      </c>
      <c r="F1954" s="6" t="s">
        <v>7285</v>
      </c>
      <c r="G1954" s="6" t="s">
        <v>16</v>
      </c>
      <c r="H1954" s="6" t="s">
        <v>28</v>
      </c>
      <c r="I1954" s="6" t="s">
        <v>27</v>
      </c>
      <c r="J1954" s="6" t="s">
        <v>35</v>
      </c>
      <c r="K1954" s="7">
        <v>29.918151000000002</v>
      </c>
      <c r="L1954" s="7">
        <v>-95.380386999999999</v>
      </c>
      <c r="M1954" s="6" t="s">
        <v>198</v>
      </c>
      <c r="N1954" s="6" t="s">
        <v>24</v>
      </c>
      <c r="O1954" s="6" t="s">
        <v>23</v>
      </c>
    </row>
    <row r="1955" spans="1:15" x14ac:dyDescent="0.25">
      <c r="A1955" s="6" t="s">
        <v>4174</v>
      </c>
      <c r="B1955" s="6" t="s">
        <v>4172</v>
      </c>
      <c r="C1955" s="6" t="s">
        <v>31</v>
      </c>
      <c r="E1955" s="6" t="s">
        <v>4171</v>
      </c>
      <c r="F1955" s="6" t="s">
        <v>4170</v>
      </c>
      <c r="G1955" s="6" t="s">
        <v>16</v>
      </c>
      <c r="H1955" s="6" t="s">
        <v>15</v>
      </c>
      <c r="I1955" s="6" t="s">
        <v>46</v>
      </c>
      <c r="J1955" s="6" t="s">
        <v>4169</v>
      </c>
      <c r="K1955" s="7">
        <v>34.176336890000002</v>
      </c>
      <c r="L1955" s="7">
        <v>-99.305584449999998</v>
      </c>
      <c r="M1955" s="6" t="s">
        <v>4168</v>
      </c>
      <c r="N1955" s="6" t="s">
        <v>43</v>
      </c>
      <c r="O1955" s="6" t="s">
        <v>95</v>
      </c>
    </row>
    <row r="1956" spans="1:15" x14ac:dyDescent="0.25">
      <c r="A1956" s="6" t="s">
        <v>4173</v>
      </c>
      <c r="B1956" s="6" t="s">
        <v>4172</v>
      </c>
      <c r="C1956" s="6" t="s">
        <v>19</v>
      </c>
      <c r="E1956" s="6" t="s">
        <v>4171</v>
      </c>
      <c r="F1956" s="6" t="s">
        <v>4170</v>
      </c>
      <c r="G1956" s="6" t="s">
        <v>16</v>
      </c>
      <c r="H1956" s="6" t="s">
        <v>430</v>
      </c>
      <c r="I1956" s="6" t="s">
        <v>46</v>
      </c>
      <c r="J1956" s="6" t="s">
        <v>4169</v>
      </c>
      <c r="K1956" s="7">
        <v>34.165607219999998</v>
      </c>
      <c r="L1956" s="7">
        <v>-99.300235670000006</v>
      </c>
      <c r="M1956" s="6" t="s">
        <v>4168</v>
      </c>
      <c r="N1956" s="6" t="s">
        <v>43</v>
      </c>
      <c r="O1956" s="6" t="s">
        <v>95</v>
      </c>
    </row>
    <row r="1957" spans="1:15" x14ac:dyDescent="0.25">
      <c r="A1957" s="6" t="s">
        <v>9123</v>
      </c>
      <c r="B1957" s="6" t="s">
        <v>9122</v>
      </c>
      <c r="C1957" s="6" t="s">
        <v>31</v>
      </c>
      <c r="E1957" s="6" t="s">
        <v>9121</v>
      </c>
      <c r="F1957" s="6" t="s">
        <v>9120</v>
      </c>
      <c r="G1957" s="6" t="s">
        <v>16</v>
      </c>
      <c r="H1957" s="6" t="s">
        <v>28</v>
      </c>
      <c r="I1957" s="6" t="s">
        <v>73</v>
      </c>
      <c r="J1957" s="6" t="s">
        <v>54</v>
      </c>
      <c r="K1957" s="7">
        <v>30.943470040000001</v>
      </c>
      <c r="L1957" s="7">
        <v>-95.358500449999994</v>
      </c>
      <c r="M1957" s="6" t="s">
        <v>317</v>
      </c>
      <c r="N1957" s="6" t="s">
        <v>102</v>
      </c>
      <c r="O1957" s="6" t="s">
        <v>24</v>
      </c>
    </row>
    <row r="1958" spans="1:15" x14ac:dyDescent="0.25">
      <c r="A1958" s="6" t="s">
        <v>7292</v>
      </c>
      <c r="B1958" s="6" t="s">
        <v>7291</v>
      </c>
      <c r="C1958" s="6" t="s">
        <v>31</v>
      </c>
      <c r="E1958" s="6" t="s">
        <v>7290</v>
      </c>
      <c r="F1958" s="6" t="s">
        <v>7289</v>
      </c>
      <c r="G1958" s="6" t="s">
        <v>16</v>
      </c>
      <c r="H1958" s="6" t="s">
        <v>15</v>
      </c>
      <c r="I1958" s="6" t="s">
        <v>36</v>
      </c>
      <c r="J1958" s="6" t="s">
        <v>35</v>
      </c>
      <c r="K1958" s="7">
        <v>29.928976840000001</v>
      </c>
      <c r="L1958" s="7">
        <v>-95.673461799999998</v>
      </c>
      <c r="M1958" s="6" t="s">
        <v>131</v>
      </c>
      <c r="N1958" s="6" t="s">
        <v>24</v>
      </c>
      <c r="O1958" s="6" t="s">
        <v>23</v>
      </c>
    </row>
    <row r="1959" spans="1:15" x14ac:dyDescent="0.25">
      <c r="A1959" s="6" t="s">
        <v>7284</v>
      </c>
      <c r="B1959" s="6" t="s">
        <v>7283</v>
      </c>
      <c r="C1959" s="6" t="s">
        <v>31</v>
      </c>
      <c r="E1959" s="6" t="s">
        <v>7282</v>
      </c>
      <c r="F1959" s="6" t="s">
        <v>895</v>
      </c>
      <c r="G1959" s="6" t="s">
        <v>16</v>
      </c>
      <c r="H1959" s="6" t="s">
        <v>28</v>
      </c>
      <c r="I1959" s="6" t="s">
        <v>60</v>
      </c>
      <c r="J1959" s="6" t="s">
        <v>318</v>
      </c>
      <c r="K1959" s="7">
        <v>30.803439999999998</v>
      </c>
      <c r="L1959" s="7">
        <v>-95.076508000000004</v>
      </c>
      <c r="M1959" s="6" t="s">
        <v>317</v>
      </c>
      <c r="N1959" s="6" t="s">
        <v>102</v>
      </c>
      <c r="O1959" s="6" t="s">
        <v>24</v>
      </c>
    </row>
    <row r="1960" spans="1:15" x14ac:dyDescent="0.25">
      <c r="A1960" s="6" t="s">
        <v>7274</v>
      </c>
      <c r="B1960" s="6" t="s">
        <v>7273</v>
      </c>
      <c r="C1960" s="6" t="s">
        <v>31</v>
      </c>
      <c r="E1960" s="6" t="s">
        <v>7272</v>
      </c>
      <c r="F1960" s="6" t="s">
        <v>7271</v>
      </c>
      <c r="G1960" s="6" t="s">
        <v>16</v>
      </c>
      <c r="H1960" s="6" t="s">
        <v>28</v>
      </c>
      <c r="I1960" s="6" t="s">
        <v>60</v>
      </c>
      <c r="J1960" s="6" t="s">
        <v>35</v>
      </c>
      <c r="K1960" s="7">
        <v>29.929960000000001</v>
      </c>
      <c r="L1960" s="7">
        <v>-95.632846999999998</v>
      </c>
      <c r="M1960" s="6" t="s">
        <v>77</v>
      </c>
      <c r="N1960" s="6" t="s">
        <v>24</v>
      </c>
      <c r="O1960" s="6" t="s">
        <v>23</v>
      </c>
    </row>
    <row r="1961" spans="1:15" x14ac:dyDescent="0.25">
      <c r="A1961" s="6" t="s">
        <v>8328</v>
      </c>
      <c r="B1961" s="6" t="s">
        <v>1475</v>
      </c>
      <c r="C1961" s="6" t="s">
        <v>31</v>
      </c>
      <c r="E1961" s="6" t="s">
        <v>1473</v>
      </c>
      <c r="F1961" s="6" t="s">
        <v>1472</v>
      </c>
      <c r="G1961" s="6" t="s">
        <v>16</v>
      </c>
      <c r="H1961" s="6" t="s">
        <v>591</v>
      </c>
      <c r="I1961" s="6" t="s">
        <v>36</v>
      </c>
      <c r="J1961" s="6" t="s">
        <v>781</v>
      </c>
      <c r="K1961" s="7">
        <v>32.399041230000002</v>
      </c>
      <c r="L1961" s="7">
        <v>-94.476564429999996</v>
      </c>
      <c r="M1961" s="6" t="s">
        <v>1218</v>
      </c>
      <c r="N1961" s="6" t="s">
        <v>65</v>
      </c>
      <c r="O1961" s="6" t="s">
        <v>65</v>
      </c>
    </row>
    <row r="1962" spans="1:15" x14ac:dyDescent="0.25">
      <c r="A1962" s="6" t="s">
        <v>1476</v>
      </c>
      <c r="B1962" s="6" t="s">
        <v>1475</v>
      </c>
      <c r="C1962" s="6" t="s">
        <v>1474</v>
      </c>
      <c r="E1962" s="6" t="s">
        <v>1473</v>
      </c>
      <c r="F1962" s="6" t="s">
        <v>1472</v>
      </c>
      <c r="G1962" s="6" t="s">
        <v>16</v>
      </c>
      <c r="H1962" s="6" t="s">
        <v>28</v>
      </c>
      <c r="I1962" s="6" t="s">
        <v>36</v>
      </c>
      <c r="J1962" s="6" t="s">
        <v>781</v>
      </c>
      <c r="K1962" s="7">
        <v>32.465567190000002</v>
      </c>
      <c r="L1962" s="7">
        <v>-94.519461460000002</v>
      </c>
      <c r="M1962" s="6" t="s">
        <v>1218</v>
      </c>
      <c r="N1962" s="6" t="s">
        <v>65</v>
      </c>
      <c r="O1962" s="6" t="s">
        <v>65</v>
      </c>
    </row>
    <row r="1963" spans="1:15" x14ac:dyDescent="0.25">
      <c r="A1963" s="6" t="s">
        <v>8694</v>
      </c>
      <c r="B1963" s="6" t="s">
        <v>8693</v>
      </c>
      <c r="C1963" s="6" t="s">
        <v>31</v>
      </c>
      <c r="E1963" s="6" t="s">
        <v>8692</v>
      </c>
      <c r="F1963" s="6" t="s">
        <v>263</v>
      </c>
      <c r="G1963" s="6" t="s">
        <v>16</v>
      </c>
      <c r="H1963" s="6" t="s">
        <v>28</v>
      </c>
      <c r="I1963" s="6" t="s">
        <v>60</v>
      </c>
      <c r="J1963" s="6" t="s">
        <v>576</v>
      </c>
      <c r="K1963" s="7">
        <v>30.319013999999999</v>
      </c>
      <c r="L1963" s="7">
        <v>-96.105952000000002</v>
      </c>
      <c r="M1963" s="6" t="s">
        <v>355</v>
      </c>
      <c r="N1963" s="6" t="s">
        <v>23</v>
      </c>
      <c r="O1963" s="6" t="s">
        <v>120</v>
      </c>
    </row>
    <row r="1964" spans="1:15" x14ac:dyDescent="0.25">
      <c r="A1964" s="6" t="s">
        <v>7277</v>
      </c>
      <c r="B1964" s="6" t="s">
        <v>7276</v>
      </c>
      <c r="C1964" s="6" t="s">
        <v>31</v>
      </c>
      <c r="E1964" s="6" t="s">
        <v>7275</v>
      </c>
      <c r="F1964" s="6" t="s">
        <v>263</v>
      </c>
      <c r="G1964" s="6" t="s">
        <v>16</v>
      </c>
      <c r="H1964" s="6" t="s">
        <v>28</v>
      </c>
      <c r="I1964" s="6" t="s">
        <v>14</v>
      </c>
      <c r="J1964" s="6" t="s">
        <v>576</v>
      </c>
      <c r="K1964" s="7">
        <v>30.25649198</v>
      </c>
      <c r="L1964" s="7">
        <v>-96.053088239999994</v>
      </c>
      <c r="M1964" s="6" t="s">
        <v>355</v>
      </c>
      <c r="N1964" s="6" t="s">
        <v>23</v>
      </c>
      <c r="O1964" s="6" t="s">
        <v>120</v>
      </c>
    </row>
    <row r="1965" spans="1:15" x14ac:dyDescent="0.25">
      <c r="A1965" s="6" t="s">
        <v>6361</v>
      </c>
      <c r="B1965" s="6" t="s">
        <v>6360</v>
      </c>
      <c r="C1965" s="6" t="s">
        <v>31</v>
      </c>
      <c r="E1965" s="6" t="s">
        <v>6359</v>
      </c>
      <c r="F1965" s="6" t="s">
        <v>263</v>
      </c>
      <c r="G1965" s="6" t="s">
        <v>16</v>
      </c>
      <c r="H1965" s="6" t="s">
        <v>28</v>
      </c>
      <c r="I1965" s="6" t="s">
        <v>60</v>
      </c>
      <c r="J1965" s="6" t="s">
        <v>132</v>
      </c>
      <c r="K1965" s="7">
        <v>29.620168</v>
      </c>
      <c r="L1965" s="7">
        <v>-95.712339999999998</v>
      </c>
      <c r="M1965" s="6" t="s">
        <v>355</v>
      </c>
      <c r="N1965" s="6" t="s">
        <v>23</v>
      </c>
      <c r="O1965" s="6" t="s">
        <v>23</v>
      </c>
    </row>
    <row r="1966" spans="1:15" x14ac:dyDescent="0.25">
      <c r="A1966" s="6" t="s">
        <v>8733</v>
      </c>
      <c r="B1966" s="6" t="s">
        <v>8732</v>
      </c>
      <c r="C1966" s="6" t="s">
        <v>31</v>
      </c>
      <c r="E1966" s="6" t="s">
        <v>8731</v>
      </c>
      <c r="F1966" s="6" t="s">
        <v>263</v>
      </c>
      <c r="G1966" s="6" t="s">
        <v>16</v>
      </c>
      <c r="H1966" s="6" t="s">
        <v>28</v>
      </c>
      <c r="I1966" s="6" t="s">
        <v>1200</v>
      </c>
      <c r="J1966" s="6" t="s">
        <v>1249</v>
      </c>
      <c r="K1966" s="7">
        <v>31.726654</v>
      </c>
      <c r="L1966" s="7">
        <v>-95.800948000000005</v>
      </c>
      <c r="M1966" s="6" t="s">
        <v>1031</v>
      </c>
      <c r="N1966" s="6" t="s">
        <v>102</v>
      </c>
      <c r="O1966" s="6" t="s">
        <v>65</v>
      </c>
    </row>
    <row r="1967" spans="1:15" x14ac:dyDescent="0.25">
      <c r="A1967" s="6" t="s">
        <v>7270</v>
      </c>
      <c r="B1967" s="6" t="s">
        <v>7269</v>
      </c>
      <c r="C1967" s="6" t="s">
        <v>31</v>
      </c>
      <c r="E1967" s="6" t="s">
        <v>7268</v>
      </c>
      <c r="F1967" s="6" t="s">
        <v>7267</v>
      </c>
      <c r="G1967" s="6" t="s">
        <v>16</v>
      </c>
      <c r="H1967" s="6" t="s">
        <v>28</v>
      </c>
      <c r="I1967" s="6" t="s">
        <v>60</v>
      </c>
      <c r="J1967" s="6" t="s">
        <v>35</v>
      </c>
      <c r="K1967" s="7">
        <v>29.876225000000002</v>
      </c>
      <c r="L1967" s="7">
        <v>-95.595321999999996</v>
      </c>
      <c r="M1967" s="6" t="s">
        <v>131</v>
      </c>
      <c r="N1967" s="6" t="s">
        <v>24</v>
      </c>
      <c r="O1967" s="6" t="s">
        <v>23</v>
      </c>
    </row>
    <row r="1968" spans="1:15" x14ac:dyDescent="0.25">
      <c r="A1968" s="6" t="s">
        <v>3986</v>
      </c>
      <c r="B1968" s="6" t="s">
        <v>3984</v>
      </c>
      <c r="C1968" s="6" t="s">
        <v>31</v>
      </c>
      <c r="E1968" s="6" t="s">
        <v>3983</v>
      </c>
      <c r="F1968" s="6" t="s">
        <v>1160</v>
      </c>
      <c r="G1968" s="6" t="s">
        <v>16</v>
      </c>
      <c r="H1968" s="6" t="s">
        <v>15</v>
      </c>
      <c r="I1968" s="6" t="s">
        <v>14</v>
      </c>
      <c r="J1968" s="6" t="s">
        <v>253</v>
      </c>
      <c r="K1968" s="7">
        <v>31.076149919999999</v>
      </c>
      <c r="L1968" s="7">
        <v>-97.332013340000003</v>
      </c>
      <c r="M1968" s="6" t="s">
        <v>252</v>
      </c>
      <c r="N1968" s="6" t="s">
        <v>23</v>
      </c>
      <c r="O1968" s="6" t="s">
        <v>120</v>
      </c>
    </row>
    <row r="1969" spans="1:15" x14ac:dyDescent="0.25">
      <c r="A1969" s="6" t="s">
        <v>3985</v>
      </c>
      <c r="B1969" s="6" t="s">
        <v>3984</v>
      </c>
      <c r="C1969" s="6" t="s">
        <v>19</v>
      </c>
      <c r="E1969" s="6" t="s">
        <v>3983</v>
      </c>
      <c r="F1969" s="6" t="s">
        <v>1160</v>
      </c>
      <c r="G1969" s="6" t="s">
        <v>16</v>
      </c>
      <c r="H1969" s="6" t="s">
        <v>15</v>
      </c>
      <c r="I1969" s="6" t="s">
        <v>14</v>
      </c>
      <c r="J1969" s="6" t="s">
        <v>253</v>
      </c>
      <c r="K1969" s="7">
        <v>31.056465320000001</v>
      </c>
      <c r="L1969" s="7">
        <v>-97.324077450000004</v>
      </c>
      <c r="M1969" s="6" t="s">
        <v>252</v>
      </c>
      <c r="N1969" s="6" t="s">
        <v>23</v>
      </c>
      <c r="O1969" s="6" t="s">
        <v>120</v>
      </c>
    </row>
    <row r="1970" spans="1:15" x14ac:dyDescent="0.25">
      <c r="A1970" s="6" t="s">
        <v>3277</v>
      </c>
      <c r="B1970" s="6" t="s">
        <v>3276</v>
      </c>
      <c r="C1970" s="6" t="s">
        <v>31</v>
      </c>
      <c r="E1970" s="6" t="s">
        <v>3275</v>
      </c>
      <c r="F1970" s="6" t="s">
        <v>2739</v>
      </c>
      <c r="G1970" s="6" t="s">
        <v>16</v>
      </c>
      <c r="H1970" s="6" t="s">
        <v>15</v>
      </c>
      <c r="I1970" s="6" t="s">
        <v>36</v>
      </c>
      <c r="J1970" s="6" t="s">
        <v>853</v>
      </c>
      <c r="K1970" s="7">
        <v>29.854978540000001</v>
      </c>
      <c r="L1970" s="7">
        <v>-94.952505639999998</v>
      </c>
      <c r="M1970" s="6" t="s">
        <v>914</v>
      </c>
      <c r="N1970" s="6" t="s">
        <v>120</v>
      </c>
      <c r="O1970" s="6" t="s">
        <v>23</v>
      </c>
    </row>
    <row r="1971" spans="1:15" x14ac:dyDescent="0.25">
      <c r="A1971" s="6" t="s">
        <v>2605</v>
      </c>
      <c r="B1971" s="6" t="s">
        <v>2604</v>
      </c>
      <c r="C1971" s="6" t="s">
        <v>31</v>
      </c>
      <c r="E1971" s="6" t="s">
        <v>2603</v>
      </c>
      <c r="F1971" s="6" t="s">
        <v>2602</v>
      </c>
      <c r="G1971" s="6" t="s">
        <v>16</v>
      </c>
      <c r="H1971" s="6" t="s">
        <v>15</v>
      </c>
      <c r="I1971" s="6" t="s">
        <v>36</v>
      </c>
      <c r="J1971" s="6" t="s">
        <v>35</v>
      </c>
      <c r="K1971" s="7">
        <v>30.001429999999999</v>
      </c>
      <c r="L1971" s="7">
        <v>-95.403445000000005</v>
      </c>
      <c r="M1971" s="6" t="s">
        <v>279</v>
      </c>
      <c r="N1971" s="6" t="s">
        <v>24</v>
      </c>
      <c r="O1971" s="6" t="s">
        <v>23</v>
      </c>
    </row>
    <row r="1972" spans="1:15" x14ac:dyDescent="0.25">
      <c r="A1972" s="6" t="s">
        <v>3274</v>
      </c>
      <c r="B1972" s="6" t="s">
        <v>3089</v>
      </c>
      <c r="C1972" s="6" t="s">
        <v>31</v>
      </c>
      <c r="E1972" s="6" t="s">
        <v>3088</v>
      </c>
      <c r="F1972" s="6" t="s">
        <v>3087</v>
      </c>
      <c r="G1972" s="6" t="s">
        <v>16</v>
      </c>
      <c r="H1972" s="6" t="s">
        <v>15</v>
      </c>
      <c r="I1972" s="6" t="s">
        <v>14</v>
      </c>
      <c r="J1972" s="6" t="s">
        <v>35</v>
      </c>
      <c r="K1972" s="7">
        <v>29.608539960000002</v>
      </c>
      <c r="L1972" s="7">
        <v>-95.021460329999996</v>
      </c>
      <c r="M1972" s="6" t="s">
        <v>1913</v>
      </c>
      <c r="N1972" s="6" t="s">
        <v>160</v>
      </c>
      <c r="O1972" s="6" t="s">
        <v>23</v>
      </c>
    </row>
    <row r="1973" spans="1:15" x14ac:dyDescent="0.25">
      <c r="A1973" s="6" t="s">
        <v>3090</v>
      </c>
      <c r="B1973" s="6" t="s">
        <v>3089</v>
      </c>
      <c r="C1973" s="6" t="s">
        <v>19</v>
      </c>
      <c r="E1973" s="6" t="s">
        <v>3088</v>
      </c>
      <c r="F1973" s="6" t="s">
        <v>3087</v>
      </c>
      <c r="G1973" s="6" t="s">
        <v>16</v>
      </c>
      <c r="H1973" s="6" t="s">
        <v>430</v>
      </c>
      <c r="I1973" s="6" t="s">
        <v>14</v>
      </c>
      <c r="J1973" s="6" t="s">
        <v>35</v>
      </c>
      <c r="K1973" s="7">
        <v>29.60601535</v>
      </c>
      <c r="L1973" s="7">
        <v>-95.016260310000007</v>
      </c>
      <c r="M1973" s="6" t="s">
        <v>1913</v>
      </c>
      <c r="N1973" s="6" t="s">
        <v>160</v>
      </c>
      <c r="O1973" s="6" t="s">
        <v>23</v>
      </c>
    </row>
    <row r="1974" spans="1:15" x14ac:dyDescent="0.25">
      <c r="A1974" s="6" t="s">
        <v>7262</v>
      </c>
      <c r="B1974" s="6" t="s">
        <v>7261</v>
      </c>
      <c r="C1974" s="6" t="s">
        <v>31</v>
      </c>
      <c r="E1974" s="6" t="s">
        <v>7260</v>
      </c>
      <c r="F1974" s="6" t="s">
        <v>7259</v>
      </c>
      <c r="G1974" s="6" t="s">
        <v>16</v>
      </c>
      <c r="H1974" s="6" t="s">
        <v>28</v>
      </c>
      <c r="I1974" s="6" t="s">
        <v>60</v>
      </c>
      <c r="J1974" s="6" t="s">
        <v>132</v>
      </c>
      <c r="K1974" s="7">
        <v>29.648288999999998</v>
      </c>
      <c r="L1974" s="7">
        <v>-95.664946999999998</v>
      </c>
      <c r="M1974" s="6" t="s">
        <v>616</v>
      </c>
      <c r="N1974" s="6" t="s">
        <v>23</v>
      </c>
      <c r="O1974" s="6" t="s">
        <v>23</v>
      </c>
    </row>
    <row r="1975" spans="1:15" x14ac:dyDescent="0.25">
      <c r="A1975" s="6" t="s">
        <v>7252</v>
      </c>
      <c r="B1975" s="6" t="s">
        <v>7251</v>
      </c>
      <c r="C1975" s="6" t="s">
        <v>31</v>
      </c>
      <c r="E1975" s="6" t="s">
        <v>7250</v>
      </c>
      <c r="F1975" s="6" t="s">
        <v>7249</v>
      </c>
      <c r="G1975" s="6" t="s">
        <v>16</v>
      </c>
      <c r="H1975" s="6" t="s">
        <v>28</v>
      </c>
      <c r="I1975" s="6" t="s">
        <v>27</v>
      </c>
      <c r="J1975" s="6" t="s">
        <v>35</v>
      </c>
      <c r="K1975" s="7">
        <v>29.929518999999999</v>
      </c>
      <c r="L1975" s="7">
        <v>-95.374078999999995</v>
      </c>
      <c r="M1975" s="6" t="s">
        <v>198</v>
      </c>
      <c r="N1975" s="6" t="s">
        <v>24</v>
      </c>
      <c r="O1975" s="6" t="s">
        <v>23</v>
      </c>
    </row>
    <row r="1976" spans="1:15" x14ac:dyDescent="0.25">
      <c r="A1976" s="6" t="s">
        <v>9277</v>
      </c>
      <c r="B1976" s="6" t="s">
        <v>9276</v>
      </c>
      <c r="C1976" s="6" t="s">
        <v>31</v>
      </c>
      <c r="E1976" s="6" t="s">
        <v>9275</v>
      </c>
      <c r="F1976" s="6" t="s">
        <v>895</v>
      </c>
      <c r="G1976" s="6" t="s">
        <v>16</v>
      </c>
      <c r="H1976" s="6" t="s">
        <v>28</v>
      </c>
      <c r="I1976" s="6" t="s">
        <v>60</v>
      </c>
      <c r="J1976" s="6" t="s">
        <v>312</v>
      </c>
      <c r="K1976" s="7">
        <v>32.400030000000001</v>
      </c>
      <c r="L1976" s="7">
        <v>-97.730782000000005</v>
      </c>
      <c r="M1976" s="6" t="s">
        <v>311</v>
      </c>
      <c r="N1976" s="6" t="s">
        <v>23</v>
      </c>
      <c r="O1976" s="6" t="s">
        <v>42</v>
      </c>
    </row>
    <row r="1977" spans="1:15" x14ac:dyDescent="0.25">
      <c r="A1977" s="6" t="s">
        <v>6513</v>
      </c>
      <c r="B1977" s="6" t="s">
        <v>6512</v>
      </c>
      <c r="C1977" s="6" t="s">
        <v>31</v>
      </c>
      <c r="E1977" s="6" t="s">
        <v>6511</v>
      </c>
      <c r="F1977" s="6" t="s">
        <v>6510</v>
      </c>
      <c r="G1977" s="6" t="s">
        <v>16</v>
      </c>
      <c r="H1977" s="6" t="s">
        <v>28</v>
      </c>
      <c r="I1977" s="6" t="s">
        <v>799</v>
      </c>
      <c r="J1977" s="6" t="s">
        <v>35</v>
      </c>
      <c r="K1977" s="7">
        <v>29.755258000000001</v>
      </c>
      <c r="L1977" s="7">
        <v>-95.709299000000001</v>
      </c>
      <c r="M1977" s="6" t="s">
        <v>131</v>
      </c>
      <c r="N1977" s="6" t="s">
        <v>24</v>
      </c>
      <c r="O1977" s="6" t="s">
        <v>23</v>
      </c>
    </row>
    <row r="1978" spans="1:15" x14ac:dyDescent="0.25">
      <c r="A1978" s="6" t="s">
        <v>7255</v>
      </c>
      <c r="B1978" s="6" t="s">
        <v>7254</v>
      </c>
      <c r="C1978" s="6" t="s">
        <v>31</v>
      </c>
      <c r="E1978" s="6" t="s">
        <v>7253</v>
      </c>
      <c r="F1978" s="6" t="s">
        <v>2725</v>
      </c>
      <c r="G1978" s="6" t="s">
        <v>16</v>
      </c>
      <c r="H1978" s="6" t="s">
        <v>28</v>
      </c>
      <c r="I1978" s="6" t="s">
        <v>73</v>
      </c>
      <c r="J1978" s="6" t="s">
        <v>424</v>
      </c>
      <c r="K1978" s="7">
        <v>32.70938761</v>
      </c>
      <c r="L1978" s="7">
        <v>-95.189326449999996</v>
      </c>
      <c r="M1978" s="6" t="s">
        <v>5803</v>
      </c>
      <c r="N1978" s="6" t="s">
        <v>65</v>
      </c>
      <c r="O1978" s="6" t="s">
        <v>65</v>
      </c>
    </row>
    <row r="1979" spans="1:15" x14ac:dyDescent="0.25">
      <c r="A1979" s="6" t="s">
        <v>7266</v>
      </c>
      <c r="B1979" s="6" t="s">
        <v>7265</v>
      </c>
      <c r="C1979" s="6" t="s">
        <v>31</v>
      </c>
      <c r="E1979" s="6" t="s">
        <v>7264</v>
      </c>
      <c r="F1979" s="6" t="s">
        <v>7263</v>
      </c>
      <c r="G1979" s="6" t="s">
        <v>16</v>
      </c>
      <c r="H1979" s="6" t="s">
        <v>28</v>
      </c>
      <c r="I1979" s="6" t="s">
        <v>60</v>
      </c>
      <c r="J1979" s="6" t="s">
        <v>35</v>
      </c>
      <c r="K1979" s="7">
        <v>29.869721999999999</v>
      </c>
      <c r="L1979" s="7">
        <v>-95.654539</v>
      </c>
      <c r="M1979" s="6" t="s">
        <v>131</v>
      </c>
      <c r="N1979" s="6" t="s">
        <v>24</v>
      </c>
      <c r="O1979" s="6" t="s">
        <v>23</v>
      </c>
    </row>
    <row r="1980" spans="1:15" x14ac:dyDescent="0.25">
      <c r="A1980" s="6" t="s">
        <v>3994</v>
      </c>
      <c r="B1980" s="6" t="s">
        <v>3993</v>
      </c>
      <c r="C1980" s="6" t="s">
        <v>31</v>
      </c>
      <c r="E1980" s="6" t="s">
        <v>3992</v>
      </c>
      <c r="F1980" s="6" t="s">
        <v>2254</v>
      </c>
      <c r="G1980" s="6" t="s">
        <v>16</v>
      </c>
      <c r="H1980" s="6" t="s">
        <v>15</v>
      </c>
      <c r="I1980" s="6" t="s">
        <v>14</v>
      </c>
      <c r="J1980" s="6" t="s">
        <v>13</v>
      </c>
      <c r="K1980" s="7">
        <v>27.81805894</v>
      </c>
      <c r="L1980" s="7">
        <v>-97.462614430000002</v>
      </c>
      <c r="M1980" s="6" t="s">
        <v>12</v>
      </c>
      <c r="N1980" s="6" t="s">
        <v>11</v>
      </c>
      <c r="O1980" s="6" t="s">
        <v>10</v>
      </c>
    </row>
    <row r="1981" spans="1:15" x14ac:dyDescent="0.25">
      <c r="A1981" s="6" t="s">
        <v>3273</v>
      </c>
      <c r="B1981" s="6" t="s">
        <v>3271</v>
      </c>
      <c r="C1981" s="6" t="s">
        <v>31</v>
      </c>
      <c r="E1981" s="6" t="s">
        <v>3270</v>
      </c>
      <c r="F1981" s="6" t="s">
        <v>3269</v>
      </c>
      <c r="G1981" s="6" t="s">
        <v>16</v>
      </c>
      <c r="H1981" s="6" t="s">
        <v>15</v>
      </c>
      <c r="I1981" s="6" t="s">
        <v>14</v>
      </c>
      <c r="J1981" s="6" t="s">
        <v>35</v>
      </c>
      <c r="K1981" s="7">
        <v>29.721159629999999</v>
      </c>
      <c r="L1981" s="7">
        <v>-95.096025049999994</v>
      </c>
      <c r="M1981" s="6" t="s">
        <v>34</v>
      </c>
      <c r="N1981" s="6" t="s">
        <v>24</v>
      </c>
      <c r="O1981" s="6" t="s">
        <v>23</v>
      </c>
    </row>
    <row r="1982" spans="1:15" x14ac:dyDescent="0.25">
      <c r="A1982" s="6" t="s">
        <v>3272</v>
      </c>
      <c r="B1982" s="6" t="s">
        <v>3271</v>
      </c>
      <c r="C1982" s="6" t="s">
        <v>19</v>
      </c>
      <c r="E1982" s="6" t="s">
        <v>3270</v>
      </c>
      <c r="F1982" s="6" t="s">
        <v>3269</v>
      </c>
      <c r="G1982" s="6" t="s">
        <v>16</v>
      </c>
      <c r="H1982" s="6" t="s">
        <v>430</v>
      </c>
      <c r="I1982" s="6" t="s">
        <v>14</v>
      </c>
      <c r="J1982" s="6" t="s">
        <v>35</v>
      </c>
      <c r="K1982" s="7">
        <v>29.721160829999999</v>
      </c>
      <c r="L1982" s="7">
        <v>-95.096025010000005</v>
      </c>
      <c r="M1982" s="6" t="s">
        <v>34</v>
      </c>
      <c r="N1982" s="6" t="s">
        <v>24</v>
      </c>
      <c r="O1982" s="6" t="s">
        <v>23</v>
      </c>
    </row>
    <row r="1983" spans="1:15" x14ac:dyDescent="0.25">
      <c r="A1983" s="6" t="s">
        <v>7244</v>
      </c>
      <c r="B1983" s="6" t="s">
        <v>7243</v>
      </c>
      <c r="C1983" s="6" t="s">
        <v>31</v>
      </c>
      <c r="E1983" s="6" t="s">
        <v>7242</v>
      </c>
      <c r="F1983" s="6" t="s">
        <v>7241</v>
      </c>
      <c r="G1983" s="6" t="s">
        <v>16</v>
      </c>
      <c r="H1983" s="6" t="s">
        <v>28</v>
      </c>
      <c r="I1983" s="6" t="s">
        <v>73</v>
      </c>
      <c r="J1983" s="6" t="s">
        <v>35</v>
      </c>
      <c r="K1983" s="7">
        <v>29.724502999999999</v>
      </c>
      <c r="L1983" s="7">
        <v>-95.623807999999997</v>
      </c>
      <c r="M1983" s="6" t="s">
        <v>866</v>
      </c>
      <c r="N1983" s="6" t="s">
        <v>24</v>
      </c>
      <c r="O1983" s="6" t="s">
        <v>23</v>
      </c>
    </row>
    <row r="1984" spans="1:15" x14ac:dyDescent="0.25">
      <c r="A1984" s="6" t="s">
        <v>7248</v>
      </c>
      <c r="B1984" s="6" t="s">
        <v>7247</v>
      </c>
      <c r="C1984" s="6" t="s">
        <v>31</v>
      </c>
      <c r="E1984" s="6" t="s">
        <v>7246</v>
      </c>
      <c r="F1984" s="6" t="s">
        <v>7245</v>
      </c>
      <c r="G1984" s="6" t="s">
        <v>16</v>
      </c>
      <c r="H1984" s="6" t="s">
        <v>28</v>
      </c>
      <c r="I1984" s="6" t="s">
        <v>60</v>
      </c>
      <c r="J1984" s="6" t="s">
        <v>26</v>
      </c>
      <c r="K1984" s="7">
        <v>30.395714999999999</v>
      </c>
      <c r="L1984" s="7">
        <v>-95.639894999999996</v>
      </c>
      <c r="M1984" s="6" t="s">
        <v>340</v>
      </c>
      <c r="N1984" s="6" t="s">
        <v>24</v>
      </c>
      <c r="O1984" s="6" t="s">
        <v>23</v>
      </c>
    </row>
    <row r="1985" spans="1:15" x14ac:dyDescent="0.25">
      <c r="A1985" s="6" t="s">
        <v>8669</v>
      </c>
      <c r="B1985" s="6" t="s">
        <v>8668</v>
      </c>
      <c r="C1985" s="6" t="s">
        <v>31</v>
      </c>
      <c r="E1985" s="6" t="s">
        <v>8667</v>
      </c>
      <c r="F1985" s="6" t="s">
        <v>8666</v>
      </c>
      <c r="G1985" s="6" t="s">
        <v>16</v>
      </c>
      <c r="H1985" s="6" t="s">
        <v>28</v>
      </c>
      <c r="I1985" s="6" t="s">
        <v>60</v>
      </c>
      <c r="J1985" s="6" t="s">
        <v>26</v>
      </c>
      <c r="K1985" s="7">
        <v>30.129725000000001</v>
      </c>
      <c r="L1985" s="7">
        <v>-95.299449999999993</v>
      </c>
      <c r="M1985" s="6" t="s">
        <v>1022</v>
      </c>
      <c r="N1985" s="6" t="s">
        <v>24</v>
      </c>
      <c r="O1985" s="6" t="s">
        <v>23</v>
      </c>
    </row>
    <row r="1986" spans="1:15" x14ac:dyDescent="0.25">
      <c r="A1986" s="6" t="s">
        <v>3268</v>
      </c>
      <c r="B1986" s="6" t="s">
        <v>3267</v>
      </c>
      <c r="C1986" s="6" t="s">
        <v>31</v>
      </c>
      <c r="E1986" s="6" t="s">
        <v>3266</v>
      </c>
      <c r="F1986" s="6" t="s">
        <v>3265</v>
      </c>
      <c r="G1986" s="6" t="s">
        <v>16</v>
      </c>
      <c r="H1986" s="6" t="s">
        <v>430</v>
      </c>
      <c r="I1986" s="6" t="s">
        <v>14</v>
      </c>
      <c r="J1986" s="6" t="s">
        <v>215</v>
      </c>
      <c r="K1986" s="7">
        <v>29.36363369</v>
      </c>
      <c r="L1986" s="7">
        <v>-94.91170674</v>
      </c>
      <c r="M1986" s="6" t="s">
        <v>672</v>
      </c>
      <c r="N1986" s="6" t="s">
        <v>160</v>
      </c>
      <c r="O1986" s="6" t="s">
        <v>23</v>
      </c>
    </row>
    <row r="1987" spans="1:15" x14ac:dyDescent="0.25">
      <c r="A1987" s="6" t="s">
        <v>7240</v>
      </c>
      <c r="B1987" s="6" t="s">
        <v>7239</v>
      </c>
      <c r="C1987" s="6" t="s">
        <v>31</v>
      </c>
      <c r="E1987" s="6" t="s">
        <v>7238</v>
      </c>
      <c r="F1987" s="6" t="s">
        <v>895</v>
      </c>
      <c r="G1987" s="6" t="s">
        <v>16</v>
      </c>
      <c r="H1987" s="6" t="s">
        <v>28</v>
      </c>
      <c r="I1987" s="6" t="s">
        <v>1200</v>
      </c>
      <c r="J1987" s="6" t="s">
        <v>35</v>
      </c>
      <c r="K1987" s="7">
        <v>30.117419999999999</v>
      </c>
      <c r="L1987" s="7">
        <v>-95.547281999999996</v>
      </c>
      <c r="M1987" s="6" t="s">
        <v>731</v>
      </c>
      <c r="N1987" s="6" t="s">
        <v>24</v>
      </c>
      <c r="O1987" s="6" t="s">
        <v>23</v>
      </c>
    </row>
    <row r="1988" spans="1:15" x14ac:dyDescent="0.25">
      <c r="A1988" s="6" t="s">
        <v>11212</v>
      </c>
      <c r="B1988" s="6" t="s">
        <v>5530</v>
      </c>
      <c r="C1988" s="6" t="s">
        <v>31</v>
      </c>
      <c r="E1988" s="6" t="s">
        <v>5529</v>
      </c>
      <c r="F1988" s="6" t="s">
        <v>5528</v>
      </c>
      <c r="G1988" s="6" t="s">
        <v>16</v>
      </c>
      <c r="H1988" s="6" t="s">
        <v>15</v>
      </c>
      <c r="I1988" s="6" t="s">
        <v>14</v>
      </c>
      <c r="J1988" s="6" t="s">
        <v>35</v>
      </c>
      <c r="K1988" s="7">
        <v>29.876899989999998</v>
      </c>
      <c r="L1988" s="7">
        <v>-95.584616819999994</v>
      </c>
      <c r="M1988" s="6" t="s">
        <v>131</v>
      </c>
      <c r="N1988" s="6" t="s">
        <v>24</v>
      </c>
      <c r="O1988" s="6" t="s">
        <v>23</v>
      </c>
    </row>
    <row r="1989" spans="1:15" x14ac:dyDescent="0.25">
      <c r="A1989" s="6" t="s">
        <v>12472</v>
      </c>
      <c r="B1989" s="6" t="s">
        <v>5530</v>
      </c>
      <c r="C1989" s="6" t="s">
        <v>597</v>
      </c>
      <c r="E1989" s="6" t="s">
        <v>5529</v>
      </c>
      <c r="F1989" s="6" t="s">
        <v>5528</v>
      </c>
      <c r="G1989" s="6" t="s">
        <v>16</v>
      </c>
      <c r="H1989" s="6" t="s">
        <v>430</v>
      </c>
      <c r="I1989" s="6" t="s">
        <v>14</v>
      </c>
      <c r="J1989" s="6" t="s">
        <v>35</v>
      </c>
      <c r="K1989" s="7">
        <v>29.878930950000001</v>
      </c>
      <c r="L1989" s="7">
        <v>-95.582592460000001</v>
      </c>
      <c r="M1989" s="6" t="s">
        <v>131</v>
      </c>
      <c r="N1989" s="6" t="s">
        <v>24</v>
      </c>
      <c r="O1989" s="6" t="s">
        <v>23</v>
      </c>
    </row>
    <row r="1990" spans="1:15" x14ac:dyDescent="0.25">
      <c r="A1990" s="6" t="s">
        <v>5531</v>
      </c>
      <c r="B1990" s="6" t="s">
        <v>5530</v>
      </c>
      <c r="C1990" s="6" t="s">
        <v>557</v>
      </c>
      <c r="E1990" s="6" t="s">
        <v>5529</v>
      </c>
      <c r="F1990" s="6" t="s">
        <v>5528</v>
      </c>
      <c r="G1990" s="6" t="s">
        <v>16</v>
      </c>
      <c r="H1990" s="6" t="s">
        <v>430</v>
      </c>
      <c r="I1990" s="6" t="s">
        <v>14</v>
      </c>
      <c r="J1990" s="6" t="s">
        <v>35</v>
      </c>
      <c r="K1990" s="7">
        <v>29.87790949</v>
      </c>
      <c r="L1990" s="7">
        <v>-95.583854590000001</v>
      </c>
      <c r="M1990" s="6" t="s">
        <v>131</v>
      </c>
      <c r="N1990" s="6" t="s">
        <v>24</v>
      </c>
      <c r="O1990" s="6" t="s">
        <v>23</v>
      </c>
    </row>
    <row r="1991" spans="1:15" x14ac:dyDescent="0.25">
      <c r="A1991" s="6" t="s">
        <v>7237</v>
      </c>
      <c r="B1991" s="6" t="s">
        <v>7236</v>
      </c>
      <c r="C1991" s="6" t="s">
        <v>31</v>
      </c>
      <c r="E1991" s="6" t="s">
        <v>7235</v>
      </c>
      <c r="F1991" s="6" t="s">
        <v>7234</v>
      </c>
      <c r="G1991" s="6" t="s">
        <v>16</v>
      </c>
      <c r="H1991" s="6" t="s">
        <v>28</v>
      </c>
      <c r="I1991" s="6" t="s">
        <v>36</v>
      </c>
      <c r="J1991" s="6" t="s">
        <v>35</v>
      </c>
      <c r="K1991" s="7">
        <v>29.99394096</v>
      </c>
      <c r="L1991" s="7">
        <v>-95.448548279999997</v>
      </c>
      <c r="M1991" s="6" t="s">
        <v>198</v>
      </c>
      <c r="N1991" s="6" t="s">
        <v>24</v>
      </c>
      <c r="O1991" s="6" t="s">
        <v>23</v>
      </c>
    </row>
    <row r="1992" spans="1:15" x14ac:dyDescent="0.25">
      <c r="A1992" s="6" t="s">
        <v>7233</v>
      </c>
      <c r="B1992" s="6" t="s">
        <v>7232</v>
      </c>
      <c r="C1992" s="6" t="s">
        <v>31</v>
      </c>
      <c r="E1992" s="6" t="s">
        <v>7231</v>
      </c>
      <c r="F1992" s="6" t="s">
        <v>7227</v>
      </c>
      <c r="G1992" s="6" t="s">
        <v>16</v>
      </c>
      <c r="H1992" s="6" t="s">
        <v>28</v>
      </c>
      <c r="I1992" s="6" t="s">
        <v>60</v>
      </c>
      <c r="J1992" s="6" t="s">
        <v>35</v>
      </c>
      <c r="K1992" s="7">
        <v>29.884609999999999</v>
      </c>
      <c r="L1992" s="7">
        <v>-95.597423000000006</v>
      </c>
      <c r="M1992" s="6" t="s">
        <v>77</v>
      </c>
      <c r="N1992" s="6" t="s">
        <v>24</v>
      </c>
      <c r="O1992" s="6" t="s">
        <v>23</v>
      </c>
    </row>
    <row r="1993" spans="1:15" x14ac:dyDescent="0.25">
      <c r="A1993" s="6" t="s">
        <v>8745</v>
      </c>
      <c r="B1993" s="6" t="s">
        <v>8744</v>
      </c>
      <c r="C1993" s="6" t="s">
        <v>31</v>
      </c>
      <c r="E1993" s="6" t="s">
        <v>8743</v>
      </c>
      <c r="F1993" s="6" t="s">
        <v>8742</v>
      </c>
      <c r="G1993" s="6" t="s">
        <v>16</v>
      </c>
      <c r="H1993" s="6" t="s">
        <v>28</v>
      </c>
      <c r="I1993" s="6" t="s">
        <v>27</v>
      </c>
      <c r="J1993" s="6" t="s">
        <v>26</v>
      </c>
      <c r="K1993" s="7">
        <v>30.168810229999998</v>
      </c>
      <c r="L1993" s="7">
        <v>-95.413825259999996</v>
      </c>
      <c r="M1993" s="6" t="s">
        <v>1022</v>
      </c>
      <c r="N1993" s="6" t="s">
        <v>24</v>
      </c>
      <c r="O1993" s="6" t="s">
        <v>23</v>
      </c>
    </row>
    <row r="1994" spans="1:15" x14ac:dyDescent="0.25">
      <c r="A1994" s="6" t="s">
        <v>10891</v>
      </c>
      <c r="B1994" s="6" t="s">
        <v>10890</v>
      </c>
      <c r="C1994" s="6" t="s">
        <v>31</v>
      </c>
      <c r="E1994" s="6" t="s">
        <v>10889</v>
      </c>
      <c r="F1994" s="6" t="s">
        <v>2278</v>
      </c>
      <c r="G1994" s="6" t="s">
        <v>16</v>
      </c>
      <c r="H1994" s="6" t="s">
        <v>28</v>
      </c>
      <c r="I1994" s="6" t="s">
        <v>27</v>
      </c>
      <c r="J1994" s="6" t="s">
        <v>35</v>
      </c>
      <c r="K1994" s="7">
        <v>30.021606569999999</v>
      </c>
      <c r="L1994" s="7">
        <v>-95.585830479999998</v>
      </c>
      <c r="M1994" s="6" t="s">
        <v>279</v>
      </c>
      <c r="N1994" s="6" t="s">
        <v>24</v>
      </c>
      <c r="O1994" s="6" t="s">
        <v>23</v>
      </c>
    </row>
    <row r="1995" spans="1:15" x14ac:dyDescent="0.25">
      <c r="A1995" s="6" t="s">
        <v>10008</v>
      </c>
      <c r="B1995" s="6" t="s">
        <v>10007</v>
      </c>
      <c r="C1995" s="6" t="s">
        <v>31</v>
      </c>
      <c r="E1995" s="6" t="s">
        <v>10006</v>
      </c>
      <c r="F1995" s="6" t="s">
        <v>10005</v>
      </c>
      <c r="G1995" s="6" t="s">
        <v>16</v>
      </c>
      <c r="H1995" s="6" t="s">
        <v>430</v>
      </c>
      <c r="I1995" s="6" t="s">
        <v>46</v>
      </c>
      <c r="J1995" s="6" t="s">
        <v>1288</v>
      </c>
      <c r="K1995" s="7">
        <v>32.519466479999998</v>
      </c>
      <c r="L1995" s="7">
        <v>-96.966237199999995</v>
      </c>
      <c r="M1995" s="6" t="s">
        <v>7130</v>
      </c>
      <c r="N1995" s="6" t="s">
        <v>102</v>
      </c>
      <c r="O1995" s="6" t="s">
        <v>42</v>
      </c>
    </row>
    <row r="1996" spans="1:15" x14ac:dyDescent="0.25">
      <c r="A1996" s="6" t="s">
        <v>445</v>
      </c>
      <c r="B1996" s="6" t="s">
        <v>444</v>
      </c>
      <c r="C1996" s="6" t="s">
        <v>31</v>
      </c>
      <c r="E1996" s="6" t="s">
        <v>443</v>
      </c>
      <c r="F1996" s="6" t="s">
        <v>442</v>
      </c>
      <c r="G1996" s="6" t="s">
        <v>16</v>
      </c>
      <c r="H1996" s="6" t="s">
        <v>28</v>
      </c>
      <c r="I1996" s="6" t="s">
        <v>60</v>
      </c>
      <c r="J1996" s="6" t="s">
        <v>35</v>
      </c>
      <c r="K1996" s="7">
        <v>29.961622999999999</v>
      </c>
      <c r="L1996" s="7">
        <v>-95.535618999999997</v>
      </c>
      <c r="M1996" s="6" t="s">
        <v>198</v>
      </c>
      <c r="N1996" s="6" t="s">
        <v>24</v>
      </c>
      <c r="O1996" s="6" t="s">
        <v>23</v>
      </c>
    </row>
    <row r="1997" spans="1:15" x14ac:dyDescent="0.25">
      <c r="A1997" s="6" t="s">
        <v>3569</v>
      </c>
      <c r="B1997" s="6" t="s">
        <v>3568</v>
      </c>
      <c r="C1997" s="6" t="s">
        <v>31</v>
      </c>
      <c r="E1997" s="6" t="s">
        <v>3567</v>
      </c>
      <c r="F1997" s="6" t="s">
        <v>3566</v>
      </c>
      <c r="G1997" s="6" t="s">
        <v>16</v>
      </c>
      <c r="H1997" s="6" t="s">
        <v>28</v>
      </c>
      <c r="I1997" s="6" t="s">
        <v>27</v>
      </c>
      <c r="J1997" s="6" t="s">
        <v>132</v>
      </c>
      <c r="K1997" s="7">
        <v>29.550722</v>
      </c>
      <c r="L1997" s="7">
        <v>-95.539660999999995</v>
      </c>
      <c r="M1997" s="6" t="s">
        <v>616</v>
      </c>
      <c r="N1997" s="6" t="s">
        <v>23</v>
      </c>
      <c r="O1997" s="6" t="s">
        <v>23</v>
      </c>
    </row>
    <row r="1998" spans="1:15" x14ac:dyDescent="0.25">
      <c r="A1998" s="6" t="s">
        <v>7226</v>
      </c>
      <c r="B1998" s="6" t="s">
        <v>7225</v>
      </c>
      <c r="C1998" s="6" t="s">
        <v>31</v>
      </c>
      <c r="E1998" s="6" t="s">
        <v>7224</v>
      </c>
      <c r="F1998" s="6" t="s">
        <v>7223</v>
      </c>
      <c r="G1998" s="6" t="s">
        <v>16</v>
      </c>
      <c r="H1998" s="6" t="s">
        <v>28</v>
      </c>
      <c r="I1998" s="6" t="s">
        <v>14</v>
      </c>
      <c r="J1998" s="6" t="s">
        <v>35</v>
      </c>
      <c r="K1998" s="7">
        <v>29.885994</v>
      </c>
      <c r="L1998" s="7">
        <v>-95.383452169999998</v>
      </c>
      <c r="M1998" s="6" t="s">
        <v>34</v>
      </c>
      <c r="N1998" s="6" t="s">
        <v>24</v>
      </c>
      <c r="O1998" s="6" t="s">
        <v>23</v>
      </c>
    </row>
    <row r="1999" spans="1:15" x14ac:dyDescent="0.25">
      <c r="A1999" s="6" t="s">
        <v>7219</v>
      </c>
      <c r="B1999" s="6" t="s">
        <v>7218</v>
      </c>
      <c r="C1999" s="6" t="s">
        <v>31</v>
      </c>
      <c r="E1999" s="6" t="s">
        <v>7217</v>
      </c>
      <c r="F1999" s="6" t="s">
        <v>2278</v>
      </c>
      <c r="G1999" s="6" t="s">
        <v>16</v>
      </c>
      <c r="H1999" s="6" t="s">
        <v>28</v>
      </c>
      <c r="I1999" s="6" t="s">
        <v>1200</v>
      </c>
      <c r="J1999" s="6" t="s">
        <v>35</v>
      </c>
      <c r="K1999" s="7">
        <v>29.951345</v>
      </c>
      <c r="L1999" s="7">
        <v>-95.250304999999997</v>
      </c>
      <c r="M1999" s="6" t="s">
        <v>198</v>
      </c>
      <c r="N1999" s="6" t="s">
        <v>24</v>
      </c>
      <c r="O1999" s="6" t="s">
        <v>23</v>
      </c>
    </row>
    <row r="2000" spans="1:15" x14ac:dyDescent="0.25">
      <c r="A2000" s="6" t="s">
        <v>2865</v>
      </c>
      <c r="B2000" s="6" t="s">
        <v>2864</v>
      </c>
      <c r="C2000" s="6" t="s">
        <v>31</v>
      </c>
      <c r="E2000" s="6" t="s">
        <v>2863</v>
      </c>
      <c r="F2000" s="6" t="s">
        <v>2862</v>
      </c>
      <c r="G2000" s="6" t="s">
        <v>16</v>
      </c>
      <c r="H2000" s="6" t="s">
        <v>28</v>
      </c>
      <c r="I2000" s="6" t="s">
        <v>27</v>
      </c>
      <c r="J2000" s="6" t="s">
        <v>873</v>
      </c>
      <c r="K2000" s="7">
        <v>29.636725999999999</v>
      </c>
      <c r="L2000" s="7">
        <v>-98.612599000000003</v>
      </c>
      <c r="M2000" s="6" t="s">
        <v>2861</v>
      </c>
      <c r="N2000" s="6" t="s">
        <v>232</v>
      </c>
      <c r="O2000" s="6" t="s">
        <v>231</v>
      </c>
    </row>
    <row r="2001" spans="1:15" x14ac:dyDescent="0.25">
      <c r="A2001" s="6" t="s">
        <v>3109</v>
      </c>
      <c r="B2001" s="6" t="s">
        <v>3108</v>
      </c>
      <c r="C2001" s="6" t="s">
        <v>31</v>
      </c>
      <c r="E2001" s="6" t="s">
        <v>3107</v>
      </c>
      <c r="F2001" s="6" t="s">
        <v>3106</v>
      </c>
      <c r="G2001" s="6" t="s">
        <v>16</v>
      </c>
      <c r="H2001" s="6" t="s">
        <v>15</v>
      </c>
      <c r="I2001" s="6" t="s">
        <v>14</v>
      </c>
      <c r="J2001" s="6" t="s">
        <v>3105</v>
      </c>
      <c r="K2001" s="7">
        <v>28.701210790000001</v>
      </c>
      <c r="L2001" s="7">
        <v>-98.481889640000006</v>
      </c>
      <c r="M2001" s="6" t="s">
        <v>3104</v>
      </c>
      <c r="N2001" s="6" t="s">
        <v>524</v>
      </c>
      <c r="O2001" s="6" t="s">
        <v>231</v>
      </c>
    </row>
    <row r="2002" spans="1:15" x14ac:dyDescent="0.25">
      <c r="A2002" s="6" t="s">
        <v>7222</v>
      </c>
      <c r="B2002" s="6" t="s">
        <v>7221</v>
      </c>
      <c r="C2002" s="6" t="s">
        <v>31</v>
      </c>
      <c r="E2002" s="6" t="s">
        <v>7220</v>
      </c>
      <c r="F2002" s="6" t="s">
        <v>895</v>
      </c>
      <c r="G2002" s="6" t="s">
        <v>16</v>
      </c>
      <c r="H2002" s="6" t="s">
        <v>28</v>
      </c>
      <c r="I2002" s="6" t="s">
        <v>60</v>
      </c>
      <c r="J2002" s="6" t="s">
        <v>2106</v>
      </c>
      <c r="K2002" s="7">
        <v>32.788102479999999</v>
      </c>
      <c r="L2002" s="7">
        <v>-94.560022619999998</v>
      </c>
      <c r="M2002" s="6" t="s">
        <v>2105</v>
      </c>
      <c r="N2002" s="6" t="s">
        <v>42</v>
      </c>
      <c r="O2002" s="6" t="s">
        <v>65</v>
      </c>
    </row>
    <row r="2003" spans="1:15" x14ac:dyDescent="0.25">
      <c r="A2003" s="6" t="s">
        <v>1433</v>
      </c>
      <c r="B2003" s="6" t="s">
        <v>1432</v>
      </c>
      <c r="C2003" s="6" t="s">
        <v>31</v>
      </c>
      <c r="E2003" s="6" t="s">
        <v>1431</v>
      </c>
      <c r="F2003" s="6" t="s">
        <v>1430</v>
      </c>
      <c r="G2003" s="6" t="s">
        <v>16</v>
      </c>
      <c r="H2003" s="6" t="s">
        <v>28</v>
      </c>
      <c r="I2003" s="6" t="s">
        <v>60</v>
      </c>
      <c r="J2003" s="6" t="s">
        <v>35</v>
      </c>
      <c r="K2003" s="7">
        <v>29.908453999999999</v>
      </c>
      <c r="L2003" s="7">
        <v>-95.489666</v>
      </c>
      <c r="M2003" s="6" t="s">
        <v>77</v>
      </c>
      <c r="N2003" s="6" t="s">
        <v>24</v>
      </c>
      <c r="O2003" s="6" t="s">
        <v>23</v>
      </c>
    </row>
    <row r="2004" spans="1:15" x14ac:dyDescent="0.25">
      <c r="A2004" s="6" t="s">
        <v>7212</v>
      </c>
      <c r="B2004" s="6" t="s">
        <v>7211</v>
      </c>
      <c r="C2004" s="6" t="s">
        <v>31</v>
      </c>
      <c r="E2004" s="6" t="s">
        <v>7210</v>
      </c>
      <c r="F2004" s="6" t="s">
        <v>7209</v>
      </c>
      <c r="G2004" s="6" t="s">
        <v>16</v>
      </c>
      <c r="H2004" s="6" t="s">
        <v>28</v>
      </c>
      <c r="I2004" s="6" t="s">
        <v>27</v>
      </c>
      <c r="J2004" s="6" t="s">
        <v>35</v>
      </c>
      <c r="K2004" s="7">
        <v>30.070623999999999</v>
      </c>
      <c r="L2004" s="7">
        <v>-95.452532000000005</v>
      </c>
      <c r="M2004" s="6" t="s">
        <v>279</v>
      </c>
      <c r="N2004" s="6" t="s">
        <v>24</v>
      </c>
      <c r="O2004" s="6" t="s">
        <v>23</v>
      </c>
    </row>
    <row r="2005" spans="1:15" x14ac:dyDescent="0.25">
      <c r="A2005" s="6" t="s">
        <v>7779</v>
      </c>
      <c r="B2005" s="6" t="s">
        <v>7778</v>
      </c>
      <c r="C2005" s="6" t="s">
        <v>31</v>
      </c>
      <c r="E2005" s="6" t="s">
        <v>7777</v>
      </c>
      <c r="F2005" s="6" t="s">
        <v>7776</v>
      </c>
      <c r="G2005" s="6" t="s">
        <v>16</v>
      </c>
      <c r="H2005" s="6" t="s">
        <v>28</v>
      </c>
      <c r="I2005" s="6" t="s">
        <v>27</v>
      </c>
      <c r="J2005" s="6" t="s">
        <v>35</v>
      </c>
      <c r="K2005" s="7">
        <v>30.028939999999999</v>
      </c>
      <c r="L2005" s="7">
        <v>-95.860821999999999</v>
      </c>
      <c r="M2005" s="6" t="s">
        <v>279</v>
      </c>
      <c r="N2005" s="6" t="s">
        <v>24</v>
      </c>
      <c r="O2005" s="6" t="s">
        <v>23</v>
      </c>
    </row>
    <row r="2006" spans="1:15" x14ac:dyDescent="0.25">
      <c r="A2006" s="6" t="s">
        <v>10004</v>
      </c>
      <c r="B2006" s="6" t="s">
        <v>10003</v>
      </c>
      <c r="C2006" s="6" t="s">
        <v>31</v>
      </c>
      <c r="E2006" s="6" t="s">
        <v>10002</v>
      </c>
      <c r="F2006" s="6" t="s">
        <v>386</v>
      </c>
      <c r="G2006" s="6" t="s">
        <v>16</v>
      </c>
      <c r="H2006" s="6" t="s">
        <v>15</v>
      </c>
      <c r="I2006" s="6" t="s">
        <v>14</v>
      </c>
      <c r="J2006" s="6" t="s">
        <v>1861</v>
      </c>
      <c r="K2006" s="7">
        <v>30.582781390000001</v>
      </c>
      <c r="L2006" s="7">
        <v>-96.354168880000003</v>
      </c>
      <c r="M2006" s="6" t="s">
        <v>121</v>
      </c>
      <c r="N2006" s="6" t="s">
        <v>23</v>
      </c>
      <c r="O2006" s="6" t="s">
        <v>120</v>
      </c>
    </row>
    <row r="2007" spans="1:15" x14ac:dyDescent="0.25">
      <c r="A2007" s="6" t="s">
        <v>7204</v>
      </c>
      <c r="B2007" s="6" t="s">
        <v>7203</v>
      </c>
      <c r="C2007" s="6" t="s">
        <v>31</v>
      </c>
      <c r="E2007" s="6" t="s">
        <v>7202</v>
      </c>
      <c r="F2007" s="6" t="s">
        <v>3760</v>
      </c>
      <c r="G2007" s="6" t="s">
        <v>16</v>
      </c>
      <c r="H2007" s="6" t="s">
        <v>28</v>
      </c>
      <c r="I2007" s="6" t="s">
        <v>27</v>
      </c>
      <c r="J2007" s="6" t="s">
        <v>26</v>
      </c>
      <c r="K2007" s="7">
        <v>30.175028999999999</v>
      </c>
      <c r="L2007" s="7">
        <v>-95.634066000000004</v>
      </c>
      <c r="M2007" s="6" t="s">
        <v>731</v>
      </c>
      <c r="N2007" s="6" t="s">
        <v>24</v>
      </c>
      <c r="O2007" s="6" t="s">
        <v>23</v>
      </c>
    </row>
    <row r="2008" spans="1:15" x14ac:dyDescent="0.25">
      <c r="A2008" s="6" t="s">
        <v>10001</v>
      </c>
      <c r="B2008" s="6" t="s">
        <v>9998</v>
      </c>
      <c r="C2008" s="6" t="s">
        <v>31</v>
      </c>
      <c r="E2008" s="6" t="s">
        <v>9997</v>
      </c>
      <c r="F2008" s="6" t="s">
        <v>9996</v>
      </c>
      <c r="G2008" s="6" t="s">
        <v>16</v>
      </c>
      <c r="H2008" s="6" t="s">
        <v>15</v>
      </c>
      <c r="I2008" s="6" t="s">
        <v>14</v>
      </c>
      <c r="J2008" s="6" t="s">
        <v>84</v>
      </c>
      <c r="K2008" s="7">
        <v>28.508637650000001</v>
      </c>
      <c r="L2008" s="7">
        <v>-96.799503459999997</v>
      </c>
      <c r="M2008" s="6" t="s">
        <v>83</v>
      </c>
      <c r="N2008" s="6" t="s">
        <v>82</v>
      </c>
      <c r="O2008" s="6" t="s">
        <v>10</v>
      </c>
    </row>
    <row r="2009" spans="1:15" x14ac:dyDescent="0.25">
      <c r="A2009" s="6" t="s">
        <v>10000</v>
      </c>
      <c r="B2009" s="6" t="s">
        <v>9998</v>
      </c>
      <c r="C2009" s="6" t="s">
        <v>19</v>
      </c>
      <c r="E2009" s="6" t="s">
        <v>9997</v>
      </c>
      <c r="F2009" s="6" t="s">
        <v>9996</v>
      </c>
      <c r="G2009" s="6" t="s">
        <v>16</v>
      </c>
      <c r="H2009" s="6" t="s">
        <v>430</v>
      </c>
      <c r="I2009" s="6" t="s">
        <v>14</v>
      </c>
      <c r="J2009" s="6" t="s">
        <v>84</v>
      </c>
      <c r="K2009" s="7">
        <v>28.514440260000001</v>
      </c>
      <c r="L2009" s="7">
        <v>-96.787500929999993</v>
      </c>
      <c r="M2009" s="6" t="s">
        <v>83</v>
      </c>
      <c r="N2009" s="6" t="s">
        <v>82</v>
      </c>
      <c r="O2009" s="6" t="s">
        <v>10</v>
      </c>
    </row>
    <row r="2010" spans="1:15" x14ac:dyDescent="0.25">
      <c r="A2010" s="6" t="s">
        <v>9999</v>
      </c>
      <c r="B2010" s="6" t="s">
        <v>9998</v>
      </c>
      <c r="C2010" s="6" t="s">
        <v>436</v>
      </c>
      <c r="E2010" s="6" t="s">
        <v>9997</v>
      </c>
      <c r="F2010" s="6" t="s">
        <v>9996</v>
      </c>
      <c r="G2010" s="6" t="s">
        <v>16</v>
      </c>
      <c r="H2010" s="6" t="s">
        <v>430</v>
      </c>
      <c r="I2010" s="6" t="s">
        <v>14</v>
      </c>
      <c r="J2010" s="6" t="s">
        <v>84</v>
      </c>
      <c r="K2010" s="7">
        <v>28.508330350000001</v>
      </c>
      <c r="L2010" s="7">
        <v>-96.799169140000004</v>
      </c>
      <c r="M2010" s="6" t="s">
        <v>83</v>
      </c>
      <c r="N2010" s="6" t="s">
        <v>82</v>
      </c>
      <c r="O2010" s="6" t="s">
        <v>10</v>
      </c>
    </row>
    <row r="2011" spans="1:15" x14ac:dyDescent="0.25">
      <c r="A2011" s="6" t="s">
        <v>2442</v>
      </c>
      <c r="B2011" s="6" t="s">
        <v>2441</v>
      </c>
      <c r="C2011" s="6" t="s">
        <v>31</v>
      </c>
      <c r="E2011" s="6" t="s">
        <v>2440</v>
      </c>
      <c r="F2011" s="6" t="s">
        <v>2439</v>
      </c>
      <c r="G2011" s="6" t="s">
        <v>16</v>
      </c>
      <c r="H2011" s="6" t="s">
        <v>15</v>
      </c>
      <c r="I2011" s="6" t="s">
        <v>46</v>
      </c>
      <c r="J2011" s="6" t="s">
        <v>13</v>
      </c>
      <c r="K2011" s="7">
        <v>27.755504999999999</v>
      </c>
      <c r="L2011" s="7">
        <v>-97.127565000000004</v>
      </c>
      <c r="M2011" s="6" t="s">
        <v>1168</v>
      </c>
      <c r="N2011" s="6" t="s">
        <v>11</v>
      </c>
      <c r="O2011" s="6" t="s">
        <v>10</v>
      </c>
    </row>
    <row r="2012" spans="1:15" x14ac:dyDescent="0.25">
      <c r="A2012" s="6" t="s">
        <v>3971</v>
      </c>
      <c r="B2012" s="6" t="s">
        <v>1693</v>
      </c>
      <c r="C2012" s="6" t="s">
        <v>31</v>
      </c>
      <c r="E2012" s="6" t="s">
        <v>1691</v>
      </c>
      <c r="F2012" s="6" t="s">
        <v>592</v>
      </c>
      <c r="G2012" s="6" t="s">
        <v>16</v>
      </c>
      <c r="H2012" s="6" t="s">
        <v>591</v>
      </c>
      <c r="I2012" s="6" t="s">
        <v>60</v>
      </c>
      <c r="J2012" s="6" t="s">
        <v>1690</v>
      </c>
      <c r="K2012" s="7">
        <v>32.23682238</v>
      </c>
      <c r="L2012" s="7">
        <v>-94.679415640000002</v>
      </c>
      <c r="M2012" s="6" t="s">
        <v>1218</v>
      </c>
      <c r="N2012" s="6" t="s">
        <v>65</v>
      </c>
      <c r="O2012" s="6" t="s">
        <v>65</v>
      </c>
    </row>
    <row r="2013" spans="1:15" x14ac:dyDescent="0.25">
      <c r="A2013" s="6" t="s">
        <v>6452</v>
      </c>
      <c r="B2013" s="6" t="s">
        <v>1693</v>
      </c>
      <c r="C2013" s="6" t="s">
        <v>6451</v>
      </c>
      <c r="E2013" s="6" t="s">
        <v>1691</v>
      </c>
      <c r="F2013" s="6" t="s">
        <v>592</v>
      </c>
      <c r="G2013" s="6" t="s">
        <v>16</v>
      </c>
      <c r="H2013" s="6" t="s">
        <v>28</v>
      </c>
      <c r="I2013" s="6" t="s">
        <v>60</v>
      </c>
      <c r="J2013" s="6" t="s">
        <v>1690</v>
      </c>
      <c r="K2013" s="7">
        <v>32.211422030000001</v>
      </c>
      <c r="L2013" s="7">
        <v>-94.737650610000003</v>
      </c>
      <c r="M2013" s="6" t="s">
        <v>1218</v>
      </c>
      <c r="N2013" s="6" t="s">
        <v>65</v>
      </c>
      <c r="O2013" s="6" t="s">
        <v>65</v>
      </c>
    </row>
    <row r="2014" spans="1:15" x14ac:dyDescent="0.25">
      <c r="A2014" s="6" t="s">
        <v>1696</v>
      </c>
      <c r="B2014" s="6" t="s">
        <v>1693</v>
      </c>
      <c r="C2014" s="6" t="s">
        <v>1695</v>
      </c>
      <c r="E2014" s="6" t="s">
        <v>1691</v>
      </c>
      <c r="F2014" s="6" t="s">
        <v>592</v>
      </c>
      <c r="G2014" s="6" t="s">
        <v>16</v>
      </c>
      <c r="H2014" s="6" t="s">
        <v>28</v>
      </c>
      <c r="I2014" s="6" t="s">
        <v>60</v>
      </c>
      <c r="J2014" s="6" t="s">
        <v>1690</v>
      </c>
      <c r="K2014" s="7">
        <v>32.317346499999999</v>
      </c>
      <c r="L2014" s="7">
        <v>-94.463113379999996</v>
      </c>
      <c r="M2014" s="6" t="s">
        <v>1218</v>
      </c>
      <c r="N2014" s="6" t="s">
        <v>65</v>
      </c>
      <c r="O2014" s="6" t="s">
        <v>65</v>
      </c>
    </row>
    <row r="2015" spans="1:15" x14ac:dyDescent="0.25">
      <c r="A2015" s="6" t="s">
        <v>1694</v>
      </c>
      <c r="B2015" s="6" t="s">
        <v>1693</v>
      </c>
      <c r="C2015" s="6" t="s">
        <v>1692</v>
      </c>
      <c r="E2015" s="6" t="s">
        <v>1691</v>
      </c>
      <c r="F2015" s="6" t="s">
        <v>592</v>
      </c>
      <c r="G2015" s="6" t="s">
        <v>16</v>
      </c>
      <c r="H2015" s="6" t="s">
        <v>28</v>
      </c>
      <c r="I2015" s="6" t="s">
        <v>60</v>
      </c>
      <c r="J2015" s="6" t="s">
        <v>1690</v>
      </c>
      <c r="K2015" s="7">
        <v>32.228934780000003</v>
      </c>
      <c r="L2015" s="7">
        <v>-94.502035640000003</v>
      </c>
      <c r="M2015" s="6" t="s">
        <v>1218</v>
      </c>
      <c r="N2015" s="6" t="s">
        <v>65</v>
      </c>
      <c r="O2015" s="6" t="s">
        <v>65</v>
      </c>
    </row>
    <row r="2016" spans="1:15" x14ac:dyDescent="0.25">
      <c r="A2016" s="6" t="s">
        <v>7198</v>
      </c>
      <c r="B2016" s="6" t="s">
        <v>7197</v>
      </c>
      <c r="C2016" s="6" t="s">
        <v>31</v>
      </c>
      <c r="E2016" s="6" t="s">
        <v>7196</v>
      </c>
      <c r="F2016" s="6" t="s">
        <v>7195</v>
      </c>
      <c r="G2016" s="6" t="s">
        <v>16</v>
      </c>
      <c r="H2016" s="6" t="s">
        <v>28</v>
      </c>
      <c r="I2016" s="6" t="s">
        <v>2430</v>
      </c>
      <c r="J2016" s="6" t="s">
        <v>35</v>
      </c>
      <c r="K2016" s="7">
        <v>30.020220999999999</v>
      </c>
      <c r="L2016" s="7">
        <v>-95.644943999999995</v>
      </c>
      <c r="M2016" s="6" t="s">
        <v>279</v>
      </c>
      <c r="N2016" s="6" t="s">
        <v>24</v>
      </c>
      <c r="O2016" s="6" t="s">
        <v>23</v>
      </c>
    </row>
    <row r="2017" spans="1:15" x14ac:dyDescent="0.25">
      <c r="A2017" s="6" t="s">
        <v>4432</v>
      </c>
      <c r="B2017" s="6" t="s">
        <v>4431</v>
      </c>
      <c r="C2017" s="6" t="s">
        <v>31</v>
      </c>
      <c r="E2017" s="6" t="s">
        <v>4430</v>
      </c>
      <c r="F2017" s="6" t="s">
        <v>4429</v>
      </c>
      <c r="G2017" s="6" t="s">
        <v>16</v>
      </c>
      <c r="H2017" s="6" t="s">
        <v>15</v>
      </c>
      <c r="I2017" s="6" t="s">
        <v>46</v>
      </c>
      <c r="J2017" s="6" t="s">
        <v>3230</v>
      </c>
      <c r="K2017" s="7">
        <v>27.77456488</v>
      </c>
      <c r="L2017" s="7">
        <v>-98.037464569999997</v>
      </c>
      <c r="M2017" s="6" t="s">
        <v>184</v>
      </c>
      <c r="N2017" s="6" t="s">
        <v>11</v>
      </c>
      <c r="O2017" s="6" t="s">
        <v>10</v>
      </c>
    </row>
    <row r="2018" spans="1:15" x14ac:dyDescent="0.25">
      <c r="A2018" s="6" t="s">
        <v>9995</v>
      </c>
      <c r="B2018" s="6" t="s">
        <v>9994</v>
      </c>
      <c r="C2018" s="6" t="s">
        <v>31</v>
      </c>
      <c r="E2018" s="6" t="s">
        <v>9993</v>
      </c>
      <c r="F2018" s="6" t="s">
        <v>9992</v>
      </c>
      <c r="G2018" s="6" t="s">
        <v>16</v>
      </c>
      <c r="H2018" s="6" t="s">
        <v>430</v>
      </c>
      <c r="I2018" s="6" t="s">
        <v>14</v>
      </c>
      <c r="J2018" s="6" t="s">
        <v>35</v>
      </c>
      <c r="K2018" s="7">
        <v>29.64024839</v>
      </c>
      <c r="L2018" s="7">
        <v>-95.057864010000003</v>
      </c>
      <c r="M2018" s="6" t="s">
        <v>804</v>
      </c>
      <c r="N2018" s="6" t="s">
        <v>160</v>
      </c>
      <c r="O2018" s="6" t="s">
        <v>23</v>
      </c>
    </row>
    <row r="2019" spans="1:15" x14ac:dyDescent="0.25">
      <c r="A2019" s="6" t="s">
        <v>3242</v>
      </c>
      <c r="B2019" s="6" t="s">
        <v>3241</v>
      </c>
      <c r="C2019" s="6" t="s">
        <v>31</v>
      </c>
      <c r="E2019" s="6" t="s">
        <v>3240</v>
      </c>
      <c r="F2019" s="6" t="s">
        <v>3239</v>
      </c>
      <c r="G2019" s="6" t="s">
        <v>16</v>
      </c>
      <c r="H2019" s="6" t="s">
        <v>15</v>
      </c>
      <c r="I2019" s="6" t="s">
        <v>14</v>
      </c>
      <c r="J2019" s="6" t="s">
        <v>90</v>
      </c>
      <c r="K2019" s="7">
        <v>26.062306039999999</v>
      </c>
      <c r="L2019" s="7">
        <v>-97.484546899999998</v>
      </c>
      <c r="M2019" s="6" t="s">
        <v>770</v>
      </c>
      <c r="N2019" s="6" t="s">
        <v>11</v>
      </c>
      <c r="O2019" s="6" t="s">
        <v>22</v>
      </c>
    </row>
    <row r="2020" spans="1:15" x14ac:dyDescent="0.25">
      <c r="A2020" s="6" t="s">
        <v>7013</v>
      </c>
      <c r="B2020" s="6" t="s">
        <v>7012</v>
      </c>
      <c r="C2020" s="6" t="s">
        <v>31</v>
      </c>
      <c r="E2020" s="6" t="s">
        <v>7011</v>
      </c>
      <c r="F2020" s="6" t="s">
        <v>7010</v>
      </c>
      <c r="G2020" s="6" t="s">
        <v>16</v>
      </c>
      <c r="H2020" s="6" t="s">
        <v>28</v>
      </c>
      <c r="I2020" s="6" t="s">
        <v>27</v>
      </c>
      <c r="J2020" s="6" t="s">
        <v>290</v>
      </c>
      <c r="K2020" s="7">
        <v>28.864722</v>
      </c>
      <c r="L2020" s="7">
        <v>-96.225914000000003</v>
      </c>
      <c r="M2020" s="6" t="s">
        <v>2478</v>
      </c>
      <c r="N2020" s="6" t="s">
        <v>22</v>
      </c>
      <c r="O2020" s="6" t="s">
        <v>23</v>
      </c>
    </row>
    <row r="2021" spans="1:15" x14ac:dyDescent="0.25">
      <c r="A2021" s="6" t="s">
        <v>7216</v>
      </c>
      <c r="B2021" s="6" t="s">
        <v>7215</v>
      </c>
      <c r="C2021" s="6" t="s">
        <v>31</v>
      </c>
      <c r="E2021" s="6" t="s">
        <v>7214</v>
      </c>
      <c r="F2021" s="6" t="s">
        <v>7213</v>
      </c>
      <c r="G2021" s="6" t="s">
        <v>16</v>
      </c>
      <c r="H2021" s="6" t="s">
        <v>28</v>
      </c>
      <c r="I2021" s="6" t="s">
        <v>60</v>
      </c>
      <c r="J2021" s="6" t="s">
        <v>35</v>
      </c>
      <c r="K2021" s="7">
        <v>29.895396000000002</v>
      </c>
      <c r="L2021" s="7">
        <v>-95.604399000000001</v>
      </c>
      <c r="M2021" s="6" t="s">
        <v>77</v>
      </c>
      <c r="N2021" s="6" t="s">
        <v>24</v>
      </c>
      <c r="O2021" s="6" t="s">
        <v>23</v>
      </c>
    </row>
    <row r="2022" spans="1:15" x14ac:dyDescent="0.25">
      <c r="A2022" s="6" t="s">
        <v>9646</v>
      </c>
      <c r="B2022" s="6" t="s">
        <v>9645</v>
      </c>
      <c r="C2022" s="6" t="s">
        <v>31</v>
      </c>
      <c r="E2022" s="6" t="s">
        <v>9644</v>
      </c>
      <c r="F2022" s="6" t="s">
        <v>9643</v>
      </c>
      <c r="G2022" s="6" t="s">
        <v>16</v>
      </c>
      <c r="H2022" s="6" t="s">
        <v>28</v>
      </c>
      <c r="I2022" s="6" t="s">
        <v>46</v>
      </c>
      <c r="J2022" s="6" t="s">
        <v>162</v>
      </c>
      <c r="K2022" s="7">
        <v>29.099547999999999</v>
      </c>
      <c r="L2022" s="7">
        <v>-95.687775000000002</v>
      </c>
      <c r="M2022" s="6" t="s">
        <v>262</v>
      </c>
      <c r="N2022" s="6" t="s">
        <v>231</v>
      </c>
      <c r="O2022" s="6" t="s">
        <v>23</v>
      </c>
    </row>
    <row r="2023" spans="1:15" x14ac:dyDescent="0.25">
      <c r="A2023" s="6" t="s">
        <v>5735</v>
      </c>
      <c r="B2023" s="6" t="s">
        <v>5734</v>
      </c>
      <c r="C2023" s="6" t="s">
        <v>31</v>
      </c>
      <c r="E2023" s="6" t="s">
        <v>5733</v>
      </c>
      <c r="F2023" s="6" t="s">
        <v>5732</v>
      </c>
      <c r="G2023" s="6" t="s">
        <v>16</v>
      </c>
      <c r="H2023" s="6" t="s">
        <v>28</v>
      </c>
      <c r="I2023" s="6" t="s">
        <v>27</v>
      </c>
      <c r="J2023" s="6" t="s">
        <v>168</v>
      </c>
      <c r="K2023" s="7">
        <v>33.091614999999997</v>
      </c>
      <c r="L2023" s="7">
        <v>-97.105227999999997</v>
      </c>
      <c r="M2023" s="6" t="s">
        <v>167</v>
      </c>
      <c r="N2023" s="6" t="s">
        <v>102</v>
      </c>
      <c r="O2023" s="6" t="s">
        <v>42</v>
      </c>
    </row>
    <row r="2024" spans="1:15" x14ac:dyDescent="0.25">
      <c r="A2024" s="6" t="s">
        <v>7186</v>
      </c>
      <c r="B2024" s="6" t="s">
        <v>7185</v>
      </c>
      <c r="C2024" s="6" t="s">
        <v>31</v>
      </c>
      <c r="E2024" s="6" t="s">
        <v>7184</v>
      </c>
      <c r="F2024" s="6" t="s">
        <v>7183</v>
      </c>
      <c r="G2024" s="6" t="s">
        <v>16</v>
      </c>
      <c r="H2024" s="6" t="s">
        <v>28</v>
      </c>
      <c r="I2024" s="6" t="s">
        <v>60</v>
      </c>
      <c r="J2024" s="6" t="s">
        <v>35</v>
      </c>
      <c r="K2024" s="7">
        <v>29.992329999999999</v>
      </c>
      <c r="L2024" s="7">
        <v>-95.401916999999997</v>
      </c>
      <c r="M2024" s="6" t="s">
        <v>279</v>
      </c>
      <c r="N2024" s="6" t="s">
        <v>24</v>
      </c>
      <c r="O2024" s="6" t="s">
        <v>23</v>
      </c>
    </row>
    <row r="2025" spans="1:15" x14ac:dyDescent="0.25">
      <c r="A2025" s="6" t="s">
        <v>6743</v>
      </c>
      <c r="B2025" s="6" t="s">
        <v>6742</v>
      </c>
      <c r="C2025" s="6" t="s">
        <v>31</v>
      </c>
      <c r="E2025" s="6" t="s">
        <v>6741</v>
      </c>
      <c r="F2025" s="6" t="s">
        <v>6740</v>
      </c>
      <c r="G2025" s="6" t="s">
        <v>16</v>
      </c>
      <c r="H2025" s="6" t="s">
        <v>28</v>
      </c>
      <c r="I2025" s="6" t="s">
        <v>73</v>
      </c>
      <c r="J2025" s="6" t="s">
        <v>290</v>
      </c>
      <c r="K2025" s="7">
        <v>28.827964340000001</v>
      </c>
      <c r="L2025" s="7">
        <v>-95.932279019999996</v>
      </c>
      <c r="M2025" s="6" t="s">
        <v>4268</v>
      </c>
      <c r="N2025" s="6" t="s">
        <v>231</v>
      </c>
      <c r="O2025" s="6" t="s">
        <v>23</v>
      </c>
    </row>
    <row r="2026" spans="1:15" x14ac:dyDescent="0.25">
      <c r="A2026" s="6" t="s">
        <v>10240</v>
      </c>
      <c r="B2026" s="6" t="s">
        <v>10239</v>
      </c>
      <c r="C2026" s="6" t="s">
        <v>31</v>
      </c>
      <c r="E2026" s="6" t="s">
        <v>10238</v>
      </c>
      <c r="F2026" s="6" t="s">
        <v>10237</v>
      </c>
      <c r="G2026" s="6" t="s">
        <v>16</v>
      </c>
      <c r="H2026" s="6" t="s">
        <v>28</v>
      </c>
      <c r="I2026" s="6" t="s">
        <v>60</v>
      </c>
      <c r="J2026" s="6" t="s">
        <v>35</v>
      </c>
      <c r="K2026" s="7">
        <v>29.880351999999998</v>
      </c>
      <c r="L2026" s="7">
        <v>-95.658815000000004</v>
      </c>
      <c r="M2026" s="6" t="s">
        <v>131</v>
      </c>
      <c r="N2026" s="6" t="s">
        <v>24</v>
      </c>
      <c r="O2026" s="6" t="s">
        <v>23</v>
      </c>
    </row>
    <row r="2027" spans="1:15" x14ac:dyDescent="0.25">
      <c r="A2027" s="6" t="s">
        <v>10240</v>
      </c>
      <c r="B2027" s="6" t="s">
        <v>10239</v>
      </c>
      <c r="C2027" s="6" t="s">
        <v>31</v>
      </c>
      <c r="E2027" s="6" t="s">
        <v>10238</v>
      </c>
      <c r="F2027" s="6" t="s">
        <v>10237</v>
      </c>
      <c r="G2027" s="6" t="s">
        <v>16</v>
      </c>
      <c r="H2027" s="6" t="s">
        <v>28</v>
      </c>
      <c r="I2027" s="6" t="s">
        <v>73</v>
      </c>
      <c r="J2027" s="6" t="s">
        <v>35</v>
      </c>
      <c r="K2027" s="7">
        <v>29.880351999999998</v>
      </c>
      <c r="L2027" s="7">
        <v>-95.658815000000004</v>
      </c>
      <c r="M2027" s="6" t="s">
        <v>131</v>
      </c>
      <c r="N2027" s="6" t="s">
        <v>24</v>
      </c>
      <c r="O2027" s="6" t="s">
        <v>23</v>
      </c>
    </row>
    <row r="2028" spans="1:15" x14ac:dyDescent="0.25">
      <c r="A2028" s="6" t="s">
        <v>6747</v>
      </c>
      <c r="B2028" s="6" t="s">
        <v>6746</v>
      </c>
      <c r="C2028" s="6" t="s">
        <v>31</v>
      </c>
      <c r="E2028" s="6" t="s">
        <v>6745</v>
      </c>
      <c r="F2028" s="6" t="s">
        <v>6744</v>
      </c>
      <c r="G2028" s="6" t="s">
        <v>16</v>
      </c>
      <c r="H2028" s="6" t="s">
        <v>28</v>
      </c>
      <c r="I2028" s="6" t="s">
        <v>27</v>
      </c>
      <c r="J2028" s="6" t="s">
        <v>35</v>
      </c>
      <c r="K2028" s="7">
        <v>29.925878999999998</v>
      </c>
      <c r="L2028" s="7">
        <v>-95.355659000000003</v>
      </c>
      <c r="M2028" s="6" t="s">
        <v>198</v>
      </c>
      <c r="N2028" s="6" t="s">
        <v>24</v>
      </c>
      <c r="O2028" s="6" t="s">
        <v>23</v>
      </c>
    </row>
    <row r="2029" spans="1:15" x14ac:dyDescent="0.25">
      <c r="A2029" s="6" t="s">
        <v>6739</v>
      </c>
      <c r="B2029" s="6" t="s">
        <v>6738</v>
      </c>
      <c r="C2029" s="6" t="s">
        <v>31</v>
      </c>
      <c r="E2029" s="6" t="s">
        <v>6737</v>
      </c>
      <c r="F2029" s="6" t="s">
        <v>61</v>
      </c>
      <c r="G2029" s="6" t="s">
        <v>16</v>
      </c>
      <c r="H2029" s="6" t="s">
        <v>28</v>
      </c>
      <c r="I2029" s="6" t="s">
        <v>27</v>
      </c>
      <c r="J2029" s="6" t="s">
        <v>26</v>
      </c>
      <c r="K2029" s="7">
        <v>30.224499260000002</v>
      </c>
      <c r="L2029" s="7">
        <v>-95.291961720000003</v>
      </c>
      <c r="M2029" s="6" t="s">
        <v>59</v>
      </c>
      <c r="N2029" s="6" t="s">
        <v>24</v>
      </c>
      <c r="O2029" s="6" t="s">
        <v>23</v>
      </c>
    </row>
    <row r="2030" spans="1:15" x14ac:dyDescent="0.25">
      <c r="A2030" s="6" t="s">
        <v>7190</v>
      </c>
      <c r="B2030" s="6" t="s">
        <v>7189</v>
      </c>
      <c r="C2030" s="6" t="s">
        <v>31</v>
      </c>
      <c r="E2030" s="6" t="s">
        <v>7188</v>
      </c>
      <c r="F2030" s="6" t="s">
        <v>7187</v>
      </c>
      <c r="G2030" s="6" t="s">
        <v>16</v>
      </c>
      <c r="H2030" s="6" t="s">
        <v>28</v>
      </c>
      <c r="I2030" s="6" t="s">
        <v>36</v>
      </c>
      <c r="J2030" s="6" t="s">
        <v>35</v>
      </c>
      <c r="K2030" s="7">
        <v>30.029358030000001</v>
      </c>
      <c r="L2030" s="7">
        <v>-95.080181879999998</v>
      </c>
      <c r="M2030" s="6" t="s">
        <v>914</v>
      </c>
      <c r="N2030" s="6" t="s">
        <v>120</v>
      </c>
      <c r="O2030" s="6" t="s">
        <v>23</v>
      </c>
    </row>
    <row r="2031" spans="1:15" x14ac:dyDescent="0.25">
      <c r="A2031" s="6" t="s">
        <v>7201</v>
      </c>
      <c r="B2031" s="6" t="s">
        <v>7200</v>
      </c>
      <c r="C2031" s="6" t="s">
        <v>31</v>
      </c>
      <c r="E2031" s="6" t="s">
        <v>7199</v>
      </c>
      <c r="F2031" s="6" t="s">
        <v>5602</v>
      </c>
      <c r="G2031" s="6" t="s">
        <v>16</v>
      </c>
      <c r="H2031" s="6" t="s">
        <v>15</v>
      </c>
      <c r="I2031" s="6" t="s">
        <v>14</v>
      </c>
      <c r="J2031" s="6" t="s">
        <v>26</v>
      </c>
      <c r="K2031" s="7">
        <v>30.19527115</v>
      </c>
      <c r="L2031" s="7">
        <v>-95.488722190000004</v>
      </c>
      <c r="M2031" s="6" t="s">
        <v>731</v>
      </c>
      <c r="N2031" s="6" t="s">
        <v>24</v>
      </c>
      <c r="O2031" s="6" t="s">
        <v>23</v>
      </c>
    </row>
    <row r="2032" spans="1:15" x14ac:dyDescent="0.25">
      <c r="A2032" s="6" t="s">
        <v>8866</v>
      </c>
      <c r="B2032" s="6" t="s">
        <v>8865</v>
      </c>
      <c r="C2032" s="6" t="s">
        <v>31</v>
      </c>
      <c r="E2032" s="6" t="s">
        <v>8864</v>
      </c>
      <c r="F2032" s="6" t="s">
        <v>8863</v>
      </c>
      <c r="G2032" s="6" t="s">
        <v>16</v>
      </c>
      <c r="H2032" s="6" t="s">
        <v>28</v>
      </c>
      <c r="I2032" s="6" t="s">
        <v>799</v>
      </c>
      <c r="J2032" s="6" t="s">
        <v>1281</v>
      </c>
      <c r="K2032" s="7">
        <v>31.521434450000001</v>
      </c>
      <c r="L2032" s="7">
        <v>-96.338303199999999</v>
      </c>
      <c r="M2032" s="6" t="s">
        <v>1274</v>
      </c>
      <c r="N2032" s="6" t="s">
        <v>23</v>
      </c>
      <c r="O2032" s="6" t="s">
        <v>120</v>
      </c>
    </row>
    <row r="2033" spans="1:15" x14ac:dyDescent="0.25">
      <c r="A2033" s="6" t="s">
        <v>6732</v>
      </c>
      <c r="B2033" s="6" t="s">
        <v>6731</v>
      </c>
      <c r="C2033" s="6" t="s">
        <v>31</v>
      </c>
      <c r="E2033" s="6" t="s">
        <v>6730</v>
      </c>
      <c r="F2033" s="6" t="s">
        <v>6729</v>
      </c>
      <c r="G2033" s="6" t="s">
        <v>16</v>
      </c>
      <c r="H2033" s="6" t="s">
        <v>28</v>
      </c>
      <c r="I2033" s="6" t="s">
        <v>27</v>
      </c>
      <c r="J2033" s="6" t="s">
        <v>35</v>
      </c>
      <c r="K2033" s="7">
        <v>30.097947999999999</v>
      </c>
      <c r="L2033" s="7">
        <v>-95.433912000000007</v>
      </c>
      <c r="M2033" s="6" t="s">
        <v>731</v>
      </c>
      <c r="N2033" s="6" t="s">
        <v>24</v>
      </c>
      <c r="O2033" s="6" t="s">
        <v>23</v>
      </c>
    </row>
    <row r="2034" spans="1:15" x14ac:dyDescent="0.25">
      <c r="A2034" s="6" t="s">
        <v>1396</v>
      </c>
      <c r="B2034" s="6" t="s">
        <v>1395</v>
      </c>
      <c r="C2034" s="6" t="s">
        <v>31</v>
      </c>
      <c r="E2034" s="6" t="s">
        <v>1394</v>
      </c>
      <c r="F2034" s="6" t="s">
        <v>1393</v>
      </c>
      <c r="G2034" s="6" t="s">
        <v>16</v>
      </c>
      <c r="H2034" s="6" t="s">
        <v>15</v>
      </c>
      <c r="I2034" s="6" t="s">
        <v>46</v>
      </c>
      <c r="J2034" s="6" t="s">
        <v>35</v>
      </c>
      <c r="K2034" s="7">
        <v>29.925391470000001</v>
      </c>
      <c r="L2034" s="7">
        <v>-95.609826240000004</v>
      </c>
      <c r="M2034" s="6" t="s">
        <v>77</v>
      </c>
      <c r="N2034" s="6" t="s">
        <v>24</v>
      </c>
      <c r="O2034" s="6" t="s">
        <v>23</v>
      </c>
    </row>
    <row r="2035" spans="1:15" x14ac:dyDescent="0.25">
      <c r="A2035" s="6" t="s">
        <v>5335</v>
      </c>
      <c r="B2035" s="6" t="s">
        <v>5330</v>
      </c>
      <c r="C2035" s="6" t="s">
        <v>31</v>
      </c>
      <c r="E2035" s="6" t="s">
        <v>5329</v>
      </c>
      <c r="F2035" s="6" t="s">
        <v>5328</v>
      </c>
      <c r="G2035" s="6" t="s">
        <v>16</v>
      </c>
      <c r="H2035" s="6" t="s">
        <v>15</v>
      </c>
      <c r="I2035" s="6" t="s">
        <v>14</v>
      </c>
      <c r="J2035" s="6" t="s">
        <v>35</v>
      </c>
      <c r="K2035" s="7">
        <v>29.74483188</v>
      </c>
      <c r="L2035" s="7">
        <v>-95.127189110000003</v>
      </c>
      <c r="M2035" s="6" t="s">
        <v>34</v>
      </c>
      <c r="N2035" s="6" t="s">
        <v>24</v>
      </c>
      <c r="O2035" s="6" t="s">
        <v>23</v>
      </c>
    </row>
    <row r="2036" spans="1:15" x14ac:dyDescent="0.25">
      <c r="A2036" s="6" t="s">
        <v>5334</v>
      </c>
      <c r="B2036" s="6" t="s">
        <v>5330</v>
      </c>
      <c r="C2036" s="6" t="s">
        <v>436</v>
      </c>
      <c r="E2036" s="6" t="s">
        <v>5329</v>
      </c>
      <c r="F2036" s="6" t="s">
        <v>5328</v>
      </c>
      <c r="G2036" s="6" t="s">
        <v>16</v>
      </c>
      <c r="H2036" s="6" t="s">
        <v>15</v>
      </c>
      <c r="I2036" s="6" t="s">
        <v>14</v>
      </c>
      <c r="J2036" s="6" t="s">
        <v>35</v>
      </c>
      <c r="K2036" s="7">
        <v>29.740274509999999</v>
      </c>
      <c r="L2036" s="7">
        <v>-95.128000970000002</v>
      </c>
      <c r="M2036" s="6" t="s">
        <v>34</v>
      </c>
      <c r="N2036" s="6" t="s">
        <v>24</v>
      </c>
      <c r="O2036" s="6" t="s">
        <v>23</v>
      </c>
    </row>
    <row r="2037" spans="1:15" x14ac:dyDescent="0.25">
      <c r="A2037" s="6" t="s">
        <v>5333</v>
      </c>
      <c r="B2037" s="6" t="s">
        <v>5330</v>
      </c>
      <c r="C2037" s="6" t="s">
        <v>597</v>
      </c>
      <c r="E2037" s="6" t="s">
        <v>5329</v>
      </c>
      <c r="F2037" s="6" t="s">
        <v>5328</v>
      </c>
      <c r="G2037" s="6" t="s">
        <v>16</v>
      </c>
      <c r="H2037" s="6" t="s">
        <v>15</v>
      </c>
      <c r="I2037" s="6" t="s">
        <v>14</v>
      </c>
      <c r="J2037" s="6" t="s">
        <v>35</v>
      </c>
      <c r="K2037" s="7">
        <v>29.743392249999999</v>
      </c>
      <c r="L2037" s="7">
        <v>-95.124588489999994</v>
      </c>
      <c r="M2037" s="6" t="s">
        <v>34</v>
      </c>
      <c r="N2037" s="6" t="s">
        <v>24</v>
      </c>
      <c r="O2037" s="6" t="s">
        <v>23</v>
      </c>
    </row>
    <row r="2038" spans="1:15" x14ac:dyDescent="0.25">
      <c r="A2038" s="6" t="s">
        <v>5332</v>
      </c>
      <c r="B2038" s="6" t="s">
        <v>5330</v>
      </c>
      <c r="C2038" s="6" t="s">
        <v>557</v>
      </c>
      <c r="E2038" s="6" t="s">
        <v>5329</v>
      </c>
      <c r="F2038" s="6" t="s">
        <v>5328</v>
      </c>
      <c r="G2038" s="6" t="s">
        <v>16</v>
      </c>
      <c r="H2038" s="6" t="s">
        <v>15</v>
      </c>
      <c r="I2038" s="6" t="s">
        <v>14</v>
      </c>
      <c r="J2038" s="6" t="s">
        <v>35</v>
      </c>
      <c r="K2038" s="7">
        <v>29.74449302</v>
      </c>
      <c r="L2038" s="7">
        <v>-95.121814430000001</v>
      </c>
      <c r="M2038" s="6" t="s">
        <v>34</v>
      </c>
      <c r="N2038" s="6" t="s">
        <v>24</v>
      </c>
      <c r="O2038" s="6" t="s">
        <v>23</v>
      </c>
    </row>
    <row r="2039" spans="1:15" x14ac:dyDescent="0.25">
      <c r="A2039" s="6" t="s">
        <v>5331</v>
      </c>
      <c r="B2039" s="6" t="s">
        <v>5330</v>
      </c>
      <c r="C2039" s="6" t="s">
        <v>433</v>
      </c>
      <c r="E2039" s="6" t="s">
        <v>5329</v>
      </c>
      <c r="F2039" s="6" t="s">
        <v>5328</v>
      </c>
      <c r="G2039" s="6" t="s">
        <v>16</v>
      </c>
      <c r="H2039" s="6" t="s">
        <v>15</v>
      </c>
      <c r="I2039" s="6" t="s">
        <v>14</v>
      </c>
      <c r="J2039" s="6" t="s">
        <v>35</v>
      </c>
      <c r="K2039" s="7">
        <v>29.739340070000001</v>
      </c>
      <c r="L2039" s="7">
        <v>-95.121734000000004</v>
      </c>
      <c r="M2039" s="6" t="s">
        <v>34</v>
      </c>
      <c r="N2039" s="6" t="s">
        <v>24</v>
      </c>
      <c r="O2039" s="6" t="s">
        <v>23</v>
      </c>
    </row>
    <row r="2040" spans="1:15" x14ac:dyDescent="0.25">
      <c r="A2040" s="6" t="s">
        <v>6736</v>
      </c>
      <c r="B2040" s="6" t="s">
        <v>6735</v>
      </c>
      <c r="C2040" s="6" t="s">
        <v>31</v>
      </c>
      <c r="E2040" s="6" t="s">
        <v>6734</v>
      </c>
      <c r="F2040" s="6" t="s">
        <v>6733</v>
      </c>
      <c r="G2040" s="6" t="s">
        <v>16</v>
      </c>
      <c r="H2040" s="6" t="s">
        <v>28</v>
      </c>
      <c r="I2040" s="6" t="s">
        <v>73</v>
      </c>
      <c r="J2040" s="6" t="s">
        <v>35</v>
      </c>
      <c r="K2040" s="7">
        <v>29.956167560000001</v>
      </c>
      <c r="L2040" s="7">
        <v>-95.502842349999995</v>
      </c>
      <c r="M2040" s="6" t="s">
        <v>198</v>
      </c>
      <c r="N2040" s="6" t="s">
        <v>24</v>
      </c>
      <c r="O2040" s="6" t="s">
        <v>23</v>
      </c>
    </row>
    <row r="2041" spans="1:15" x14ac:dyDescent="0.25">
      <c r="A2041" s="6" t="s">
        <v>6854</v>
      </c>
      <c r="B2041" s="6" t="s">
        <v>6853</v>
      </c>
      <c r="C2041" s="6" t="s">
        <v>31</v>
      </c>
      <c r="E2041" s="6" t="s">
        <v>6852</v>
      </c>
      <c r="F2041" s="6" t="s">
        <v>6851</v>
      </c>
      <c r="G2041" s="6" t="s">
        <v>16</v>
      </c>
      <c r="H2041" s="6" t="s">
        <v>15</v>
      </c>
      <c r="I2041" s="6" t="s">
        <v>6850</v>
      </c>
      <c r="J2041" s="6" t="s">
        <v>566</v>
      </c>
      <c r="K2041" s="7">
        <v>32.207845249999998</v>
      </c>
      <c r="L2041" s="7">
        <v>-94.792074920000005</v>
      </c>
      <c r="M2041" s="6" t="s">
        <v>6849</v>
      </c>
      <c r="N2041" s="6" t="s">
        <v>65</v>
      </c>
      <c r="O2041" s="6" t="s">
        <v>65</v>
      </c>
    </row>
    <row r="2042" spans="1:15" x14ac:dyDescent="0.25">
      <c r="A2042" s="6" t="s">
        <v>6728</v>
      </c>
      <c r="B2042" s="6" t="s">
        <v>6727</v>
      </c>
      <c r="C2042" s="6" t="s">
        <v>31</v>
      </c>
      <c r="E2042" s="6" t="s">
        <v>6726</v>
      </c>
      <c r="F2042" s="6" t="s">
        <v>6725</v>
      </c>
      <c r="G2042" s="6" t="s">
        <v>16</v>
      </c>
      <c r="H2042" s="6" t="s">
        <v>28</v>
      </c>
      <c r="I2042" s="6" t="s">
        <v>73</v>
      </c>
      <c r="J2042" s="6" t="s">
        <v>35</v>
      </c>
      <c r="K2042" s="7">
        <v>29.629572</v>
      </c>
      <c r="L2042" s="7">
        <v>-95.514606000000001</v>
      </c>
      <c r="M2042" s="6" t="s">
        <v>866</v>
      </c>
      <c r="N2042" s="6" t="s">
        <v>24</v>
      </c>
      <c r="O2042" s="6" t="s">
        <v>23</v>
      </c>
    </row>
    <row r="2043" spans="1:15" x14ac:dyDescent="0.25">
      <c r="A2043" s="6" t="s">
        <v>6724</v>
      </c>
      <c r="B2043" s="6" t="s">
        <v>6723</v>
      </c>
      <c r="C2043" s="6" t="s">
        <v>31</v>
      </c>
      <c r="E2043" s="6" t="s">
        <v>6722</v>
      </c>
      <c r="F2043" s="6" t="s">
        <v>6721</v>
      </c>
      <c r="G2043" s="6" t="s">
        <v>16</v>
      </c>
      <c r="H2043" s="6" t="s">
        <v>28</v>
      </c>
      <c r="I2043" s="6" t="s">
        <v>27</v>
      </c>
      <c r="J2043" s="6" t="s">
        <v>35</v>
      </c>
      <c r="K2043" s="7">
        <v>30.082280000000001</v>
      </c>
      <c r="L2043" s="7">
        <v>-95.560067000000004</v>
      </c>
      <c r="M2043" s="6" t="s">
        <v>731</v>
      </c>
      <c r="N2043" s="6" t="s">
        <v>24</v>
      </c>
      <c r="O2043" s="6" t="s">
        <v>23</v>
      </c>
    </row>
    <row r="2044" spans="1:15" x14ac:dyDescent="0.25">
      <c r="A2044" s="6" t="s">
        <v>791</v>
      </c>
      <c r="B2044" s="6" t="s">
        <v>790</v>
      </c>
      <c r="C2044" s="6" t="s">
        <v>31</v>
      </c>
      <c r="E2044" s="6" t="s">
        <v>789</v>
      </c>
      <c r="F2044" s="6" t="s">
        <v>788</v>
      </c>
      <c r="G2044" s="6" t="s">
        <v>16</v>
      </c>
      <c r="H2044" s="6" t="s">
        <v>15</v>
      </c>
      <c r="I2044" s="6" t="s">
        <v>14</v>
      </c>
      <c r="J2044" s="6" t="s">
        <v>35</v>
      </c>
      <c r="K2044" s="7">
        <v>29.915313739999998</v>
      </c>
      <c r="L2044" s="7">
        <v>-95.411302379999995</v>
      </c>
      <c r="M2044" s="6" t="s">
        <v>198</v>
      </c>
      <c r="N2044" s="6" t="s">
        <v>24</v>
      </c>
      <c r="O2044" s="6" t="s">
        <v>23</v>
      </c>
    </row>
    <row r="2045" spans="1:15" x14ac:dyDescent="0.25">
      <c r="A2045" s="6" t="s">
        <v>11304</v>
      </c>
      <c r="B2045" s="6" t="s">
        <v>11303</v>
      </c>
      <c r="C2045" s="6" t="s">
        <v>31</v>
      </c>
      <c r="E2045" s="6" t="s">
        <v>11302</v>
      </c>
      <c r="F2045" s="6" t="s">
        <v>11301</v>
      </c>
      <c r="G2045" s="6" t="s">
        <v>16</v>
      </c>
      <c r="H2045" s="6" t="s">
        <v>28</v>
      </c>
      <c r="I2045" s="6" t="s">
        <v>27</v>
      </c>
      <c r="J2045" s="6" t="s">
        <v>35</v>
      </c>
      <c r="K2045" s="7">
        <v>30.086572</v>
      </c>
      <c r="L2045" s="7">
        <v>-95.485551000000001</v>
      </c>
      <c r="M2045" s="6" t="s">
        <v>731</v>
      </c>
      <c r="N2045" s="6" t="s">
        <v>24</v>
      </c>
      <c r="O2045" s="6" t="s">
        <v>23</v>
      </c>
    </row>
    <row r="2046" spans="1:15" x14ac:dyDescent="0.25">
      <c r="A2046" s="6" t="s">
        <v>1392</v>
      </c>
      <c r="B2046" s="6" t="s">
        <v>1391</v>
      </c>
      <c r="C2046" s="6" t="s">
        <v>31</v>
      </c>
      <c r="E2046" s="6" t="s">
        <v>1390</v>
      </c>
      <c r="F2046" s="6" t="s">
        <v>1389</v>
      </c>
      <c r="G2046" s="6" t="s">
        <v>16</v>
      </c>
      <c r="H2046" s="6" t="s">
        <v>28</v>
      </c>
      <c r="I2046" s="6" t="s">
        <v>1200</v>
      </c>
      <c r="J2046" s="6" t="s">
        <v>84</v>
      </c>
      <c r="K2046" s="7">
        <v>28.652866</v>
      </c>
      <c r="L2046" s="7">
        <v>-96.417353000000006</v>
      </c>
      <c r="M2046" s="6" t="s">
        <v>1388</v>
      </c>
      <c r="N2046" s="6" t="s">
        <v>22</v>
      </c>
      <c r="O2046" s="6" t="s">
        <v>10</v>
      </c>
    </row>
    <row r="2047" spans="1:15" x14ac:dyDescent="0.25">
      <c r="A2047" s="6" t="s">
        <v>6720</v>
      </c>
      <c r="B2047" s="6" t="s">
        <v>6719</v>
      </c>
      <c r="C2047" s="6" t="s">
        <v>31</v>
      </c>
      <c r="E2047" s="6" t="s">
        <v>6718</v>
      </c>
      <c r="F2047" s="6" t="s">
        <v>6717</v>
      </c>
      <c r="G2047" s="6" t="s">
        <v>16</v>
      </c>
      <c r="H2047" s="6" t="s">
        <v>15</v>
      </c>
      <c r="I2047" s="6" t="s">
        <v>14</v>
      </c>
      <c r="J2047" s="6" t="s">
        <v>221</v>
      </c>
      <c r="K2047" s="7">
        <v>30.581861</v>
      </c>
      <c r="L2047" s="7">
        <v>-97.839735000000005</v>
      </c>
      <c r="M2047" s="6" t="s">
        <v>3908</v>
      </c>
      <c r="N2047" s="6" t="s">
        <v>23</v>
      </c>
      <c r="O2047" s="6" t="s">
        <v>160</v>
      </c>
    </row>
    <row r="2048" spans="1:15" x14ac:dyDescent="0.25">
      <c r="A2048" s="6" t="s">
        <v>7182</v>
      </c>
      <c r="B2048" s="6" t="s">
        <v>7181</v>
      </c>
      <c r="C2048" s="6" t="s">
        <v>31</v>
      </c>
      <c r="E2048" s="6" t="s">
        <v>7180</v>
      </c>
      <c r="F2048" s="6" t="s">
        <v>7179</v>
      </c>
      <c r="G2048" s="6" t="s">
        <v>16</v>
      </c>
      <c r="H2048" s="6" t="s">
        <v>28</v>
      </c>
      <c r="I2048" s="6" t="s">
        <v>60</v>
      </c>
      <c r="J2048" s="6" t="s">
        <v>982</v>
      </c>
      <c r="K2048" s="7">
        <v>32.105553</v>
      </c>
      <c r="L2048" s="7">
        <v>-96.213272000000003</v>
      </c>
      <c r="M2048" s="6" t="s">
        <v>1031</v>
      </c>
      <c r="N2048" s="6" t="s">
        <v>102</v>
      </c>
      <c r="O2048" s="6" t="s">
        <v>42</v>
      </c>
    </row>
    <row r="2049" spans="1:15" x14ac:dyDescent="0.25">
      <c r="A2049" s="6" t="s">
        <v>7322</v>
      </c>
      <c r="B2049" s="6" t="s">
        <v>7321</v>
      </c>
      <c r="C2049" s="6" t="s">
        <v>31</v>
      </c>
      <c r="E2049" s="6" t="s">
        <v>7320</v>
      </c>
      <c r="F2049" s="6" t="s">
        <v>7319</v>
      </c>
      <c r="G2049" s="6" t="s">
        <v>16</v>
      </c>
      <c r="H2049" s="6" t="s">
        <v>28</v>
      </c>
      <c r="I2049" s="6" t="s">
        <v>27</v>
      </c>
      <c r="J2049" s="6" t="s">
        <v>7318</v>
      </c>
      <c r="K2049" s="7">
        <v>30.867422000000001</v>
      </c>
      <c r="L2049" s="7">
        <v>-100.58363199999999</v>
      </c>
      <c r="M2049" s="6" t="s">
        <v>1893</v>
      </c>
      <c r="N2049" s="6" t="s">
        <v>10</v>
      </c>
      <c r="O2049" s="6" t="s">
        <v>102</v>
      </c>
    </row>
    <row r="2050" spans="1:15" x14ac:dyDescent="0.25">
      <c r="A2050" s="6" t="s">
        <v>9991</v>
      </c>
      <c r="B2050" s="6" t="s">
        <v>6098</v>
      </c>
      <c r="C2050" s="6" t="s">
        <v>31</v>
      </c>
      <c r="E2050" s="6" t="s">
        <v>6097</v>
      </c>
      <c r="F2050" s="6" t="s">
        <v>6096</v>
      </c>
      <c r="G2050" s="6" t="s">
        <v>16</v>
      </c>
      <c r="H2050" s="6" t="s">
        <v>15</v>
      </c>
      <c r="I2050" s="6" t="s">
        <v>14</v>
      </c>
      <c r="J2050" s="6" t="s">
        <v>35</v>
      </c>
      <c r="K2050" s="7">
        <v>29.789332250000001</v>
      </c>
      <c r="L2050" s="7">
        <v>-95.065830689999999</v>
      </c>
      <c r="M2050" s="6" t="s">
        <v>701</v>
      </c>
      <c r="N2050" s="6" t="s">
        <v>24</v>
      </c>
      <c r="O2050" s="6" t="s">
        <v>23</v>
      </c>
    </row>
    <row r="2051" spans="1:15" x14ac:dyDescent="0.25">
      <c r="A2051" s="6" t="s">
        <v>6100</v>
      </c>
      <c r="B2051" s="6" t="s">
        <v>6098</v>
      </c>
      <c r="C2051" s="6" t="s">
        <v>436</v>
      </c>
      <c r="E2051" s="6" t="s">
        <v>6097</v>
      </c>
      <c r="F2051" s="6" t="s">
        <v>6096</v>
      </c>
      <c r="G2051" s="6" t="s">
        <v>16</v>
      </c>
      <c r="H2051" s="6" t="s">
        <v>15</v>
      </c>
      <c r="I2051" s="6" t="s">
        <v>14</v>
      </c>
      <c r="J2051" s="6" t="s">
        <v>35</v>
      </c>
      <c r="K2051" s="7">
        <v>29.790770469999998</v>
      </c>
      <c r="L2051" s="7">
        <v>-95.063503769999997</v>
      </c>
      <c r="M2051" s="6" t="s">
        <v>701</v>
      </c>
      <c r="N2051" s="6" t="s">
        <v>24</v>
      </c>
      <c r="O2051" s="6" t="s">
        <v>23</v>
      </c>
    </row>
    <row r="2052" spans="1:15" x14ac:dyDescent="0.25">
      <c r="A2052" s="6" t="s">
        <v>6101</v>
      </c>
      <c r="B2052" s="6" t="s">
        <v>6098</v>
      </c>
      <c r="C2052" s="6" t="s">
        <v>597</v>
      </c>
      <c r="E2052" s="6" t="s">
        <v>6097</v>
      </c>
      <c r="F2052" s="6" t="s">
        <v>6096</v>
      </c>
      <c r="G2052" s="6" t="s">
        <v>16</v>
      </c>
      <c r="H2052" s="6" t="s">
        <v>15</v>
      </c>
      <c r="I2052" s="6" t="s">
        <v>14</v>
      </c>
      <c r="J2052" s="6" t="s">
        <v>35</v>
      </c>
      <c r="K2052" s="7">
        <v>29.790495379999999</v>
      </c>
      <c r="L2052" s="7">
        <v>-95.0640997</v>
      </c>
      <c r="M2052" s="6" t="s">
        <v>701</v>
      </c>
      <c r="N2052" s="6" t="s">
        <v>24</v>
      </c>
      <c r="O2052" s="6" t="s">
        <v>23</v>
      </c>
    </row>
    <row r="2053" spans="1:15" x14ac:dyDescent="0.25">
      <c r="A2053" s="6" t="s">
        <v>6099</v>
      </c>
      <c r="B2053" s="6" t="s">
        <v>6098</v>
      </c>
      <c r="C2053" s="6" t="s">
        <v>557</v>
      </c>
      <c r="E2053" s="6" t="s">
        <v>6097</v>
      </c>
      <c r="F2053" s="6" t="s">
        <v>6096</v>
      </c>
      <c r="G2053" s="6" t="s">
        <v>16</v>
      </c>
      <c r="H2053" s="6" t="s">
        <v>15</v>
      </c>
      <c r="I2053" s="6" t="s">
        <v>14</v>
      </c>
      <c r="J2053" s="6" t="s">
        <v>35</v>
      </c>
      <c r="K2053" s="7">
        <v>29.790568180000001</v>
      </c>
      <c r="L2053" s="7">
        <v>-95.064199579999993</v>
      </c>
      <c r="M2053" s="6" t="s">
        <v>701</v>
      </c>
      <c r="N2053" s="6" t="s">
        <v>24</v>
      </c>
      <c r="O2053" s="6" t="s">
        <v>23</v>
      </c>
    </row>
    <row r="2054" spans="1:15" x14ac:dyDescent="0.25">
      <c r="A2054" s="6" t="s">
        <v>9990</v>
      </c>
      <c r="B2054" s="6" t="s">
        <v>6098</v>
      </c>
      <c r="C2054" s="6" t="s">
        <v>433</v>
      </c>
      <c r="E2054" s="6" t="s">
        <v>6097</v>
      </c>
      <c r="F2054" s="6" t="s">
        <v>6096</v>
      </c>
      <c r="G2054" s="6" t="s">
        <v>16</v>
      </c>
      <c r="H2054" s="6" t="s">
        <v>15</v>
      </c>
      <c r="I2054" s="6" t="s">
        <v>14</v>
      </c>
      <c r="J2054" s="6" t="s">
        <v>35</v>
      </c>
      <c r="K2054" s="7">
        <v>29.789064010000001</v>
      </c>
      <c r="L2054" s="7">
        <v>-95.066129369999999</v>
      </c>
      <c r="M2054" s="6" t="s">
        <v>701</v>
      </c>
      <c r="N2054" s="6" t="s">
        <v>24</v>
      </c>
      <c r="O2054" s="6" t="s">
        <v>23</v>
      </c>
    </row>
    <row r="2055" spans="1:15" x14ac:dyDescent="0.25">
      <c r="A2055" s="6" t="s">
        <v>11297</v>
      </c>
      <c r="B2055" s="6" t="s">
        <v>11296</v>
      </c>
      <c r="C2055" s="6" t="s">
        <v>31</v>
      </c>
      <c r="E2055" s="6" t="s">
        <v>11295</v>
      </c>
      <c r="F2055" s="6" t="s">
        <v>11294</v>
      </c>
      <c r="G2055" s="6" t="s">
        <v>16</v>
      </c>
      <c r="H2055" s="6" t="s">
        <v>28</v>
      </c>
      <c r="I2055" s="6" t="s">
        <v>60</v>
      </c>
      <c r="J2055" s="6" t="s">
        <v>35</v>
      </c>
      <c r="K2055" s="7">
        <v>29.94666999</v>
      </c>
      <c r="L2055" s="7">
        <v>-95.501783279999998</v>
      </c>
      <c r="M2055" s="6" t="s">
        <v>198</v>
      </c>
      <c r="N2055" s="6" t="s">
        <v>24</v>
      </c>
      <c r="O2055" s="6" t="s">
        <v>23</v>
      </c>
    </row>
    <row r="2056" spans="1:15" x14ac:dyDescent="0.25">
      <c r="A2056" s="6" t="s">
        <v>2618</v>
      </c>
      <c r="B2056" s="6" t="s">
        <v>2617</v>
      </c>
      <c r="C2056" s="6" t="s">
        <v>31</v>
      </c>
      <c r="E2056" s="6" t="s">
        <v>2616</v>
      </c>
      <c r="F2056" s="6" t="s">
        <v>2615</v>
      </c>
      <c r="G2056" s="6" t="s">
        <v>16</v>
      </c>
      <c r="H2056" s="6" t="s">
        <v>28</v>
      </c>
      <c r="I2056" s="6" t="s">
        <v>60</v>
      </c>
      <c r="J2056" s="6" t="s">
        <v>576</v>
      </c>
      <c r="K2056" s="7">
        <v>30.76829</v>
      </c>
      <c r="L2056" s="7">
        <v>-96.069851</v>
      </c>
      <c r="M2056" s="6" t="s">
        <v>317</v>
      </c>
      <c r="N2056" s="6" t="s">
        <v>102</v>
      </c>
      <c r="O2056" s="6" t="s">
        <v>120</v>
      </c>
    </row>
    <row r="2057" spans="1:15" x14ac:dyDescent="0.25">
      <c r="A2057" s="6" t="s">
        <v>11290</v>
      </c>
      <c r="B2057" s="6" t="s">
        <v>11289</v>
      </c>
      <c r="C2057" s="6" t="s">
        <v>31</v>
      </c>
      <c r="E2057" s="6" t="s">
        <v>11288</v>
      </c>
      <c r="F2057" s="6" t="s">
        <v>10554</v>
      </c>
      <c r="G2057" s="6" t="s">
        <v>16</v>
      </c>
      <c r="H2057" s="6" t="s">
        <v>28</v>
      </c>
      <c r="I2057" s="6" t="s">
        <v>60</v>
      </c>
      <c r="J2057" s="6" t="s">
        <v>162</v>
      </c>
      <c r="K2057" s="7">
        <v>29.340968</v>
      </c>
      <c r="L2057" s="7">
        <v>-95.448312000000001</v>
      </c>
      <c r="M2057" s="6" t="s">
        <v>1999</v>
      </c>
      <c r="N2057" s="6" t="s">
        <v>160</v>
      </c>
      <c r="O2057" s="6" t="s">
        <v>23</v>
      </c>
    </row>
    <row r="2058" spans="1:15" x14ac:dyDescent="0.25">
      <c r="A2058" s="6" t="s">
        <v>9985</v>
      </c>
      <c r="B2058" s="6" t="s">
        <v>3977</v>
      </c>
      <c r="C2058" s="6" t="s">
        <v>31</v>
      </c>
      <c r="E2058" s="6" t="s">
        <v>3976</v>
      </c>
      <c r="F2058" s="6" t="s">
        <v>1439</v>
      </c>
      <c r="G2058" s="6" t="s">
        <v>16</v>
      </c>
      <c r="H2058" s="6" t="s">
        <v>15</v>
      </c>
      <c r="I2058" s="6" t="s">
        <v>46</v>
      </c>
      <c r="J2058" s="6" t="s">
        <v>13</v>
      </c>
      <c r="K2058" s="7">
        <v>27.807124739999999</v>
      </c>
      <c r="L2058" s="7">
        <v>-97.443966309999993</v>
      </c>
      <c r="M2058" s="6" t="s">
        <v>12</v>
      </c>
      <c r="N2058" s="6" t="s">
        <v>11</v>
      </c>
      <c r="O2058" s="6" t="s">
        <v>10</v>
      </c>
    </row>
    <row r="2059" spans="1:15" x14ac:dyDescent="0.25">
      <c r="A2059" s="6" t="s">
        <v>3978</v>
      </c>
      <c r="B2059" s="6" t="s">
        <v>3977</v>
      </c>
      <c r="C2059" s="6" t="s">
        <v>19</v>
      </c>
      <c r="E2059" s="6" t="s">
        <v>3976</v>
      </c>
      <c r="F2059" s="6" t="s">
        <v>1439</v>
      </c>
      <c r="G2059" s="6" t="s">
        <v>16</v>
      </c>
      <c r="H2059" s="6" t="s">
        <v>15</v>
      </c>
      <c r="I2059" s="6" t="s">
        <v>46</v>
      </c>
      <c r="J2059" s="6" t="s">
        <v>13</v>
      </c>
      <c r="K2059" s="7">
        <v>27.811816</v>
      </c>
      <c r="L2059" s="7">
        <v>-97.438586999999998</v>
      </c>
      <c r="M2059" s="6" t="s">
        <v>12</v>
      </c>
      <c r="N2059" s="6" t="s">
        <v>11</v>
      </c>
      <c r="O2059" s="6" t="s">
        <v>10</v>
      </c>
    </row>
    <row r="2060" spans="1:15" x14ac:dyDescent="0.25">
      <c r="A2060" s="6" t="s">
        <v>8180</v>
      </c>
      <c r="B2060" s="6" t="s">
        <v>3977</v>
      </c>
      <c r="C2060" s="6" t="s">
        <v>436</v>
      </c>
      <c r="E2060" s="6" t="s">
        <v>3976</v>
      </c>
      <c r="F2060" s="6" t="s">
        <v>1439</v>
      </c>
      <c r="G2060" s="6" t="s">
        <v>16</v>
      </c>
      <c r="H2060" s="6" t="s">
        <v>15</v>
      </c>
      <c r="I2060" s="6" t="s">
        <v>46</v>
      </c>
      <c r="J2060" s="6" t="s">
        <v>13</v>
      </c>
      <c r="K2060" s="7">
        <v>27.811613000000001</v>
      </c>
      <c r="L2060" s="7">
        <v>-97.437470000000005</v>
      </c>
      <c r="M2060" s="6" t="s">
        <v>12</v>
      </c>
      <c r="N2060" s="6" t="s">
        <v>11</v>
      </c>
      <c r="O2060" s="6" t="s">
        <v>10</v>
      </c>
    </row>
    <row r="2061" spans="1:15" x14ac:dyDescent="0.25">
      <c r="A2061" s="6" t="s">
        <v>11293</v>
      </c>
      <c r="B2061" s="6" t="s">
        <v>11292</v>
      </c>
      <c r="C2061" s="6" t="s">
        <v>31</v>
      </c>
      <c r="E2061" s="6" t="s">
        <v>11291</v>
      </c>
      <c r="F2061" s="6" t="s">
        <v>29</v>
      </c>
      <c r="G2061" s="6" t="s">
        <v>16</v>
      </c>
      <c r="H2061" s="6" t="s">
        <v>28</v>
      </c>
      <c r="I2061" s="6" t="s">
        <v>2671</v>
      </c>
      <c r="J2061" s="6" t="s">
        <v>26</v>
      </c>
      <c r="K2061" s="7">
        <v>30.442962999999999</v>
      </c>
      <c r="L2061" s="7">
        <v>-95.457696999999996</v>
      </c>
      <c r="M2061" s="6" t="s">
        <v>59</v>
      </c>
      <c r="N2061" s="6" t="s">
        <v>24</v>
      </c>
      <c r="O2061" s="6" t="s">
        <v>23</v>
      </c>
    </row>
    <row r="2062" spans="1:15" x14ac:dyDescent="0.25">
      <c r="A2062" s="6" t="s">
        <v>10582</v>
      </c>
      <c r="B2062" s="6" t="s">
        <v>10581</v>
      </c>
      <c r="C2062" s="6" t="s">
        <v>31</v>
      </c>
      <c r="E2062" s="6" t="s">
        <v>10580</v>
      </c>
      <c r="F2062" s="6" t="s">
        <v>10579</v>
      </c>
      <c r="G2062" s="6" t="s">
        <v>16</v>
      </c>
      <c r="H2062" s="6" t="s">
        <v>28</v>
      </c>
      <c r="I2062" s="6" t="s">
        <v>27</v>
      </c>
      <c r="J2062" s="6" t="s">
        <v>306</v>
      </c>
      <c r="K2062" s="7">
        <v>33.460791</v>
      </c>
      <c r="L2062" s="7">
        <v>-98.923636999999999</v>
      </c>
      <c r="M2062" s="6" t="s">
        <v>10578</v>
      </c>
      <c r="N2062" s="6" t="s">
        <v>43</v>
      </c>
      <c r="O2062" s="6" t="s">
        <v>95</v>
      </c>
    </row>
    <row r="2063" spans="1:15" x14ac:dyDescent="0.25">
      <c r="A2063" s="6" t="s">
        <v>10932</v>
      </c>
      <c r="B2063" s="6" t="s">
        <v>10931</v>
      </c>
      <c r="C2063" s="6" t="s">
        <v>31</v>
      </c>
      <c r="E2063" s="6" t="s">
        <v>10930</v>
      </c>
      <c r="F2063" s="6" t="s">
        <v>10929</v>
      </c>
      <c r="G2063" s="6" t="s">
        <v>16</v>
      </c>
      <c r="H2063" s="6" t="s">
        <v>28</v>
      </c>
      <c r="I2063" s="6" t="s">
        <v>73</v>
      </c>
      <c r="J2063" s="6" t="s">
        <v>35</v>
      </c>
      <c r="K2063" s="7">
        <v>29.782744050000002</v>
      </c>
      <c r="L2063" s="7">
        <v>-95.67786821</v>
      </c>
      <c r="M2063" s="6" t="s">
        <v>131</v>
      </c>
      <c r="N2063" s="6" t="s">
        <v>24</v>
      </c>
      <c r="O2063" s="6" t="s">
        <v>23</v>
      </c>
    </row>
    <row r="2064" spans="1:15" x14ac:dyDescent="0.25">
      <c r="A2064" s="6" t="s">
        <v>10936</v>
      </c>
      <c r="B2064" s="6" t="s">
        <v>10935</v>
      </c>
      <c r="C2064" s="6" t="s">
        <v>31</v>
      </c>
      <c r="E2064" s="6" t="s">
        <v>10934</v>
      </c>
      <c r="F2064" s="6" t="s">
        <v>10933</v>
      </c>
      <c r="G2064" s="6" t="s">
        <v>16</v>
      </c>
      <c r="H2064" s="6" t="s">
        <v>28</v>
      </c>
      <c r="I2064" s="6" t="s">
        <v>27</v>
      </c>
      <c r="J2064" s="6" t="s">
        <v>35</v>
      </c>
      <c r="K2064" s="7">
        <v>29.898824000000001</v>
      </c>
      <c r="L2064" s="7">
        <v>-95.592502999999994</v>
      </c>
      <c r="M2064" s="6" t="s">
        <v>77</v>
      </c>
      <c r="N2064" s="6" t="s">
        <v>24</v>
      </c>
      <c r="O2064" s="6" t="s">
        <v>23</v>
      </c>
    </row>
    <row r="2065" spans="1:15" x14ac:dyDescent="0.25">
      <c r="A2065" s="6" t="s">
        <v>11287</v>
      </c>
      <c r="B2065" s="6" t="s">
        <v>11286</v>
      </c>
      <c r="C2065" s="6" t="s">
        <v>31</v>
      </c>
      <c r="E2065" s="6" t="s">
        <v>11285</v>
      </c>
      <c r="F2065" s="6" t="s">
        <v>11284</v>
      </c>
      <c r="G2065" s="6" t="s">
        <v>16</v>
      </c>
      <c r="H2065" s="6" t="s">
        <v>28</v>
      </c>
      <c r="I2065" s="6" t="s">
        <v>60</v>
      </c>
      <c r="J2065" s="6" t="s">
        <v>162</v>
      </c>
      <c r="K2065" s="7">
        <v>29.537275999999999</v>
      </c>
      <c r="L2065" s="7">
        <v>-95.351502999999994</v>
      </c>
      <c r="M2065" s="6" t="s">
        <v>542</v>
      </c>
      <c r="N2065" s="6" t="s">
        <v>160</v>
      </c>
      <c r="O2065" s="6" t="s">
        <v>23</v>
      </c>
    </row>
    <row r="2066" spans="1:15" x14ac:dyDescent="0.25">
      <c r="A2066" s="6" t="s">
        <v>6273</v>
      </c>
      <c r="B2066" s="6" t="s">
        <v>6272</v>
      </c>
      <c r="C2066" s="6" t="s">
        <v>31</v>
      </c>
      <c r="E2066" s="6" t="s">
        <v>6271</v>
      </c>
      <c r="F2066" s="6" t="s">
        <v>6270</v>
      </c>
      <c r="G2066" s="6" t="s">
        <v>16</v>
      </c>
      <c r="H2066" s="6" t="s">
        <v>28</v>
      </c>
      <c r="I2066" s="6" t="s">
        <v>73</v>
      </c>
      <c r="J2066" s="6" t="s">
        <v>576</v>
      </c>
      <c r="K2066" s="7">
        <v>30.412277759999998</v>
      </c>
      <c r="L2066" s="7">
        <v>-95.926589550000003</v>
      </c>
      <c r="M2066" s="6" t="s">
        <v>25</v>
      </c>
      <c r="N2066" s="6" t="s">
        <v>24</v>
      </c>
      <c r="O2066" s="6" t="s">
        <v>120</v>
      </c>
    </row>
    <row r="2067" spans="1:15" x14ac:dyDescent="0.25">
      <c r="A2067" s="6" t="s">
        <v>10921</v>
      </c>
      <c r="B2067" s="6" t="s">
        <v>10920</v>
      </c>
      <c r="C2067" s="6" t="s">
        <v>31</v>
      </c>
      <c r="E2067" s="6" t="s">
        <v>10919</v>
      </c>
      <c r="F2067" s="6" t="s">
        <v>10918</v>
      </c>
      <c r="G2067" s="6" t="s">
        <v>16</v>
      </c>
      <c r="H2067" s="6" t="s">
        <v>28</v>
      </c>
      <c r="I2067" s="6" t="s">
        <v>1200</v>
      </c>
      <c r="J2067" s="6" t="s">
        <v>35</v>
      </c>
      <c r="K2067" s="7">
        <v>29.887915</v>
      </c>
      <c r="L2067" s="7">
        <v>-95.253489999999999</v>
      </c>
      <c r="M2067" s="6" t="s">
        <v>198</v>
      </c>
      <c r="N2067" s="6" t="s">
        <v>24</v>
      </c>
      <c r="O2067" s="6" t="s">
        <v>23</v>
      </c>
    </row>
    <row r="2068" spans="1:15" x14ac:dyDescent="0.25">
      <c r="A2068" s="6" t="s">
        <v>1719</v>
      </c>
      <c r="B2068" s="6" t="s">
        <v>1718</v>
      </c>
      <c r="C2068" s="6" t="s">
        <v>31</v>
      </c>
      <c r="E2068" s="6" t="s">
        <v>1717</v>
      </c>
      <c r="F2068" s="6" t="s">
        <v>263</v>
      </c>
      <c r="G2068" s="6" t="s">
        <v>16</v>
      </c>
      <c r="H2068" s="6" t="s">
        <v>15</v>
      </c>
      <c r="I2068" s="6" t="s">
        <v>36</v>
      </c>
      <c r="J2068" s="6" t="s">
        <v>1716</v>
      </c>
      <c r="K2068" s="7">
        <v>30.888378790000001</v>
      </c>
      <c r="L2068" s="7">
        <v>-95.481324819999998</v>
      </c>
      <c r="M2068" s="6" t="s">
        <v>317</v>
      </c>
      <c r="N2068" s="6" t="s">
        <v>102</v>
      </c>
      <c r="O2068" s="6" t="s">
        <v>23</v>
      </c>
    </row>
    <row r="2069" spans="1:15" x14ac:dyDescent="0.25">
      <c r="A2069" s="6" t="s">
        <v>12327</v>
      </c>
      <c r="B2069" s="6" t="s">
        <v>12326</v>
      </c>
      <c r="C2069" s="6" t="s">
        <v>31</v>
      </c>
      <c r="E2069" s="6" t="s">
        <v>12325</v>
      </c>
      <c r="F2069" s="6" t="s">
        <v>12324</v>
      </c>
      <c r="G2069" s="6" t="s">
        <v>16</v>
      </c>
      <c r="H2069" s="6" t="s">
        <v>15</v>
      </c>
      <c r="I2069" s="6" t="s">
        <v>46</v>
      </c>
      <c r="J2069" s="6" t="s">
        <v>145</v>
      </c>
      <c r="K2069" s="7">
        <v>30.23306165</v>
      </c>
      <c r="L2069" s="7">
        <v>-94.214085990000001</v>
      </c>
      <c r="M2069" s="6" t="s">
        <v>144</v>
      </c>
      <c r="N2069" s="6" t="s">
        <v>52</v>
      </c>
      <c r="O2069" s="6" t="s">
        <v>24</v>
      </c>
    </row>
    <row r="2070" spans="1:15" x14ac:dyDescent="0.25">
      <c r="A2070" s="6" t="s">
        <v>10914</v>
      </c>
      <c r="B2070" s="6" t="s">
        <v>10913</v>
      </c>
      <c r="C2070" s="6" t="s">
        <v>31</v>
      </c>
      <c r="E2070" s="6" t="s">
        <v>10912</v>
      </c>
      <c r="F2070" s="6" t="s">
        <v>4372</v>
      </c>
      <c r="G2070" s="6" t="s">
        <v>16</v>
      </c>
      <c r="H2070" s="6" t="s">
        <v>28</v>
      </c>
      <c r="I2070" s="6" t="s">
        <v>1200</v>
      </c>
      <c r="J2070" s="6" t="s">
        <v>26</v>
      </c>
      <c r="K2070" s="7">
        <v>30.205327</v>
      </c>
      <c r="L2070" s="7">
        <v>-95.577888999999999</v>
      </c>
      <c r="M2070" s="6" t="s">
        <v>731</v>
      </c>
      <c r="N2070" s="6" t="s">
        <v>24</v>
      </c>
      <c r="O2070" s="6" t="s">
        <v>23</v>
      </c>
    </row>
    <row r="2071" spans="1:15" x14ac:dyDescent="0.25">
      <c r="A2071" s="6" t="s">
        <v>3472</v>
      </c>
      <c r="B2071" s="6" t="s">
        <v>3471</v>
      </c>
      <c r="C2071" s="6" t="s">
        <v>31</v>
      </c>
      <c r="E2071" s="6" t="s">
        <v>3470</v>
      </c>
      <c r="F2071" s="6" t="s">
        <v>3469</v>
      </c>
      <c r="G2071" s="6" t="s">
        <v>16</v>
      </c>
      <c r="H2071" s="6" t="s">
        <v>28</v>
      </c>
      <c r="I2071" s="6" t="s">
        <v>60</v>
      </c>
      <c r="J2071" s="6" t="s">
        <v>35</v>
      </c>
      <c r="K2071" s="7">
        <v>30.021447999999999</v>
      </c>
      <c r="L2071" s="7">
        <v>-95.590716999999998</v>
      </c>
      <c r="M2071" s="6" t="s">
        <v>279</v>
      </c>
      <c r="N2071" s="6" t="s">
        <v>24</v>
      </c>
      <c r="O2071" s="6" t="s">
        <v>23</v>
      </c>
    </row>
    <row r="2072" spans="1:15" x14ac:dyDescent="0.25">
      <c r="A2072" s="6" t="s">
        <v>10907</v>
      </c>
      <c r="B2072" s="6" t="s">
        <v>10906</v>
      </c>
      <c r="C2072" s="6" t="s">
        <v>31</v>
      </c>
      <c r="E2072" s="6" t="s">
        <v>10905</v>
      </c>
      <c r="F2072" s="6" t="s">
        <v>10904</v>
      </c>
      <c r="G2072" s="6" t="s">
        <v>16</v>
      </c>
      <c r="H2072" s="6" t="s">
        <v>28</v>
      </c>
      <c r="I2072" s="6" t="s">
        <v>73</v>
      </c>
      <c r="J2072" s="6" t="s">
        <v>35</v>
      </c>
      <c r="K2072" s="7">
        <v>29.897546999999999</v>
      </c>
      <c r="L2072" s="7">
        <v>-95.494451999999995</v>
      </c>
      <c r="M2072" s="6" t="s">
        <v>77</v>
      </c>
      <c r="N2072" s="6" t="s">
        <v>24</v>
      </c>
      <c r="O2072" s="6" t="s">
        <v>23</v>
      </c>
    </row>
    <row r="2073" spans="1:15" x14ac:dyDescent="0.25">
      <c r="A2073" s="6" t="s">
        <v>8665</v>
      </c>
      <c r="B2073" s="6" t="s">
        <v>8664</v>
      </c>
      <c r="C2073" s="6" t="s">
        <v>31</v>
      </c>
      <c r="E2073" s="6" t="s">
        <v>8663</v>
      </c>
      <c r="F2073" s="6" t="s">
        <v>8662</v>
      </c>
      <c r="G2073" s="6" t="s">
        <v>16</v>
      </c>
      <c r="H2073" s="6" t="s">
        <v>28</v>
      </c>
      <c r="I2073" s="6" t="s">
        <v>27</v>
      </c>
      <c r="J2073" s="6" t="s">
        <v>35</v>
      </c>
      <c r="K2073" s="7">
        <v>29.797664999999999</v>
      </c>
      <c r="L2073" s="7">
        <v>-95.424122999999994</v>
      </c>
      <c r="M2073" s="6" t="s">
        <v>77</v>
      </c>
      <c r="N2073" s="6" t="s">
        <v>24</v>
      </c>
      <c r="O2073" s="6" t="s">
        <v>23</v>
      </c>
    </row>
    <row r="2074" spans="1:15" x14ac:dyDescent="0.25">
      <c r="A2074" s="6" t="s">
        <v>11094</v>
      </c>
      <c r="B2074" s="6" t="s">
        <v>11093</v>
      </c>
      <c r="C2074" s="6" t="s">
        <v>31</v>
      </c>
      <c r="E2074" s="6" t="s">
        <v>11092</v>
      </c>
      <c r="F2074" s="6" t="s">
        <v>11091</v>
      </c>
      <c r="G2074" s="6" t="s">
        <v>16</v>
      </c>
      <c r="H2074" s="6" t="s">
        <v>15</v>
      </c>
      <c r="I2074" s="6" t="s">
        <v>60</v>
      </c>
      <c r="J2074" s="6" t="s">
        <v>35</v>
      </c>
      <c r="K2074" s="7">
        <v>30.008935000000001</v>
      </c>
      <c r="L2074" s="7">
        <v>-95.391330999999994</v>
      </c>
      <c r="M2074" s="6" t="s">
        <v>279</v>
      </c>
      <c r="N2074" s="6" t="s">
        <v>24</v>
      </c>
      <c r="O2074" s="6" t="s">
        <v>23</v>
      </c>
    </row>
    <row r="2075" spans="1:15" x14ac:dyDescent="0.25">
      <c r="A2075" s="6" t="s">
        <v>10903</v>
      </c>
      <c r="B2075" s="6" t="s">
        <v>10902</v>
      </c>
      <c r="C2075" s="6" t="s">
        <v>31</v>
      </c>
      <c r="E2075" s="6" t="s">
        <v>10901</v>
      </c>
      <c r="F2075" s="6" t="s">
        <v>10900</v>
      </c>
      <c r="G2075" s="6" t="s">
        <v>16</v>
      </c>
      <c r="H2075" s="6" t="s">
        <v>15</v>
      </c>
      <c r="I2075" s="6" t="s">
        <v>14</v>
      </c>
      <c r="J2075" s="6" t="s">
        <v>35</v>
      </c>
      <c r="K2075" s="7">
        <v>29.823339440000002</v>
      </c>
      <c r="L2075" s="7">
        <v>-95.156846669999993</v>
      </c>
      <c r="M2075" s="6" t="s">
        <v>34</v>
      </c>
      <c r="N2075" s="6" t="s">
        <v>24</v>
      </c>
      <c r="O2075" s="6" t="s">
        <v>23</v>
      </c>
    </row>
    <row r="2076" spans="1:15" x14ac:dyDescent="0.25">
      <c r="A2076" s="6" t="s">
        <v>10917</v>
      </c>
      <c r="B2076" s="6" t="s">
        <v>10916</v>
      </c>
      <c r="C2076" s="6" t="s">
        <v>31</v>
      </c>
      <c r="E2076" s="6" t="s">
        <v>10915</v>
      </c>
      <c r="F2076" s="6" t="s">
        <v>2777</v>
      </c>
      <c r="G2076" s="6" t="s">
        <v>16</v>
      </c>
      <c r="H2076" s="6" t="s">
        <v>15</v>
      </c>
      <c r="I2076" s="6" t="s">
        <v>14</v>
      </c>
      <c r="J2076" s="6" t="s">
        <v>132</v>
      </c>
      <c r="K2076" s="7">
        <v>29.53884369</v>
      </c>
      <c r="L2076" s="7">
        <v>-95.506358169999999</v>
      </c>
      <c r="M2076" s="6" t="s">
        <v>2680</v>
      </c>
      <c r="N2076" s="6" t="s">
        <v>160</v>
      </c>
      <c r="O2076" s="6" t="s">
        <v>23</v>
      </c>
    </row>
    <row r="2077" spans="1:15" x14ac:dyDescent="0.25">
      <c r="A2077" s="6" t="s">
        <v>2019</v>
      </c>
      <c r="B2077" s="6" t="s">
        <v>2018</v>
      </c>
      <c r="C2077" s="6" t="s">
        <v>31</v>
      </c>
      <c r="E2077" s="6" t="s">
        <v>2017</v>
      </c>
      <c r="F2077" s="6" t="s">
        <v>2016</v>
      </c>
      <c r="G2077" s="6" t="s">
        <v>16</v>
      </c>
      <c r="H2077" s="6" t="s">
        <v>28</v>
      </c>
      <c r="I2077" s="6" t="s">
        <v>14</v>
      </c>
      <c r="J2077" s="6" t="s">
        <v>268</v>
      </c>
      <c r="K2077" s="7">
        <v>32.610842859999998</v>
      </c>
      <c r="L2077" s="7">
        <v>-97.536113709999995</v>
      </c>
      <c r="M2077" s="6" t="s">
        <v>2015</v>
      </c>
      <c r="N2077" s="6" t="s">
        <v>102</v>
      </c>
      <c r="O2077" s="6" t="s">
        <v>42</v>
      </c>
    </row>
    <row r="2078" spans="1:15" x14ac:dyDescent="0.25">
      <c r="A2078" s="6" t="s">
        <v>9087</v>
      </c>
      <c r="B2078" s="6" t="s">
        <v>9086</v>
      </c>
      <c r="C2078" s="6" t="s">
        <v>31</v>
      </c>
      <c r="E2078" s="6" t="s">
        <v>9085</v>
      </c>
      <c r="F2078" s="6" t="s">
        <v>9084</v>
      </c>
      <c r="G2078" s="6" t="s">
        <v>16</v>
      </c>
      <c r="H2078" s="6" t="s">
        <v>15</v>
      </c>
      <c r="I2078" s="6" t="s">
        <v>14</v>
      </c>
      <c r="J2078" s="6" t="s">
        <v>480</v>
      </c>
      <c r="K2078" s="7">
        <v>26.30450154</v>
      </c>
      <c r="L2078" s="7">
        <v>-98.218962410000003</v>
      </c>
      <c r="M2078" s="6" t="s">
        <v>89</v>
      </c>
      <c r="N2078" s="6" t="s">
        <v>11</v>
      </c>
      <c r="O2078" s="6" t="s">
        <v>22</v>
      </c>
    </row>
    <row r="2079" spans="1:15" x14ac:dyDescent="0.25">
      <c r="A2079" s="6" t="s">
        <v>10888</v>
      </c>
      <c r="B2079" s="6" t="s">
        <v>10887</v>
      </c>
      <c r="C2079" s="6" t="s">
        <v>31</v>
      </c>
      <c r="E2079" s="6" t="s">
        <v>10886</v>
      </c>
      <c r="F2079" s="6" t="s">
        <v>431</v>
      </c>
      <c r="G2079" s="6" t="s">
        <v>16</v>
      </c>
      <c r="H2079" s="6" t="s">
        <v>28</v>
      </c>
      <c r="I2079" s="6" t="s">
        <v>27</v>
      </c>
      <c r="J2079" s="6" t="s">
        <v>13</v>
      </c>
      <c r="K2079" s="7">
        <v>27.847615999999999</v>
      </c>
      <c r="L2079" s="7">
        <v>-97.061059</v>
      </c>
      <c r="M2079" s="6" t="s">
        <v>819</v>
      </c>
      <c r="N2079" s="6" t="s">
        <v>137</v>
      </c>
      <c r="O2079" s="6" t="s">
        <v>10</v>
      </c>
    </row>
    <row r="2080" spans="1:15" x14ac:dyDescent="0.25">
      <c r="A2080" s="6" t="s">
        <v>8970</v>
      </c>
      <c r="B2080" s="6" t="s">
        <v>8969</v>
      </c>
      <c r="C2080" s="6" t="s">
        <v>31</v>
      </c>
      <c r="E2080" s="6" t="s">
        <v>8968</v>
      </c>
      <c r="F2080" s="6" t="s">
        <v>8967</v>
      </c>
      <c r="G2080" s="6" t="s">
        <v>16</v>
      </c>
      <c r="H2080" s="6" t="s">
        <v>28</v>
      </c>
      <c r="I2080" s="6" t="s">
        <v>14</v>
      </c>
      <c r="J2080" s="6" t="s">
        <v>26</v>
      </c>
      <c r="K2080" s="7">
        <v>30.169457869999999</v>
      </c>
      <c r="L2080" s="7">
        <v>-95.17829897</v>
      </c>
      <c r="M2080" s="6" t="s">
        <v>4048</v>
      </c>
      <c r="N2080" s="6" t="s">
        <v>24</v>
      </c>
      <c r="O2080" s="6" t="s">
        <v>23</v>
      </c>
    </row>
    <row r="2081" spans="1:15" x14ac:dyDescent="0.25">
      <c r="A2081" s="6" t="s">
        <v>10602</v>
      </c>
      <c r="B2081" s="6" t="s">
        <v>10601</v>
      </c>
      <c r="C2081" s="6" t="s">
        <v>31</v>
      </c>
      <c r="E2081" s="6" t="s">
        <v>10600</v>
      </c>
      <c r="F2081" s="6" t="s">
        <v>8008</v>
      </c>
      <c r="G2081" s="6" t="s">
        <v>16</v>
      </c>
      <c r="H2081" s="6" t="s">
        <v>15</v>
      </c>
      <c r="I2081" s="6" t="s">
        <v>14</v>
      </c>
      <c r="J2081" s="6" t="s">
        <v>1861</v>
      </c>
      <c r="K2081" s="7">
        <v>30.558820730000001</v>
      </c>
      <c r="L2081" s="7">
        <v>-96.206151309999996</v>
      </c>
      <c r="M2081" s="6" t="s">
        <v>927</v>
      </c>
      <c r="N2081" s="6" t="s">
        <v>23</v>
      </c>
      <c r="O2081" s="6" t="s">
        <v>120</v>
      </c>
    </row>
    <row r="2082" spans="1:15" x14ac:dyDescent="0.25">
      <c r="A2082" s="6" t="s">
        <v>1176</v>
      </c>
      <c r="B2082" s="6" t="s">
        <v>1175</v>
      </c>
      <c r="C2082" s="6" t="s">
        <v>31</v>
      </c>
      <c r="E2082" s="6" t="s">
        <v>1174</v>
      </c>
      <c r="F2082" s="6" t="s">
        <v>1173</v>
      </c>
      <c r="G2082" s="6" t="s">
        <v>16</v>
      </c>
      <c r="H2082" s="6" t="s">
        <v>15</v>
      </c>
      <c r="I2082" s="6" t="s">
        <v>14</v>
      </c>
      <c r="J2082" s="6" t="s">
        <v>1074</v>
      </c>
      <c r="K2082" s="7">
        <v>29.800625499999999</v>
      </c>
      <c r="L2082" s="7">
        <v>-96.158443070000004</v>
      </c>
      <c r="M2082" s="6" t="s">
        <v>355</v>
      </c>
      <c r="N2082" s="6" t="s">
        <v>23</v>
      </c>
      <c r="O2082" s="6" t="s">
        <v>23</v>
      </c>
    </row>
    <row r="2083" spans="1:15" x14ac:dyDescent="0.25">
      <c r="A2083" s="6" t="s">
        <v>10885</v>
      </c>
      <c r="B2083" s="6" t="s">
        <v>10884</v>
      </c>
      <c r="C2083" s="6" t="s">
        <v>31</v>
      </c>
      <c r="E2083" s="6" t="s">
        <v>10883</v>
      </c>
      <c r="F2083" s="6" t="s">
        <v>10882</v>
      </c>
      <c r="G2083" s="6" t="s">
        <v>16</v>
      </c>
      <c r="H2083" s="6" t="s">
        <v>28</v>
      </c>
      <c r="I2083" s="6" t="s">
        <v>14</v>
      </c>
      <c r="J2083" s="6" t="s">
        <v>1240</v>
      </c>
      <c r="K2083" s="7">
        <v>28.697269890000001</v>
      </c>
      <c r="L2083" s="7">
        <v>-96.825208149999995</v>
      </c>
      <c r="M2083" s="6" t="s">
        <v>1272</v>
      </c>
      <c r="N2083" s="6" t="s">
        <v>82</v>
      </c>
      <c r="O2083" s="6" t="s">
        <v>10</v>
      </c>
    </row>
    <row r="2084" spans="1:15" x14ac:dyDescent="0.25">
      <c r="A2084" s="6" t="s">
        <v>3963</v>
      </c>
      <c r="B2084" s="6" t="s">
        <v>3960</v>
      </c>
      <c r="C2084" s="6" t="s">
        <v>31</v>
      </c>
      <c r="E2084" s="6" t="s">
        <v>3959</v>
      </c>
      <c r="F2084" s="6" t="s">
        <v>3958</v>
      </c>
      <c r="G2084" s="6" t="s">
        <v>16</v>
      </c>
      <c r="H2084" s="6" t="s">
        <v>15</v>
      </c>
      <c r="I2084" s="6" t="s">
        <v>46</v>
      </c>
      <c r="J2084" s="6" t="s">
        <v>97</v>
      </c>
      <c r="K2084" s="7">
        <v>33.643206480000003</v>
      </c>
      <c r="L2084" s="7">
        <v>-95.590718659999993</v>
      </c>
      <c r="M2084" s="6" t="s">
        <v>2115</v>
      </c>
      <c r="N2084" s="6" t="s">
        <v>95</v>
      </c>
      <c r="O2084" s="6" t="s">
        <v>65</v>
      </c>
    </row>
    <row r="2085" spans="1:15" x14ac:dyDescent="0.25">
      <c r="A2085" s="6" t="s">
        <v>3962</v>
      </c>
      <c r="B2085" s="6" t="s">
        <v>3960</v>
      </c>
      <c r="C2085" s="6" t="s">
        <v>19</v>
      </c>
      <c r="E2085" s="6" t="s">
        <v>3959</v>
      </c>
      <c r="F2085" s="6" t="s">
        <v>3958</v>
      </c>
      <c r="G2085" s="6" t="s">
        <v>16</v>
      </c>
      <c r="H2085" s="6" t="s">
        <v>430</v>
      </c>
      <c r="I2085" s="6" t="s">
        <v>46</v>
      </c>
      <c r="J2085" s="6" t="s">
        <v>97</v>
      </c>
      <c r="K2085" s="7">
        <v>33.638370700000003</v>
      </c>
      <c r="L2085" s="7">
        <v>-95.595252740000006</v>
      </c>
      <c r="M2085" s="6" t="s">
        <v>2115</v>
      </c>
      <c r="N2085" s="6" t="s">
        <v>95</v>
      </c>
      <c r="O2085" s="6" t="s">
        <v>65</v>
      </c>
    </row>
    <row r="2086" spans="1:15" x14ac:dyDescent="0.25">
      <c r="A2086" s="6" t="s">
        <v>3961</v>
      </c>
      <c r="B2086" s="6" t="s">
        <v>3960</v>
      </c>
      <c r="C2086" s="6" t="s">
        <v>436</v>
      </c>
      <c r="E2086" s="6" t="s">
        <v>3959</v>
      </c>
      <c r="F2086" s="6" t="s">
        <v>3958</v>
      </c>
      <c r="G2086" s="6" t="s">
        <v>16</v>
      </c>
      <c r="H2086" s="6" t="s">
        <v>430</v>
      </c>
      <c r="I2086" s="6" t="s">
        <v>46</v>
      </c>
      <c r="J2086" s="6" t="s">
        <v>97</v>
      </c>
      <c r="K2086" s="7">
        <v>33.642704530000003</v>
      </c>
      <c r="L2086" s="7">
        <v>-95.590198459999996</v>
      </c>
      <c r="M2086" s="6" t="s">
        <v>2115</v>
      </c>
      <c r="N2086" s="6" t="s">
        <v>95</v>
      </c>
      <c r="O2086" s="6" t="s">
        <v>65</v>
      </c>
    </row>
    <row r="2087" spans="1:15" x14ac:dyDescent="0.25">
      <c r="A2087" s="6" t="s">
        <v>10881</v>
      </c>
      <c r="B2087" s="6" t="s">
        <v>10880</v>
      </c>
      <c r="C2087" s="6" t="s">
        <v>31</v>
      </c>
      <c r="E2087" s="6" t="s">
        <v>10879</v>
      </c>
      <c r="F2087" s="6" t="s">
        <v>10878</v>
      </c>
      <c r="G2087" s="6" t="s">
        <v>16</v>
      </c>
      <c r="H2087" s="6" t="s">
        <v>28</v>
      </c>
      <c r="I2087" s="6" t="s">
        <v>799</v>
      </c>
      <c r="J2087" s="6" t="s">
        <v>35</v>
      </c>
      <c r="K2087" s="7">
        <v>29.953679999999999</v>
      </c>
      <c r="L2087" s="7">
        <v>-95.369395999999995</v>
      </c>
      <c r="M2087" s="6" t="s">
        <v>198</v>
      </c>
      <c r="N2087" s="6" t="s">
        <v>24</v>
      </c>
      <c r="O2087" s="6" t="s">
        <v>23</v>
      </c>
    </row>
    <row r="2088" spans="1:15" x14ac:dyDescent="0.25">
      <c r="A2088" s="6" t="s">
        <v>3975</v>
      </c>
      <c r="B2088" s="6" t="s">
        <v>3974</v>
      </c>
      <c r="C2088" s="6" t="s">
        <v>31</v>
      </c>
      <c r="E2088" s="6" t="s">
        <v>3973</v>
      </c>
      <c r="F2088" s="6" t="s">
        <v>3972</v>
      </c>
      <c r="G2088" s="6" t="s">
        <v>16</v>
      </c>
      <c r="H2088" s="6" t="s">
        <v>15</v>
      </c>
      <c r="I2088" s="6" t="s">
        <v>14</v>
      </c>
      <c r="J2088" s="6" t="s">
        <v>26</v>
      </c>
      <c r="K2088" s="7">
        <v>30.068554779999999</v>
      </c>
      <c r="L2088" s="7">
        <v>-95.224044910000003</v>
      </c>
      <c r="M2088" s="6" t="s">
        <v>1766</v>
      </c>
      <c r="N2088" s="6" t="s">
        <v>24</v>
      </c>
      <c r="O2088" s="6" t="s">
        <v>23</v>
      </c>
    </row>
    <row r="2089" spans="1:15" x14ac:dyDescent="0.25">
      <c r="A2089" s="6" t="s">
        <v>10877</v>
      </c>
      <c r="B2089" s="6" t="s">
        <v>10876</v>
      </c>
      <c r="C2089" s="6" t="s">
        <v>31</v>
      </c>
      <c r="E2089" s="6" t="s">
        <v>10875</v>
      </c>
      <c r="F2089" s="6" t="s">
        <v>10874</v>
      </c>
      <c r="G2089" s="6" t="s">
        <v>16</v>
      </c>
      <c r="H2089" s="6" t="s">
        <v>28</v>
      </c>
      <c r="I2089" s="6" t="s">
        <v>60</v>
      </c>
      <c r="J2089" s="6" t="s">
        <v>26</v>
      </c>
      <c r="K2089" s="7">
        <v>30.338228000000001</v>
      </c>
      <c r="L2089" s="7">
        <v>-95.563181</v>
      </c>
      <c r="M2089" s="6" t="s">
        <v>1022</v>
      </c>
      <c r="N2089" s="6" t="s">
        <v>24</v>
      </c>
      <c r="O2089" s="6" t="s">
        <v>23</v>
      </c>
    </row>
    <row r="2090" spans="1:15" x14ac:dyDescent="0.25">
      <c r="A2090" s="6" t="s">
        <v>10869</v>
      </c>
      <c r="B2090" s="6" t="s">
        <v>10868</v>
      </c>
      <c r="C2090" s="6" t="s">
        <v>31</v>
      </c>
      <c r="E2090" s="6" t="s">
        <v>10867</v>
      </c>
      <c r="F2090" s="6" t="s">
        <v>10866</v>
      </c>
      <c r="G2090" s="6" t="s">
        <v>16</v>
      </c>
      <c r="H2090" s="6" t="s">
        <v>28</v>
      </c>
      <c r="I2090" s="6" t="s">
        <v>36</v>
      </c>
      <c r="J2090" s="6" t="s">
        <v>35</v>
      </c>
      <c r="K2090" s="7">
        <v>29.926003170000001</v>
      </c>
      <c r="L2090" s="7">
        <v>-95.355846709999994</v>
      </c>
      <c r="M2090" s="6" t="s">
        <v>198</v>
      </c>
      <c r="N2090" s="6" t="s">
        <v>24</v>
      </c>
      <c r="O2090" s="6" t="s">
        <v>23</v>
      </c>
    </row>
    <row r="2091" spans="1:15" x14ac:dyDescent="0.25">
      <c r="A2091" s="6" t="s">
        <v>11028</v>
      </c>
      <c r="B2091" s="6" t="s">
        <v>11027</v>
      </c>
      <c r="C2091" s="6" t="s">
        <v>31</v>
      </c>
      <c r="E2091" s="6" t="s">
        <v>11026</v>
      </c>
      <c r="F2091" s="6" t="s">
        <v>11025</v>
      </c>
      <c r="G2091" s="6" t="s">
        <v>16</v>
      </c>
      <c r="H2091" s="6" t="s">
        <v>15</v>
      </c>
      <c r="I2091" s="6" t="s">
        <v>36</v>
      </c>
      <c r="J2091" s="6" t="s">
        <v>26</v>
      </c>
      <c r="K2091" s="7">
        <v>30.199084190000001</v>
      </c>
      <c r="L2091" s="7">
        <v>-95.44715961</v>
      </c>
      <c r="M2091" s="6" t="s">
        <v>1022</v>
      </c>
      <c r="N2091" s="6" t="s">
        <v>24</v>
      </c>
      <c r="O2091" s="6" t="s">
        <v>23</v>
      </c>
    </row>
    <row r="2092" spans="1:15" x14ac:dyDescent="0.25">
      <c r="A2092" s="6" t="s">
        <v>5616</v>
      </c>
      <c r="B2092" s="6" t="s">
        <v>5615</v>
      </c>
      <c r="C2092" s="6" t="s">
        <v>31</v>
      </c>
      <c r="E2092" s="6" t="s">
        <v>5614</v>
      </c>
      <c r="F2092" s="6" t="s">
        <v>5613</v>
      </c>
      <c r="G2092" s="6" t="s">
        <v>16</v>
      </c>
      <c r="H2092" s="6" t="s">
        <v>28</v>
      </c>
      <c r="I2092" s="6" t="s">
        <v>27</v>
      </c>
      <c r="J2092" s="6" t="s">
        <v>35</v>
      </c>
      <c r="K2092" s="7">
        <v>29.872237999999999</v>
      </c>
      <c r="L2092" s="7">
        <v>-95.625872999999999</v>
      </c>
      <c r="M2092" s="6" t="s">
        <v>131</v>
      </c>
      <c r="N2092" s="6" t="s">
        <v>24</v>
      </c>
      <c r="O2092" s="6" t="s">
        <v>23</v>
      </c>
    </row>
    <row r="2093" spans="1:15" x14ac:dyDescent="0.25">
      <c r="A2093" s="6" t="s">
        <v>9281</v>
      </c>
      <c r="B2093" s="6" t="s">
        <v>9280</v>
      </c>
      <c r="C2093" s="6" t="s">
        <v>31</v>
      </c>
      <c r="E2093" s="6" t="s">
        <v>9279</v>
      </c>
      <c r="F2093" s="6" t="s">
        <v>9278</v>
      </c>
      <c r="G2093" s="6" t="s">
        <v>16</v>
      </c>
      <c r="H2093" s="6" t="s">
        <v>28</v>
      </c>
      <c r="I2093" s="6" t="s">
        <v>60</v>
      </c>
      <c r="J2093" s="6" t="s">
        <v>168</v>
      </c>
      <c r="K2093" s="7">
        <v>33.134086000000003</v>
      </c>
      <c r="L2093" s="7">
        <v>-96.945246999999995</v>
      </c>
      <c r="M2093" s="6" t="s">
        <v>167</v>
      </c>
      <c r="N2093" s="6" t="s">
        <v>102</v>
      </c>
      <c r="O2093" s="6" t="s">
        <v>42</v>
      </c>
    </row>
    <row r="2094" spans="1:15" x14ac:dyDescent="0.25">
      <c r="A2094" s="6" t="s">
        <v>10862</v>
      </c>
      <c r="B2094" s="6" t="s">
        <v>10861</v>
      </c>
      <c r="C2094" s="6" t="s">
        <v>31</v>
      </c>
      <c r="E2094" s="6" t="s">
        <v>10860</v>
      </c>
      <c r="F2094" s="6" t="s">
        <v>10859</v>
      </c>
      <c r="G2094" s="6" t="s">
        <v>16</v>
      </c>
      <c r="H2094" s="6" t="s">
        <v>28</v>
      </c>
      <c r="I2094" s="6" t="s">
        <v>60</v>
      </c>
      <c r="J2094" s="6" t="s">
        <v>35</v>
      </c>
      <c r="K2094" s="7">
        <v>29.908940000000001</v>
      </c>
      <c r="L2094" s="7">
        <v>-95.605372000000003</v>
      </c>
      <c r="M2094" s="6" t="s">
        <v>77</v>
      </c>
      <c r="N2094" s="6" t="s">
        <v>24</v>
      </c>
      <c r="O2094" s="6" t="s">
        <v>23</v>
      </c>
    </row>
    <row r="2095" spans="1:15" x14ac:dyDescent="0.25">
      <c r="A2095" s="6" t="s">
        <v>10865</v>
      </c>
      <c r="B2095" s="6" t="s">
        <v>10864</v>
      </c>
      <c r="C2095" s="6" t="s">
        <v>31</v>
      </c>
      <c r="E2095" s="6" t="s">
        <v>10863</v>
      </c>
      <c r="F2095" s="6" t="s">
        <v>4334</v>
      </c>
      <c r="G2095" s="6" t="s">
        <v>16</v>
      </c>
      <c r="H2095" s="6" t="s">
        <v>28</v>
      </c>
      <c r="I2095" s="6" t="s">
        <v>27</v>
      </c>
      <c r="J2095" s="6" t="s">
        <v>162</v>
      </c>
      <c r="K2095" s="7">
        <v>29.496670000000002</v>
      </c>
      <c r="L2095" s="7">
        <v>-95.432086999999996</v>
      </c>
      <c r="M2095" s="6" t="s">
        <v>161</v>
      </c>
      <c r="N2095" s="6" t="s">
        <v>160</v>
      </c>
      <c r="O2095" s="6" t="s">
        <v>23</v>
      </c>
    </row>
    <row r="2096" spans="1:15" x14ac:dyDescent="0.25">
      <c r="A2096" s="6" t="s">
        <v>10858</v>
      </c>
      <c r="B2096" s="6" t="s">
        <v>10857</v>
      </c>
      <c r="C2096" s="6" t="s">
        <v>31</v>
      </c>
      <c r="E2096" s="6" t="s">
        <v>10856</v>
      </c>
      <c r="F2096" s="6" t="s">
        <v>10855</v>
      </c>
      <c r="G2096" s="6" t="s">
        <v>16</v>
      </c>
      <c r="H2096" s="6" t="s">
        <v>28</v>
      </c>
      <c r="I2096" s="6" t="s">
        <v>27</v>
      </c>
      <c r="J2096" s="6" t="s">
        <v>35</v>
      </c>
      <c r="K2096" s="7">
        <v>29.813421000000002</v>
      </c>
      <c r="L2096" s="7">
        <v>-95.699490999999995</v>
      </c>
      <c r="M2096" s="6" t="s">
        <v>131</v>
      </c>
      <c r="N2096" s="6" t="s">
        <v>24</v>
      </c>
      <c r="O2096" s="6" t="s">
        <v>23</v>
      </c>
    </row>
    <row r="2097" spans="1:15" x14ac:dyDescent="0.25">
      <c r="A2097" s="6" t="s">
        <v>10851</v>
      </c>
      <c r="B2097" s="6" t="s">
        <v>10850</v>
      </c>
      <c r="C2097" s="6" t="s">
        <v>31</v>
      </c>
      <c r="E2097" s="6" t="s">
        <v>10849</v>
      </c>
      <c r="F2097" s="6" t="s">
        <v>10848</v>
      </c>
      <c r="G2097" s="6" t="s">
        <v>16</v>
      </c>
      <c r="H2097" s="6" t="s">
        <v>28</v>
      </c>
      <c r="I2097" s="6" t="s">
        <v>60</v>
      </c>
      <c r="J2097" s="6" t="s">
        <v>35</v>
      </c>
      <c r="K2097" s="7">
        <v>29.875575210000001</v>
      </c>
      <c r="L2097" s="7">
        <v>-95.581630110000006</v>
      </c>
      <c r="M2097" s="6" t="s">
        <v>131</v>
      </c>
      <c r="N2097" s="6" t="s">
        <v>24</v>
      </c>
      <c r="O2097" s="6" t="s">
        <v>23</v>
      </c>
    </row>
    <row r="2098" spans="1:15" x14ac:dyDescent="0.25">
      <c r="A2098" s="6" t="s">
        <v>3945</v>
      </c>
      <c r="B2098" s="6" t="s">
        <v>3944</v>
      </c>
      <c r="C2098" s="6" t="s">
        <v>31</v>
      </c>
      <c r="E2098" s="6" t="s">
        <v>3943</v>
      </c>
      <c r="F2098" s="6" t="s">
        <v>3942</v>
      </c>
      <c r="G2098" s="6" t="s">
        <v>16</v>
      </c>
      <c r="H2098" s="6" t="s">
        <v>15</v>
      </c>
      <c r="I2098" s="6" t="s">
        <v>14</v>
      </c>
      <c r="J2098" s="6" t="s">
        <v>215</v>
      </c>
      <c r="K2098" s="7">
        <v>29.36366327</v>
      </c>
      <c r="L2098" s="7">
        <v>-94.90118588</v>
      </c>
      <c r="M2098" s="6" t="s">
        <v>672</v>
      </c>
      <c r="N2098" s="6" t="s">
        <v>160</v>
      </c>
      <c r="O2098" s="6" t="s">
        <v>23</v>
      </c>
    </row>
    <row r="2099" spans="1:15" x14ac:dyDescent="0.25">
      <c r="A2099" s="6" t="s">
        <v>2216</v>
      </c>
      <c r="B2099" s="6" t="s">
        <v>2215</v>
      </c>
      <c r="C2099" s="6" t="s">
        <v>31</v>
      </c>
      <c r="E2099" s="6" t="s">
        <v>2214</v>
      </c>
      <c r="F2099" s="6" t="s">
        <v>2213</v>
      </c>
      <c r="G2099" s="6" t="s">
        <v>16</v>
      </c>
      <c r="H2099" s="6" t="s">
        <v>28</v>
      </c>
      <c r="I2099" s="6" t="s">
        <v>73</v>
      </c>
      <c r="J2099" s="6" t="s">
        <v>13</v>
      </c>
      <c r="K2099" s="7">
        <v>27.679692110000001</v>
      </c>
      <c r="L2099" s="7">
        <v>-97.737725159999997</v>
      </c>
      <c r="M2099" s="6" t="s">
        <v>792</v>
      </c>
      <c r="N2099" s="6" t="s">
        <v>11</v>
      </c>
      <c r="O2099" s="6" t="s">
        <v>10</v>
      </c>
    </row>
    <row r="2100" spans="1:15" x14ac:dyDescent="0.25">
      <c r="A2100" s="6" t="s">
        <v>11458</v>
      </c>
      <c r="B2100" s="6" t="s">
        <v>11457</v>
      </c>
      <c r="C2100" s="6" t="s">
        <v>31</v>
      </c>
      <c r="E2100" s="6" t="s">
        <v>11456</v>
      </c>
      <c r="F2100" s="6" t="s">
        <v>9029</v>
      </c>
      <c r="G2100" s="6" t="s">
        <v>16</v>
      </c>
      <c r="H2100" s="6" t="s">
        <v>28</v>
      </c>
      <c r="I2100" s="6" t="s">
        <v>27</v>
      </c>
      <c r="J2100" s="6" t="s">
        <v>35</v>
      </c>
      <c r="K2100" s="7">
        <v>29.917663000000001</v>
      </c>
      <c r="L2100" s="7">
        <v>-95.363512</v>
      </c>
      <c r="M2100" s="6" t="s">
        <v>198</v>
      </c>
      <c r="N2100" s="6" t="s">
        <v>24</v>
      </c>
      <c r="O2100" s="6" t="s">
        <v>23</v>
      </c>
    </row>
    <row r="2101" spans="1:15" x14ac:dyDescent="0.25">
      <c r="A2101" s="6" t="s">
        <v>10854</v>
      </c>
      <c r="B2101" s="6" t="s">
        <v>10853</v>
      </c>
      <c r="C2101" s="6" t="s">
        <v>31</v>
      </c>
      <c r="E2101" s="6" t="s">
        <v>10852</v>
      </c>
      <c r="F2101" s="6" t="s">
        <v>199</v>
      </c>
      <c r="G2101" s="6" t="s">
        <v>16</v>
      </c>
      <c r="H2101" s="6" t="s">
        <v>28</v>
      </c>
      <c r="I2101" s="6" t="s">
        <v>27</v>
      </c>
      <c r="J2101" s="6" t="s">
        <v>162</v>
      </c>
      <c r="K2101" s="7">
        <v>29.495897459999998</v>
      </c>
      <c r="L2101" s="7">
        <v>-95.280693940000006</v>
      </c>
      <c r="M2101" s="6" t="s">
        <v>542</v>
      </c>
      <c r="N2101" s="6" t="s">
        <v>160</v>
      </c>
      <c r="O2101" s="6" t="s">
        <v>23</v>
      </c>
    </row>
    <row r="2102" spans="1:15" x14ac:dyDescent="0.25">
      <c r="A2102" s="6" t="s">
        <v>10844</v>
      </c>
      <c r="B2102" s="6" t="s">
        <v>4610</v>
      </c>
      <c r="C2102" s="6" t="s">
        <v>31</v>
      </c>
      <c r="E2102" s="6" t="s">
        <v>4609</v>
      </c>
      <c r="F2102" s="6" t="s">
        <v>4608</v>
      </c>
      <c r="G2102" s="6" t="s">
        <v>16</v>
      </c>
      <c r="H2102" s="6" t="s">
        <v>15</v>
      </c>
      <c r="I2102" s="6" t="s">
        <v>36</v>
      </c>
      <c r="J2102" s="6" t="s">
        <v>35</v>
      </c>
      <c r="K2102" s="7">
        <v>29.848551019999999</v>
      </c>
      <c r="L2102" s="7">
        <v>-95.701045980000004</v>
      </c>
      <c r="M2102" s="6" t="s">
        <v>131</v>
      </c>
      <c r="N2102" s="6" t="s">
        <v>24</v>
      </c>
      <c r="O2102" s="6" t="s">
        <v>23</v>
      </c>
    </row>
    <row r="2103" spans="1:15" x14ac:dyDescent="0.25">
      <c r="A2103" s="6" t="s">
        <v>4611</v>
      </c>
      <c r="B2103" s="6" t="s">
        <v>4610</v>
      </c>
      <c r="C2103" s="6" t="s">
        <v>19</v>
      </c>
      <c r="E2103" s="6" t="s">
        <v>4609</v>
      </c>
      <c r="F2103" s="6" t="s">
        <v>4608</v>
      </c>
      <c r="G2103" s="6" t="s">
        <v>16</v>
      </c>
      <c r="H2103" s="6" t="s">
        <v>28</v>
      </c>
      <c r="I2103" s="6" t="s">
        <v>36</v>
      </c>
      <c r="J2103" s="6" t="s">
        <v>35</v>
      </c>
      <c r="K2103" s="7">
        <v>29.848549420000001</v>
      </c>
      <c r="L2103" s="7">
        <v>-95.701973409999994</v>
      </c>
      <c r="M2103" s="6" t="s">
        <v>131</v>
      </c>
      <c r="N2103" s="6" t="s">
        <v>24</v>
      </c>
      <c r="O2103" s="6" t="s">
        <v>23</v>
      </c>
    </row>
    <row r="2104" spans="1:15" x14ac:dyDescent="0.25">
      <c r="A2104" s="6" t="s">
        <v>3763</v>
      </c>
      <c r="B2104" s="6" t="s">
        <v>3762</v>
      </c>
      <c r="C2104" s="6" t="s">
        <v>31</v>
      </c>
      <c r="E2104" s="6" t="s">
        <v>3761</v>
      </c>
      <c r="F2104" s="6" t="s">
        <v>3760</v>
      </c>
      <c r="G2104" s="6" t="s">
        <v>16</v>
      </c>
      <c r="H2104" s="6" t="s">
        <v>15</v>
      </c>
      <c r="I2104" s="6" t="s">
        <v>14</v>
      </c>
      <c r="J2104" s="6" t="s">
        <v>312</v>
      </c>
      <c r="K2104" s="7">
        <v>32.495830689999998</v>
      </c>
      <c r="L2104" s="7">
        <v>-97.828606190000002</v>
      </c>
      <c r="M2104" s="6" t="s">
        <v>311</v>
      </c>
      <c r="N2104" s="6" t="s">
        <v>23</v>
      </c>
      <c r="O2104" s="6" t="s">
        <v>42</v>
      </c>
    </row>
    <row r="2105" spans="1:15" x14ac:dyDescent="0.25">
      <c r="A2105" s="6" t="s">
        <v>7422</v>
      </c>
      <c r="B2105" s="6" t="s">
        <v>7421</v>
      </c>
      <c r="C2105" s="6" t="s">
        <v>31</v>
      </c>
      <c r="E2105" s="6" t="s">
        <v>7420</v>
      </c>
      <c r="F2105" s="6" t="s">
        <v>7419</v>
      </c>
      <c r="G2105" s="6" t="s">
        <v>16</v>
      </c>
      <c r="H2105" s="6" t="s">
        <v>28</v>
      </c>
      <c r="I2105" s="6" t="s">
        <v>60</v>
      </c>
      <c r="J2105" s="6" t="s">
        <v>162</v>
      </c>
      <c r="K2105" s="7">
        <v>29.576408000000001</v>
      </c>
      <c r="L2105" s="7">
        <v>-95.314590999999993</v>
      </c>
      <c r="M2105" s="6" t="s">
        <v>542</v>
      </c>
      <c r="N2105" s="6" t="s">
        <v>160</v>
      </c>
      <c r="O2105" s="6" t="s">
        <v>23</v>
      </c>
    </row>
    <row r="2106" spans="1:15" x14ac:dyDescent="0.25">
      <c r="A2106" s="6" t="s">
        <v>7960</v>
      </c>
      <c r="B2106" s="6" t="s">
        <v>7959</v>
      </c>
      <c r="C2106" s="6" t="s">
        <v>31</v>
      </c>
      <c r="E2106" s="6" t="s">
        <v>7958</v>
      </c>
      <c r="F2106" s="6" t="s">
        <v>7957</v>
      </c>
      <c r="G2106" s="6" t="s">
        <v>16</v>
      </c>
      <c r="H2106" s="6" t="s">
        <v>28</v>
      </c>
      <c r="I2106" s="6" t="s">
        <v>27</v>
      </c>
      <c r="J2106" s="6" t="s">
        <v>26</v>
      </c>
      <c r="K2106" s="7">
        <v>30.14479</v>
      </c>
      <c r="L2106" s="7">
        <v>-95.662901000000005</v>
      </c>
      <c r="M2106" s="6" t="s">
        <v>731</v>
      </c>
      <c r="N2106" s="6" t="s">
        <v>24</v>
      </c>
      <c r="O2106" s="6" t="s">
        <v>23</v>
      </c>
    </row>
    <row r="2107" spans="1:15" x14ac:dyDescent="0.25">
      <c r="A2107" s="6" t="s">
        <v>3676</v>
      </c>
      <c r="B2107" s="6" t="s">
        <v>3675</v>
      </c>
      <c r="C2107" s="6" t="s">
        <v>31</v>
      </c>
      <c r="E2107" s="6" t="s">
        <v>3674</v>
      </c>
      <c r="F2107" s="6" t="s">
        <v>3673</v>
      </c>
      <c r="G2107" s="6" t="s">
        <v>16</v>
      </c>
      <c r="H2107" s="6" t="s">
        <v>28</v>
      </c>
      <c r="I2107" s="6" t="s">
        <v>27</v>
      </c>
      <c r="J2107" s="6" t="s">
        <v>35</v>
      </c>
      <c r="K2107" s="7">
        <v>29.832424</v>
      </c>
      <c r="L2107" s="7">
        <v>-95.056427999999997</v>
      </c>
      <c r="M2107" s="6" t="s">
        <v>716</v>
      </c>
      <c r="N2107" s="6" t="s">
        <v>24</v>
      </c>
      <c r="O2107" s="6" t="s">
        <v>23</v>
      </c>
    </row>
    <row r="2108" spans="1:15" x14ac:dyDescent="0.25">
      <c r="A2108" s="6" t="s">
        <v>3672</v>
      </c>
      <c r="B2108" s="6" t="s">
        <v>3671</v>
      </c>
      <c r="C2108" s="6" t="s">
        <v>31</v>
      </c>
      <c r="E2108" s="6" t="s">
        <v>3670</v>
      </c>
      <c r="F2108" s="6" t="s">
        <v>3669</v>
      </c>
      <c r="G2108" s="6" t="s">
        <v>16</v>
      </c>
      <c r="H2108" s="6" t="s">
        <v>28</v>
      </c>
      <c r="I2108" s="6" t="s">
        <v>73</v>
      </c>
      <c r="J2108" s="6" t="s">
        <v>2831</v>
      </c>
      <c r="K2108" s="7">
        <v>29.278292</v>
      </c>
      <c r="L2108" s="7">
        <v>-103.307737</v>
      </c>
      <c r="M2108" s="6" t="s">
        <v>2896</v>
      </c>
      <c r="N2108" s="6" t="s">
        <v>373</v>
      </c>
      <c r="O2108" s="6" t="s">
        <v>52</v>
      </c>
    </row>
    <row r="2109" spans="1:15" x14ac:dyDescent="0.25">
      <c r="A2109" s="6" t="s">
        <v>3664</v>
      </c>
      <c r="B2109" s="6" t="s">
        <v>3663</v>
      </c>
      <c r="C2109" s="6" t="s">
        <v>31</v>
      </c>
      <c r="E2109" s="6" t="s">
        <v>3662</v>
      </c>
      <c r="F2109" s="6" t="s">
        <v>3661</v>
      </c>
      <c r="G2109" s="6" t="s">
        <v>16</v>
      </c>
      <c r="H2109" s="6" t="s">
        <v>28</v>
      </c>
      <c r="I2109" s="6" t="s">
        <v>1200</v>
      </c>
      <c r="J2109" s="6" t="s">
        <v>35</v>
      </c>
      <c r="K2109" s="7">
        <v>29.974568999999999</v>
      </c>
      <c r="L2109" s="7">
        <v>-95.573376999999994</v>
      </c>
      <c r="M2109" s="6" t="s">
        <v>279</v>
      </c>
      <c r="N2109" s="6" t="s">
        <v>24</v>
      </c>
      <c r="O2109" s="6" t="s">
        <v>23</v>
      </c>
    </row>
    <row r="2110" spans="1:15" x14ac:dyDescent="0.25">
      <c r="A2110" s="6" t="s">
        <v>9039</v>
      </c>
      <c r="B2110" s="6" t="s">
        <v>9038</v>
      </c>
      <c r="C2110" s="6" t="s">
        <v>31</v>
      </c>
      <c r="E2110" s="6" t="s">
        <v>9037</v>
      </c>
      <c r="F2110" s="6" t="s">
        <v>199</v>
      </c>
      <c r="G2110" s="6" t="s">
        <v>16</v>
      </c>
      <c r="H2110" s="6" t="s">
        <v>28</v>
      </c>
      <c r="I2110" s="6" t="s">
        <v>27</v>
      </c>
      <c r="J2110" s="6" t="s">
        <v>132</v>
      </c>
      <c r="K2110" s="7">
        <v>29.532409999999999</v>
      </c>
      <c r="L2110" s="7">
        <v>-95.445643000000004</v>
      </c>
      <c r="M2110" s="6" t="s">
        <v>706</v>
      </c>
      <c r="N2110" s="6" t="s">
        <v>160</v>
      </c>
      <c r="O2110" s="6" t="s">
        <v>23</v>
      </c>
    </row>
    <row r="2111" spans="1:15" x14ac:dyDescent="0.25">
      <c r="A2111" s="6" t="s">
        <v>3668</v>
      </c>
      <c r="B2111" s="6" t="s">
        <v>3667</v>
      </c>
      <c r="C2111" s="6" t="s">
        <v>31</v>
      </c>
      <c r="E2111" s="6" t="s">
        <v>3666</v>
      </c>
      <c r="F2111" s="6" t="s">
        <v>3665</v>
      </c>
      <c r="G2111" s="6" t="s">
        <v>16</v>
      </c>
      <c r="H2111" s="6" t="s">
        <v>28</v>
      </c>
      <c r="I2111" s="6" t="s">
        <v>60</v>
      </c>
      <c r="J2111" s="6" t="s">
        <v>35</v>
      </c>
      <c r="K2111" s="7">
        <v>29.757607</v>
      </c>
      <c r="L2111" s="7">
        <v>-95.102344000000002</v>
      </c>
      <c r="M2111" s="6" t="s">
        <v>34</v>
      </c>
      <c r="N2111" s="6" t="s">
        <v>24</v>
      </c>
      <c r="O2111" s="6" t="s">
        <v>23</v>
      </c>
    </row>
    <row r="2112" spans="1:15" x14ac:dyDescent="0.25">
      <c r="A2112" s="6" t="s">
        <v>11885</v>
      </c>
      <c r="B2112" s="6" t="s">
        <v>11884</v>
      </c>
      <c r="C2112" s="6" t="s">
        <v>31</v>
      </c>
      <c r="E2112" s="6" t="s">
        <v>11883</v>
      </c>
      <c r="F2112" s="6" t="s">
        <v>9372</v>
      </c>
      <c r="G2112" s="6" t="s">
        <v>16</v>
      </c>
      <c r="H2112" s="6" t="s">
        <v>15</v>
      </c>
      <c r="I2112" s="6" t="s">
        <v>36</v>
      </c>
      <c r="J2112" s="6" t="s">
        <v>409</v>
      </c>
      <c r="K2112" s="7">
        <v>30.418993329999999</v>
      </c>
      <c r="L2112" s="7">
        <v>-97.604446960000004</v>
      </c>
      <c r="M2112" s="6" t="s">
        <v>408</v>
      </c>
      <c r="N2112" s="6" t="s">
        <v>10</v>
      </c>
      <c r="O2112" s="6" t="s">
        <v>160</v>
      </c>
    </row>
    <row r="2113" spans="1:15" x14ac:dyDescent="0.25">
      <c r="A2113" s="6" t="s">
        <v>9250</v>
      </c>
      <c r="B2113" s="6" t="s">
        <v>9249</v>
      </c>
      <c r="C2113" s="6" t="s">
        <v>31</v>
      </c>
      <c r="E2113" s="6" t="s">
        <v>9248</v>
      </c>
      <c r="F2113" s="6" t="s">
        <v>2949</v>
      </c>
      <c r="G2113" s="6" t="s">
        <v>16</v>
      </c>
      <c r="H2113" s="6" t="s">
        <v>28</v>
      </c>
      <c r="I2113" s="6" t="s">
        <v>799</v>
      </c>
      <c r="J2113" s="6" t="s">
        <v>35</v>
      </c>
      <c r="K2113" s="7">
        <v>29.891400520000001</v>
      </c>
      <c r="L2113" s="7">
        <v>-95.299220439999999</v>
      </c>
      <c r="M2113" s="6" t="s">
        <v>198</v>
      </c>
      <c r="N2113" s="6" t="s">
        <v>24</v>
      </c>
      <c r="O2113" s="6" t="s">
        <v>23</v>
      </c>
    </row>
    <row r="2114" spans="1:15" x14ac:dyDescent="0.25">
      <c r="A2114" s="6" t="s">
        <v>3654</v>
      </c>
      <c r="B2114" s="6" t="s">
        <v>3653</v>
      </c>
      <c r="C2114" s="6" t="s">
        <v>31</v>
      </c>
      <c r="E2114" s="6" t="s">
        <v>3652</v>
      </c>
      <c r="F2114" s="6" t="s">
        <v>3651</v>
      </c>
      <c r="G2114" s="6" t="s">
        <v>16</v>
      </c>
      <c r="H2114" s="6" t="s">
        <v>28</v>
      </c>
      <c r="I2114" s="6" t="s">
        <v>14</v>
      </c>
      <c r="J2114" s="6" t="s">
        <v>35</v>
      </c>
      <c r="K2114" s="7">
        <v>29.892838900000001</v>
      </c>
      <c r="L2114" s="7">
        <v>-95.378199350000003</v>
      </c>
      <c r="M2114" s="6" t="s">
        <v>34</v>
      </c>
      <c r="N2114" s="6" t="s">
        <v>24</v>
      </c>
      <c r="O2114" s="6" t="s">
        <v>23</v>
      </c>
    </row>
    <row r="2115" spans="1:15" x14ac:dyDescent="0.25">
      <c r="A2115" s="6" t="s">
        <v>3646</v>
      </c>
      <c r="B2115" s="6" t="s">
        <v>3645</v>
      </c>
      <c r="C2115" s="6" t="s">
        <v>31</v>
      </c>
      <c r="E2115" s="6" t="s">
        <v>3644</v>
      </c>
      <c r="F2115" s="6" t="s">
        <v>895</v>
      </c>
      <c r="G2115" s="6" t="s">
        <v>16</v>
      </c>
      <c r="H2115" s="6" t="s">
        <v>28</v>
      </c>
      <c r="I2115" s="6" t="s">
        <v>36</v>
      </c>
      <c r="J2115" s="6" t="s">
        <v>26</v>
      </c>
      <c r="K2115" s="7">
        <v>30.099900269999999</v>
      </c>
      <c r="L2115" s="7">
        <v>-95.789280959999999</v>
      </c>
      <c r="M2115" s="6" t="s">
        <v>731</v>
      </c>
      <c r="N2115" s="6" t="s">
        <v>24</v>
      </c>
      <c r="O2115" s="6" t="s">
        <v>23</v>
      </c>
    </row>
    <row r="2116" spans="1:15" x14ac:dyDescent="0.25">
      <c r="A2116" s="6" t="s">
        <v>3800</v>
      </c>
      <c r="B2116" s="6" t="s">
        <v>3799</v>
      </c>
      <c r="C2116" s="6" t="s">
        <v>31</v>
      </c>
      <c r="E2116" s="6" t="s">
        <v>3798</v>
      </c>
      <c r="F2116" s="6" t="s">
        <v>3797</v>
      </c>
      <c r="G2116" s="6" t="s">
        <v>16</v>
      </c>
      <c r="H2116" s="6" t="s">
        <v>15</v>
      </c>
      <c r="I2116" s="6" t="s">
        <v>14</v>
      </c>
      <c r="J2116" s="6" t="s">
        <v>409</v>
      </c>
      <c r="K2116" s="7">
        <v>30.346465089999999</v>
      </c>
      <c r="L2116" s="7">
        <v>-97.549056390000004</v>
      </c>
      <c r="M2116" s="6" t="s">
        <v>455</v>
      </c>
      <c r="N2116" s="6" t="s">
        <v>10</v>
      </c>
      <c r="O2116" s="6" t="s">
        <v>160</v>
      </c>
    </row>
    <row r="2117" spans="1:15" x14ac:dyDescent="0.25">
      <c r="A2117" s="6" t="s">
        <v>3780</v>
      </c>
      <c r="B2117" s="6" t="s">
        <v>3779</v>
      </c>
      <c r="C2117" s="6" t="s">
        <v>31</v>
      </c>
      <c r="E2117" s="6" t="s">
        <v>3778</v>
      </c>
      <c r="F2117" s="6" t="s">
        <v>3777</v>
      </c>
      <c r="G2117" s="6" t="s">
        <v>16</v>
      </c>
      <c r="H2117" s="6" t="s">
        <v>28</v>
      </c>
      <c r="I2117" s="6" t="s">
        <v>73</v>
      </c>
      <c r="J2117" s="6" t="s">
        <v>35</v>
      </c>
      <c r="K2117" s="7">
        <v>29.800419999999999</v>
      </c>
      <c r="L2117" s="7">
        <v>-95.169388999999995</v>
      </c>
      <c r="M2117" s="6" t="s">
        <v>34</v>
      </c>
      <c r="N2117" s="6" t="s">
        <v>24</v>
      </c>
      <c r="O2117" s="6" t="s">
        <v>23</v>
      </c>
    </row>
    <row r="2118" spans="1:15" x14ac:dyDescent="0.25">
      <c r="A2118" s="6" t="s">
        <v>7050</v>
      </c>
      <c r="B2118" s="6" t="s">
        <v>7049</v>
      </c>
      <c r="C2118" s="6" t="s">
        <v>31</v>
      </c>
      <c r="E2118" s="6" t="s">
        <v>7048</v>
      </c>
      <c r="F2118" s="6" t="s">
        <v>7047</v>
      </c>
      <c r="G2118" s="6" t="s">
        <v>16</v>
      </c>
      <c r="H2118" s="6" t="s">
        <v>28</v>
      </c>
      <c r="I2118" s="6" t="s">
        <v>73</v>
      </c>
      <c r="J2118" s="6" t="s">
        <v>145</v>
      </c>
      <c r="K2118" s="7">
        <v>30.376726999999999</v>
      </c>
      <c r="L2118" s="7">
        <v>-94.299575000000004</v>
      </c>
      <c r="M2118" s="6" t="s">
        <v>1704</v>
      </c>
      <c r="N2118" s="6" t="s">
        <v>52</v>
      </c>
      <c r="O2118" s="6" t="s">
        <v>24</v>
      </c>
    </row>
    <row r="2119" spans="1:15" x14ac:dyDescent="0.25">
      <c r="A2119" s="6" t="s">
        <v>3792</v>
      </c>
      <c r="B2119" s="6" t="s">
        <v>3791</v>
      </c>
      <c r="C2119" s="6" t="s">
        <v>31</v>
      </c>
      <c r="E2119" s="6" t="s">
        <v>3790</v>
      </c>
      <c r="F2119" s="6" t="s">
        <v>3789</v>
      </c>
      <c r="G2119" s="6" t="s">
        <v>16</v>
      </c>
      <c r="H2119" s="6" t="s">
        <v>28</v>
      </c>
      <c r="I2119" s="6" t="s">
        <v>2430</v>
      </c>
      <c r="J2119" s="6" t="s">
        <v>35</v>
      </c>
      <c r="K2119" s="7">
        <v>29.891891000000001</v>
      </c>
      <c r="L2119" s="7">
        <v>-95.376604</v>
      </c>
      <c r="M2119" s="6" t="s">
        <v>34</v>
      </c>
      <c r="N2119" s="6" t="s">
        <v>24</v>
      </c>
      <c r="O2119" s="6" t="s">
        <v>23</v>
      </c>
    </row>
    <row r="2120" spans="1:15" x14ac:dyDescent="0.25">
      <c r="A2120" s="6" t="s">
        <v>3784</v>
      </c>
      <c r="B2120" s="6" t="s">
        <v>3783</v>
      </c>
      <c r="C2120" s="6" t="s">
        <v>31</v>
      </c>
      <c r="E2120" s="6" t="s">
        <v>3782</v>
      </c>
      <c r="F2120" s="6" t="s">
        <v>3781</v>
      </c>
      <c r="G2120" s="6" t="s">
        <v>16</v>
      </c>
      <c r="H2120" s="6" t="s">
        <v>28</v>
      </c>
      <c r="I2120" s="6" t="s">
        <v>73</v>
      </c>
      <c r="J2120" s="6" t="s">
        <v>35</v>
      </c>
      <c r="K2120" s="7">
        <v>29.866959999999999</v>
      </c>
      <c r="L2120" s="7">
        <v>-95.646466000000004</v>
      </c>
      <c r="M2120" s="6" t="s">
        <v>131</v>
      </c>
      <c r="N2120" s="6" t="s">
        <v>24</v>
      </c>
      <c r="O2120" s="6" t="s">
        <v>23</v>
      </c>
    </row>
    <row r="2121" spans="1:15" x14ac:dyDescent="0.25">
      <c r="A2121" s="6" t="s">
        <v>9150</v>
      </c>
      <c r="B2121" s="6" t="s">
        <v>3425</v>
      </c>
      <c r="C2121" s="6" t="s">
        <v>31</v>
      </c>
      <c r="E2121" s="6" t="s">
        <v>3424</v>
      </c>
      <c r="F2121" s="6" t="s">
        <v>3423</v>
      </c>
      <c r="G2121" s="6" t="s">
        <v>16</v>
      </c>
      <c r="H2121" s="6" t="s">
        <v>15</v>
      </c>
      <c r="I2121" s="6" t="s">
        <v>14</v>
      </c>
      <c r="J2121" s="6" t="s">
        <v>35</v>
      </c>
      <c r="K2121" s="7">
        <v>29.92000676</v>
      </c>
      <c r="L2121" s="7">
        <v>-95.054855829999994</v>
      </c>
      <c r="M2121" s="6" t="s">
        <v>716</v>
      </c>
      <c r="N2121" s="6" t="s">
        <v>24</v>
      </c>
      <c r="O2121" s="6" t="s">
        <v>23</v>
      </c>
    </row>
    <row r="2122" spans="1:15" x14ac:dyDescent="0.25">
      <c r="A2122" s="6" t="s">
        <v>9149</v>
      </c>
      <c r="B2122" s="6" t="s">
        <v>3425</v>
      </c>
      <c r="C2122" s="6" t="s">
        <v>19</v>
      </c>
      <c r="E2122" s="6" t="s">
        <v>3424</v>
      </c>
      <c r="F2122" s="6" t="s">
        <v>3423</v>
      </c>
      <c r="G2122" s="6" t="s">
        <v>16</v>
      </c>
      <c r="H2122" s="6" t="s">
        <v>430</v>
      </c>
      <c r="I2122" s="6" t="s">
        <v>14</v>
      </c>
      <c r="J2122" s="6" t="s">
        <v>35</v>
      </c>
      <c r="K2122" s="7">
        <v>29.92000676</v>
      </c>
      <c r="L2122" s="7">
        <v>-95.054855829999994</v>
      </c>
      <c r="M2122" s="6" t="s">
        <v>716</v>
      </c>
      <c r="N2122" s="6" t="s">
        <v>24</v>
      </c>
      <c r="O2122" s="6" t="s">
        <v>23</v>
      </c>
    </row>
    <row r="2123" spans="1:15" x14ac:dyDescent="0.25">
      <c r="A2123" s="6" t="s">
        <v>3426</v>
      </c>
      <c r="B2123" s="6" t="s">
        <v>3425</v>
      </c>
      <c r="C2123" s="6" t="s">
        <v>436</v>
      </c>
      <c r="E2123" s="6" t="s">
        <v>3424</v>
      </c>
      <c r="F2123" s="6" t="s">
        <v>3423</v>
      </c>
      <c r="G2123" s="6" t="s">
        <v>16</v>
      </c>
      <c r="H2123" s="6" t="s">
        <v>430</v>
      </c>
      <c r="I2123" s="6" t="s">
        <v>14</v>
      </c>
      <c r="J2123" s="6" t="s">
        <v>35</v>
      </c>
      <c r="K2123" s="7">
        <v>29.922961690000001</v>
      </c>
      <c r="L2123" s="7">
        <v>-95.05312859</v>
      </c>
      <c r="M2123" s="6" t="s">
        <v>716</v>
      </c>
      <c r="N2123" s="6" t="s">
        <v>24</v>
      </c>
      <c r="O2123" s="6" t="s">
        <v>23</v>
      </c>
    </row>
    <row r="2124" spans="1:15" x14ac:dyDescent="0.25">
      <c r="A2124" s="6" t="s">
        <v>12177</v>
      </c>
      <c r="B2124" s="6" t="s">
        <v>3425</v>
      </c>
      <c r="C2124" s="6" t="s">
        <v>597</v>
      </c>
      <c r="E2124" s="6" t="s">
        <v>3424</v>
      </c>
      <c r="F2124" s="6" t="s">
        <v>3423</v>
      </c>
      <c r="G2124" s="6" t="s">
        <v>16</v>
      </c>
      <c r="H2124" s="6" t="s">
        <v>430</v>
      </c>
      <c r="I2124" s="6" t="s">
        <v>14</v>
      </c>
      <c r="J2124" s="6" t="s">
        <v>35</v>
      </c>
      <c r="K2124" s="7">
        <v>29.920632090000002</v>
      </c>
      <c r="L2124" s="7">
        <v>-95.055692320000006</v>
      </c>
      <c r="M2124" s="6" t="s">
        <v>716</v>
      </c>
      <c r="N2124" s="6" t="s">
        <v>24</v>
      </c>
      <c r="O2124" s="6" t="s">
        <v>23</v>
      </c>
    </row>
    <row r="2125" spans="1:15" x14ac:dyDescent="0.25">
      <c r="A2125" s="6" t="s">
        <v>5394</v>
      </c>
      <c r="B2125" s="6" t="s">
        <v>5393</v>
      </c>
      <c r="C2125" s="6" t="s">
        <v>31</v>
      </c>
      <c r="E2125" s="6" t="s">
        <v>5392</v>
      </c>
      <c r="F2125" s="6" t="s">
        <v>5388</v>
      </c>
      <c r="G2125" s="6" t="s">
        <v>16</v>
      </c>
      <c r="H2125" s="6" t="s">
        <v>15</v>
      </c>
      <c r="I2125" s="6" t="s">
        <v>4968</v>
      </c>
      <c r="J2125" s="6" t="s">
        <v>873</v>
      </c>
      <c r="K2125" s="7">
        <v>29.436202699999999</v>
      </c>
      <c r="L2125" s="7">
        <v>-98.318750929999993</v>
      </c>
      <c r="M2125" s="6" t="s">
        <v>3582</v>
      </c>
      <c r="N2125" s="6" t="s">
        <v>232</v>
      </c>
      <c r="O2125" s="6" t="s">
        <v>231</v>
      </c>
    </row>
    <row r="2126" spans="1:15" x14ac:dyDescent="0.25">
      <c r="A2126" s="6" t="s">
        <v>3953</v>
      </c>
      <c r="B2126" s="6" t="s">
        <v>3952</v>
      </c>
      <c r="C2126" s="6" t="s">
        <v>31</v>
      </c>
      <c r="E2126" s="6" t="s">
        <v>3951</v>
      </c>
      <c r="F2126" s="6" t="s">
        <v>3950</v>
      </c>
      <c r="G2126" s="6" t="s">
        <v>16</v>
      </c>
      <c r="H2126" s="6" t="s">
        <v>15</v>
      </c>
      <c r="I2126" s="6" t="s">
        <v>14</v>
      </c>
      <c r="J2126" s="6" t="s">
        <v>162</v>
      </c>
      <c r="K2126" s="7">
        <v>28.934190480000002</v>
      </c>
      <c r="L2126" s="7">
        <v>-95.340196500000005</v>
      </c>
      <c r="M2126" s="6" t="s">
        <v>244</v>
      </c>
      <c r="N2126" s="6" t="s">
        <v>23</v>
      </c>
      <c r="O2126" s="6" t="s">
        <v>23</v>
      </c>
    </row>
    <row r="2127" spans="1:15" x14ac:dyDescent="0.25">
      <c r="A2127" s="6" t="s">
        <v>6593</v>
      </c>
      <c r="B2127" s="6" t="s">
        <v>6592</v>
      </c>
      <c r="C2127" s="6" t="s">
        <v>31</v>
      </c>
      <c r="E2127" s="6" t="s">
        <v>6591</v>
      </c>
      <c r="F2127" s="6" t="s">
        <v>6590</v>
      </c>
      <c r="G2127" s="6" t="s">
        <v>16</v>
      </c>
      <c r="H2127" s="6" t="s">
        <v>28</v>
      </c>
      <c r="I2127" s="6" t="s">
        <v>60</v>
      </c>
      <c r="J2127" s="6" t="s">
        <v>26</v>
      </c>
      <c r="K2127" s="7">
        <v>30.071881999999999</v>
      </c>
      <c r="L2127" s="7">
        <v>-95.227187000000001</v>
      </c>
      <c r="M2127" s="6" t="s">
        <v>1766</v>
      </c>
      <c r="N2127" s="6" t="s">
        <v>24</v>
      </c>
      <c r="O2127" s="6" t="s">
        <v>23</v>
      </c>
    </row>
    <row r="2128" spans="1:15" x14ac:dyDescent="0.25">
      <c r="A2128" s="6" t="s">
        <v>8657</v>
      </c>
      <c r="B2128" s="6" t="s">
        <v>8656</v>
      </c>
      <c r="C2128" s="6" t="s">
        <v>31</v>
      </c>
      <c r="E2128" s="6" t="s">
        <v>8655</v>
      </c>
      <c r="F2128" s="6" t="s">
        <v>8654</v>
      </c>
      <c r="G2128" s="6" t="s">
        <v>16</v>
      </c>
      <c r="H2128" s="6" t="s">
        <v>28</v>
      </c>
      <c r="I2128" s="6" t="s">
        <v>27</v>
      </c>
      <c r="J2128" s="6" t="s">
        <v>35</v>
      </c>
      <c r="K2128" s="7">
        <v>29.891943000000001</v>
      </c>
      <c r="L2128" s="7">
        <v>-95.376265000000004</v>
      </c>
      <c r="M2128" s="6" t="s">
        <v>34</v>
      </c>
      <c r="N2128" s="6" t="s">
        <v>24</v>
      </c>
      <c r="O2128" s="6" t="s">
        <v>23</v>
      </c>
    </row>
    <row r="2129" spans="1:15" x14ac:dyDescent="0.25">
      <c r="A2129" s="6" t="s">
        <v>3561</v>
      </c>
      <c r="B2129" s="6" t="s">
        <v>3560</v>
      </c>
      <c r="C2129" s="6" t="s">
        <v>31</v>
      </c>
      <c r="E2129" s="6" t="s">
        <v>3559</v>
      </c>
      <c r="F2129" s="6" t="s">
        <v>3558</v>
      </c>
      <c r="G2129" s="6" t="s">
        <v>16</v>
      </c>
      <c r="H2129" s="6" t="s">
        <v>28</v>
      </c>
      <c r="I2129" s="6" t="s">
        <v>27</v>
      </c>
      <c r="J2129" s="6" t="s">
        <v>35</v>
      </c>
      <c r="K2129" s="7">
        <v>29.839217000000001</v>
      </c>
      <c r="L2129" s="7">
        <v>-95.713605999999999</v>
      </c>
      <c r="M2129" s="6" t="s">
        <v>131</v>
      </c>
      <c r="N2129" s="6" t="s">
        <v>24</v>
      </c>
      <c r="O2129" s="6" t="s">
        <v>23</v>
      </c>
    </row>
    <row r="2130" spans="1:15" x14ac:dyDescent="0.25">
      <c r="A2130" s="6" t="s">
        <v>7692</v>
      </c>
      <c r="B2130" s="6" t="s">
        <v>7691</v>
      </c>
      <c r="C2130" s="6" t="s">
        <v>31</v>
      </c>
      <c r="E2130" s="6" t="s">
        <v>7690</v>
      </c>
      <c r="F2130" s="6" t="s">
        <v>7689</v>
      </c>
      <c r="G2130" s="6" t="s">
        <v>16</v>
      </c>
      <c r="H2130" s="6" t="s">
        <v>28</v>
      </c>
      <c r="I2130" s="6" t="s">
        <v>27</v>
      </c>
      <c r="J2130" s="6" t="s">
        <v>35</v>
      </c>
      <c r="K2130" s="7">
        <v>29.895375999999999</v>
      </c>
      <c r="L2130" s="7">
        <v>-95.286143999999993</v>
      </c>
      <c r="M2130" s="6" t="s">
        <v>198</v>
      </c>
      <c r="N2130" s="6" t="s">
        <v>24</v>
      </c>
      <c r="O2130" s="6" t="s">
        <v>23</v>
      </c>
    </row>
    <row r="2131" spans="1:15" x14ac:dyDescent="0.25">
      <c r="A2131" s="6" t="s">
        <v>3772</v>
      </c>
      <c r="B2131" s="6" t="s">
        <v>3771</v>
      </c>
      <c r="C2131" s="6" t="s">
        <v>31</v>
      </c>
      <c r="E2131" s="6" t="s">
        <v>3770</v>
      </c>
      <c r="F2131" s="6" t="s">
        <v>3769</v>
      </c>
      <c r="G2131" s="6" t="s">
        <v>16</v>
      </c>
      <c r="H2131" s="6" t="s">
        <v>28</v>
      </c>
      <c r="I2131" s="6" t="s">
        <v>27</v>
      </c>
      <c r="J2131" s="6" t="s">
        <v>162</v>
      </c>
      <c r="K2131" s="7">
        <v>29.472963</v>
      </c>
      <c r="L2131" s="7">
        <v>-95.262726999999998</v>
      </c>
      <c r="M2131" s="6" t="s">
        <v>3768</v>
      </c>
      <c r="N2131" s="6" t="s">
        <v>160</v>
      </c>
      <c r="O2131" s="6" t="s">
        <v>23</v>
      </c>
    </row>
    <row r="2132" spans="1:15" x14ac:dyDescent="0.25">
      <c r="A2132" s="6" t="s">
        <v>3565</v>
      </c>
      <c r="B2132" s="6" t="s">
        <v>3564</v>
      </c>
      <c r="C2132" s="6" t="s">
        <v>31</v>
      </c>
      <c r="E2132" s="6" t="s">
        <v>3563</v>
      </c>
      <c r="F2132" s="6" t="s">
        <v>3562</v>
      </c>
      <c r="G2132" s="6" t="s">
        <v>16</v>
      </c>
      <c r="H2132" s="6" t="s">
        <v>28</v>
      </c>
      <c r="I2132" s="6" t="s">
        <v>73</v>
      </c>
      <c r="J2132" s="6" t="s">
        <v>35</v>
      </c>
      <c r="K2132" s="7">
        <v>29.593111</v>
      </c>
      <c r="L2132" s="7">
        <v>-95.364531999999997</v>
      </c>
      <c r="M2132" s="6" t="s">
        <v>542</v>
      </c>
      <c r="N2132" s="6" t="s">
        <v>160</v>
      </c>
      <c r="O2132" s="6" t="s">
        <v>23</v>
      </c>
    </row>
    <row r="2133" spans="1:15" x14ac:dyDescent="0.25">
      <c r="A2133" s="6" t="s">
        <v>1234</v>
      </c>
      <c r="B2133" s="6" t="s">
        <v>1233</v>
      </c>
      <c r="C2133" s="6" t="s">
        <v>1232</v>
      </c>
      <c r="E2133" s="6" t="s">
        <v>1231</v>
      </c>
      <c r="F2133" s="6" t="s">
        <v>915</v>
      </c>
      <c r="G2133" s="6" t="s">
        <v>16</v>
      </c>
      <c r="H2133" s="6" t="s">
        <v>15</v>
      </c>
      <c r="I2133" s="6" t="s">
        <v>46</v>
      </c>
      <c r="J2133" s="6" t="s">
        <v>692</v>
      </c>
      <c r="K2133" s="7">
        <v>35.699379</v>
      </c>
      <c r="L2133" s="7">
        <v>-101.35314</v>
      </c>
      <c r="M2133" s="6" t="s">
        <v>691</v>
      </c>
      <c r="N2133" s="6" t="s">
        <v>535</v>
      </c>
      <c r="O2133" s="6" t="s">
        <v>535</v>
      </c>
    </row>
    <row r="2134" spans="1:15" x14ac:dyDescent="0.25">
      <c r="A2134" s="6" t="s">
        <v>6120</v>
      </c>
      <c r="B2134" s="6" t="s">
        <v>1233</v>
      </c>
      <c r="C2134" s="6" t="s">
        <v>597</v>
      </c>
      <c r="E2134" s="6" t="s">
        <v>1231</v>
      </c>
      <c r="F2134" s="6" t="s">
        <v>915</v>
      </c>
      <c r="G2134" s="6" t="s">
        <v>16</v>
      </c>
      <c r="H2134" s="6" t="s">
        <v>15</v>
      </c>
      <c r="I2134" s="6" t="s">
        <v>46</v>
      </c>
      <c r="J2134" s="6" t="s">
        <v>692</v>
      </c>
      <c r="K2134" s="7">
        <v>35.696424219999997</v>
      </c>
      <c r="L2134" s="7">
        <v>-101.35589856</v>
      </c>
      <c r="M2134" s="6" t="s">
        <v>691</v>
      </c>
      <c r="N2134" s="6" t="s">
        <v>535</v>
      </c>
      <c r="O2134" s="6" t="s">
        <v>535</v>
      </c>
    </row>
    <row r="2135" spans="1:15" x14ac:dyDescent="0.25">
      <c r="A2135" s="6" t="s">
        <v>3573</v>
      </c>
      <c r="B2135" s="6" t="s">
        <v>3572</v>
      </c>
      <c r="C2135" s="6" t="s">
        <v>31</v>
      </c>
      <c r="E2135" s="6" t="s">
        <v>3571</v>
      </c>
      <c r="F2135" s="6" t="s">
        <v>3570</v>
      </c>
      <c r="G2135" s="6" t="s">
        <v>16</v>
      </c>
      <c r="H2135" s="6" t="s">
        <v>28</v>
      </c>
      <c r="I2135" s="6" t="s">
        <v>27</v>
      </c>
      <c r="J2135" s="6" t="s">
        <v>215</v>
      </c>
      <c r="K2135" s="7">
        <v>29.460301000000001</v>
      </c>
      <c r="L2135" s="7">
        <v>-94.660634999999999</v>
      </c>
      <c r="M2135" s="6" t="s">
        <v>418</v>
      </c>
      <c r="N2135" s="6" t="s">
        <v>383</v>
      </c>
      <c r="O2135" s="6" t="s">
        <v>23</v>
      </c>
    </row>
    <row r="2136" spans="1:15" x14ac:dyDescent="0.25">
      <c r="A2136" s="6" t="s">
        <v>3557</v>
      </c>
      <c r="B2136" s="6" t="s">
        <v>3556</v>
      </c>
      <c r="C2136" s="6" t="s">
        <v>31</v>
      </c>
      <c r="E2136" s="6" t="s">
        <v>3555</v>
      </c>
      <c r="F2136" s="6" t="s">
        <v>3554</v>
      </c>
      <c r="G2136" s="6" t="s">
        <v>16</v>
      </c>
      <c r="H2136" s="6" t="s">
        <v>28</v>
      </c>
      <c r="I2136" s="6" t="s">
        <v>46</v>
      </c>
      <c r="J2136" s="6" t="s">
        <v>424</v>
      </c>
      <c r="K2136" s="7">
        <v>32.868305540000001</v>
      </c>
      <c r="L2136" s="7">
        <v>-95.623754750000003</v>
      </c>
      <c r="M2136" s="6" t="s">
        <v>956</v>
      </c>
      <c r="N2136" s="6" t="s">
        <v>65</v>
      </c>
      <c r="O2136" s="6" t="s">
        <v>65</v>
      </c>
    </row>
    <row r="2137" spans="1:15" x14ac:dyDescent="0.25">
      <c r="A2137" s="6" t="s">
        <v>8818</v>
      </c>
      <c r="B2137" s="6" t="s">
        <v>8816</v>
      </c>
      <c r="C2137" s="6" t="s">
        <v>31</v>
      </c>
      <c r="E2137" s="6" t="s">
        <v>8815</v>
      </c>
      <c r="F2137" s="6" t="s">
        <v>5708</v>
      </c>
      <c r="G2137" s="6" t="s">
        <v>16</v>
      </c>
      <c r="H2137" s="6" t="s">
        <v>15</v>
      </c>
      <c r="I2137" s="6" t="s">
        <v>60</v>
      </c>
      <c r="J2137" s="6" t="s">
        <v>35</v>
      </c>
      <c r="K2137" s="7">
        <v>29.754476</v>
      </c>
      <c r="L2137" s="7">
        <v>-95.298226999999997</v>
      </c>
      <c r="M2137" s="6" t="s">
        <v>866</v>
      </c>
      <c r="N2137" s="6" t="s">
        <v>24</v>
      </c>
      <c r="O2137" s="6" t="s">
        <v>23</v>
      </c>
    </row>
    <row r="2138" spans="1:15" x14ac:dyDescent="0.25">
      <c r="A2138" s="6" t="s">
        <v>8817</v>
      </c>
      <c r="B2138" s="6" t="s">
        <v>8816</v>
      </c>
      <c r="C2138" s="6" t="s">
        <v>19</v>
      </c>
      <c r="E2138" s="6" t="s">
        <v>8815</v>
      </c>
      <c r="F2138" s="6" t="s">
        <v>5708</v>
      </c>
      <c r="G2138" s="6" t="s">
        <v>16</v>
      </c>
      <c r="H2138" s="6" t="s">
        <v>15</v>
      </c>
      <c r="I2138" s="6" t="s">
        <v>60</v>
      </c>
      <c r="J2138" s="6" t="s">
        <v>35</v>
      </c>
      <c r="K2138" s="7">
        <v>29.755918000000001</v>
      </c>
      <c r="L2138" s="7">
        <v>-95.319346999999993</v>
      </c>
      <c r="M2138" s="6" t="s">
        <v>866</v>
      </c>
      <c r="N2138" s="6" t="s">
        <v>24</v>
      </c>
      <c r="O2138" s="6" t="s">
        <v>23</v>
      </c>
    </row>
    <row r="2139" spans="1:15" x14ac:dyDescent="0.25">
      <c r="A2139" s="6" t="s">
        <v>1059</v>
      </c>
      <c r="B2139" s="6" t="s">
        <v>1058</v>
      </c>
      <c r="C2139" s="6" t="s">
        <v>31</v>
      </c>
      <c r="E2139" s="6" t="s">
        <v>1057</v>
      </c>
      <c r="F2139" s="6" t="s">
        <v>1056</v>
      </c>
      <c r="G2139" s="6" t="s">
        <v>16</v>
      </c>
      <c r="H2139" s="6" t="s">
        <v>15</v>
      </c>
      <c r="I2139" s="6" t="s">
        <v>46</v>
      </c>
      <c r="J2139" s="6" t="s">
        <v>13</v>
      </c>
      <c r="K2139" s="7">
        <v>27.822088999999998</v>
      </c>
      <c r="L2139" s="7">
        <v>-97.487184999999997</v>
      </c>
      <c r="M2139" s="6" t="s">
        <v>12</v>
      </c>
      <c r="N2139" s="6" t="s">
        <v>11</v>
      </c>
      <c r="O2139" s="6" t="s">
        <v>10</v>
      </c>
    </row>
    <row r="2140" spans="1:15" x14ac:dyDescent="0.25">
      <c r="A2140" s="6" t="s">
        <v>11677</v>
      </c>
      <c r="B2140" s="6" t="s">
        <v>1058</v>
      </c>
      <c r="C2140" s="6" t="s">
        <v>433</v>
      </c>
      <c r="E2140" s="6" t="s">
        <v>1057</v>
      </c>
      <c r="F2140" s="6" t="s">
        <v>1056</v>
      </c>
      <c r="G2140" s="6" t="s">
        <v>16</v>
      </c>
      <c r="H2140" s="6" t="s">
        <v>15</v>
      </c>
      <c r="I2140" s="6" t="s">
        <v>46</v>
      </c>
      <c r="J2140" s="6" t="s">
        <v>13</v>
      </c>
      <c r="K2140" s="7">
        <v>27.823212139999999</v>
      </c>
      <c r="L2140" s="7">
        <v>-97.487732919999999</v>
      </c>
      <c r="M2140" s="6" t="s">
        <v>12</v>
      </c>
      <c r="N2140" s="6" t="s">
        <v>11</v>
      </c>
      <c r="O2140" s="6" t="s">
        <v>10</v>
      </c>
    </row>
    <row r="2141" spans="1:15" x14ac:dyDescent="0.25">
      <c r="A2141" s="6" t="s">
        <v>3542</v>
      </c>
      <c r="B2141" s="6" t="s">
        <v>3541</v>
      </c>
      <c r="C2141" s="6" t="s">
        <v>31</v>
      </c>
      <c r="E2141" s="6" t="s">
        <v>3540</v>
      </c>
      <c r="F2141" s="6" t="s">
        <v>895</v>
      </c>
      <c r="G2141" s="6" t="s">
        <v>16</v>
      </c>
      <c r="H2141" s="6" t="s">
        <v>28</v>
      </c>
      <c r="I2141" s="6" t="s">
        <v>27</v>
      </c>
      <c r="J2141" s="6" t="s">
        <v>35</v>
      </c>
      <c r="K2141" s="7">
        <v>29.838206</v>
      </c>
      <c r="L2141" s="7">
        <v>-95.233965999999995</v>
      </c>
      <c r="M2141" s="6" t="s">
        <v>34</v>
      </c>
      <c r="N2141" s="6" t="s">
        <v>24</v>
      </c>
      <c r="O2141" s="6" t="s">
        <v>23</v>
      </c>
    </row>
    <row r="2142" spans="1:15" x14ac:dyDescent="0.25">
      <c r="A2142" s="6" t="s">
        <v>3535</v>
      </c>
      <c r="B2142" s="6" t="s">
        <v>3534</v>
      </c>
      <c r="C2142" s="6" t="s">
        <v>31</v>
      </c>
      <c r="E2142" s="6" t="s">
        <v>3533</v>
      </c>
      <c r="F2142" s="6" t="s">
        <v>3532</v>
      </c>
      <c r="G2142" s="6" t="s">
        <v>16</v>
      </c>
      <c r="H2142" s="6" t="s">
        <v>28</v>
      </c>
      <c r="I2142" s="6" t="s">
        <v>27</v>
      </c>
      <c r="J2142" s="6" t="s">
        <v>132</v>
      </c>
      <c r="K2142" s="7">
        <v>29.541804339999999</v>
      </c>
      <c r="L2142" s="7">
        <v>-95.724940029999999</v>
      </c>
      <c r="M2142" s="6" t="s">
        <v>355</v>
      </c>
      <c r="N2142" s="6" t="s">
        <v>23</v>
      </c>
      <c r="O2142" s="6" t="s">
        <v>23</v>
      </c>
    </row>
    <row r="2143" spans="1:15" x14ac:dyDescent="0.25">
      <c r="A2143" s="6" t="s">
        <v>3527</v>
      </c>
      <c r="B2143" s="6" t="s">
        <v>3526</v>
      </c>
      <c r="C2143" s="6" t="s">
        <v>31</v>
      </c>
      <c r="E2143" s="6" t="s">
        <v>3525</v>
      </c>
      <c r="F2143" s="6" t="s">
        <v>3524</v>
      </c>
      <c r="G2143" s="6" t="s">
        <v>16</v>
      </c>
      <c r="H2143" s="6" t="s">
        <v>28</v>
      </c>
      <c r="I2143" s="6" t="s">
        <v>14</v>
      </c>
      <c r="J2143" s="6" t="s">
        <v>3523</v>
      </c>
      <c r="K2143" s="7">
        <v>29.84567118</v>
      </c>
      <c r="L2143" s="7">
        <v>-96.511317570000003</v>
      </c>
      <c r="M2143" s="6" t="s">
        <v>295</v>
      </c>
      <c r="N2143" s="6" t="s">
        <v>10</v>
      </c>
      <c r="O2143" s="6" t="s">
        <v>23</v>
      </c>
    </row>
    <row r="2144" spans="1:15" x14ac:dyDescent="0.25">
      <c r="A2144" s="6" t="s">
        <v>5240</v>
      </c>
      <c r="B2144" s="6" t="s">
        <v>5239</v>
      </c>
      <c r="C2144" s="6" t="s">
        <v>31</v>
      </c>
      <c r="E2144" s="6" t="s">
        <v>5238</v>
      </c>
      <c r="F2144" s="6" t="s">
        <v>5237</v>
      </c>
      <c r="G2144" s="6" t="s">
        <v>16</v>
      </c>
      <c r="H2144" s="6" t="s">
        <v>591</v>
      </c>
      <c r="I2144" s="6" t="s">
        <v>46</v>
      </c>
      <c r="J2144" s="6" t="s">
        <v>512</v>
      </c>
      <c r="K2144" s="7">
        <v>27.930520869999999</v>
      </c>
      <c r="L2144" s="7">
        <v>-99.862003299999998</v>
      </c>
      <c r="M2144" s="6" t="s">
        <v>511</v>
      </c>
      <c r="N2144" s="6" t="s">
        <v>373</v>
      </c>
      <c r="O2144" s="6" t="s">
        <v>510</v>
      </c>
    </row>
    <row r="2145" spans="1:15" x14ac:dyDescent="0.25">
      <c r="A2145" s="6" t="s">
        <v>10847</v>
      </c>
      <c r="B2145" s="6" t="s">
        <v>10846</v>
      </c>
      <c r="C2145" s="6" t="s">
        <v>31</v>
      </c>
      <c r="E2145" s="6" t="s">
        <v>10845</v>
      </c>
      <c r="F2145" s="6" t="s">
        <v>3922</v>
      </c>
      <c r="G2145" s="6" t="s">
        <v>16</v>
      </c>
      <c r="H2145" s="6" t="s">
        <v>15</v>
      </c>
      <c r="I2145" s="6" t="s">
        <v>14</v>
      </c>
      <c r="J2145" s="6" t="s">
        <v>132</v>
      </c>
      <c r="K2145" s="7">
        <v>29.556747059999999</v>
      </c>
      <c r="L2145" s="7">
        <v>-95.586699929999995</v>
      </c>
      <c r="M2145" s="6" t="s">
        <v>616</v>
      </c>
      <c r="N2145" s="6" t="s">
        <v>23</v>
      </c>
      <c r="O2145" s="6" t="s">
        <v>23</v>
      </c>
    </row>
    <row r="2146" spans="1:15" x14ac:dyDescent="0.25">
      <c r="A2146" s="6" t="s">
        <v>3518</v>
      </c>
      <c r="B2146" s="6" t="s">
        <v>3517</v>
      </c>
      <c r="C2146" s="6" t="s">
        <v>31</v>
      </c>
      <c r="E2146" s="6" t="s">
        <v>3516</v>
      </c>
      <c r="F2146" s="6" t="s">
        <v>3515</v>
      </c>
      <c r="G2146" s="6" t="s">
        <v>16</v>
      </c>
      <c r="H2146" s="6" t="s">
        <v>28</v>
      </c>
      <c r="I2146" s="6" t="s">
        <v>27</v>
      </c>
      <c r="J2146" s="6" t="s">
        <v>132</v>
      </c>
      <c r="K2146" s="7">
        <v>29.702186820000001</v>
      </c>
      <c r="L2146" s="7">
        <v>-95.701924349999999</v>
      </c>
      <c r="M2146" s="6" t="s">
        <v>131</v>
      </c>
      <c r="N2146" s="6" t="s">
        <v>24</v>
      </c>
      <c r="O2146" s="6" t="s">
        <v>23</v>
      </c>
    </row>
    <row r="2147" spans="1:15" x14ac:dyDescent="0.25">
      <c r="A2147" s="6" t="s">
        <v>3522</v>
      </c>
      <c r="B2147" s="6" t="s">
        <v>3521</v>
      </c>
      <c r="C2147" s="6" t="s">
        <v>31</v>
      </c>
      <c r="E2147" s="6" t="s">
        <v>3520</v>
      </c>
      <c r="F2147" s="6" t="s">
        <v>3519</v>
      </c>
      <c r="G2147" s="6" t="s">
        <v>16</v>
      </c>
      <c r="H2147" s="6" t="s">
        <v>28</v>
      </c>
      <c r="I2147" s="6" t="s">
        <v>27</v>
      </c>
      <c r="J2147" s="6" t="s">
        <v>35</v>
      </c>
      <c r="K2147" s="7">
        <v>29.987418999999999</v>
      </c>
      <c r="L2147" s="7">
        <v>-95.583657000000002</v>
      </c>
      <c r="M2147" s="6" t="s">
        <v>279</v>
      </c>
      <c r="N2147" s="6" t="s">
        <v>24</v>
      </c>
      <c r="O2147" s="6" t="s">
        <v>23</v>
      </c>
    </row>
    <row r="2148" spans="1:15" x14ac:dyDescent="0.25">
      <c r="A2148" s="6" t="s">
        <v>3776</v>
      </c>
      <c r="B2148" s="6" t="s">
        <v>3775</v>
      </c>
      <c r="C2148" s="6" t="s">
        <v>31</v>
      </c>
      <c r="E2148" s="6" t="s">
        <v>3774</v>
      </c>
      <c r="F2148" s="6" t="s">
        <v>3773</v>
      </c>
      <c r="G2148" s="6" t="s">
        <v>16</v>
      </c>
      <c r="H2148" s="6" t="s">
        <v>28</v>
      </c>
      <c r="I2148" s="6" t="s">
        <v>27</v>
      </c>
      <c r="J2148" s="6" t="s">
        <v>35</v>
      </c>
      <c r="K2148" s="7">
        <v>29.973992639999999</v>
      </c>
      <c r="L2148" s="7">
        <v>-95.451096939999999</v>
      </c>
      <c r="M2148" s="6" t="s">
        <v>198</v>
      </c>
      <c r="N2148" s="6" t="s">
        <v>24</v>
      </c>
      <c r="O2148" s="6" t="s">
        <v>23</v>
      </c>
    </row>
    <row r="2149" spans="1:15" x14ac:dyDescent="0.25">
      <c r="A2149" s="6" t="s">
        <v>1055</v>
      </c>
      <c r="B2149" s="6" t="s">
        <v>1054</v>
      </c>
      <c r="C2149" s="6" t="s">
        <v>19</v>
      </c>
      <c r="E2149" s="6" t="s">
        <v>1053</v>
      </c>
      <c r="F2149" s="6" t="s">
        <v>1052</v>
      </c>
      <c r="G2149" s="6" t="s">
        <v>16</v>
      </c>
      <c r="H2149" s="6" t="s">
        <v>15</v>
      </c>
      <c r="I2149" s="6" t="s">
        <v>36</v>
      </c>
      <c r="J2149" s="6" t="s">
        <v>548</v>
      </c>
      <c r="K2149" s="7">
        <v>33.453346000000003</v>
      </c>
      <c r="L2149" s="7">
        <v>-94.137473</v>
      </c>
      <c r="M2149" s="6" t="s">
        <v>1051</v>
      </c>
      <c r="N2149" s="6" t="s">
        <v>95</v>
      </c>
      <c r="O2149" s="6" t="s">
        <v>65</v>
      </c>
    </row>
    <row r="2150" spans="1:15" x14ac:dyDescent="0.25">
      <c r="A2150" s="6" t="s">
        <v>7945</v>
      </c>
      <c r="B2150" s="6" t="s">
        <v>7944</v>
      </c>
      <c r="C2150" s="6" t="s">
        <v>31</v>
      </c>
      <c r="E2150" s="6" t="s">
        <v>7943</v>
      </c>
      <c r="F2150" s="6" t="s">
        <v>7942</v>
      </c>
      <c r="G2150" s="6" t="s">
        <v>16</v>
      </c>
      <c r="H2150" s="6" t="s">
        <v>28</v>
      </c>
      <c r="I2150" s="6" t="s">
        <v>1200</v>
      </c>
      <c r="J2150" s="6" t="s">
        <v>1752</v>
      </c>
      <c r="K2150" s="7">
        <v>30.719049999999999</v>
      </c>
      <c r="L2150" s="7">
        <v>-95.186790000000002</v>
      </c>
      <c r="M2150" s="6" t="s">
        <v>317</v>
      </c>
      <c r="N2150" s="6" t="s">
        <v>102</v>
      </c>
      <c r="O2150" s="6" t="s">
        <v>24</v>
      </c>
    </row>
    <row r="2151" spans="1:15" x14ac:dyDescent="0.25">
      <c r="A2151" s="6" t="s">
        <v>7952</v>
      </c>
      <c r="B2151" s="6" t="s">
        <v>7951</v>
      </c>
      <c r="C2151" s="6" t="s">
        <v>31</v>
      </c>
      <c r="E2151" s="6" t="s">
        <v>7950</v>
      </c>
      <c r="F2151" s="6" t="s">
        <v>7946</v>
      </c>
      <c r="G2151" s="6" t="s">
        <v>16</v>
      </c>
      <c r="H2151" s="6" t="s">
        <v>28</v>
      </c>
      <c r="I2151" s="6" t="s">
        <v>1200</v>
      </c>
      <c r="J2151" s="6" t="s">
        <v>35</v>
      </c>
      <c r="K2151" s="7">
        <v>29.981058999999998</v>
      </c>
      <c r="L2151" s="7">
        <v>-95.195927999999995</v>
      </c>
      <c r="M2151" s="6" t="s">
        <v>198</v>
      </c>
      <c r="N2151" s="6" t="s">
        <v>24</v>
      </c>
      <c r="O2151" s="6" t="s">
        <v>23</v>
      </c>
    </row>
    <row r="2152" spans="1:15" x14ac:dyDescent="0.25">
      <c r="A2152" s="6" t="s">
        <v>3503</v>
      </c>
      <c r="B2152" s="6" t="s">
        <v>3502</v>
      </c>
      <c r="C2152" s="6" t="s">
        <v>31</v>
      </c>
      <c r="E2152" s="6" t="s">
        <v>3501</v>
      </c>
      <c r="F2152" s="6" t="s">
        <v>3500</v>
      </c>
      <c r="G2152" s="6" t="s">
        <v>16</v>
      </c>
      <c r="H2152" s="6" t="s">
        <v>28</v>
      </c>
      <c r="I2152" s="6" t="s">
        <v>60</v>
      </c>
      <c r="J2152" s="6" t="s">
        <v>35</v>
      </c>
      <c r="K2152" s="7">
        <v>30.016670000000001</v>
      </c>
      <c r="L2152" s="7">
        <v>-95.329926999999998</v>
      </c>
      <c r="M2152" s="6" t="s">
        <v>279</v>
      </c>
      <c r="N2152" s="6" t="s">
        <v>24</v>
      </c>
      <c r="O2152" s="6" t="s">
        <v>23</v>
      </c>
    </row>
    <row r="2153" spans="1:15" x14ac:dyDescent="0.25">
      <c r="A2153" s="6" t="s">
        <v>8235</v>
      </c>
      <c r="B2153" s="6" t="s">
        <v>8234</v>
      </c>
      <c r="C2153" s="6" t="s">
        <v>31</v>
      </c>
      <c r="E2153" s="6" t="s">
        <v>8233</v>
      </c>
      <c r="F2153" s="6" t="s">
        <v>8232</v>
      </c>
      <c r="G2153" s="6" t="s">
        <v>16</v>
      </c>
      <c r="H2153" s="6" t="s">
        <v>28</v>
      </c>
      <c r="I2153" s="6" t="s">
        <v>350</v>
      </c>
      <c r="J2153" s="6" t="s">
        <v>35</v>
      </c>
      <c r="K2153" s="7">
        <v>29.973265999999999</v>
      </c>
      <c r="L2153" s="7">
        <v>-95.466415999999995</v>
      </c>
      <c r="M2153" s="6" t="s">
        <v>198</v>
      </c>
      <c r="N2153" s="6" t="s">
        <v>24</v>
      </c>
      <c r="O2153" s="6" t="s">
        <v>23</v>
      </c>
    </row>
    <row r="2154" spans="1:15" x14ac:dyDescent="0.25">
      <c r="A2154" s="6" t="s">
        <v>7937</v>
      </c>
      <c r="B2154" s="6" t="s">
        <v>7936</v>
      </c>
      <c r="C2154" s="6" t="s">
        <v>31</v>
      </c>
      <c r="E2154" s="6" t="s">
        <v>7935</v>
      </c>
      <c r="F2154" s="6" t="s">
        <v>7934</v>
      </c>
      <c r="G2154" s="6" t="s">
        <v>16</v>
      </c>
      <c r="H2154" s="6" t="s">
        <v>28</v>
      </c>
      <c r="I2154" s="6" t="s">
        <v>60</v>
      </c>
      <c r="J2154" s="6" t="s">
        <v>663</v>
      </c>
      <c r="K2154" s="7">
        <v>32.7463525</v>
      </c>
      <c r="L2154" s="7">
        <v>-95.109898810000004</v>
      </c>
      <c r="M2154" s="6" t="s">
        <v>662</v>
      </c>
      <c r="N2154" s="6" t="s">
        <v>42</v>
      </c>
      <c r="O2154" s="6" t="s">
        <v>65</v>
      </c>
    </row>
    <row r="2155" spans="1:15" x14ac:dyDescent="0.25">
      <c r="A2155" s="6" t="s">
        <v>3531</v>
      </c>
      <c r="B2155" s="6" t="s">
        <v>3530</v>
      </c>
      <c r="C2155" s="6" t="s">
        <v>31</v>
      </c>
      <c r="E2155" s="6" t="s">
        <v>3529</v>
      </c>
      <c r="F2155" s="6" t="s">
        <v>3528</v>
      </c>
      <c r="G2155" s="6" t="s">
        <v>16</v>
      </c>
      <c r="H2155" s="6" t="s">
        <v>28</v>
      </c>
      <c r="I2155" s="6" t="s">
        <v>60</v>
      </c>
      <c r="J2155" s="6" t="s">
        <v>385</v>
      </c>
      <c r="K2155" s="7">
        <v>29.989042000000001</v>
      </c>
      <c r="L2155" s="7">
        <v>-94.219138000000001</v>
      </c>
      <c r="M2155" s="6" t="s">
        <v>2473</v>
      </c>
      <c r="N2155" s="6" t="s">
        <v>383</v>
      </c>
      <c r="O2155" s="6" t="s">
        <v>24</v>
      </c>
    </row>
    <row r="2156" spans="1:15" x14ac:dyDescent="0.25">
      <c r="A2156" s="6" t="s">
        <v>7426</v>
      </c>
      <c r="B2156" s="6" t="s">
        <v>7425</v>
      </c>
      <c r="C2156" s="6" t="s">
        <v>31</v>
      </c>
      <c r="E2156" s="6" t="s">
        <v>7424</v>
      </c>
      <c r="F2156" s="6" t="s">
        <v>7423</v>
      </c>
      <c r="G2156" s="6" t="s">
        <v>16</v>
      </c>
      <c r="H2156" s="6" t="s">
        <v>28</v>
      </c>
      <c r="I2156" s="6" t="s">
        <v>46</v>
      </c>
      <c r="J2156" s="6" t="s">
        <v>35</v>
      </c>
      <c r="K2156" s="7">
        <v>29.837068120000001</v>
      </c>
      <c r="L2156" s="7">
        <v>-95.690310389999993</v>
      </c>
      <c r="M2156" s="6" t="s">
        <v>131</v>
      </c>
      <c r="N2156" s="6" t="s">
        <v>24</v>
      </c>
      <c r="O2156" s="6" t="s">
        <v>23</v>
      </c>
    </row>
    <row r="2157" spans="1:15" x14ac:dyDescent="0.25">
      <c r="A2157" s="6" t="s">
        <v>7922</v>
      </c>
      <c r="B2157" s="6" t="s">
        <v>7921</v>
      </c>
      <c r="C2157" s="6" t="s">
        <v>31</v>
      </c>
      <c r="E2157" s="6" t="s">
        <v>7920</v>
      </c>
      <c r="F2157" s="6" t="s">
        <v>7919</v>
      </c>
      <c r="G2157" s="6" t="s">
        <v>16</v>
      </c>
      <c r="H2157" s="6" t="s">
        <v>28</v>
      </c>
      <c r="I2157" s="6" t="s">
        <v>73</v>
      </c>
      <c r="J2157" s="6" t="s">
        <v>35</v>
      </c>
      <c r="K2157" s="7">
        <v>29.886197500000002</v>
      </c>
      <c r="L2157" s="7">
        <v>-95.358326790000007</v>
      </c>
      <c r="M2157" s="6" t="s">
        <v>34</v>
      </c>
      <c r="N2157" s="6" t="s">
        <v>24</v>
      </c>
      <c r="O2157" s="6" t="s">
        <v>23</v>
      </c>
    </row>
    <row r="2158" spans="1:15" x14ac:dyDescent="0.25">
      <c r="A2158" s="6" t="s">
        <v>2032</v>
      </c>
      <c r="B2158" s="6" t="s">
        <v>2031</v>
      </c>
      <c r="C2158" s="6" t="s">
        <v>31</v>
      </c>
      <c r="E2158" s="6" t="s">
        <v>2030</v>
      </c>
      <c r="F2158" s="6" t="s">
        <v>2029</v>
      </c>
      <c r="G2158" s="6" t="s">
        <v>16</v>
      </c>
      <c r="H2158" s="6" t="s">
        <v>28</v>
      </c>
      <c r="I2158" s="6" t="s">
        <v>46</v>
      </c>
      <c r="J2158" s="6" t="s">
        <v>110</v>
      </c>
      <c r="K2158" s="7">
        <v>32.875681180000001</v>
      </c>
      <c r="L2158" s="7">
        <v>-95.902634030000002</v>
      </c>
      <c r="M2158" s="6" t="s">
        <v>109</v>
      </c>
      <c r="N2158" s="6" t="s">
        <v>65</v>
      </c>
      <c r="O2158" s="6" t="s">
        <v>65</v>
      </c>
    </row>
    <row r="2159" spans="1:15" x14ac:dyDescent="0.25">
      <c r="A2159" s="6" t="s">
        <v>7925</v>
      </c>
      <c r="B2159" s="6" t="s">
        <v>7924</v>
      </c>
      <c r="C2159" s="6" t="s">
        <v>31</v>
      </c>
      <c r="E2159" s="6" t="s">
        <v>7923</v>
      </c>
      <c r="F2159" s="6" t="s">
        <v>2029</v>
      </c>
      <c r="G2159" s="6" t="s">
        <v>16</v>
      </c>
      <c r="H2159" s="6" t="s">
        <v>28</v>
      </c>
      <c r="I2159" s="6" t="s">
        <v>36</v>
      </c>
      <c r="J2159" s="6" t="s">
        <v>1451</v>
      </c>
      <c r="K2159" s="7">
        <v>32.004889749999997</v>
      </c>
      <c r="L2159" s="7">
        <v>-97.353552640000004</v>
      </c>
      <c r="M2159" s="6" t="s">
        <v>1450</v>
      </c>
      <c r="N2159" s="6" t="s">
        <v>23</v>
      </c>
      <c r="O2159" s="6" t="s">
        <v>120</v>
      </c>
    </row>
    <row r="2160" spans="1:15" x14ac:dyDescent="0.25">
      <c r="A2160" s="6" t="s">
        <v>8046</v>
      </c>
      <c r="B2160" s="6" t="s">
        <v>8045</v>
      </c>
      <c r="C2160" s="6" t="s">
        <v>31</v>
      </c>
      <c r="E2160" s="6" t="s">
        <v>8044</v>
      </c>
      <c r="F2160" s="6" t="s">
        <v>2717</v>
      </c>
      <c r="G2160" s="6" t="s">
        <v>16</v>
      </c>
      <c r="H2160" s="6" t="s">
        <v>28</v>
      </c>
      <c r="I2160" s="6" t="s">
        <v>60</v>
      </c>
      <c r="J2160" s="6" t="s">
        <v>132</v>
      </c>
      <c r="K2160" s="7">
        <v>29.65822292</v>
      </c>
      <c r="L2160" s="7">
        <v>-95.989365190000001</v>
      </c>
      <c r="M2160" s="6" t="s">
        <v>355</v>
      </c>
      <c r="N2160" s="6" t="s">
        <v>23</v>
      </c>
      <c r="O2160" s="6" t="s">
        <v>23</v>
      </c>
    </row>
    <row r="2161" spans="1:15" x14ac:dyDescent="0.25">
      <c r="A2161" s="6" t="s">
        <v>1199</v>
      </c>
      <c r="B2161" s="6" t="s">
        <v>1198</v>
      </c>
      <c r="C2161" s="6" t="s">
        <v>31</v>
      </c>
      <c r="E2161" s="6" t="s">
        <v>1197</v>
      </c>
      <c r="F2161" s="6" t="s">
        <v>1196</v>
      </c>
      <c r="G2161" s="6" t="s">
        <v>16</v>
      </c>
      <c r="H2161" s="6" t="s">
        <v>28</v>
      </c>
      <c r="I2161" s="6" t="s">
        <v>60</v>
      </c>
      <c r="J2161" s="6" t="s">
        <v>268</v>
      </c>
      <c r="K2161" s="7">
        <v>32.950961999999997</v>
      </c>
      <c r="L2161" s="7">
        <v>-97.503668000000005</v>
      </c>
      <c r="M2161" s="6" t="s">
        <v>267</v>
      </c>
      <c r="N2161" s="6" t="s">
        <v>102</v>
      </c>
      <c r="O2161" s="6" t="s">
        <v>42</v>
      </c>
    </row>
    <row r="2162" spans="1:15" x14ac:dyDescent="0.25">
      <c r="A2162" s="6" t="s">
        <v>3553</v>
      </c>
      <c r="B2162" s="6" t="s">
        <v>3552</v>
      </c>
      <c r="C2162" s="6" t="s">
        <v>31</v>
      </c>
      <c r="E2162" s="6" t="s">
        <v>3551</v>
      </c>
      <c r="F2162" s="6" t="s">
        <v>410</v>
      </c>
      <c r="G2162" s="6" t="s">
        <v>16</v>
      </c>
      <c r="H2162" s="6" t="s">
        <v>28</v>
      </c>
      <c r="I2162" s="6" t="s">
        <v>14</v>
      </c>
      <c r="J2162" s="6" t="s">
        <v>409</v>
      </c>
      <c r="K2162" s="7">
        <v>30.403774640000002</v>
      </c>
      <c r="L2162" s="7">
        <v>-97.639597469999998</v>
      </c>
      <c r="M2162" s="6" t="s">
        <v>408</v>
      </c>
      <c r="N2162" s="6" t="s">
        <v>10</v>
      </c>
      <c r="O2162" s="6" t="s">
        <v>160</v>
      </c>
    </row>
    <row r="2163" spans="1:15" x14ac:dyDescent="0.25">
      <c r="A2163" s="6" t="s">
        <v>8035</v>
      </c>
      <c r="B2163" s="6" t="s">
        <v>8034</v>
      </c>
      <c r="C2163" s="6" t="s">
        <v>31</v>
      </c>
      <c r="E2163" s="6" t="s">
        <v>8033</v>
      </c>
      <c r="F2163" s="6" t="s">
        <v>8032</v>
      </c>
      <c r="G2163" s="6" t="s">
        <v>16</v>
      </c>
      <c r="H2163" s="6" t="s">
        <v>28</v>
      </c>
      <c r="I2163" s="6" t="s">
        <v>27</v>
      </c>
      <c r="J2163" s="6" t="s">
        <v>26</v>
      </c>
      <c r="K2163" s="7">
        <v>30.175885999999998</v>
      </c>
      <c r="L2163" s="7">
        <v>-95.753488000000004</v>
      </c>
      <c r="M2163" s="6" t="s">
        <v>731</v>
      </c>
      <c r="N2163" s="6" t="s">
        <v>24</v>
      </c>
      <c r="O2163" s="6" t="s">
        <v>23</v>
      </c>
    </row>
    <row r="2164" spans="1:15" x14ac:dyDescent="0.25">
      <c r="A2164" s="6" t="s">
        <v>3650</v>
      </c>
      <c r="B2164" s="6" t="s">
        <v>3649</v>
      </c>
      <c r="C2164" s="6" t="s">
        <v>31</v>
      </c>
      <c r="E2164" s="6" t="s">
        <v>3648</v>
      </c>
      <c r="F2164" s="6" t="s">
        <v>3647</v>
      </c>
      <c r="G2164" s="6" t="s">
        <v>16</v>
      </c>
      <c r="H2164" s="6" t="s">
        <v>28</v>
      </c>
      <c r="I2164" s="6" t="s">
        <v>73</v>
      </c>
      <c r="J2164" s="6" t="s">
        <v>781</v>
      </c>
      <c r="K2164" s="7">
        <v>32.469223</v>
      </c>
      <c r="L2164" s="7">
        <v>-94.632616999999996</v>
      </c>
      <c r="M2164" s="6" t="s">
        <v>1218</v>
      </c>
      <c r="N2164" s="6" t="s">
        <v>65</v>
      </c>
      <c r="O2164" s="6" t="s">
        <v>65</v>
      </c>
    </row>
    <row r="2165" spans="1:15" x14ac:dyDescent="0.25">
      <c r="A2165" s="6" t="s">
        <v>9297</v>
      </c>
      <c r="B2165" s="6" t="s">
        <v>9296</v>
      </c>
      <c r="C2165" s="6" t="s">
        <v>31</v>
      </c>
      <c r="E2165" s="6" t="s">
        <v>9295</v>
      </c>
      <c r="F2165" s="6" t="s">
        <v>9294</v>
      </c>
      <c r="G2165" s="6" t="s">
        <v>16</v>
      </c>
      <c r="H2165" s="6" t="s">
        <v>28</v>
      </c>
      <c r="I2165" s="6" t="s">
        <v>350</v>
      </c>
      <c r="J2165" s="6" t="s">
        <v>35</v>
      </c>
      <c r="K2165" s="7">
        <v>29.865303999999998</v>
      </c>
      <c r="L2165" s="7">
        <v>-95.643891999999994</v>
      </c>
      <c r="M2165" s="6" t="s">
        <v>131</v>
      </c>
      <c r="N2165" s="6" t="s">
        <v>24</v>
      </c>
      <c r="O2165" s="6" t="s">
        <v>23</v>
      </c>
    </row>
    <row r="2166" spans="1:15" x14ac:dyDescent="0.25">
      <c r="A2166" s="6" t="s">
        <v>8787</v>
      </c>
      <c r="B2166" s="6" t="s">
        <v>8786</v>
      </c>
      <c r="C2166" s="6" t="s">
        <v>31</v>
      </c>
      <c r="E2166" s="6" t="s">
        <v>8785</v>
      </c>
      <c r="F2166" s="6" t="s">
        <v>5708</v>
      </c>
      <c r="G2166" s="6" t="s">
        <v>16</v>
      </c>
      <c r="H2166" s="6" t="s">
        <v>15</v>
      </c>
      <c r="I2166" s="6" t="s">
        <v>36</v>
      </c>
      <c r="J2166" s="6" t="s">
        <v>35</v>
      </c>
      <c r="K2166" s="7">
        <v>29.667385620000001</v>
      </c>
      <c r="L2166" s="7">
        <v>-95.54422667</v>
      </c>
      <c r="M2166" s="6" t="s">
        <v>866</v>
      </c>
      <c r="N2166" s="6" t="s">
        <v>24</v>
      </c>
      <c r="O2166" s="6" t="s">
        <v>23</v>
      </c>
    </row>
    <row r="2167" spans="1:15" x14ac:dyDescent="0.25">
      <c r="A2167" s="6" t="s">
        <v>8043</v>
      </c>
      <c r="B2167" s="6" t="s">
        <v>8042</v>
      </c>
      <c r="C2167" s="6" t="s">
        <v>31</v>
      </c>
      <c r="E2167" s="6" t="s">
        <v>8041</v>
      </c>
      <c r="F2167" s="6" t="s">
        <v>8040</v>
      </c>
      <c r="G2167" s="6" t="s">
        <v>16</v>
      </c>
      <c r="H2167" s="6" t="s">
        <v>28</v>
      </c>
      <c r="I2167" s="6" t="s">
        <v>60</v>
      </c>
      <c r="J2167" s="6" t="s">
        <v>290</v>
      </c>
      <c r="K2167" s="7">
        <v>28.935246729999999</v>
      </c>
      <c r="L2167" s="7">
        <v>-96.210224929999995</v>
      </c>
      <c r="M2167" s="6" t="s">
        <v>2446</v>
      </c>
      <c r="N2167" s="6" t="s">
        <v>22</v>
      </c>
      <c r="O2167" s="6" t="s">
        <v>23</v>
      </c>
    </row>
    <row r="2168" spans="1:15" x14ac:dyDescent="0.25">
      <c r="A2168" s="6" t="s">
        <v>3514</v>
      </c>
      <c r="B2168" s="6" t="s">
        <v>3513</v>
      </c>
      <c r="C2168" s="6" t="s">
        <v>31</v>
      </c>
      <c r="E2168" s="6" t="s">
        <v>3512</v>
      </c>
      <c r="F2168" s="6" t="s">
        <v>895</v>
      </c>
      <c r="G2168" s="6" t="s">
        <v>16</v>
      </c>
      <c r="H2168" s="6" t="s">
        <v>28</v>
      </c>
      <c r="I2168" s="6" t="s">
        <v>60</v>
      </c>
      <c r="J2168" s="6" t="s">
        <v>312</v>
      </c>
      <c r="K2168" s="7">
        <v>32.389307000000002</v>
      </c>
      <c r="L2168" s="7">
        <v>-97.702804999999998</v>
      </c>
      <c r="M2168" s="6" t="s">
        <v>311</v>
      </c>
      <c r="N2168" s="6" t="s">
        <v>23</v>
      </c>
      <c r="O2168" s="6" t="s">
        <v>42</v>
      </c>
    </row>
    <row r="2169" spans="1:15" x14ac:dyDescent="0.25">
      <c r="A2169" s="6" t="s">
        <v>11777</v>
      </c>
      <c r="B2169" s="6" t="s">
        <v>11776</v>
      </c>
      <c r="C2169" s="6" t="s">
        <v>31</v>
      </c>
      <c r="E2169" s="6" t="s">
        <v>11775</v>
      </c>
      <c r="F2169" s="6" t="s">
        <v>11774</v>
      </c>
      <c r="G2169" s="6" t="s">
        <v>16</v>
      </c>
      <c r="H2169" s="6" t="s">
        <v>28</v>
      </c>
      <c r="I2169" s="6" t="s">
        <v>60</v>
      </c>
      <c r="J2169" s="6" t="s">
        <v>11773</v>
      </c>
      <c r="K2169" s="7">
        <v>30.673995720000001</v>
      </c>
      <c r="L2169" s="7">
        <v>-101.21344271</v>
      </c>
      <c r="M2169" s="6" t="s">
        <v>4893</v>
      </c>
      <c r="N2169" s="6" t="s">
        <v>373</v>
      </c>
      <c r="O2169" s="6" t="s">
        <v>102</v>
      </c>
    </row>
    <row r="2170" spans="1:15" x14ac:dyDescent="0.25">
      <c r="A2170" s="6" t="s">
        <v>7929</v>
      </c>
      <c r="B2170" s="6" t="s">
        <v>7928</v>
      </c>
      <c r="C2170" s="6" t="s">
        <v>31</v>
      </c>
      <c r="E2170" s="6" t="s">
        <v>7927</v>
      </c>
      <c r="F2170" s="6" t="s">
        <v>7926</v>
      </c>
      <c r="G2170" s="6" t="s">
        <v>16</v>
      </c>
      <c r="H2170" s="6" t="s">
        <v>28</v>
      </c>
      <c r="I2170" s="6" t="s">
        <v>1200</v>
      </c>
      <c r="J2170" s="6" t="s">
        <v>35</v>
      </c>
      <c r="K2170" s="7">
        <v>29.958873000000001</v>
      </c>
      <c r="L2170" s="7">
        <v>-95.655901</v>
      </c>
      <c r="M2170" s="6" t="s">
        <v>279</v>
      </c>
      <c r="N2170" s="6" t="s">
        <v>24</v>
      </c>
      <c r="O2170" s="6" t="s">
        <v>23</v>
      </c>
    </row>
    <row r="2171" spans="1:15" x14ac:dyDescent="0.25">
      <c r="A2171" s="6" t="s">
        <v>10056</v>
      </c>
      <c r="B2171" s="6" t="s">
        <v>10055</v>
      </c>
      <c r="C2171" s="6" t="s">
        <v>31</v>
      </c>
      <c r="E2171" s="6" t="s">
        <v>10054</v>
      </c>
      <c r="F2171" s="6" t="s">
        <v>10053</v>
      </c>
      <c r="G2171" s="6" t="s">
        <v>16</v>
      </c>
      <c r="H2171" s="6" t="s">
        <v>15</v>
      </c>
      <c r="I2171" s="6" t="s">
        <v>27</v>
      </c>
      <c r="J2171" s="6" t="s">
        <v>853</v>
      </c>
      <c r="K2171" s="7">
        <v>29.744133000000001</v>
      </c>
      <c r="L2171" s="7">
        <v>-94.928518999999994</v>
      </c>
      <c r="M2171" s="6" t="s">
        <v>1445</v>
      </c>
      <c r="N2171" s="6" t="s">
        <v>120</v>
      </c>
      <c r="O2171" s="6" t="s">
        <v>23</v>
      </c>
    </row>
    <row r="2172" spans="1:15" x14ac:dyDescent="0.25">
      <c r="A2172" s="6" t="s">
        <v>8031</v>
      </c>
      <c r="B2172" s="6" t="s">
        <v>8030</v>
      </c>
      <c r="C2172" s="6" t="s">
        <v>31</v>
      </c>
      <c r="E2172" s="6" t="s">
        <v>8029</v>
      </c>
      <c r="F2172" s="6" t="s">
        <v>8028</v>
      </c>
      <c r="G2172" s="6" t="s">
        <v>16</v>
      </c>
      <c r="H2172" s="6" t="s">
        <v>28</v>
      </c>
      <c r="I2172" s="6" t="s">
        <v>60</v>
      </c>
      <c r="J2172" s="6" t="s">
        <v>409</v>
      </c>
      <c r="K2172" s="7">
        <v>30.226936039999998</v>
      </c>
      <c r="L2172" s="7">
        <v>-97.592524460000007</v>
      </c>
      <c r="M2172" s="6" t="s">
        <v>408</v>
      </c>
      <c r="N2172" s="6" t="s">
        <v>10</v>
      </c>
      <c r="O2172" s="6" t="s">
        <v>160</v>
      </c>
    </row>
    <row r="2173" spans="1:15" x14ac:dyDescent="0.25">
      <c r="A2173" s="6" t="s">
        <v>8015</v>
      </c>
      <c r="B2173" s="6" t="s">
        <v>8014</v>
      </c>
      <c r="C2173" s="6" t="s">
        <v>31</v>
      </c>
      <c r="E2173" s="6" t="s">
        <v>8013</v>
      </c>
      <c r="F2173" s="6" t="s">
        <v>8012</v>
      </c>
      <c r="G2173" s="6" t="s">
        <v>16</v>
      </c>
      <c r="H2173" s="6" t="s">
        <v>28</v>
      </c>
      <c r="I2173" s="6" t="s">
        <v>1200</v>
      </c>
      <c r="J2173" s="6" t="s">
        <v>35</v>
      </c>
      <c r="K2173" s="7">
        <v>30.061532</v>
      </c>
      <c r="L2173" s="7">
        <v>-95.515242000000001</v>
      </c>
      <c r="M2173" s="6" t="s">
        <v>279</v>
      </c>
      <c r="N2173" s="6" t="s">
        <v>24</v>
      </c>
      <c r="O2173" s="6" t="s">
        <v>23</v>
      </c>
    </row>
    <row r="2174" spans="1:15" x14ac:dyDescent="0.25">
      <c r="A2174" s="6" t="s">
        <v>8011</v>
      </c>
      <c r="B2174" s="6" t="s">
        <v>8010</v>
      </c>
      <c r="C2174" s="6" t="s">
        <v>31</v>
      </c>
      <c r="E2174" s="6" t="s">
        <v>8009</v>
      </c>
      <c r="F2174" s="6" t="s">
        <v>8008</v>
      </c>
      <c r="G2174" s="6" t="s">
        <v>16</v>
      </c>
      <c r="H2174" s="6" t="s">
        <v>28</v>
      </c>
      <c r="I2174" s="6" t="s">
        <v>60</v>
      </c>
      <c r="J2174" s="6" t="s">
        <v>1861</v>
      </c>
      <c r="K2174" s="7">
        <v>30.596389739999999</v>
      </c>
      <c r="L2174" s="7">
        <v>-96.248847670000004</v>
      </c>
      <c r="M2174" s="6" t="s">
        <v>927</v>
      </c>
      <c r="N2174" s="6" t="s">
        <v>23</v>
      </c>
      <c r="O2174" s="6" t="s">
        <v>120</v>
      </c>
    </row>
    <row r="2175" spans="1:15" x14ac:dyDescent="0.25">
      <c r="A2175" s="6" t="s">
        <v>8007</v>
      </c>
      <c r="B2175" s="6" t="s">
        <v>8006</v>
      </c>
      <c r="C2175" s="6" t="s">
        <v>31</v>
      </c>
      <c r="E2175" s="6" t="s">
        <v>8005</v>
      </c>
      <c r="F2175" s="6" t="s">
        <v>8004</v>
      </c>
      <c r="G2175" s="6" t="s">
        <v>16</v>
      </c>
      <c r="H2175" s="6" t="s">
        <v>28</v>
      </c>
      <c r="I2175" s="6" t="s">
        <v>73</v>
      </c>
      <c r="J2175" s="6" t="s">
        <v>810</v>
      </c>
      <c r="K2175" s="7">
        <v>31.123391250000001</v>
      </c>
      <c r="L2175" s="7">
        <v>-94.109271980000003</v>
      </c>
      <c r="M2175" s="6" t="s">
        <v>644</v>
      </c>
      <c r="N2175" s="6" t="s">
        <v>52</v>
      </c>
      <c r="O2175" s="6" t="s">
        <v>24</v>
      </c>
    </row>
    <row r="2176" spans="1:15" x14ac:dyDescent="0.25">
      <c r="A2176" s="6" t="s">
        <v>8027</v>
      </c>
      <c r="B2176" s="6" t="s">
        <v>8026</v>
      </c>
      <c r="C2176" s="6" t="s">
        <v>31</v>
      </c>
      <c r="E2176" s="6" t="s">
        <v>8025</v>
      </c>
      <c r="F2176" s="6" t="s">
        <v>8024</v>
      </c>
      <c r="G2176" s="6" t="s">
        <v>16</v>
      </c>
      <c r="H2176" s="6" t="s">
        <v>28</v>
      </c>
      <c r="I2176" s="6" t="s">
        <v>60</v>
      </c>
      <c r="J2176" s="6" t="s">
        <v>1752</v>
      </c>
      <c r="K2176" s="7">
        <v>30.707483</v>
      </c>
      <c r="L2176" s="7">
        <v>-95.176181999999997</v>
      </c>
      <c r="M2176" s="6" t="s">
        <v>317</v>
      </c>
      <c r="N2176" s="6" t="s">
        <v>102</v>
      </c>
      <c r="O2176" s="6" t="s">
        <v>24</v>
      </c>
    </row>
    <row r="2177" spans="1:15" x14ac:dyDescent="0.25">
      <c r="A2177" s="6" t="s">
        <v>8346</v>
      </c>
      <c r="B2177" s="6" t="s">
        <v>8345</v>
      </c>
      <c r="C2177" s="6" t="s">
        <v>31</v>
      </c>
      <c r="E2177" s="6" t="s">
        <v>8344</v>
      </c>
      <c r="F2177" s="6" t="s">
        <v>8343</v>
      </c>
      <c r="G2177" s="6" t="s">
        <v>16</v>
      </c>
      <c r="H2177" s="6" t="s">
        <v>28</v>
      </c>
      <c r="I2177" s="6" t="s">
        <v>27</v>
      </c>
      <c r="J2177" s="6" t="s">
        <v>67</v>
      </c>
      <c r="K2177" s="7">
        <v>32.2025285</v>
      </c>
      <c r="L2177" s="7">
        <v>-95.335899209999994</v>
      </c>
      <c r="M2177" s="6" t="s">
        <v>203</v>
      </c>
      <c r="N2177" s="6" t="s">
        <v>52</v>
      </c>
      <c r="O2177" s="6" t="s">
        <v>65</v>
      </c>
    </row>
    <row r="2178" spans="1:15" x14ac:dyDescent="0.25">
      <c r="A2178" s="6" t="s">
        <v>8023</v>
      </c>
      <c r="B2178" s="6" t="s">
        <v>8022</v>
      </c>
      <c r="C2178" s="6" t="s">
        <v>31</v>
      </c>
      <c r="E2178" s="6" t="s">
        <v>8021</v>
      </c>
      <c r="F2178" s="6" t="s">
        <v>8020</v>
      </c>
      <c r="G2178" s="6" t="s">
        <v>16</v>
      </c>
      <c r="H2178" s="6" t="s">
        <v>28</v>
      </c>
      <c r="I2178" s="6" t="s">
        <v>46</v>
      </c>
      <c r="J2178" s="6" t="s">
        <v>318</v>
      </c>
      <c r="K2178" s="7">
        <v>30.707793349999999</v>
      </c>
      <c r="L2178" s="7">
        <v>-95.034913410000001</v>
      </c>
      <c r="M2178" s="6" t="s">
        <v>317</v>
      </c>
      <c r="N2178" s="6" t="s">
        <v>102</v>
      </c>
      <c r="O2178" s="6" t="s">
        <v>24</v>
      </c>
    </row>
    <row r="2179" spans="1:15" x14ac:dyDescent="0.25">
      <c r="A2179" s="6" t="s">
        <v>2990</v>
      </c>
      <c r="B2179" s="6" t="s">
        <v>2989</v>
      </c>
      <c r="C2179" s="6" t="s">
        <v>31</v>
      </c>
      <c r="E2179" s="6" t="s">
        <v>2988</v>
      </c>
      <c r="F2179" s="6" t="s">
        <v>2984</v>
      </c>
      <c r="G2179" s="6" t="s">
        <v>16</v>
      </c>
      <c r="H2179" s="6" t="s">
        <v>15</v>
      </c>
      <c r="I2179" s="6" t="s">
        <v>14</v>
      </c>
      <c r="J2179" s="6" t="s">
        <v>132</v>
      </c>
      <c r="K2179" s="7">
        <v>29.56692812</v>
      </c>
      <c r="L2179" s="7">
        <v>-95.797030469999996</v>
      </c>
      <c r="M2179" s="6" t="s">
        <v>355</v>
      </c>
      <c r="N2179" s="6" t="s">
        <v>23</v>
      </c>
      <c r="O2179" s="6" t="s">
        <v>23</v>
      </c>
    </row>
    <row r="2180" spans="1:15" x14ac:dyDescent="0.25">
      <c r="A2180" s="6" t="s">
        <v>2299</v>
      </c>
      <c r="B2180" s="6" t="s">
        <v>2298</v>
      </c>
      <c r="C2180" s="6" t="s">
        <v>31</v>
      </c>
      <c r="E2180" s="6" t="s">
        <v>2297</v>
      </c>
      <c r="F2180" s="6" t="s">
        <v>2296</v>
      </c>
      <c r="G2180" s="6" t="s">
        <v>16</v>
      </c>
      <c r="H2180" s="6" t="s">
        <v>28</v>
      </c>
      <c r="I2180" s="6" t="s">
        <v>60</v>
      </c>
      <c r="J2180" s="6" t="s">
        <v>132</v>
      </c>
      <c r="K2180" s="7">
        <v>29.448162979999999</v>
      </c>
      <c r="L2180" s="7">
        <v>-95.992558340000002</v>
      </c>
      <c r="M2180" s="6" t="s">
        <v>1063</v>
      </c>
      <c r="N2180" s="6" t="s">
        <v>231</v>
      </c>
      <c r="O2180" s="6" t="s">
        <v>23</v>
      </c>
    </row>
    <row r="2181" spans="1:15" x14ac:dyDescent="0.25">
      <c r="A2181" s="6" t="s">
        <v>7696</v>
      </c>
      <c r="B2181" s="6" t="s">
        <v>7695</v>
      </c>
      <c r="C2181" s="6" t="s">
        <v>31</v>
      </c>
      <c r="E2181" s="6" t="s">
        <v>7694</v>
      </c>
      <c r="F2181" s="6" t="s">
        <v>7693</v>
      </c>
      <c r="G2181" s="6" t="s">
        <v>16</v>
      </c>
      <c r="H2181" s="6" t="s">
        <v>15</v>
      </c>
      <c r="I2181" s="6" t="s">
        <v>14</v>
      </c>
      <c r="J2181" s="6" t="s">
        <v>132</v>
      </c>
      <c r="K2181" s="7">
        <v>29.728849530000002</v>
      </c>
      <c r="L2181" s="7">
        <v>-95.762811380000002</v>
      </c>
      <c r="M2181" s="6" t="s">
        <v>131</v>
      </c>
      <c r="N2181" s="6" t="s">
        <v>24</v>
      </c>
      <c r="O2181" s="6" t="s">
        <v>23</v>
      </c>
    </row>
    <row r="2182" spans="1:15" x14ac:dyDescent="0.25">
      <c r="A2182" s="6" t="s">
        <v>8342</v>
      </c>
      <c r="B2182" s="6" t="s">
        <v>8341</v>
      </c>
      <c r="C2182" s="6" t="s">
        <v>31</v>
      </c>
      <c r="E2182" s="6" t="s">
        <v>8340</v>
      </c>
      <c r="F2182" s="6" t="s">
        <v>7693</v>
      </c>
      <c r="G2182" s="6" t="s">
        <v>16</v>
      </c>
      <c r="H2182" s="6" t="s">
        <v>28</v>
      </c>
      <c r="I2182" s="6" t="s">
        <v>27</v>
      </c>
      <c r="J2182" s="6" t="s">
        <v>132</v>
      </c>
      <c r="K2182" s="7">
        <v>29.713893970000001</v>
      </c>
      <c r="L2182" s="7">
        <v>-95.738293839999997</v>
      </c>
      <c r="M2182" s="6" t="s">
        <v>131</v>
      </c>
      <c r="N2182" s="6" t="s">
        <v>24</v>
      </c>
      <c r="O2182" s="6" t="s">
        <v>23</v>
      </c>
    </row>
    <row r="2183" spans="1:15" x14ac:dyDescent="0.25">
      <c r="A2183" s="6" t="s">
        <v>780</v>
      </c>
      <c r="B2183" s="6" t="s">
        <v>779</v>
      </c>
      <c r="C2183" s="6" t="s">
        <v>31</v>
      </c>
      <c r="E2183" s="6" t="s">
        <v>778</v>
      </c>
      <c r="F2183" s="6" t="s">
        <v>777</v>
      </c>
      <c r="G2183" s="6" t="s">
        <v>16</v>
      </c>
      <c r="H2183" s="6" t="s">
        <v>15</v>
      </c>
      <c r="I2183" s="6" t="s">
        <v>14</v>
      </c>
      <c r="J2183" s="6" t="s">
        <v>776</v>
      </c>
      <c r="K2183" s="7">
        <v>32.85523414</v>
      </c>
      <c r="L2183" s="7">
        <v>-98.418578049999994</v>
      </c>
      <c r="M2183" s="6" t="s">
        <v>775</v>
      </c>
      <c r="N2183" s="6" t="s">
        <v>23</v>
      </c>
      <c r="O2183" s="6" t="s">
        <v>42</v>
      </c>
    </row>
    <row r="2184" spans="1:15" x14ac:dyDescent="0.25">
      <c r="A2184" s="6" t="s">
        <v>8039</v>
      </c>
      <c r="B2184" s="6" t="s">
        <v>8038</v>
      </c>
      <c r="C2184" s="6" t="s">
        <v>31</v>
      </c>
      <c r="E2184" s="6" t="s">
        <v>8037</v>
      </c>
      <c r="F2184" s="6" t="s">
        <v>8036</v>
      </c>
      <c r="G2184" s="6" t="s">
        <v>16</v>
      </c>
      <c r="H2184" s="6" t="s">
        <v>28</v>
      </c>
      <c r="I2184" s="6" t="s">
        <v>60</v>
      </c>
      <c r="J2184" s="6" t="s">
        <v>3151</v>
      </c>
      <c r="K2184" s="7">
        <v>31.14967978</v>
      </c>
      <c r="L2184" s="7">
        <v>-93.993770859999998</v>
      </c>
      <c r="M2184" s="6" t="s">
        <v>644</v>
      </c>
      <c r="N2184" s="6" t="s">
        <v>52</v>
      </c>
      <c r="O2184" s="6" t="s">
        <v>24</v>
      </c>
    </row>
    <row r="2185" spans="1:15" x14ac:dyDescent="0.25">
      <c r="A2185" s="6" t="s">
        <v>10279</v>
      </c>
      <c r="B2185" s="6" t="s">
        <v>5146</v>
      </c>
      <c r="C2185" s="6" t="s">
        <v>19</v>
      </c>
      <c r="E2185" s="6" t="s">
        <v>5145</v>
      </c>
      <c r="F2185" s="6" t="s">
        <v>5144</v>
      </c>
      <c r="G2185" s="6" t="s">
        <v>16</v>
      </c>
      <c r="H2185" s="6" t="s">
        <v>15</v>
      </c>
      <c r="I2185" s="6" t="s">
        <v>14</v>
      </c>
      <c r="J2185" s="6" t="s">
        <v>1787</v>
      </c>
      <c r="K2185" s="7">
        <v>32.583377519999999</v>
      </c>
      <c r="L2185" s="7">
        <v>-95.845578270000004</v>
      </c>
      <c r="M2185" s="6" t="s">
        <v>423</v>
      </c>
      <c r="N2185" s="6" t="s">
        <v>65</v>
      </c>
      <c r="O2185" s="6" t="s">
        <v>65</v>
      </c>
    </row>
    <row r="2186" spans="1:15" x14ac:dyDescent="0.25">
      <c r="A2186" s="6" t="s">
        <v>5147</v>
      </c>
      <c r="B2186" s="6" t="s">
        <v>5146</v>
      </c>
      <c r="C2186" s="6" t="s">
        <v>436</v>
      </c>
      <c r="E2186" s="6" t="s">
        <v>5145</v>
      </c>
      <c r="F2186" s="6" t="s">
        <v>5144</v>
      </c>
      <c r="G2186" s="6" t="s">
        <v>284</v>
      </c>
      <c r="H2186" s="6" t="s">
        <v>15</v>
      </c>
      <c r="I2186" s="6" t="s">
        <v>14</v>
      </c>
      <c r="J2186" s="6" t="s">
        <v>1787</v>
      </c>
      <c r="K2186" s="7">
        <v>32.538718379999999</v>
      </c>
      <c r="L2186" s="7">
        <v>-95.847222959999996</v>
      </c>
      <c r="M2186" s="6" t="s">
        <v>423</v>
      </c>
      <c r="N2186" s="6" t="s">
        <v>65</v>
      </c>
      <c r="O2186" s="6" t="s">
        <v>65</v>
      </c>
    </row>
    <row r="2187" spans="1:15" x14ac:dyDescent="0.25">
      <c r="A2187" s="6" t="s">
        <v>3788</v>
      </c>
      <c r="B2187" s="6" t="s">
        <v>3787</v>
      </c>
      <c r="C2187" s="6" t="s">
        <v>31</v>
      </c>
      <c r="E2187" s="6" t="s">
        <v>3786</v>
      </c>
      <c r="F2187" s="6" t="s">
        <v>3785</v>
      </c>
      <c r="G2187" s="6" t="s">
        <v>16</v>
      </c>
      <c r="H2187" s="6" t="s">
        <v>28</v>
      </c>
      <c r="I2187" s="6" t="s">
        <v>27</v>
      </c>
      <c r="J2187" s="6" t="s">
        <v>35</v>
      </c>
      <c r="K2187" s="7">
        <v>29.906020999999999</v>
      </c>
      <c r="L2187" s="7">
        <v>-95.424794000000006</v>
      </c>
      <c r="M2187" s="6" t="s">
        <v>34</v>
      </c>
      <c r="N2187" s="6" t="s">
        <v>24</v>
      </c>
      <c r="O2187" s="6" t="s">
        <v>23</v>
      </c>
    </row>
    <row r="2188" spans="1:15" x14ac:dyDescent="0.25">
      <c r="A2188" s="6" t="s">
        <v>787</v>
      </c>
      <c r="B2188" s="6" t="s">
        <v>784</v>
      </c>
      <c r="C2188" s="6" t="s">
        <v>31</v>
      </c>
      <c r="E2188" s="6" t="s">
        <v>783</v>
      </c>
      <c r="F2188" s="6" t="s">
        <v>782</v>
      </c>
      <c r="G2188" s="6" t="s">
        <v>16</v>
      </c>
      <c r="H2188" s="6" t="s">
        <v>15</v>
      </c>
      <c r="I2188" s="6" t="s">
        <v>46</v>
      </c>
      <c r="J2188" s="6" t="s">
        <v>781</v>
      </c>
      <c r="K2188" s="7">
        <v>32.576563</v>
      </c>
      <c r="L2188" s="7">
        <v>-94.368850480000006</v>
      </c>
      <c r="M2188" s="6" t="s">
        <v>662</v>
      </c>
      <c r="N2188" s="6" t="s">
        <v>42</v>
      </c>
      <c r="O2188" s="6" t="s">
        <v>65</v>
      </c>
    </row>
    <row r="2189" spans="1:15" x14ac:dyDescent="0.25">
      <c r="A2189" s="6" t="s">
        <v>786</v>
      </c>
      <c r="B2189" s="6" t="s">
        <v>784</v>
      </c>
      <c r="C2189" s="6" t="s">
        <v>19</v>
      </c>
      <c r="E2189" s="6" t="s">
        <v>783</v>
      </c>
      <c r="F2189" s="6" t="s">
        <v>782</v>
      </c>
      <c r="G2189" s="6" t="s">
        <v>16</v>
      </c>
      <c r="H2189" s="6" t="s">
        <v>15</v>
      </c>
      <c r="I2189" s="6" t="s">
        <v>46</v>
      </c>
      <c r="J2189" s="6" t="s">
        <v>781</v>
      </c>
      <c r="K2189" s="7">
        <v>32.581263890000002</v>
      </c>
      <c r="L2189" s="7">
        <v>-94.377527779999994</v>
      </c>
      <c r="M2189" s="6" t="s">
        <v>662</v>
      </c>
      <c r="N2189" s="6" t="s">
        <v>42</v>
      </c>
      <c r="O2189" s="6" t="s">
        <v>65</v>
      </c>
    </row>
    <row r="2190" spans="1:15" x14ac:dyDescent="0.25">
      <c r="A2190" s="6" t="s">
        <v>785</v>
      </c>
      <c r="B2190" s="6" t="s">
        <v>784</v>
      </c>
      <c r="C2190" s="6" t="s">
        <v>597</v>
      </c>
      <c r="E2190" s="6" t="s">
        <v>783</v>
      </c>
      <c r="F2190" s="6" t="s">
        <v>782</v>
      </c>
      <c r="G2190" s="6" t="s">
        <v>16</v>
      </c>
      <c r="H2190" s="6" t="s">
        <v>15</v>
      </c>
      <c r="I2190" s="6" t="s">
        <v>46</v>
      </c>
      <c r="J2190" s="6" t="s">
        <v>781</v>
      </c>
      <c r="K2190" s="7">
        <v>32.578688890000002</v>
      </c>
      <c r="L2190" s="7">
        <v>-94.366488889999999</v>
      </c>
      <c r="M2190" s="6" t="s">
        <v>662</v>
      </c>
      <c r="N2190" s="6" t="s">
        <v>42</v>
      </c>
      <c r="O2190" s="6" t="s">
        <v>65</v>
      </c>
    </row>
    <row r="2191" spans="1:15" x14ac:dyDescent="0.25">
      <c r="A2191" s="6" t="s">
        <v>7156</v>
      </c>
      <c r="B2191" s="6" t="s">
        <v>7155</v>
      </c>
      <c r="C2191" s="6" t="s">
        <v>31</v>
      </c>
      <c r="E2191" s="6" t="s">
        <v>7154</v>
      </c>
      <c r="F2191" s="6" t="s">
        <v>7153</v>
      </c>
      <c r="G2191" s="6" t="s">
        <v>16</v>
      </c>
      <c r="H2191" s="6" t="s">
        <v>15</v>
      </c>
      <c r="I2191" s="6" t="s">
        <v>46</v>
      </c>
      <c r="J2191" s="6" t="s">
        <v>548</v>
      </c>
      <c r="K2191" s="7">
        <v>33.432507999999999</v>
      </c>
      <c r="L2191" s="7">
        <v>-94.102906000000004</v>
      </c>
      <c r="M2191" s="6" t="s">
        <v>1051</v>
      </c>
      <c r="N2191" s="6" t="s">
        <v>95</v>
      </c>
      <c r="O2191" s="6" t="s">
        <v>65</v>
      </c>
    </row>
    <row r="2192" spans="1:15" x14ac:dyDescent="0.25">
      <c r="A2192" s="6" t="s">
        <v>11268</v>
      </c>
      <c r="B2192" s="6" t="s">
        <v>11267</v>
      </c>
      <c r="C2192" s="6" t="s">
        <v>31</v>
      </c>
      <c r="E2192" s="6" t="s">
        <v>11266</v>
      </c>
      <c r="F2192" s="6" t="s">
        <v>11265</v>
      </c>
      <c r="G2192" s="6" t="s">
        <v>16</v>
      </c>
      <c r="H2192" s="6" t="s">
        <v>15</v>
      </c>
      <c r="I2192" s="6" t="s">
        <v>14</v>
      </c>
      <c r="J2192" s="6" t="s">
        <v>132</v>
      </c>
      <c r="K2192" s="7">
        <v>29.6151628</v>
      </c>
      <c r="L2192" s="7">
        <v>-95.520278070000003</v>
      </c>
      <c r="M2192" s="6" t="s">
        <v>866</v>
      </c>
      <c r="N2192" s="6" t="s">
        <v>24</v>
      </c>
      <c r="O2192" s="6" t="s">
        <v>23</v>
      </c>
    </row>
    <row r="2193" spans="1:15" x14ac:dyDescent="0.25">
      <c r="A2193" s="6" t="s">
        <v>9239</v>
      </c>
      <c r="B2193" s="6" t="s">
        <v>9238</v>
      </c>
      <c r="C2193" s="6" t="s">
        <v>31</v>
      </c>
      <c r="E2193" s="6" t="s">
        <v>9237</v>
      </c>
      <c r="F2193" s="6" t="s">
        <v>9236</v>
      </c>
      <c r="G2193" s="6" t="s">
        <v>16</v>
      </c>
      <c r="H2193" s="6" t="s">
        <v>28</v>
      </c>
      <c r="I2193" s="6" t="s">
        <v>27</v>
      </c>
      <c r="J2193" s="6" t="s">
        <v>35</v>
      </c>
      <c r="K2193" s="7">
        <v>29.922739</v>
      </c>
      <c r="L2193" s="7">
        <v>-95.043227999999999</v>
      </c>
      <c r="M2193" s="6" t="s">
        <v>716</v>
      </c>
      <c r="N2193" s="6" t="s">
        <v>24</v>
      </c>
      <c r="O2193" s="6" t="s">
        <v>23</v>
      </c>
    </row>
    <row r="2194" spans="1:15" x14ac:dyDescent="0.25">
      <c r="A2194" s="6" t="s">
        <v>9624</v>
      </c>
      <c r="B2194" s="6" t="s">
        <v>9623</v>
      </c>
      <c r="C2194" s="6" t="s">
        <v>31</v>
      </c>
      <c r="E2194" s="6" t="s">
        <v>9622</v>
      </c>
      <c r="F2194" s="6" t="s">
        <v>9621</v>
      </c>
      <c r="G2194" s="6" t="s">
        <v>16</v>
      </c>
      <c r="H2194" s="6" t="s">
        <v>28</v>
      </c>
      <c r="I2194" s="6" t="s">
        <v>27</v>
      </c>
      <c r="J2194" s="6" t="s">
        <v>904</v>
      </c>
      <c r="K2194" s="7">
        <v>32.751618460000003</v>
      </c>
      <c r="L2194" s="7">
        <v>-97.664030600000004</v>
      </c>
      <c r="M2194" s="6" t="s">
        <v>2400</v>
      </c>
      <c r="N2194" s="6" t="s">
        <v>102</v>
      </c>
      <c r="O2194" s="6" t="s">
        <v>42</v>
      </c>
    </row>
    <row r="2195" spans="1:15" x14ac:dyDescent="0.25">
      <c r="A2195" s="6" t="s">
        <v>8324</v>
      </c>
      <c r="B2195" s="6" t="s">
        <v>8323</v>
      </c>
      <c r="C2195" s="6" t="s">
        <v>31</v>
      </c>
      <c r="E2195" s="6" t="s">
        <v>8322</v>
      </c>
      <c r="F2195" s="6" t="s">
        <v>8321</v>
      </c>
      <c r="G2195" s="6" t="s">
        <v>16</v>
      </c>
      <c r="H2195" s="6" t="s">
        <v>28</v>
      </c>
      <c r="I2195" s="6" t="s">
        <v>14</v>
      </c>
      <c r="J2195" s="6" t="s">
        <v>1064</v>
      </c>
      <c r="K2195" s="7">
        <v>29.400933259999999</v>
      </c>
      <c r="L2195" s="7">
        <v>-96.081674559999996</v>
      </c>
      <c r="M2195" s="6" t="s">
        <v>1063</v>
      </c>
      <c r="N2195" s="6" t="s">
        <v>231</v>
      </c>
      <c r="O2195" s="6" t="s">
        <v>23</v>
      </c>
    </row>
    <row r="2196" spans="1:15" x14ac:dyDescent="0.25">
      <c r="A2196" s="6" t="s">
        <v>8320</v>
      </c>
      <c r="B2196" s="6" t="s">
        <v>8319</v>
      </c>
      <c r="C2196" s="6" t="s">
        <v>31</v>
      </c>
      <c r="E2196" s="6" t="s">
        <v>8318</v>
      </c>
      <c r="F2196" s="6" t="s">
        <v>8317</v>
      </c>
      <c r="G2196" s="6" t="s">
        <v>16</v>
      </c>
      <c r="H2196" s="6" t="s">
        <v>28</v>
      </c>
      <c r="I2196" s="6" t="s">
        <v>27</v>
      </c>
      <c r="J2196" s="6" t="s">
        <v>132</v>
      </c>
      <c r="K2196" s="7">
        <v>29.713107000000001</v>
      </c>
      <c r="L2196" s="7">
        <v>-95.749737999999994</v>
      </c>
      <c r="M2196" s="6" t="s">
        <v>131</v>
      </c>
      <c r="N2196" s="6" t="s">
        <v>24</v>
      </c>
      <c r="O2196" s="6" t="s">
        <v>23</v>
      </c>
    </row>
    <row r="2197" spans="1:15" x14ac:dyDescent="0.25">
      <c r="A2197" s="6" t="s">
        <v>8339</v>
      </c>
      <c r="B2197" s="6" t="s">
        <v>8338</v>
      </c>
      <c r="C2197" s="6" t="s">
        <v>31</v>
      </c>
      <c r="E2197" s="6" t="s">
        <v>8337</v>
      </c>
      <c r="F2197" s="6" t="s">
        <v>8336</v>
      </c>
      <c r="G2197" s="6" t="s">
        <v>16</v>
      </c>
      <c r="H2197" s="6" t="s">
        <v>28</v>
      </c>
      <c r="I2197" s="6" t="s">
        <v>60</v>
      </c>
      <c r="J2197" s="6" t="s">
        <v>1074</v>
      </c>
      <c r="K2197" s="7">
        <v>29.8346737</v>
      </c>
      <c r="L2197" s="7">
        <v>-96.126572499999995</v>
      </c>
      <c r="M2197" s="6" t="s">
        <v>355</v>
      </c>
      <c r="N2197" s="6" t="s">
        <v>23</v>
      </c>
      <c r="O2197" s="6" t="s">
        <v>23</v>
      </c>
    </row>
    <row r="2198" spans="1:15" x14ac:dyDescent="0.25">
      <c r="A2198" s="6" t="s">
        <v>5380</v>
      </c>
      <c r="B2198" s="6" t="s">
        <v>5379</v>
      </c>
      <c r="C2198" s="6" t="s">
        <v>31</v>
      </c>
      <c r="E2198" s="6" t="s">
        <v>5378</v>
      </c>
      <c r="F2198" s="6" t="s">
        <v>5377</v>
      </c>
      <c r="G2198" s="6" t="s">
        <v>16</v>
      </c>
      <c r="H2198" s="6" t="s">
        <v>28</v>
      </c>
      <c r="I2198" s="6" t="s">
        <v>27</v>
      </c>
      <c r="J2198" s="6" t="s">
        <v>461</v>
      </c>
      <c r="K2198" s="7">
        <v>32.984936859999998</v>
      </c>
      <c r="L2198" s="7">
        <v>-95.939442920000005</v>
      </c>
      <c r="M2198" s="6" t="s">
        <v>109</v>
      </c>
      <c r="N2198" s="6" t="s">
        <v>65</v>
      </c>
      <c r="O2198" s="6" t="s">
        <v>42</v>
      </c>
    </row>
    <row r="2199" spans="1:15" x14ac:dyDescent="0.25">
      <c r="A2199" s="6" t="s">
        <v>8327</v>
      </c>
      <c r="B2199" s="6" t="s">
        <v>8326</v>
      </c>
      <c r="C2199" s="6" t="s">
        <v>31</v>
      </c>
      <c r="E2199" s="6" t="s">
        <v>8325</v>
      </c>
      <c r="F2199" s="6" t="s">
        <v>2927</v>
      </c>
      <c r="G2199" s="6" t="s">
        <v>16</v>
      </c>
      <c r="H2199" s="6" t="s">
        <v>15</v>
      </c>
      <c r="I2199" s="6" t="s">
        <v>14</v>
      </c>
      <c r="J2199" s="6" t="s">
        <v>132</v>
      </c>
      <c r="K2199" s="7">
        <v>29.693870270000001</v>
      </c>
      <c r="L2199" s="7">
        <v>-95.765275090000003</v>
      </c>
      <c r="M2199" s="6" t="s">
        <v>131</v>
      </c>
      <c r="N2199" s="6" t="s">
        <v>24</v>
      </c>
      <c r="O2199" s="6" t="s">
        <v>23</v>
      </c>
    </row>
    <row r="2200" spans="1:15" x14ac:dyDescent="0.25">
      <c r="A2200" s="6" t="s">
        <v>10895</v>
      </c>
      <c r="B2200" s="6" t="s">
        <v>10894</v>
      </c>
      <c r="C2200" s="6" t="s">
        <v>31</v>
      </c>
      <c r="E2200" s="6" t="s">
        <v>10893</v>
      </c>
      <c r="F2200" s="6" t="s">
        <v>10892</v>
      </c>
      <c r="G2200" s="6" t="s">
        <v>16</v>
      </c>
      <c r="H2200" s="6" t="s">
        <v>15</v>
      </c>
      <c r="I2200" s="6" t="s">
        <v>36</v>
      </c>
      <c r="J2200" s="6" t="s">
        <v>35</v>
      </c>
      <c r="K2200" s="7">
        <v>29.903587250000001</v>
      </c>
      <c r="L2200" s="7">
        <v>-95.661508370000007</v>
      </c>
      <c r="M2200" s="6" t="s">
        <v>131</v>
      </c>
      <c r="N2200" s="6" t="s">
        <v>24</v>
      </c>
      <c r="O2200" s="6" t="s">
        <v>23</v>
      </c>
    </row>
    <row r="2201" spans="1:15" x14ac:dyDescent="0.25">
      <c r="A2201" s="6" t="s">
        <v>5633</v>
      </c>
      <c r="B2201" s="6" t="s">
        <v>5632</v>
      </c>
      <c r="C2201" s="6" t="s">
        <v>31</v>
      </c>
      <c r="E2201" s="6" t="s">
        <v>5631</v>
      </c>
      <c r="F2201" s="6" t="s">
        <v>5630</v>
      </c>
      <c r="G2201" s="6" t="s">
        <v>16</v>
      </c>
      <c r="H2201" s="6" t="s">
        <v>15</v>
      </c>
      <c r="I2201" s="6" t="s">
        <v>14</v>
      </c>
      <c r="J2201" s="6" t="s">
        <v>1519</v>
      </c>
      <c r="K2201" s="7">
        <v>30.035707550000001</v>
      </c>
      <c r="L2201" s="7">
        <v>-94.896241070000002</v>
      </c>
      <c r="M2201" s="6" t="s">
        <v>2055</v>
      </c>
      <c r="N2201" s="6" t="s">
        <v>102</v>
      </c>
      <c r="O2201" s="6" t="s">
        <v>23</v>
      </c>
    </row>
    <row r="2202" spans="1:15" x14ac:dyDescent="0.25">
      <c r="A2202" s="6" t="s">
        <v>3700</v>
      </c>
      <c r="B2202" s="6" t="s">
        <v>3699</v>
      </c>
      <c r="C2202" s="6" t="s">
        <v>31</v>
      </c>
      <c r="E2202" s="6" t="s">
        <v>3698</v>
      </c>
      <c r="F2202" s="6" t="s">
        <v>3697</v>
      </c>
      <c r="G2202" s="6" t="s">
        <v>16</v>
      </c>
      <c r="H2202" s="6" t="s">
        <v>28</v>
      </c>
      <c r="I2202" s="6" t="s">
        <v>73</v>
      </c>
      <c r="J2202" s="6" t="s">
        <v>781</v>
      </c>
      <c r="K2202" s="7">
        <v>32.55774564</v>
      </c>
      <c r="L2202" s="7">
        <v>-94.400196089999994</v>
      </c>
      <c r="M2202" s="6" t="s">
        <v>1218</v>
      </c>
      <c r="N2202" s="6" t="s">
        <v>65</v>
      </c>
      <c r="O2202" s="6" t="s">
        <v>65</v>
      </c>
    </row>
    <row r="2203" spans="1:15" x14ac:dyDescent="0.25">
      <c r="A2203" s="6" t="s">
        <v>774</v>
      </c>
      <c r="B2203" s="6" t="s">
        <v>773</v>
      </c>
      <c r="C2203" s="6" t="s">
        <v>31</v>
      </c>
      <c r="E2203" s="6" t="s">
        <v>772</v>
      </c>
      <c r="F2203" s="6" t="s">
        <v>771</v>
      </c>
      <c r="G2203" s="6" t="s">
        <v>16</v>
      </c>
      <c r="H2203" s="6" t="s">
        <v>15</v>
      </c>
      <c r="I2203" s="6" t="s">
        <v>46</v>
      </c>
      <c r="J2203" s="6" t="s">
        <v>90</v>
      </c>
      <c r="K2203" s="7">
        <v>25.97610053</v>
      </c>
      <c r="L2203" s="7">
        <v>-97.334819469999999</v>
      </c>
      <c r="M2203" s="6" t="s">
        <v>770</v>
      </c>
      <c r="N2203" s="6" t="s">
        <v>11</v>
      </c>
      <c r="O2203" s="6" t="s">
        <v>22</v>
      </c>
    </row>
    <row r="2204" spans="1:15" x14ac:dyDescent="0.25">
      <c r="A2204" s="6" t="s">
        <v>8312</v>
      </c>
      <c r="B2204" s="6" t="s">
        <v>8311</v>
      </c>
      <c r="C2204" s="6" t="s">
        <v>31</v>
      </c>
      <c r="E2204" s="6" t="s">
        <v>8310</v>
      </c>
      <c r="F2204" s="6" t="s">
        <v>8309</v>
      </c>
      <c r="G2204" s="6" t="s">
        <v>16</v>
      </c>
      <c r="H2204" s="6" t="s">
        <v>28</v>
      </c>
      <c r="I2204" s="6" t="s">
        <v>60</v>
      </c>
      <c r="J2204" s="6" t="s">
        <v>26</v>
      </c>
      <c r="K2204" s="7">
        <v>30.421710999999998</v>
      </c>
      <c r="L2204" s="7">
        <v>-95.622679000000005</v>
      </c>
      <c r="M2204" s="6" t="s">
        <v>340</v>
      </c>
      <c r="N2204" s="6" t="s">
        <v>24</v>
      </c>
      <c r="O2204" s="6" t="s">
        <v>23</v>
      </c>
    </row>
    <row r="2205" spans="1:15" x14ac:dyDescent="0.25">
      <c r="A2205" s="6" t="s">
        <v>207</v>
      </c>
      <c r="B2205" s="6" t="s">
        <v>206</v>
      </c>
      <c r="C2205" s="6" t="s">
        <v>31</v>
      </c>
      <c r="E2205" s="6" t="s">
        <v>205</v>
      </c>
      <c r="F2205" s="6" t="s">
        <v>204</v>
      </c>
      <c r="G2205" s="6" t="s">
        <v>16</v>
      </c>
      <c r="H2205" s="6" t="s">
        <v>15</v>
      </c>
      <c r="I2205" s="6" t="s">
        <v>46</v>
      </c>
      <c r="J2205" s="6" t="s">
        <v>72</v>
      </c>
      <c r="K2205" s="7">
        <v>31.933788060000001</v>
      </c>
      <c r="L2205" s="7">
        <v>-95.203268980000004</v>
      </c>
      <c r="M2205" s="6" t="s">
        <v>203</v>
      </c>
      <c r="N2205" s="6" t="s">
        <v>52</v>
      </c>
      <c r="O2205" s="6" t="s">
        <v>65</v>
      </c>
    </row>
    <row r="2206" spans="1:15" x14ac:dyDescent="0.25">
      <c r="A2206" s="6" t="s">
        <v>8304</v>
      </c>
      <c r="B2206" s="6" t="s">
        <v>8303</v>
      </c>
      <c r="C2206" s="6" t="s">
        <v>31</v>
      </c>
      <c r="E2206" s="6" t="s">
        <v>8302</v>
      </c>
      <c r="F2206" s="6" t="s">
        <v>895</v>
      </c>
      <c r="G2206" s="6" t="s">
        <v>16</v>
      </c>
      <c r="H2206" s="6" t="s">
        <v>28</v>
      </c>
      <c r="I2206" s="6" t="s">
        <v>14</v>
      </c>
      <c r="J2206" s="6" t="s">
        <v>753</v>
      </c>
      <c r="K2206" s="7">
        <v>30.024132460000001</v>
      </c>
      <c r="L2206" s="7">
        <v>-97.808307040000003</v>
      </c>
      <c r="M2206" s="6" t="s">
        <v>752</v>
      </c>
      <c r="N2206" s="6" t="s">
        <v>559</v>
      </c>
      <c r="O2206" s="6" t="s">
        <v>160</v>
      </c>
    </row>
    <row r="2207" spans="1:15" x14ac:dyDescent="0.25">
      <c r="A2207" s="6" t="s">
        <v>327</v>
      </c>
      <c r="B2207" s="6" t="s">
        <v>326</v>
      </c>
      <c r="C2207" s="6" t="s">
        <v>31</v>
      </c>
      <c r="E2207" s="6" t="s">
        <v>325</v>
      </c>
      <c r="F2207" s="6" t="s">
        <v>324</v>
      </c>
      <c r="G2207" s="6" t="s">
        <v>16</v>
      </c>
      <c r="H2207" s="6" t="s">
        <v>28</v>
      </c>
      <c r="I2207" s="6" t="s">
        <v>60</v>
      </c>
      <c r="J2207" s="6" t="s">
        <v>323</v>
      </c>
      <c r="K2207" s="7">
        <v>30.914783199999999</v>
      </c>
      <c r="L2207" s="7">
        <v>-94.433123710000004</v>
      </c>
      <c r="M2207" s="6" t="s">
        <v>53</v>
      </c>
      <c r="N2207" s="6" t="s">
        <v>52</v>
      </c>
      <c r="O2207" s="6" t="s">
        <v>24</v>
      </c>
    </row>
    <row r="2208" spans="1:15" x14ac:dyDescent="0.25">
      <c r="A2208" s="6" t="s">
        <v>4130</v>
      </c>
      <c r="B2208" s="6" t="s">
        <v>4129</v>
      </c>
      <c r="C2208" s="6" t="s">
        <v>31</v>
      </c>
      <c r="E2208" s="6" t="s">
        <v>4128</v>
      </c>
      <c r="F2208" s="6" t="s">
        <v>4127</v>
      </c>
      <c r="G2208" s="6" t="s">
        <v>16</v>
      </c>
      <c r="H2208" s="6" t="s">
        <v>28</v>
      </c>
      <c r="I2208" s="6" t="s">
        <v>27</v>
      </c>
      <c r="J2208" s="6" t="s">
        <v>2273</v>
      </c>
      <c r="K2208" s="7">
        <v>31.414985999999999</v>
      </c>
      <c r="L2208" s="7">
        <v>-97.513737000000006</v>
      </c>
      <c r="M2208" s="6" t="s">
        <v>1322</v>
      </c>
      <c r="N2208" s="6" t="s">
        <v>23</v>
      </c>
      <c r="O2208" s="6" t="s">
        <v>120</v>
      </c>
    </row>
    <row r="2209" spans="1:15" x14ac:dyDescent="0.25">
      <c r="A2209" s="6" t="s">
        <v>720</v>
      </c>
      <c r="B2209" s="6" t="s">
        <v>719</v>
      </c>
      <c r="C2209" s="6" t="s">
        <v>31</v>
      </c>
      <c r="E2209" s="6" t="s">
        <v>718</v>
      </c>
      <c r="F2209" s="6" t="s">
        <v>717</v>
      </c>
      <c r="G2209" s="6" t="s">
        <v>16</v>
      </c>
      <c r="H2209" s="6" t="s">
        <v>430</v>
      </c>
      <c r="I2209" s="6" t="s">
        <v>27</v>
      </c>
      <c r="J2209" s="6" t="s">
        <v>35</v>
      </c>
      <c r="K2209" s="7">
        <v>29.814750740000001</v>
      </c>
      <c r="L2209" s="7">
        <v>-95.105932319999994</v>
      </c>
      <c r="M2209" s="6" t="s">
        <v>716</v>
      </c>
      <c r="N2209" s="6" t="s">
        <v>24</v>
      </c>
      <c r="O2209" s="6" t="s">
        <v>23</v>
      </c>
    </row>
    <row r="2210" spans="1:15" x14ac:dyDescent="0.25">
      <c r="A2210" s="6" t="s">
        <v>5572</v>
      </c>
      <c r="B2210" s="6" t="s">
        <v>719</v>
      </c>
      <c r="C2210" s="6" t="s">
        <v>19</v>
      </c>
      <c r="E2210" s="6" t="s">
        <v>718</v>
      </c>
      <c r="F2210" s="6" t="s">
        <v>717</v>
      </c>
      <c r="G2210" s="6" t="s">
        <v>16</v>
      </c>
      <c r="H2210" s="6" t="s">
        <v>15</v>
      </c>
      <c r="I2210" s="6" t="s">
        <v>27</v>
      </c>
      <c r="J2210" s="6" t="s">
        <v>35</v>
      </c>
      <c r="K2210" s="7">
        <v>29.815265539999999</v>
      </c>
      <c r="L2210" s="7">
        <v>-95.092798329999994</v>
      </c>
      <c r="M2210" s="6" t="s">
        <v>716</v>
      </c>
      <c r="N2210" s="6" t="s">
        <v>24</v>
      </c>
      <c r="O2210" s="6" t="s">
        <v>23</v>
      </c>
    </row>
    <row r="2211" spans="1:15" x14ac:dyDescent="0.25">
      <c r="A2211" s="6" t="s">
        <v>4741</v>
      </c>
      <c r="B2211" s="6" t="s">
        <v>4740</v>
      </c>
      <c r="C2211" s="6" t="s">
        <v>31</v>
      </c>
      <c r="E2211" s="6" t="s">
        <v>4739</v>
      </c>
      <c r="F2211" s="6" t="s">
        <v>4738</v>
      </c>
      <c r="G2211" s="6" t="s">
        <v>16</v>
      </c>
      <c r="H2211" s="6" t="s">
        <v>15</v>
      </c>
      <c r="I2211" s="6" t="s">
        <v>14</v>
      </c>
      <c r="J2211" s="6" t="s">
        <v>35</v>
      </c>
      <c r="K2211" s="7">
        <v>29.755903750000002</v>
      </c>
      <c r="L2211" s="7">
        <v>-95.178361100000004</v>
      </c>
      <c r="M2211" s="6" t="s">
        <v>34</v>
      </c>
      <c r="N2211" s="6" t="s">
        <v>24</v>
      </c>
      <c r="O2211" s="6" t="s">
        <v>23</v>
      </c>
    </row>
    <row r="2212" spans="1:15" x14ac:dyDescent="0.25">
      <c r="A2212" s="6" t="s">
        <v>3539</v>
      </c>
      <c r="B2212" s="6" t="s">
        <v>3538</v>
      </c>
      <c r="C2212" s="6" t="s">
        <v>31</v>
      </c>
      <c r="E2212" s="6" t="s">
        <v>3537</v>
      </c>
      <c r="F2212" s="6" t="s">
        <v>3536</v>
      </c>
      <c r="G2212" s="6" t="s">
        <v>16</v>
      </c>
      <c r="H2212" s="6" t="s">
        <v>28</v>
      </c>
      <c r="I2212" s="6" t="s">
        <v>60</v>
      </c>
      <c r="J2212" s="6" t="s">
        <v>67</v>
      </c>
      <c r="K2212" s="7">
        <v>32.245944049999999</v>
      </c>
      <c r="L2212" s="7">
        <v>-95.329931389999999</v>
      </c>
      <c r="M2212" s="6" t="s">
        <v>203</v>
      </c>
      <c r="N2212" s="6" t="s">
        <v>52</v>
      </c>
      <c r="O2212" s="6" t="s">
        <v>65</v>
      </c>
    </row>
    <row r="2213" spans="1:15" x14ac:dyDescent="0.25">
      <c r="A2213" s="6" t="s">
        <v>8293</v>
      </c>
      <c r="B2213" s="6" t="s">
        <v>8292</v>
      </c>
      <c r="C2213" s="6" t="s">
        <v>31</v>
      </c>
      <c r="E2213" s="6" t="s">
        <v>8291</v>
      </c>
      <c r="F2213" s="6" t="s">
        <v>8290</v>
      </c>
      <c r="G2213" s="6" t="s">
        <v>16</v>
      </c>
      <c r="H2213" s="6" t="s">
        <v>28</v>
      </c>
      <c r="I2213" s="6" t="s">
        <v>60</v>
      </c>
      <c r="J2213" s="6" t="s">
        <v>132</v>
      </c>
      <c r="K2213" s="7">
        <v>29.687848760000001</v>
      </c>
      <c r="L2213" s="7">
        <v>-95.906196170000001</v>
      </c>
      <c r="M2213" s="6" t="s">
        <v>355</v>
      </c>
      <c r="N2213" s="6" t="s">
        <v>23</v>
      </c>
      <c r="O2213" s="6" t="s">
        <v>23</v>
      </c>
    </row>
    <row r="2214" spans="1:15" x14ac:dyDescent="0.25">
      <c r="A2214" s="6" t="s">
        <v>11143</v>
      </c>
      <c r="B2214" s="6" t="s">
        <v>11142</v>
      </c>
      <c r="C2214" s="6" t="s">
        <v>31</v>
      </c>
      <c r="E2214" s="6" t="s">
        <v>11141</v>
      </c>
      <c r="F2214" s="6" t="s">
        <v>11140</v>
      </c>
      <c r="G2214" s="6" t="s">
        <v>16</v>
      </c>
      <c r="H2214" s="6" t="s">
        <v>28</v>
      </c>
      <c r="I2214" s="6" t="s">
        <v>60</v>
      </c>
      <c r="J2214" s="6" t="s">
        <v>35</v>
      </c>
      <c r="K2214" s="7">
        <v>29.751016</v>
      </c>
      <c r="L2214" s="7">
        <v>-95.099405000000004</v>
      </c>
      <c r="M2214" s="6" t="s">
        <v>34</v>
      </c>
      <c r="N2214" s="6" t="s">
        <v>24</v>
      </c>
      <c r="O2214" s="6" t="s">
        <v>23</v>
      </c>
    </row>
    <row r="2215" spans="1:15" x14ac:dyDescent="0.25">
      <c r="A2215" s="6" t="s">
        <v>5495</v>
      </c>
      <c r="B2215" s="6" t="s">
        <v>5492</v>
      </c>
      <c r="C2215" s="6" t="s">
        <v>31</v>
      </c>
      <c r="E2215" s="6" t="s">
        <v>5491</v>
      </c>
      <c r="F2215" s="6" t="s">
        <v>5490</v>
      </c>
      <c r="G2215" s="6" t="s">
        <v>16</v>
      </c>
      <c r="H2215" s="6" t="s">
        <v>15</v>
      </c>
      <c r="I2215" s="6" t="s">
        <v>14</v>
      </c>
      <c r="J2215" s="6" t="s">
        <v>3459</v>
      </c>
      <c r="K2215" s="7">
        <v>31.083542139999999</v>
      </c>
      <c r="L2215" s="7">
        <v>-96.692133060000003</v>
      </c>
      <c r="M2215" s="6" t="s">
        <v>121</v>
      </c>
      <c r="N2215" s="6" t="s">
        <v>23</v>
      </c>
      <c r="O2215" s="6" t="s">
        <v>120</v>
      </c>
    </row>
    <row r="2216" spans="1:15" x14ac:dyDescent="0.25">
      <c r="A2216" s="6" t="s">
        <v>5494</v>
      </c>
      <c r="B2216" s="6" t="s">
        <v>5492</v>
      </c>
      <c r="C2216" s="6" t="s">
        <v>19</v>
      </c>
      <c r="E2216" s="6" t="s">
        <v>5491</v>
      </c>
      <c r="F2216" s="6" t="s">
        <v>5490</v>
      </c>
      <c r="G2216" s="6" t="s">
        <v>16</v>
      </c>
      <c r="H2216" s="6" t="s">
        <v>15</v>
      </c>
      <c r="I2216" s="6" t="s">
        <v>14</v>
      </c>
      <c r="J2216" s="6" t="s">
        <v>3459</v>
      </c>
      <c r="K2216" s="7">
        <v>31.09784483</v>
      </c>
      <c r="L2216" s="7">
        <v>-96.692267959999995</v>
      </c>
      <c r="M2216" s="6" t="s">
        <v>121</v>
      </c>
      <c r="N2216" s="6" t="s">
        <v>23</v>
      </c>
      <c r="O2216" s="6" t="s">
        <v>120</v>
      </c>
    </row>
    <row r="2217" spans="1:15" x14ac:dyDescent="0.25">
      <c r="A2217" s="6" t="s">
        <v>5493</v>
      </c>
      <c r="B2217" s="6" t="s">
        <v>5492</v>
      </c>
      <c r="C2217" s="6" t="s">
        <v>436</v>
      </c>
      <c r="E2217" s="6" t="s">
        <v>5491</v>
      </c>
      <c r="F2217" s="6" t="s">
        <v>5490</v>
      </c>
      <c r="G2217" s="6" t="s">
        <v>16</v>
      </c>
      <c r="H2217" s="6" t="s">
        <v>430</v>
      </c>
      <c r="I2217" s="6" t="s">
        <v>14</v>
      </c>
      <c r="J2217" s="6" t="s">
        <v>3459</v>
      </c>
      <c r="K2217" s="7">
        <v>31.097138690000001</v>
      </c>
      <c r="L2217" s="7">
        <v>-96.681923190000006</v>
      </c>
      <c r="M2217" s="6" t="s">
        <v>121</v>
      </c>
      <c r="N2217" s="6" t="s">
        <v>23</v>
      </c>
      <c r="O2217" s="6" t="s">
        <v>120</v>
      </c>
    </row>
    <row r="2218" spans="1:15" x14ac:dyDescent="0.25">
      <c r="A2218" s="6" t="s">
        <v>5935</v>
      </c>
      <c r="B2218" s="6" t="s">
        <v>5492</v>
      </c>
      <c r="C2218" s="6" t="s">
        <v>597</v>
      </c>
      <c r="E2218" s="6" t="s">
        <v>5491</v>
      </c>
      <c r="F2218" s="6" t="s">
        <v>5490</v>
      </c>
      <c r="G2218" s="6" t="s">
        <v>16</v>
      </c>
      <c r="H2218" s="6" t="s">
        <v>430</v>
      </c>
      <c r="I2218" s="6" t="s">
        <v>14</v>
      </c>
      <c r="J2218" s="6" t="s">
        <v>3459</v>
      </c>
      <c r="K2218" s="7">
        <v>31.099144450000001</v>
      </c>
      <c r="L2218" s="7">
        <v>-96.682516669999998</v>
      </c>
      <c r="M2218" s="6" t="s">
        <v>121</v>
      </c>
      <c r="N2218" s="6" t="s">
        <v>23</v>
      </c>
      <c r="O2218" s="6" t="s">
        <v>120</v>
      </c>
    </row>
    <row r="2219" spans="1:15" x14ac:dyDescent="0.25">
      <c r="A2219" s="6" t="s">
        <v>5571</v>
      </c>
      <c r="B2219" s="6" t="s">
        <v>5570</v>
      </c>
      <c r="C2219" s="6" t="s">
        <v>31</v>
      </c>
      <c r="E2219" s="6" t="s">
        <v>5569</v>
      </c>
      <c r="F2219" s="6" t="s">
        <v>5568</v>
      </c>
      <c r="G2219" s="6" t="s">
        <v>16</v>
      </c>
      <c r="H2219" s="6" t="s">
        <v>15</v>
      </c>
      <c r="I2219" s="6" t="s">
        <v>73</v>
      </c>
      <c r="J2219" s="6" t="s">
        <v>632</v>
      </c>
      <c r="K2219" s="7">
        <v>30.045663130000001</v>
      </c>
      <c r="L2219" s="7">
        <v>-93.777212329999998</v>
      </c>
      <c r="M2219" s="6" t="s">
        <v>758</v>
      </c>
      <c r="N2219" s="6" t="s">
        <v>65</v>
      </c>
      <c r="O2219" s="6" t="s">
        <v>24</v>
      </c>
    </row>
    <row r="2220" spans="1:15" x14ac:dyDescent="0.25">
      <c r="A2220" s="6" t="s">
        <v>8316</v>
      </c>
      <c r="B2220" s="6" t="s">
        <v>8315</v>
      </c>
      <c r="C2220" s="6" t="s">
        <v>31</v>
      </c>
      <c r="E2220" s="6" t="s">
        <v>8314</v>
      </c>
      <c r="F2220" s="6" t="s">
        <v>8313</v>
      </c>
      <c r="G2220" s="6" t="s">
        <v>16</v>
      </c>
      <c r="H2220" s="6" t="s">
        <v>28</v>
      </c>
      <c r="I2220" s="6" t="s">
        <v>60</v>
      </c>
      <c r="J2220" s="6" t="s">
        <v>97</v>
      </c>
      <c r="K2220" s="7">
        <v>33.776792</v>
      </c>
      <c r="L2220" s="7">
        <v>-95.540875999999997</v>
      </c>
      <c r="M2220" s="6" t="s">
        <v>44</v>
      </c>
      <c r="N2220" s="6" t="s">
        <v>43</v>
      </c>
      <c r="O2220" s="6" t="s">
        <v>65</v>
      </c>
    </row>
    <row r="2221" spans="1:15" x14ac:dyDescent="0.25">
      <c r="A2221" s="6" t="s">
        <v>7125</v>
      </c>
      <c r="B2221" s="6" t="s">
        <v>7124</v>
      </c>
      <c r="C2221" s="6" t="s">
        <v>31</v>
      </c>
      <c r="E2221" s="6" t="s">
        <v>7123</v>
      </c>
      <c r="F2221" s="6" t="s">
        <v>7122</v>
      </c>
      <c r="G2221" s="6" t="s">
        <v>16</v>
      </c>
      <c r="H2221" s="6" t="s">
        <v>28</v>
      </c>
      <c r="I2221" s="6" t="s">
        <v>27</v>
      </c>
      <c r="J2221" s="6" t="s">
        <v>1064</v>
      </c>
      <c r="K2221" s="7">
        <v>29.315206</v>
      </c>
      <c r="L2221" s="7">
        <v>-96.123649</v>
      </c>
      <c r="M2221" s="6" t="s">
        <v>295</v>
      </c>
      <c r="N2221" s="6" t="s">
        <v>10</v>
      </c>
      <c r="O2221" s="6" t="s">
        <v>23</v>
      </c>
    </row>
    <row r="2222" spans="1:15" x14ac:dyDescent="0.25">
      <c r="A2222" s="6" t="s">
        <v>9894</v>
      </c>
      <c r="B2222" s="6" t="s">
        <v>9893</v>
      </c>
      <c r="C2222" s="6" t="s">
        <v>31</v>
      </c>
      <c r="E2222" s="6" t="s">
        <v>9892</v>
      </c>
      <c r="F2222" s="6" t="s">
        <v>9885</v>
      </c>
      <c r="G2222" s="6" t="s">
        <v>16</v>
      </c>
      <c r="H2222" s="6" t="s">
        <v>15</v>
      </c>
      <c r="I2222" s="6" t="s">
        <v>14</v>
      </c>
      <c r="J2222" s="6" t="s">
        <v>221</v>
      </c>
      <c r="K2222" s="7">
        <v>30.630965830000001</v>
      </c>
      <c r="L2222" s="7">
        <v>-97.631853579999998</v>
      </c>
      <c r="M2222" s="6" t="s">
        <v>4688</v>
      </c>
      <c r="N2222" s="6" t="s">
        <v>23</v>
      </c>
      <c r="O2222" s="6" t="s">
        <v>160</v>
      </c>
    </row>
    <row r="2223" spans="1:15" x14ac:dyDescent="0.25">
      <c r="A2223" s="6" t="s">
        <v>6285</v>
      </c>
      <c r="B2223" s="6" t="s">
        <v>6284</v>
      </c>
      <c r="C2223" s="6" t="s">
        <v>31</v>
      </c>
      <c r="E2223" s="6" t="s">
        <v>6283</v>
      </c>
      <c r="F2223" s="6" t="s">
        <v>6282</v>
      </c>
      <c r="G2223" s="6" t="s">
        <v>16</v>
      </c>
      <c r="H2223" s="6" t="s">
        <v>28</v>
      </c>
      <c r="I2223" s="6" t="s">
        <v>60</v>
      </c>
      <c r="J2223" s="6" t="s">
        <v>110</v>
      </c>
      <c r="K2223" s="7">
        <v>32.901072419999998</v>
      </c>
      <c r="L2223" s="7">
        <v>-95.944466390000002</v>
      </c>
      <c r="M2223" s="6" t="s">
        <v>109</v>
      </c>
      <c r="N2223" s="6" t="s">
        <v>65</v>
      </c>
      <c r="O2223" s="6" t="s">
        <v>65</v>
      </c>
    </row>
    <row r="2224" spans="1:15" x14ac:dyDescent="0.25">
      <c r="A2224" s="6" t="s">
        <v>8285</v>
      </c>
      <c r="B2224" s="6" t="s">
        <v>8284</v>
      </c>
      <c r="C2224" s="6" t="s">
        <v>31</v>
      </c>
      <c r="E2224" s="6" t="s">
        <v>8283</v>
      </c>
      <c r="F2224" s="6" t="s">
        <v>8282</v>
      </c>
      <c r="G2224" s="6" t="s">
        <v>16</v>
      </c>
      <c r="H2224" s="6" t="s">
        <v>15</v>
      </c>
      <c r="I2224" s="6" t="s">
        <v>36</v>
      </c>
      <c r="J2224" s="6" t="s">
        <v>35</v>
      </c>
      <c r="K2224" s="7">
        <v>29.918174960000002</v>
      </c>
      <c r="L2224" s="7">
        <v>-95.673001209999995</v>
      </c>
      <c r="M2224" s="6" t="s">
        <v>131</v>
      </c>
      <c r="N2224" s="6" t="s">
        <v>24</v>
      </c>
      <c r="O2224" s="6" t="s">
        <v>23</v>
      </c>
    </row>
    <row r="2225" spans="1:15" x14ac:dyDescent="0.25">
      <c r="A2225" s="6" t="s">
        <v>9184</v>
      </c>
      <c r="B2225" s="6" t="s">
        <v>9183</v>
      </c>
      <c r="C2225" s="6" t="s">
        <v>31</v>
      </c>
      <c r="E2225" s="6" t="s">
        <v>9182</v>
      </c>
      <c r="F2225" s="6" t="s">
        <v>5708</v>
      </c>
      <c r="G2225" s="6" t="s">
        <v>16</v>
      </c>
      <c r="H2225" s="6" t="s">
        <v>28</v>
      </c>
      <c r="I2225" s="6" t="s">
        <v>27</v>
      </c>
      <c r="J2225" s="6" t="s">
        <v>35</v>
      </c>
      <c r="K2225" s="7">
        <v>29.850069739999999</v>
      </c>
      <c r="L2225" s="7">
        <v>-95.228582720000006</v>
      </c>
      <c r="M2225" s="6" t="s">
        <v>198</v>
      </c>
      <c r="N2225" s="6" t="s">
        <v>24</v>
      </c>
      <c r="O2225" s="6" t="s">
        <v>23</v>
      </c>
    </row>
    <row r="2226" spans="1:15" x14ac:dyDescent="0.25">
      <c r="A2226" s="6" t="s">
        <v>5489</v>
      </c>
      <c r="B2226" s="6" t="s">
        <v>3464</v>
      </c>
      <c r="C2226" s="6" t="s">
        <v>31</v>
      </c>
      <c r="E2226" s="6" t="s">
        <v>3462</v>
      </c>
      <c r="F2226" s="6" t="s">
        <v>3461</v>
      </c>
      <c r="G2226" s="6" t="s">
        <v>16</v>
      </c>
      <c r="H2226" s="6" t="s">
        <v>591</v>
      </c>
      <c r="I2226" s="6" t="s">
        <v>36</v>
      </c>
      <c r="J2226" s="6" t="s">
        <v>3459</v>
      </c>
      <c r="K2226" s="7">
        <v>31.08534895</v>
      </c>
      <c r="L2226" s="7">
        <v>-96.616774559999996</v>
      </c>
      <c r="M2226" s="6" t="s">
        <v>121</v>
      </c>
      <c r="N2226" s="6" t="s">
        <v>23</v>
      </c>
      <c r="O2226" s="6" t="s">
        <v>120</v>
      </c>
    </row>
    <row r="2227" spans="1:15" x14ac:dyDescent="0.25">
      <c r="A2227" s="6" t="s">
        <v>3467</v>
      </c>
      <c r="B2227" s="6" t="s">
        <v>3464</v>
      </c>
      <c r="C2227" s="6" t="s">
        <v>1092</v>
      </c>
      <c r="E2227" s="6" t="s">
        <v>3462</v>
      </c>
      <c r="F2227" s="6" t="s">
        <v>3461</v>
      </c>
      <c r="G2227" s="6" t="s">
        <v>16</v>
      </c>
      <c r="H2227" s="6" t="s">
        <v>3460</v>
      </c>
      <c r="I2227" s="6" t="s">
        <v>36</v>
      </c>
      <c r="J2227" s="6" t="s">
        <v>3459</v>
      </c>
      <c r="K2227" s="7">
        <v>31.071987549999999</v>
      </c>
      <c r="L2227" s="7">
        <v>-96.645215530000002</v>
      </c>
      <c r="M2227" s="6" t="s">
        <v>121</v>
      </c>
      <c r="N2227" s="6" t="s">
        <v>23</v>
      </c>
      <c r="O2227" s="6" t="s">
        <v>120</v>
      </c>
    </row>
    <row r="2228" spans="1:15" x14ac:dyDescent="0.25">
      <c r="A2228" s="6" t="s">
        <v>3466</v>
      </c>
      <c r="B2228" s="6" t="s">
        <v>3464</v>
      </c>
      <c r="C2228" s="6" t="s">
        <v>869</v>
      </c>
      <c r="E2228" s="6" t="s">
        <v>3462</v>
      </c>
      <c r="F2228" s="6" t="s">
        <v>3461</v>
      </c>
      <c r="G2228" s="6" t="s">
        <v>16</v>
      </c>
      <c r="H2228" s="6" t="s">
        <v>3460</v>
      </c>
      <c r="I2228" s="6" t="s">
        <v>36</v>
      </c>
      <c r="J2228" s="6" t="s">
        <v>3459</v>
      </c>
      <c r="K2228" s="7">
        <v>31.07972045</v>
      </c>
      <c r="L2228" s="7">
        <v>-96.642458160000004</v>
      </c>
      <c r="M2228" s="6" t="s">
        <v>121</v>
      </c>
      <c r="N2228" s="6" t="s">
        <v>23</v>
      </c>
      <c r="O2228" s="6" t="s">
        <v>120</v>
      </c>
    </row>
    <row r="2229" spans="1:15" x14ac:dyDescent="0.25">
      <c r="A2229" s="6" t="s">
        <v>3465</v>
      </c>
      <c r="B2229" s="6" t="s">
        <v>3464</v>
      </c>
      <c r="C2229" s="6" t="s">
        <v>3463</v>
      </c>
      <c r="E2229" s="6" t="s">
        <v>3462</v>
      </c>
      <c r="F2229" s="6" t="s">
        <v>3461</v>
      </c>
      <c r="G2229" s="6" t="s">
        <v>16</v>
      </c>
      <c r="H2229" s="6" t="s">
        <v>3460</v>
      </c>
      <c r="I2229" s="6" t="s">
        <v>36</v>
      </c>
      <c r="J2229" s="6" t="s">
        <v>3459</v>
      </c>
      <c r="K2229" s="7">
        <v>31.067393389999999</v>
      </c>
      <c r="L2229" s="7">
        <v>-96.605070889999993</v>
      </c>
      <c r="M2229" s="6" t="s">
        <v>121</v>
      </c>
      <c r="N2229" s="6" t="s">
        <v>23</v>
      </c>
      <c r="O2229" s="6" t="s">
        <v>120</v>
      </c>
    </row>
    <row r="2230" spans="1:15" x14ac:dyDescent="0.25">
      <c r="A2230" s="6" t="s">
        <v>8427</v>
      </c>
      <c r="B2230" s="6" t="s">
        <v>8425</v>
      </c>
      <c r="C2230" s="6" t="s">
        <v>31</v>
      </c>
      <c r="E2230" s="6" t="s">
        <v>8424</v>
      </c>
      <c r="F2230" s="6" t="s">
        <v>3114</v>
      </c>
      <c r="G2230" s="6" t="s">
        <v>16</v>
      </c>
      <c r="H2230" s="6" t="s">
        <v>15</v>
      </c>
      <c r="I2230" s="6" t="s">
        <v>14</v>
      </c>
      <c r="J2230" s="6" t="s">
        <v>2178</v>
      </c>
      <c r="K2230" s="7">
        <v>31.650842189999999</v>
      </c>
      <c r="L2230" s="7">
        <v>-106.32378435</v>
      </c>
      <c r="M2230" s="6" t="s">
        <v>945</v>
      </c>
      <c r="N2230" s="6" t="s">
        <v>373</v>
      </c>
      <c r="O2230" s="6" t="s">
        <v>52</v>
      </c>
    </row>
    <row r="2231" spans="1:15" x14ac:dyDescent="0.25">
      <c r="A2231" s="6" t="s">
        <v>8426</v>
      </c>
      <c r="B2231" s="6" t="s">
        <v>8425</v>
      </c>
      <c r="C2231" s="6" t="s">
        <v>19</v>
      </c>
      <c r="E2231" s="6" t="s">
        <v>8424</v>
      </c>
      <c r="F2231" s="6" t="s">
        <v>3114</v>
      </c>
      <c r="G2231" s="6" t="s">
        <v>16</v>
      </c>
      <c r="H2231" s="6" t="s">
        <v>15</v>
      </c>
      <c r="I2231" s="6" t="s">
        <v>14</v>
      </c>
      <c r="J2231" s="6" t="s">
        <v>2178</v>
      </c>
      <c r="K2231" s="7">
        <v>31.654304119999999</v>
      </c>
      <c r="L2231" s="7">
        <v>-106.31742070999999</v>
      </c>
      <c r="M2231" s="6" t="s">
        <v>945</v>
      </c>
      <c r="N2231" s="6" t="s">
        <v>373</v>
      </c>
      <c r="O2231" s="6" t="s">
        <v>52</v>
      </c>
    </row>
    <row r="2232" spans="1:15" x14ac:dyDescent="0.25">
      <c r="A2232" s="6" t="s">
        <v>8106</v>
      </c>
      <c r="B2232" s="6" t="s">
        <v>8105</v>
      </c>
      <c r="C2232" s="6" t="s">
        <v>31</v>
      </c>
      <c r="E2232" s="6" t="s">
        <v>8104</v>
      </c>
      <c r="F2232" s="6" t="s">
        <v>8103</v>
      </c>
      <c r="G2232" s="6" t="s">
        <v>16</v>
      </c>
      <c r="H2232" s="6" t="s">
        <v>28</v>
      </c>
      <c r="I2232" s="6" t="s">
        <v>36</v>
      </c>
      <c r="J2232" s="6" t="s">
        <v>35</v>
      </c>
      <c r="K2232" s="7">
        <v>29.758070459999999</v>
      </c>
      <c r="L2232" s="7">
        <v>-95.115091590000006</v>
      </c>
      <c r="M2232" s="6" t="s">
        <v>34</v>
      </c>
      <c r="N2232" s="6" t="s">
        <v>24</v>
      </c>
      <c r="O2232" s="6" t="s">
        <v>23</v>
      </c>
    </row>
    <row r="2233" spans="1:15" x14ac:dyDescent="0.25">
      <c r="A2233" s="6" t="s">
        <v>12334</v>
      </c>
      <c r="B2233" s="6" t="s">
        <v>12333</v>
      </c>
      <c r="C2233" s="6" t="s">
        <v>31</v>
      </c>
      <c r="E2233" s="6" t="s">
        <v>12332</v>
      </c>
      <c r="F2233" s="6" t="s">
        <v>12331</v>
      </c>
      <c r="G2233" s="6" t="s">
        <v>16</v>
      </c>
      <c r="H2233" s="6" t="s">
        <v>28</v>
      </c>
      <c r="I2233" s="6" t="s">
        <v>60</v>
      </c>
      <c r="J2233" s="6" t="s">
        <v>776</v>
      </c>
      <c r="K2233" s="7">
        <v>32.770958999999998</v>
      </c>
      <c r="L2233" s="7">
        <v>-98.305882999999994</v>
      </c>
      <c r="M2233" s="6" t="s">
        <v>775</v>
      </c>
      <c r="N2233" s="6" t="s">
        <v>23</v>
      </c>
      <c r="O2233" s="6" t="s">
        <v>42</v>
      </c>
    </row>
    <row r="2234" spans="1:15" x14ac:dyDescent="0.25">
      <c r="A2234" s="6" t="s">
        <v>5567</v>
      </c>
      <c r="B2234" s="6" t="s">
        <v>5566</v>
      </c>
      <c r="C2234" s="6" t="s">
        <v>31</v>
      </c>
      <c r="E2234" s="6" t="s">
        <v>5565</v>
      </c>
      <c r="F2234" s="6" t="s">
        <v>5564</v>
      </c>
      <c r="G2234" s="6" t="s">
        <v>16</v>
      </c>
      <c r="H2234" s="6" t="s">
        <v>15</v>
      </c>
      <c r="I2234" s="6" t="s">
        <v>14</v>
      </c>
      <c r="J2234" s="6" t="s">
        <v>409</v>
      </c>
      <c r="K2234" s="7">
        <v>30.273056910000001</v>
      </c>
      <c r="L2234" s="7">
        <v>-97.660831779999995</v>
      </c>
      <c r="M2234" s="6" t="s">
        <v>408</v>
      </c>
      <c r="N2234" s="6" t="s">
        <v>10</v>
      </c>
      <c r="O2234" s="6" t="s">
        <v>160</v>
      </c>
    </row>
    <row r="2235" spans="1:15" x14ac:dyDescent="0.25">
      <c r="A2235" s="6" t="s">
        <v>7159</v>
      </c>
      <c r="B2235" s="6" t="s">
        <v>7158</v>
      </c>
      <c r="C2235" s="6" t="s">
        <v>31</v>
      </c>
      <c r="E2235" s="6" t="s">
        <v>7157</v>
      </c>
      <c r="F2235" s="6" t="s">
        <v>7153</v>
      </c>
      <c r="G2235" s="6" t="s">
        <v>16</v>
      </c>
      <c r="H2235" s="6" t="s">
        <v>15</v>
      </c>
      <c r="I2235" s="6" t="s">
        <v>46</v>
      </c>
      <c r="J2235" s="6" t="s">
        <v>548</v>
      </c>
      <c r="K2235" s="7">
        <v>33.376081980000002</v>
      </c>
      <c r="L2235" s="7">
        <v>-94.048773299999993</v>
      </c>
      <c r="M2235" s="6" t="s">
        <v>1051</v>
      </c>
      <c r="N2235" s="6" t="s">
        <v>95</v>
      </c>
      <c r="O2235" s="6" t="s">
        <v>65</v>
      </c>
    </row>
    <row r="2236" spans="1:15" x14ac:dyDescent="0.25">
      <c r="A2236" s="6" t="s">
        <v>6265</v>
      </c>
      <c r="B2236" s="6" t="s">
        <v>6264</v>
      </c>
      <c r="C2236" s="6" t="s">
        <v>31</v>
      </c>
      <c r="E2236" s="6" t="s">
        <v>6263</v>
      </c>
      <c r="F2236" s="6" t="s">
        <v>5417</v>
      </c>
      <c r="G2236" s="6" t="s">
        <v>16</v>
      </c>
      <c r="H2236" s="6" t="s">
        <v>28</v>
      </c>
      <c r="I2236" s="6" t="s">
        <v>73</v>
      </c>
      <c r="J2236" s="6" t="s">
        <v>226</v>
      </c>
      <c r="K2236" s="7">
        <v>33.780898000000001</v>
      </c>
      <c r="L2236" s="7">
        <v>-98.401645000000002</v>
      </c>
      <c r="M2236" s="6" t="s">
        <v>1898</v>
      </c>
      <c r="N2236" s="6" t="s">
        <v>43</v>
      </c>
      <c r="O2236" s="6" t="s">
        <v>95</v>
      </c>
    </row>
    <row r="2237" spans="1:15" x14ac:dyDescent="0.25">
      <c r="A2237" s="6" t="s">
        <v>3734</v>
      </c>
      <c r="B2237" s="6" t="s">
        <v>3733</v>
      </c>
      <c r="C2237" s="6" t="s">
        <v>31</v>
      </c>
      <c r="E2237" s="6" t="s">
        <v>3732</v>
      </c>
      <c r="F2237" s="6" t="s">
        <v>3731</v>
      </c>
      <c r="G2237" s="6" t="s">
        <v>16</v>
      </c>
      <c r="H2237" s="6" t="s">
        <v>28</v>
      </c>
      <c r="I2237" s="6" t="s">
        <v>60</v>
      </c>
      <c r="J2237" s="6" t="s">
        <v>3730</v>
      </c>
      <c r="K2237" s="7">
        <v>27.297349000000001</v>
      </c>
      <c r="L2237" s="7">
        <v>-98.650720000000007</v>
      </c>
      <c r="M2237" s="6" t="s">
        <v>89</v>
      </c>
      <c r="N2237" s="6" t="s">
        <v>11</v>
      </c>
      <c r="O2237" s="6" t="s">
        <v>22</v>
      </c>
    </row>
    <row r="2238" spans="1:15" x14ac:dyDescent="0.25">
      <c r="A2238" s="6" t="s">
        <v>8110</v>
      </c>
      <c r="B2238" s="6" t="s">
        <v>8109</v>
      </c>
      <c r="C2238" s="6" t="s">
        <v>31</v>
      </c>
      <c r="E2238" s="6" t="s">
        <v>8108</v>
      </c>
      <c r="F2238" s="6" t="s">
        <v>8107</v>
      </c>
      <c r="G2238" s="6" t="s">
        <v>16</v>
      </c>
      <c r="H2238" s="6" t="s">
        <v>28</v>
      </c>
      <c r="I2238" s="6" t="s">
        <v>60</v>
      </c>
      <c r="J2238" s="6" t="s">
        <v>253</v>
      </c>
      <c r="K2238" s="7">
        <v>31.113507999999999</v>
      </c>
      <c r="L2238" s="7">
        <v>-97.786686000000003</v>
      </c>
      <c r="M2238" s="6" t="s">
        <v>1627</v>
      </c>
      <c r="N2238" s="6" t="s">
        <v>23</v>
      </c>
      <c r="O2238" s="6" t="s">
        <v>120</v>
      </c>
    </row>
    <row r="2239" spans="1:15" x14ac:dyDescent="0.25">
      <c r="A2239" s="6" t="s">
        <v>8275</v>
      </c>
      <c r="B2239" s="6" t="s">
        <v>8274</v>
      </c>
      <c r="C2239" s="6" t="s">
        <v>31</v>
      </c>
      <c r="E2239" s="6" t="s">
        <v>8273</v>
      </c>
      <c r="F2239" s="6" t="s">
        <v>8272</v>
      </c>
      <c r="G2239" s="6" t="s">
        <v>16</v>
      </c>
      <c r="H2239" s="6" t="s">
        <v>28</v>
      </c>
      <c r="I2239" s="6" t="s">
        <v>60</v>
      </c>
      <c r="J2239" s="6" t="s">
        <v>54</v>
      </c>
      <c r="K2239" s="7">
        <v>30.913094999999998</v>
      </c>
      <c r="L2239" s="7">
        <v>-95.274484000000001</v>
      </c>
      <c r="M2239" s="6" t="s">
        <v>317</v>
      </c>
      <c r="N2239" s="6" t="s">
        <v>102</v>
      </c>
      <c r="O2239" s="6" t="s">
        <v>24</v>
      </c>
    </row>
    <row r="2240" spans="1:15" x14ac:dyDescent="0.25">
      <c r="A2240" s="6" t="s">
        <v>8113</v>
      </c>
      <c r="B2240" s="6" t="s">
        <v>8112</v>
      </c>
      <c r="C2240" s="6" t="s">
        <v>31</v>
      </c>
      <c r="E2240" s="6" t="s">
        <v>8111</v>
      </c>
      <c r="F2240" s="6" t="s">
        <v>3922</v>
      </c>
      <c r="G2240" s="6" t="s">
        <v>16</v>
      </c>
      <c r="H2240" s="6" t="s">
        <v>15</v>
      </c>
      <c r="I2240" s="6" t="s">
        <v>14</v>
      </c>
      <c r="J2240" s="6" t="s">
        <v>132</v>
      </c>
      <c r="K2240" s="7">
        <v>29.546492740000001</v>
      </c>
      <c r="L2240" s="7">
        <v>-95.688200749999993</v>
      </c>
      <c r="M2240" s="6" t="s">
        <v>355</v>
      </c>
      <c r="N2240" s="6" t="s">
        <v>23</v>
      </c>
      <c r="O2240" s="6" t="s">
        <v>23</v>
      </c>
    </row>
    <row r="2241" spans="1:15" x14ac:dyDescent="0.25">
      <c r="A2241" s="6" t="s">
        <v>7559</v>
      </c>
      <c r="B2241" s="6" t="s">
        <v>7558</v>
      </c>
      <c r="C2241" s="6" t="s">
        <v>31</v>
      </c>
      <c r="E2241" s="6" t="s">
        <v>7557</v>
      </c>
      <c r="F2241" s="6" t="s">
        <v>7556</v>
      </c>
      <c r="G2241" s="6" t="s">
        <v>16</v>
      </c>
      <c r="H2241" s="6" t="s">
        <v>15</v>
      </c>
      <c r="I2241" s="6" t="s">
        <v>36</v>
      </c>
      <c r="J2241" s="6" t="s">
        <v>221</v>
      </c>
      <c r="K2241" s="7">
        <v>30.52666103</v>
      </c>
      <c r="L2241" s="7">
        <v>-97.617373959999995</v>
      </c>
      <c r="M2241" s="6" t="s">
        <v>3908</v>
      </c>
      <c r="N2241" s="6" t="s">
        <v>23</v>
      </c>
      <c r="O2241" s="6" t="s">
        <v>160</v>
      </c>
    </row>
    <row r="2242" spans="1:15" x14ac:dyDescent="0.25">
      <c r="A2242" s="6" t="s">
        <v>9006</v>
      </c>
      <c r="B2242" s="6" t="s">
        <v>9005</v>
      </c>
      <c r="C2242" s="6" t="s">
        <v>31</v>
      </c>
      <c r="E2242" s="6" t="s">
        <v>9004</v>
      </c>
      <c r="F2242" s="6" t="s">
        <v>9003</v>
      </c>
      <c r="G2242" s="6" t="s">
        <v>16</v>
      </c>
      <c r="H2242" s="6" t="s">
        <v>28</v>
      </c>
      <c r="I2242" s="6" t="s">
        <v>60</v>
      </c>
      <c r="J2242" s="6" t="s">
        <v>1519</v>
      </c>
      <c r="K2242" s="7">
        <v>30.294974929999999</v>
      </c>
      <c r="L2242" s="7">
        <v>-94.800139920000007</v>
      </c>
      <c r="M2242" s="6" t="s">
        <v>2355</v>
      </c>
      <c r="N2242" s="6" t="s">
        <v>102</v>
      </c>
      <c r="O2242" s="6" t="s">
        <v>23</v>
      </c>
    </row>
    <row r="2243" spans="1:15" x14ac:dyDescent="0.25">
      <c r="A2243" s="6" t="s">
        <v>7331</v>
      </c>
      <c r="B2243" s="6" t="s">
        <v>7330</v>
      </c>
      <c r="C2243" s="6" t="s">
        <v>31</v>
      </c>
      <c r="E2243" s="6" t="s">
        <v>7329</v>
      </c>
      <c r="F2243" s="6" t="s">
        <v>7328</v>
      </c>
      <c r="G2243" s="6" t="s">
        <v>16</v>
      </c>
      <c r="H2243" s="6" t="s">
        <v>28</v>
      </c>
      <c r="I2243" s="6" t="s">
        <v>73</v>
      </c>
      <c r="J2243" s="6" t="s">
        <v>234</v>
      </c>
      <c r="K2243" s="7">
        <v>29.127375000000001</v>
      </c>
      <c r="L2243" s="7">
        <v>-98.912133999999995</v>
      </c>
      <c r="M2243" s="6" t="s">
        <v>1675</v>
      </c>
      <c r="N2243" s="6" t="s">
        <v>524</v>
      </c>
      <c r="O2243" s="6" t="s">
        <v>231</v>
      </c>
    </row>
    <row r="2244" spans="1:15" x14ac:dyDescent="0.25">
      <c r="A2244" s="6" t="s">
        <v>6056</v>
      </c>
      <c r="B2244" s="6" t="s">
        <v>6055</v>
      </c>
      <c r="C2244" s="6" t="s">
        <v>31</v>
      </c>
      <c r="E2244" s="6" t="s">
        <v>6054</v>
      </c>
      <c r="F2244" s="6" t="s">
        <v>6053</v>
      </c>
      <c r="G2244" s="6" t="s">
        <v>16</v>
      </c>
      <c r="H2244" s="6" t="s">
        <v>28</v>
      </c>
      <c r="I2244" s="6" t="s">
        <v>27</v>
      </c>
      <c r="J2244" s="6" t="s">
        <v>853</v>
      </c>
      <c r="K2244" s="7">
        <v>29.782587979999999</v>
      </c>
      <c r="L2244" s="7">
        <v>-94.883368950000005</v>
      </c>
      <c r="M2244" s="6" t="s">
        <v>1445</v>
      </c>
      <c r="N2244" s="6" t="s">
        <v>120</v>
      </c>
      <c r="O2244" s="6" t="s">
        <v>23</v>
      </c>
    </row>
    <row r="2245" spans="1:15" x14ac:dyDescent="0.25">
      <c r="A2245" s="6" t="s">
        <v>9662</v>
      </c>
      <c r="B2245" s="6" t="s">
        <v>9661</v>
      </c>
      <c r="C2245" s="6" t="s">
        <v>31</v>
      </c>
      <c r="E2245" s="6" t="s">
        <v>9660</v>
      </c>
      <c r="F2245" s="6" t="s">
        <v>9659</v>
      </c>
      <c r="G2245" s="6" t="s">
        <v>16</v>
      </c>
      <c r="H2245" s="6" t="s">
        <v>28</v>
      </c>
      <c r="I2245" s="6" t="s">
        <v>73</v>
      </c>
      <c r="J2245" s="6" t="s">
        <v>2267</v>
      </c>
      <c r="K2245" s="7">
        <v>32.051524610000001</v>
      </c>
      <c r="L2245" s="7">
        <v>-95.966522749999996</v>
      </c>
      <c r="M2245" s="6" t="s">
        <v>1031</v>
      </c>
      <c r="N2245" s="6" t="s">
        <v>102</v>
      </c>
      <c r="O2245" s="6" t="s">
        <v>65</v>
      </c>
    </row>
    <row r="2246" spans="1:15" x14ac:dyDescent="0.25">
      <c r="A2246" s="6" t="s">
        <v>8297</v>
      </c>
      <c r="B2246" s="6" t="s">
        <v>8296</v>
      </c>
      <c r="C2246" s="6" t="s">
        <v>31</v>
      </c>
      <c r="E2246" s="6" t="s">
        <v>8295</v>
      </c>
      <c r="F2246" s="6" t="s">
        <v>8294</v>
      </c>
      <c r="G2246" s="6" t="s">
        <v>16</v>
      </c>
      <c r="H2246" s="6" t="s">
        <v>28</v>
      </c>
      <c r="I2246" s="6" t="s">
        <v>60</v>
      </c>
      <c r="J2246" s="6" t="s">
        <v>2101</v>
      </c>
      <c r="K2246" s="7">
        <v>33.664101690000003</v>
      </c>
      <c r="L2246" s="7">
        <v>-96.712035850000007</v>
      </c>
      <c r="M2246" s="6" t="s">
        <v>2906</v>
      </c>
      <c r="N2246" s="6" t="s">
        <v>43</v>
      </c>
      <c r="O2246" s="6" t="s">
        <v>42</v>
      </c>
    </row>
    <row r="2247" spans="1:15" x14ac:dyDescent="0.25">
      <c r="A2247" s="6" t="s">
        <v>8094</v>
      </c>
      <c r="B2247" s="6" t="s">
        <v>8093</v>
      </c>
      <c r="C2247" s="6" t="s">
        <v>31</v>
      </c>
      <c r="E2247" s="6" t="s">
        <v>8092</v>
      </c>
      <c r="F2247" s="6" t="s">
        <v>8091</v>
      </c>
      <c r="G2247" s="6" t="s">
        <v>16</v>
      </c>
      <c r="H2247" s="6" t="s">
        <v>28</v>
      </c>
      <c r="I2247" s="6" t="s">
        <v>27</v>
      </c>
      <c r="J2247" s="6" t="s">
        <v>2696</v>
      </c>
      <c r="K2247" s="7">
        <v>31.753129000000001</v>
      </c>
      <c r="L2247" s="7">
        <v>-94.074928999999997</v>
      </c>
      <c r="M2247" s="6" t="s">
        <v>2695</v>
      </c>
      <c r="N2247" s="6" t="s">
        <v>65</v>
      </c>
      <c r="O2247" s="6" t="s">
        <v>24</v>
      </c>
    </row>
    <row r="2248" spans="1:15" x14ac:dyDescent="0.25">
      <c r="A2248" s="6" t="s">
        <v>10318</v>
      </c>
      <c r="B2248" s="6" t="s">
        <v>10316</v>
      </c>
      <c r="C2248" s="6" t="s">
        <v>31</v>
      </c>
      <c r="E2248" s="6" t="s">
        <v>10315</v>
      </c>
      <c r="F2248" s="6" t="s">
        <v>697</v>
      </c>
      <c r="G2248" s="6" t="s">
        <v>16</v>
      </c>
      <c r="H2248" s="6" t="s">
        <v>15</v>
      </c>
      <c r="I2248" s="6" t="s">
        <v>14</v>
      </c>
      <c r="J2248" s="6" t="s">
        <v>35</v>
      </c>
      <c r="K2248" s="7">
        <v>29.619383460000002</v>
      </c>
      <c r="L2248" s="7">
        <v>-95.05264459</v>
      </c>
      <c r="M2248" s="6" t="s">
        <v>804</v>
      </c>
      <c r="N2248" s="6" t="s">
        <v>160</v>
      </c>
      <c r="O2248" s="6" t="s">
        <v>23</v>
      </c>
    </row>
    <row r="2249" spans="1:15" x14ac:dyDescent="0.25">
      <c r="A2249" s="6" t="s">
        <v>10317</v>
      </c>
      <c r="B2249" s="6" t="s">
        <v>10316</v>
      </c>
      <c r="C2249" s="6" t="s">
        <v>19</v>
      </c>
      <c r="E2249" s="6" t="s">
        <v>10315</v>
      </c>
      <c r="F2249" s="6" t="s">
        <v>697</v>
      </c>
      <c r="G2249" s="6" t="s">
        <v>16</v>
      </c>
      <c r="H2249" s="6" t="s">
        <v>430</v>
      </c>
      <c r="I2249" s="6" t="s">
        <v>14</v>
      </c>
      <c r="J2249" s="6" t="s">
        <v>35</v>
      </c>
      <c r="K2249" s="7">
        <v>29.62556021</v>
      </c>
      <c r="L2249" s="7">
        <v>-95.045662460000003</v>
      </c>
      <c r="M2249" s="6" t="s">
        <v>804</v>
      </c>
      <c r="N2249" s="6" t="s">
        <v>160</v>
      </c>
      <c r="O2249" s="6" t="s">
        <v>23</v>
      </c>
    </row>
    <row r="2250" spans="1:15" x14ac:dyDescent="0.25">
      <c r="A2250" s="6" t="s">
        <v>10957</v>
      </c>
      <c r="B2250" s="6" t="s">
        <v>10316</v>
      </c>
      <c r="C2250" s="6" t="s">
        <v>436</v>
      </c>
      <c r="E2250" s="6" t="s">
        <v>10315</v>
      </c>
      <c r="F2250" s="6" t="s">
        <v>697</v>
      </c>
      <c r="G2250" s="6" t="s">
        <v>16</v>
      </c>
      <c r="H2250" s="6" t="s">
        <v>430</v>
      </c>
      <c r="I2250" s="6" t="s">
        <v>14</v>
      </c>
      <c r="J2250" s="6" t="s">
        <v>35</v>
      </c>
      <c r="K2250" s="7">
        <v>29.62447251</v>
      </c>
      <c r="L2250" s="7">
        <v>-95.045011220000006</v>
      </c>
      <c r="M2250" s="6" t="s">
        <v>804</v>
      </c>
      <c r="N2250" s="6" t="s">
        <v>160</v>
      </c>
      <c r="O2250" s="6" t="s">
        <v>23</v>
      </c>
    </row>
    <row r="2251" spans="1:15" x14ac:dyDescent="0.25">
      <c r="A2251" s="6" t="s">
        <v>10956</v>
      </c>
      <c r="B2251" s="6" t="s">
        <v>10316</v>
      </c>
      <c r="C2251" s="6" t="s">
        <v>597</v>
      </c>
      <c r="E2251" s="6" t="s">
        <v>10315</v>
      </c>
      <c r="F2251" s="6" t="s">
        <v>697</v>
      </c>
      <c r="G2251" s="6" t="s">
        <v>16</v>
      </c>
      <c r="H2251" s="6" t="s">
        <v>430</v>
      </c>
      <c r="I2251" s="6" t="s">
        <v>14</v>
      </c>
      <c r="J2251" s="6" t="s">
        <v>35</v>
      </c>
      <c r="K2251" s="7">
        <v>29.62142338</v>
      </c>
      <c r="L2251" s="7">
        <v>-95.04437738</v>
      </c>
      <c r="M2251" s="6" t="s">
        <v>804</v>
      </c>
      <c r="N2251" s="6" t="s">
        <v>160</v>
      </c>
      <c r="O2251" s="6" t="s">
        <v>23</v>
      </c>
    </row>
    <row r="2252" spans="1:15" x14ac:dyDescent="0.25">
      <c r="A2252" s="6" t="s">
        <v>6567</v>
      </c>
      <c r="B2252" s="6" t="s">
        <v>3626</v>
      </c>
      <c r="C2252" s="6" t="s">
        <v>31</v>
      </c>
      <c r="E2252" s="6" t="s">
        <v>3625</v>
      </c>
      <c r="F2252" s="6" t="s">
        <v>2142</v>
      </c>
      <c r="G2252" s="6" t="s">
        <v>16</v>
      </c>
      <c r="H2252" s="6" t="s">
        <v>15</v>
      </c>
      <c r="I2252" s="6" t="s">
        <v>46</v>
      </c>
      <c r="J2252" s="6" t="s">
        <v>853</v>
      </c>
      <c r="K2252" s="7">
        <v>29.855059449999999</v>
      </c>
      <c r="L2252" s="7">
        <v>-94.913448630000005</v>
      </c>
      <c r="M2252" s="6" t="s">
        <v>1445</v>
      </c>
      <c r="N2252" s="6" t="s">
        <v>120</v>
      </c>
      <c r="O2252" s="6" t="s">
        <v>23</v>
      </c>
    </row>
    <row r="2253" spans="1:15" x14ac:dyDescent="0.25">
      <c r="A2253" s="6" t="s">
        <v>6566</v>
      </c>
      <c r="B2253" s="6" t="s">
        <v>3626</v>
      </c>
      <c r="C2253" s="6" t="s">
        <v>19</v>
      </c>
      <c r="E2253" s="6" t="s">
        <v>3625</v>
      </c>
      <c r="F2253" s="6" t="s">
        <v>2142</v>
      </c>
      <c r="G2253" s="6" t="s">
        <v>16</v>
      </c>
      <c r="H2253" s="6" t="s">
        <v>15</v>
      </c>
      <c r="I2253" s="6" t="s">
        <v>46</v>
      </c>
      <c r="J2253" s="6" t="s">
        <v>853</v>
      </c>
      <c r="K2253" s="7">
        <v>29.85765589</v>
      </c>
      <c r="L2253" s="7">
        <v>-94.916271480000006</v>
      </c>
      <c r="M2253" s="6" t="s">
        <v>1445</v>
      </c>
      <c r="N2253" s="6" t="s">
        <v>120</v>
      </c>
      <c r="O2253" s="6" t="s">
        <v>23</v>
      </c>
    </row>
    <row r="2254" spans="1:15" x14ac:dyDescent="0.25">
      <c r="A2254" s="6" t="s">
        <v>6565</v>
      </c>
      <c r="B2254" s="6" t="s">
        <v>3626</v>
      </c>
      <c r="C2254" s="6" t="s">
        <v>436</v>
      </c>
      <c r="E2254" s="6" t="s">
        <v>3625</v>
      </c>
      <c r="F2254" s="6" t="s">
        <v>2142</v>
      </c>
      <c r="G2254" s="6" t="s">
        <v>16</v>
      </c>
      <c r="H2254" s="6" t="s">
        <v>430</v>
      </c>
      <c r="I2254" s="6" t="s">
        <v>46</v>
      </c>
      <c r="J2254" s="6" t="s">
        <v>853</v>
      </c>
      <c r="K2254" s="7">
        <v>29.855059449999999</v>
      </c>
      <c r="L2254" s="7">
        <v>-94.913448630000005</v>
      </c>
      <c r="M2254" s="6" t="s">
        <v>1445</v>
      </c>
      <c r="N2254" s="6" t="s">
        <v>120</v>
      </c>
      <c r="O2254" s="6" t="s">
        <v>23</v>
      </c>
    </row>
    <row r="2255" spans="1:15" x14ac:dyDescent="0.25">
      <c r="A2255" s="6" t="s">
        <v>5853</v>
      </c>
      <c r="B2255" s="6" t="s">
        <v>3626</v>
      </c>
      <c r="C2255" s="6" t="s">
        <v>597</v>
      </c>
      <c r="E2255" s="6" t="s">
        <v>3625</v>
      </c>
      <c r="F2255" s="6" t="s">
        <v>2142</v>
      </c>
      <c r="G2255" s="6" t="s">
        <v>16</v>
      </c>
      <c r="H2255" s="6" t="s">
        <v>15</v>
      </c>
      <c r="I2255" s="6" t="s">
        <v>46</v>
      </c>
      <c r="J2255" s="6" t="s">
        <v>853</v>
      </c>
      <c r="K2255" s="7">
        <v>29.857911359999999</v>
      </c>
      <c r="L2255" s="7">
        <v>-94.916553649999997</v>
      </c>
      <c r="M2255" s="6" t="s">
        <v>914</v>
      </c>
      <c r="N2255" s="6" t="s">
        <v>120</v>
      </c>
      <c r="O2255" s="6" t="s">
        <v>23</v>
      </c>
    </row>
    <row r="2256" spans="1:15" x14ac:dyDescent="0.25">
      <c r="A2256" s="6" t="s">
        <v>3627</v>
      </c>
      <c r="B2256" s="6" t="s">
        <v>3626</v>
      </c>
      <c r="C2256" s="6" t="s">
        <v>557</v>
      </c>
      <c r="E2256" s="6" t="s">
        <v>3625</v>
      </c>
      <c r="F2256" s="6" t="s">
        <v>2142</v>
      </c>
      <c r="G2256" s="6" t="s">
        <v>16</v>
      </c>
      <c r="H2256" s="6" t="s">
        <v>430</v>
      </c>
      <c r="I2256" s="6" t="s">
        <v>46</v>
      </c>
      <c r="J2256" s="6" t="s">
        <v>853</v>
      </c>
      <c r="K2256" s="7">
        <v>29.86578038</v>
      </c>
      <c r="L2256" s="7">
        <v>-94.918482100000006</v>
      </c>
      <c r="M2256" s="6" t="s">
        <v>914</v>
      </c>
      <c r="N2256" s="6" t="s">
        <v>120</v>
      </c>
      <c r="O2256" s="6" t="s">
        <v>23</v>
      </c>
    </row>
    <row r="2257" spans="1:15" x14ac:dyDescent="0.25">
      <c r="A2257" s="6" t="s">
        <v>8098</v>
      </c>
      <c r="B2257" s="6" t="s">
        <v>8097</v>
      </c>
      <c r="C2257" s="6" t="s">
        <v>31</v>
      </c>
      <c r="E2257" s="6" t="s">
        <v>8096</v>
      </c>
      <c r="F2257" s="6" t="s">
        <v>8095</v>
      </c>
      <c r="G2257" s="6" t="s">
        <v>16</v>
      </c>
      <c r="H2257" s="6" t="s">
        <v>28</v>
      </c>
      <c r="I2257" s="6" t="s">
        <v>27</v>
      </c>
      <c r="J2257" s="6" t="s">
        <v>132</v>
      </c>
      <c r="K2257" s="7">
        <v>29.498168</v>
      </c>
      <c r="L2257" s="7">
        <v>-95.461984000000001</v>
      </c>
      <c r="M2257" s="6" t="s">
        <v>161</v>
      </c>
      <c r="N2257" s="6" t="s">
        <v>160</v>
      </c>
      <c r="O2257" s="6" t="s">
        <v>23</v>
      </c>
    </row>
    <row r="2258" spans="1:15" x14ac:dyDescent="0.25">
      <c r="A2258" s="6" t="s">
        <v>7664</v>
      </c>
      <c r="B2258" s="6" t="s">
        <v>7663</v>
      </c>
      <c r="C2258" s="6" t="s">
        <v>31</v>
      </c>
      <c r="E2258" s="6" t="s">
        <v>7662</v>
      </c>
      <c r="F2258" s="6" t="s">
        <v>7661</v>
      </c>
      <c r="G2258" s="6" t="s">
        <v>16</v>
      </c>
      <c r="H2258" s="6" t="s">
        <v>28</v>
      </c>
      <c r="I2258" s="6" t="s">
        <v>60</v>
      </c>
      <c r="J2258" s="6" t="s">
        <v>26</v>
      </c>
      <c r="K2258" s="7">
        <v>30.236062</v>
      </c>
      <c r="L2258" s="7">
        <v>-95.160501999999994</v>
      </c>
      <c r="M2258" s="6" t="s">
        <v>4048</v>
      </c>
      <c r="N2258" s="6" t="s">
        <v>24</v>
      </c>
      <c r="O2258" s="6" t="s">
        <v>23</v>
      </c>
    </row>
    <row r="2259" spans="1:15" x14ac:dyDescent="0.25">
      <c r="A2259" s="6" t="s">
        <v>7657</v>
      </c>
      <c r="B2259" s="6" t="s">
        <v>7656</v>
      </c>
      <c r="C2259" s="6" t="s">
        <v>31</v>
      </c>
      <c r="E2259" s="6" t="s">
        <v>7655</v>
      </c>
      <c r="F2259" s="6" t="s">
        <v>7654</v>
      </c>
      <c r="G2259" s="6" t="s">
        <v>16</v>
      </c>
      <c r="H2259" s="6" t="s">
        <v>28</v>
      </c>
      <c r="I2259" s="6" t="s">
        <v>73</v>
      </c>
      <c r="J2259" s="6" t="s">
        <v>726</v>
      </c>
      <c r="K2259" s="7">
        <v>33.606392</v>
      </c>
      <c r="L2259" s="7">
        <v>-97.006879999999995</v>
      </c>
      <c r="M2259" s="6" t="s">
        <v>3701</v>
      </c>
      <c r="N2259" s="6" t="s">
        <v>102</v>
      </c>
      <c r="O2259" s="6" t="s">
        <v>42</v>
      </c>
    </row>
    <row r="2260" spans="1:15" x14ac:dyDescent="0.25">
      <c r="A2260" s="6" t="s">
        <v>7653</v>
      </c>
      <c r="B2260" s="6" t="s">
        <v>7652</v>
      </c>
      <c r="C2260" s="6" t="s">
        <v>31</v>
      </c>
      <c r="E2260" s="6" t="s">
        <v>7651</v>
      </c>
      <c r="F2260" s="6" t="s">
        <v>7650</v>
      </c>
      <c r="G2260" s="6" t="s">
        <v>16</v>
      </c>
      <c r="H2260" s="6" t="s">
        <v>28</v>
      </c>
      <c r="I2260" s="6" t="s">
        <v>60</v>
      </c>
      <c r="J2260" s="6" t="s">
        <v>26</v>
      </c>
      <c r="K2260" s="7">
        <v>30.436917000000001</v>
      </c>
      <c r="L2260" s="7">
        <v>-95.584796999999995</v>
      </c>
      <c r="M2260" s="6" t="s">
        <v>340</v>
      </c>
      <c r="N2260" s="6" t="s">
        <v>24</v>
      </c>
      <c r="O2260" s="6" t="s">
        <v>23</v>
      </c>
    </row>
    <row r="2261" spans="1:15" x14ac:dyDescent="0.25">
      <c r="A2261" s="6" t="s">
        <v>5461</v>
      </c>
      <c r="B2261" s="6" t="s">
        <v>5460</v>
      </c>
      <c r="C2261" s="6" t="s">
        <v>31</v>
      </c>
      <c r="E2261" s="6" t="s">
        <v>5459</v>
      </c>
      <c r="F2261" s="6" t="s">
        <v>5458</v>
      </c>
      <c r="G2261" s="6" t="s">
        <v>16</v>
      </c>
      <c r="H2261" s="6" t="s">
        <v>15</v>
      </c>
      <c r="I2261" s="6" t="s">
        <v>14</v>
      </c>
      <c r="J2261" s="6" t="s">
        <v>312</v>
      </c>
      <c r="K2261" s="7">
        <v>32.415115710000002</v>
      </c>
      <c r="L2261" s="7">
        <v>-97.675464109999993</v>
      </c>
      <c r="M2261" s="6" t="s">
        <v>311</v>
      </c>
      <c r="N2261" s="6" t="s">
        <v>23</v>
      </c>
      <c r="O2261" s="6" t="s">
        <v>42</v>
      </c>
    </row>
    <row r="2262" spans="1:15" x14ac:dyDescent="0.25">
      <c r="A2262" s="6" t="s">
        <v>7676</v>
      </c>
      <c r="B2262" s="6" t="s">
        <v>7675</v>
      </c>
      <c r="C2262" s="6" t="s">
        <v>31</v>
      </c>
      <c r="E2262" s="6" t="s">
        <v>7674</v>
      </c>
      <c r="F2262" s="6" t="s">
        <v>7673</v>
      </c>
      <c r="G2262" s="6" t="s">
        <v>16</v>
      </c>
      <c r="H2262" s="6" t="s">
        <v>28</v>
      </c>
      <c r="I2262" s="6" t="s">
        <v>73</v>
      </c>
      <c r="J2262" s="6" t="s">
        <v>2768</v>
      </c>
      <c r="K2262" s="7">
        <v>32.487940909999999</v>
      </c>
      <c r="L2262" s="7">
        <v>-97.275554790000001</v>
      </c>
      <c r="M2262" s="6" t="s">
        <v>2826</v>
      </c>
      <c r="N2262" s="6" t="s">
        <v>102</v>
      </c>
      <c r="O2262" s="6" t="s">
        <v>42</v>
      </c>
    </row>
    <row r="2263" spans="1:15" x14ac:dyDescent="0.25">
      <c r="A2263" s="6" t="s">
        <v>6561</v>
      </c>
      <c r="B2263" s="6" t="s">
        <v>6560</v>
      </c>
      <c r="C2263" s="6" t="s">
        <v>31</v>
      </c>
      <c r="E2263" s="6" t="s">
        <v>6559</v>
      </c>
      <c r="F2263" s="6" t="s">
        <v>6558</v>
      </c>
      <c r="G2263" s="6" t="s">
        <v>16</v>
      </c>
      <c r="H2263" s="6" t="s">
        <v>15</v>
      </c>
      <c r="I2263" s="6" t="s">
        <v>46</v>
      </c>
      <c r="J2263" s="6" t="s">
        <v>548</v>
      </c>
      <c r="K2263" s="7">
        <v>33.413055550000003</v>
      </c>
      <c r="L2263" s="7">
        <v>-94.090833329999995</v>
      </c>
      <c r="M2263" s="6" t="s">
        <v>1051</v>
      </c>
      <c r="N2263" s="6" t="s">
        <v>95</v>
      </c>
      <c r="O2263" s="6" t="s">
        <v>65</v>
      </c>
    </row>
    <row r="2264" spans="1:15" x14ac:dyDescent="0.25">
      <c r="A2264" s="6" t="s">
        <v>7672</v>
      </c>
      <c r="B2264" s="6" t="s">
        <v>7671</v>
      </c>
      <c r="C2264" s="6" t="s">
        <v>31</v>
      </c>
      <c r="E2264" s="6" t="s">
        <v>7670</v>
      </c>
      <c r="F2264" s="6" t="s">
        <v>7669</v>
      </c>
      <c r="G2264" s="6" t="s">
        <v>16</v>
      </c>
      <c r="H2264" s="6" t="s">
        <v>28</v>
      </c>
      <c r="I2264" s="6" t="s">
        <v>36</v>
      </c>
      <c r="J2264" s="6" t="s">
        <v>1727</v>
      </c>
      <c r="K2264" s="7">
        <v>31.02292327</v>
      </c>
      <c r="L2264" s="7">
        <v>-95.742174910000003</v>
      </c>
      <c r="M2264" s="6" t="s">
        <v>317</v>
      </c>
      <c r="N2264" s="6" t="s">
        <v>102</v>
      </c>
      <c r="O2264" s="6" t="s">
        <v>120</v>
      </c>
    </row>
    <row r="2265" spans="1:15" x14ac:dyDescent="0.25">
      <c r="A2265" s="6" t="s">
        <v>8090</v>
      </c>
      <c r="B2265" s="6" t="s">
        <v>8089</v>
      </c>
      <c r="C2265" s="6" t="s">
        <v>31</v>
      </c>
      <c r="E2265" s="6" t="s">
        <v>8088</v>
      </c>
      <c r="F2265" s="6" t="s">
        <v>7677</v>
      </c>
      <c r="G2265" s="6" t="s">
        <v>16</v>
      </c>
      <c r="H2265" s="6" t="s">
        <v>28</v>
      </c>
      <c r="I2265" s="6" t="s">
        <v>73</v>
      </c>
      <c r="J2265" s="6" t="s">
        <v>185</v>
      </c>
      <c r="K2265" s="7">
        <v>27.314377</v>
      </c>
      <c r="L2265" s="7">
        <v>-97.677726000000007</v>
      </c>
      <c r="M2265" s="6" t="s">
        <v>184</v>
      </c>
      <c r="N2265" s="6" t="s">
        <v>11</v>
      </c>
      <c r="O2265" s="6" t="s">
        <v>10</v>
      </c>
    </row>
    <row r="2266" spans="1:15" x14ac:dyDescent="0.25">
      <c r="A2266" s="6" t="s">
        <v>1953</v>
      </c>
      <c r="B2266" s="6" t="s">
        <v>1952</v>
      </c>
      <c r="C2266" s="6" t="s">
        <v>31</v>
      </c>
      <c r="E2266" s="6" t="s">
        <v>1951</v>
      </c>
      <c r="F2266" s="6" t="s">
        <v>1950</v>
      </c>
      <c r="G2266" s="6" t="s">
        <v>16</v>
      </c>
      <c r="H2266" s="6" t="s">
        <v>15</v>
      </c>
      <c r="I2266" s="6" t="s">
        <v>46</v>
      </c>
      <c r="J2266" s="6" t="s">
        <v>139</v>
      </c>
      <c r="K2266" s="7">
        <v>27.829157210000002</v>
      </c>
      <c r="L2266" s="7">
        <v>-97.193786430000003</v>
      </c>
      <c r="M2266" s="6" t="s">
        <v>819</v>
      </c>
      <c r="N2266" s="6" t="s">
        <v>137</v>
      </c>
      <c r="O2266" s="6" t="s">
        <v>10</v>
      </c>
    </row>
    <row r="2267" spans="1:15" x14ac:dyDescent="0.25">
      <c r="A2267" s="6" t="s">
        <v>7649</v>
      </c>
      <c r="B2267" s="6" t="s">
        <v>7648</v>
      </c>
      <c r="C2267" s="6" t="s">
        <v>31</v>
      </c>
      <c r="E2267" s="6" t="s">
        <v>7647</v>
      </c>
      <c r="F2267" s="6" t="s">
        <v>983</v>
      </c>
      <c r="G2267" s="6" t="s">
        <v>16</v>
      </c>
      <c r="H2267" s="6" t="s">
        <v>28</v>
      </c>
      <c r="I2267" s="6" t="s">
        <v>27</v>
      </c>
      <c r="J2267" s="6" t="s">
        <v>139</v>
      </c>
      <c r="K2267" s="7">
        <v>28.017081000000001</v>
      </c>
      <c r="L2267" s="7">
        <v>-97.471990000000005</v>
      </c>
      <c r="M2267" s="6" t="s">
        <v>4382</v>
      </c>
      <c r="N2267" s="6" t="s">
        <v>137</v>
      </c>
      <c r="O2267" s="6" t="s">
        <v>10</v>
      </c>
    </row>
    <row r="2268" spans="1:15" x14ac:dyDescent="0.25">
      <c r="A2268" s="6" t="s">
        <v>7537</v>
      </c>
      <c r="B2268" s="6" t="s">
        <v>7536</v>
      </c>
      <c r="C2268" s="6" t="s">
        <v>31</v>
      </c>
      <c r="E2268" s="6" t="s">
        <v>7535</v>
      </c>
      <c r="F2268" s="6" t="s">
        <v>7534</v>
      </c>
      <c r="G2268" s="6" t="s">
        <v>16</v>
      </c>
      <c r="H2268" s="6" t="s">
        <v>15</v>
      </c>
      <c r="I2268" s="6" t="s">
        <v>14</v>
      </c>
      <c r="J2268" s="6" t="s">
        <v>253</v>
      </c>
      <c r="K2268" s="7">
        <v>31.109529550000001</v>
      </c>
      <c r="L2268" s="7">
        <v>-97.704366419999999</v>
      </c>
      <c r="M2268" s="6" t="s">
        <v>1627</v>
      </c>
      <c r="N2268" s="6" t="s">
        <v>23</v>
      </c>
      <c r="O2268" s="6" t="s">
        <v>120</v>
      </c>
    </row>
    <row r="2269" spans="1:15" x14ac:dyDescent="0.25">
      <c r="A2269" s="6" t="s">
        <v>7643</v>
      </c>
      <c r="B2269" s="6" t="s">
        <v>7642</v>
      </c>
      <c r="C2269" s="6" t="s">
        <v>31</v>
      </c>
      <c r="E2269" s="6" t="s">
        <v>7641</v>
      </c>
      <c r="F2269" s="6" t="s">
        <v>7640</v>
      </c>
      <c r="G2269" s="6" t="s">
        <v>16</v>
      </c>
      <c r="H2269" s="6" t="s">
        <v>28</v>
      </c>
      <c r="I2269" s="6" t="s">
        <v>27</v>
      </c>
      <c r="J2269" s="6" t="s">
        <v>663</v>
      </c>
      <c r="K2269" s="7">
        <v>32.570310999999997</v>
      </c>
      <c r="L2269" s="7">
        <v>-94.923591999999999</v>
      </c>
      <c r="M2269" s="6" t="s">
        <v>423</v>
      </c>
      <c r="N2269" s="6" t="s">
        <v>65</v>
      </c>
      <c r="O2269" s="6" t="s">
        <v>65</v>
      </c>
    </row>
    <row r="2270" spans="1:15" x14ac:dyDescent="0.25">
      <c r="A2270" s="6" t="s">
        <v>7639</v>
      </c>
      <c r="B2270" s="6" t="s">
        <v>7638</v>
      </c>
      <c r="C2270" s="6" t="s">
        <v>31</v>
      </c>
      <c r="E2270" s="6" t="s">
        <v>7637</v>
      </c>
      <c r="F2270" s="6" t="s">
        <v>7636</v>
      </c>
      <c r="G2270" s="6" t="s">
        <v>16</v>
      </c>
      <c r="H2270" s="6" t="s">
        <v>28</v>
      </c>
      <c r="I2270" s="6" t="s">
        <v>27</v>
      </c>
      <c r="J2270" s="6" t="s">
        <v>26</v>
      </c>
      <c r="K2270" s="7">
        <v>30.383092000000001</v>
      </c>
      <c r="L2270" s="7">
        <v>-95.539948999999993</v>
      </c>
      <c r="M2270" s="6" t="s">
        <v>340</v>
      </c>
      <c r="N2270" s="6" t="s">
        <v>24</v>
      </c>
      <c r="O2270" s="6" t="s">
        <v>23</v>
      </c>
    </row>
    <row r="2271" spans="1:15" x14ac:dyDescent="0.25">
      <c r="A2271" s="6" t="s">
        <v>8737</v>
      </c>
      <c r="B2271" s="6" t="s">
        <v>8736</v>
      </c>
      <c r="C2271" s="6" t="s">
        <v>31</v>
      </c>
      <c r="E2271" s="6" t="s">
        <v>8735</v>
      </c>
      <c r="F2271" s="6" t="s">
        <v>8734</v>
      </c>
      <c r="G2271" s="6" t="s">
        <v>16</v>
      </c>
      <c r="H2271" s="6" t="s">
        <v>28</v>
      </c>
      <c r="I2271" s="6" t="s">
        <v>60</v>
      </c>
      <c r="J2271" s="6" t="s">
        <v>35</v>
      </c>
      <c r="K2271" s="7">
        <v>29.920660999999999</v>
      </c>
      <c r="L2271" s="7">
        <v>-95.476934999999997</v>
      </c>
      <c r="M2271" s="6" t="s">
        <v>34</v>
      </c>
      <c r="N2271" s="6" t="s">
        <v>24</v>
      </c>
      <c r="O2271" s="6" t="s">
        <v>23</v>
      </c>
    </row>
    <row r="2272" spans="1:15" x14ac:dyDescent="0.25">
      <c r="A2272" s="6" t="s">
        <v>11934</v>
      </c>
      <c r="B2272" s="6" t="s">
        <v>11933</v>
      </c>
      <c r="C2272" s="6" t="s">
        <v>31</v>
      </c>
      <c r="E2272" s="6" t="s">
        <v>11932</v>
      </c>
      <c r="F2272" s="6" t="s">
        <v>11931</v>
      </c>
      <c r="G2272" s="6" t="s">
        <v>16</v>
      </c>
      <c r="H2272" s="6" t="s">
        <v>15</v>
      </c>
      <c r="I2272" s="6" t="s">
        <v>46</v>
      </c>
      <c r="J2272" s="6" t="s">
        <v>461</v>
      </c>
      <c r="K2272" s="7">
        <v>33.171309340000001</v>
      </c>
      <c r="L2272" s="7">
        <v>-96.125489759999994</v>
      </c>
      <c r="M2272" s="6" t="s">
        <v>109</v>
      </c>
      <c r="N2272" s="6" t="s">
        <v>65</v>
      </c>
      <c r="O2272" s="6" t="s">
        <v>42</v>
      </c>
    </row>
    <row r="2273" spans="1:15" x14ac:dyDescent="0.25">
      <c r="A2273" s="6" t="s">
        <v>8019</v>
      </c>
      <c r="B2273" s="6" t="s">
        <v>8018</v>
      </c>
      <c r="C2273" s="6" t="s">
        <v>31</v>
      </c>
      <c r="E2273" s="6" t="s">
        <v>8017</v>
      </c>
      <c r="F2273" s="6" t="s">
        <v>8016</v>
      </c>
      <c r="G2273" s="6" t="s">
        <v>16</v>
      </c>
      <c r="H2273" s="6" t="s">
        <v>28</v>
      </c>
      <c r="I2273" s="6" t="s">
        <v>60</v>
      </c>
      <c r="J2273" s="6" t="s">
        <v>318</v>
      </c>
      <c r="K2273" s="7">
        <v>30.813216000000001</v>
      </c>
      <c r="L2273" s="7">
        <v>-95.082982000000001</v>
      </c>
      <c r="M2273" s="6" t="s">
        <v>317</v>
      </c>
      <c r="N2273" s="6" t="s">
        <v>102</v>
      </c>
      <c r="O2273" s="6" t="s">
        <v>24</v>
      </c>
    </row>
    <row r="2274" spans="1:15" x14ac:dyDescent="0.25">
      <c r="A2274" s="6" t="s">
        <v>7628</v>
      </c>
      <c r="B2274" s="6" t="s">
        <v>7627</v>
      </c>
      <c r="C2274" s="6" t="s">
        <v>31</v>
      </c>
      <c r="E2274" s="6" t="s">
        <v>7626</v>
      </c>
      <c r="F2274" s="6" t="s">
        <v>7625</v>
      </c>
      <c r="G2274" s="6" t="s">
        <v>16</v>
      </c>
      <c r="H2274" s="6" t="s">
        <v>28</v>
      </c>
      <c r="I2274" s="6" t="s">
        <v>27</v>
      </c>
      <c r="J2274" s="6" t="s">
        <v>168</v>
      </c>
      <c r="K2274" s="7">
        <v>33.149631509999999</v>
      </c>
      <c r="L2274" s="7">
        <v>-96.920420219999997</v>
      </c>
      <c r="M2274" s="6" t="s">
        <v>167</v>
      </c>
      <c r="N2274" s="6" t="s">
        <v>102</v>
      </c>
      <c r="O2274" s="6" t="s">
        <v>42</v>
      </c>
    </row>
    <row r="2275" spans="1:15" x14ac:dyDescent="0.25">
      <c r="A2275" s="6" t="s">
        <v>2168</v>
      </c>
      <c r="B2275" s="6" t="s">
        <v>2167</v>
      </c>
      <c r="C2275" s="6" t="s">
        <v>31</v>
      </c>
      <c r="E2275" s="6" t="s">
        <v>2166</v>
      </c>
      <c r="F2275" s="6" t="s">
        <v>2165</v>
      </c>
      <c r="G2275" s="6" t="s">
        <v>16</v>
      </c>
      <c r="H2275" s="6" t="s">
        <v>430</v>
      </c>
      <c r="I2275" s="6" t="s">
        <v>14</v>
      </c>
      <c r="J2275" s="6" t="s">
        <v>239</v>
      </c>
      <c r="K2275" s="7">
        <v>33.140939439999997</v>
      </c>
      <c r="L2275" s="7">
        <v>-96.830318739999996</v>
      </c>
      <c r="M2275" s="6" t="s">
        <v>167</v>
      </c>
      <c r="N2275" s="6" t="s">
        <v>102</v>
      </c>
      <c r="O2275" s="6" t="s">
        <v>42</v>
      </c>
    </row>
    <row r="2276" spans="1:15" x14ac:dyDescent="0.25">
      <c r="A2276" s="6" t="s">
        <v>8102</v>
      </c>
      <c r="B2276" s="6" t="s">
        <v>8101</v>
      </c>
      <c r="C2276" s="6" t="s">
        <v>31</v>
      </c>
      <c r="E2276" s="6" t="s">
        <v>8100</v>
      </c>
      <c r="F2276" s="6" t="s">
        <v>8099</v>
      </c>
      <c r="G2276" s="6" t="s">
        <v>16</v>
      </c>
      <c r="H2276" s="6" t="s">
        <v>28</v>
      </c>
      <c r="I2276" s="6" t="s">
        <v>27</v>
      </c>
      <c r="J2276" s="6" t="s">
        <v>424</v>
      </c>
      <c r="K2276" s="7">
        <v>32.850571289999998</v>
      </c>
      <c r="L2276" s="7">
        <v>-95.624944549999995</v>
      </c>
      <c r="M2276" s="6" t="s">
        <v>956</v>
      </c>
      <c r="N2276" s="6" t="s">
        <v>65</v>
      </c>
      <c r="O2276" s="6" t="s">
        <v>65</v>
      </c>
    </row>
    <row r="2277" spans="1:15" x14ac:dyDescent="0.25">
      <c r="A2277" s="6" t="s">
        <v>7624</v>
      </c>
      <c r="B2277" s="6" t="s">
        <v>7623</v>
      </c>
      <c r="C2277" s="6" t="s">
        <v>31</v>
      </c>
      <c r="E2277" s="6" t="s">
        <v>7622</v>
      </c>
      <c r="F2277" s="6" t="s">
        <v>7621</v>
      </c>
      <c r="G2277" s="6" t="s">
        <v>16</v>
      </c>
      <c r="H2277" s="6" t="s">
        <v>28</v>
      </c>
      <c r="I2277" s="6" t="s">
        <v>27</v>
      </c>
      <c r="J2277" s="6" t="s">
        <v>151</v>
      </c>
      <c r="K2277" s="7">
        <v>33.141309999999997</v>
      </c>
      <c r="L2277" s="7">
        <v>-97.685597999999999</v>
      </c>
      <c r="M2277" s="6" t="s">
        <v>150</v>
      </c>
      <c r="N2277" s="6" t="s">
        <v>102</v>
      </c>
      <c r="O2277" s="6" t="s">
        <v>42</v>
      </c>
    </row>
    <row r="2278" spans="1:15" x14ac:dyDescent="0.25">
      <c r="A2278" s="6" t="s">
        <v>8600</v>
      </c>
      <c r="B2278" s="6" t="s">
        <v>8599</v>
      </c>
      <c r="C2278" s="6" t="s">
        <v>31</v>
      </c>
      <c r="E2278" s="6" t="s">
        <v>8598</v>
      </c>
      <c r="F2278" s="6" t="s">
        <v>5736</v>
      </c>
      <c r="G2278" s="6" t="s">
        <v>16</v>
      </c>
      <c r="H2278" s="6" t="s">
        <v>28</v>
      </c>
      <c r="I2278" s="6" t="s">
        <v>60</v>
      </c>
      <c r="J2278" s="6" t="s">
        <v>239</v>
      </c>
      <c r="K2278" s="7">
        <v>33.155313</v>
      </c>
      <c r="L2278" s="7">
        <v>-96.375873999999996</v>
      </c>
      <c r="M2278" s="6" t="s">
        <v>349</v>
      </c>
      <c r="N2278" s="6" t="s">
        <v>102</v>
      </c>
      <c r="O2278" s="6" t="s">
        <v>42</v>
      </c>
    </row>
    <row r="2279" spans="1:15" x14ac:dyDescent="0.25">
      <c r="A2279" s="6" t="s">
        <v>8873</v>
      </c>
      <c r="B2279" s="6" t="s">
        <v>8872</v>
      </c>
      <c r="C2279" s="6" t="s">
        <v>31</v>
      </c>
      <c r="E2279" s="6" t="s">
        <v>8871</v>
      </c>
      <c r="F2279" s="6" t="s">
        <v>116</v>
      </c>
      <c r="G2279" s="6" t="s">
        <v>16</v>
      </c>
      <c r="H2279" s="6" t="s">
        <v>15</v>
      </c>
      <c r="I2279" s="6" t="s">
        <v>46</v>
      </c>
      <c r="J2279" s="6" t="s">
        <v>168</v>
      </c>
      <c r="K2279" s="7">
        <v>33.121379730000001</v>
      </c>
      <c r="L2279" s="7">
        <v>-96.858348669999998</v>
      </c>
      <c r="M2279" s="6" t="s">
        <v>167</v>
      </c>
      <c r="N2279" s="6" t="s">
        <v>102</v>
      </c>
      <c r="O2279" s="6" t="s">
        <v>42</v>
      </c>
    </row>
    <row r="2280" spans="1:15" x14ac:dyDescent="0.25">
      <c r="A2280" s="6" t="s">
        <v>7976</v>
      </c>
      <c r="B2280" s="6" t="s">
        <v>7975</v>
      </c>
      <c r="C2280" s="6" t="s">
        <v>31</v>
      </c>
      <c r="E2280" s="6" t="s">
        <v>7974</v>
      </c>
      <c r="F2280" s="6" t="s">
        <v>7973</v>
      </c>
      <c r="G2280" s="6" t="s">
        <v>16</v>
      </c>
      <c r="H2280" s="6" t="s">
        <v>15</v>
      </c>
      <c r="I2280" s="6" t="s">
        <v>14</v>
      </c>
      <c r="J2280" s="6" t="s">
        <v>1032</v>
      </c>
      <c r="K2280" s="7">
        <v>29.541731110000001</v>
      </c>
      <c r="L2280" s="7">
        <v>-97.913733190000002</v>
      </c>
      <c r="M2280" s="6" t="s">
        <v>1567</v>
      </c>
      <c r="N2280" s="6" t="s">
        <v>559</v>
      </c>
      <c r="O2280" s="6" t="s">
        <v>231</v>
      </c>
    </row>
    <row r="2281" spans="1:15" x14ac:dyDescent="0.25">
      <c r="A2281" s="6" t="s">
        <v>1957</v>
      </c>
      <c r="B2281" s="6" t="s">
        <v>1956</v>
      </c>
      <c r="C2281" s="6" t="s">
        <v>31</v>
      </c>
      <c r="E2281" s="6" t="s">
        <v>1955</v>
      </c>
      <c r="F2281" s="6" t="s">
        <v>1954</v>
      </c>
      <c r="G2281" s="6" t="s">
        <v>16</v>
      </c>
      <c r="H2281" s="6" t="s">
        <v>430</v>
      </c>
      <c r="I2281" s="6" t="s">
        <v>14</v>
      </c>
      <c r="J2281" s="6" t="s">
        <v>35</v>
      </c>
      <c r="K2281" s="7">
        <v>29.81151899</v>
      </c>
      <c r="L2281" s="7">
        <v>-95.259337619999997</v>
      </c>
      <c r="M2281" s="6" t="s">
        <v>34</v>
      </c>
      <c r="N2281" s="6" t="s">
        <v>24</v>
      </c>
      <c r="O2281" s="6" t="s">
        <v>23</v>
      </c>
    </row>
    <row r="2282" spans="1:15" x14ac:dyDescent="0.25">
      <c r="A2282" s="6" t="s">
        <v>1940</v>
      </c>
      <c r="B2282" s="6" t="s">
        <v>1938</v>
      </c>
      <c r="C2282" s="6" t="s">
        <v>31</v>
      </c>
      <c r="E2282" s="6" t="s">
        <v>1937</v>
      </c>
      <c r="F2282" s="6" t="s">
        <v>1936</v>
      </c>
      <c r="G2282" s="6" t="s">
        <v>16</v>
      </c>
      <c r="H2282" s="6" t="s">
        <v>15</v>
      </c>
      <c r="I2282" s="6" t="s">
        <v>14</v>
      </c>
      <c r="J2282" s="6" t="s">
        <v>97</v>
      </c>
      <c r="K2282" s="7">
        <v>33.695876910000003</v>
      </c>
      <c r="L2282" s="7">
        <v>-95.560177839999994</v>
      </c>
      <c r="M2282" s="6" t="s">
        <v>44</v>
      </c>
      <c r="N2282" s="6" t="s">
        <v>43</v>
      </c>
      <c r="O2282" s="6" t="s">
        <v>65</v>
      </c>
    </row>
    <row r="2283" spans="1:15" x14ac:dyDescent="0.25">
      <c r="A2283" s="6" t="s">
        <v>1939</v>
      </c>
      <c r="B2283" s="6" t="s">
        <v>1938</v>
      </c>
      <c r="C2283" s="6" t="s">
        <v>19</v>
      </c>
      <c r="E2283" s="6" t="s">
        <v>1937</v>
      </c>
      <c r="F2283" s="6" t="s">
        <v>1936</v>
      </c>
      <c r="G2283" s="6" t="s">
        <v>16</v>
      </c>
      <c r="H2283" s="6" t="s">
        <v>430</v>
      </c>
      <c r="I2283" s="6" t="s">
        <v>14</v>
      </c>
      <c r="J2283" s="6" t="s">
        <v>97</v>
      </c>
      <c r="K2283" s="7">
        <v>33.697157619999999</v>
      </c>
      <c r="L2283" s="7">
        <v>-95.558352009999993</v>
      </c>
      <c r="M2283" s="6" t="s">
        <v>44</v>
      </c>
      <c r="N2283" s="6" t="s">
        <v>43</v>
      </c>
      <c r="O2283" s="6" t="s">
        <v>65</v>
      </c>
    </row>
    <row r="2284" spans="1:15" x14ac:dyDescent="0.25">
      <c r="A2284" s="6" t="s">
        <v>1949</v>
      </c>
      <c r="B2284" s="6" t="s">
        <v>1948</v>
      </c>
      <c r="C2284" s="6" t="s">
        <v>31</v>
      </c>
      <c r="E2284" s="6" t="s">
        <v>1947</v>
      </c>
      <c r="F2284" s="6" t="s">
        <v>1946</v>
      </c>
      <c r="G2284" s="6" t="s">
        <v>16</v>
      </c>
      <c r="H2284" s="6" t="s">
        <v>15</v>
      </c>
      <c r="I2284" s="6" t="s">
        <v>46</v>
      </c>
      <c r="J2284" s="6" t="s">
        <v>132</v>
      </c>
      <c r="K2284" s="7">
        <v>29.679956000000001</v>
      </c>
      <c r="L2284" s="7">
        <v>-95.844397000000001</v>
      </c>
      <c r="M2284" s="6" t="s">
        <v>616</v>
      </c>
      <c r="N2284" s="6" t="s">
        <v>23</v>
      </c>
      <c r="O2284" s="6" t="s">
        <v>23</v>
      </c>
    </row>
    <row r="2285" spans="1:15" x14ac:dyDescent="0.25">
      <c r="A2285" s="6" t="s">
        <v>5224</v>
      </c>
      <c r="B2285" s="6" t="s">
        <v>5223</v>
      </c>
      <c r="C2285" s="6" t="s">
        <v>31</v>
      </c>
      <c r="E2285" s="6" t="s">
        <v>5222</v>
      </c>
      <c r="F2285" s="6" t="s">
        <v>5221</v>
      </c>
      <c r="G2285" s="6" t="s">
        <v>16</v>
      </c>
      <c r="H2285" s="6" t="s">
        <v>15</v>
      </c>
      <c r="I2285" s="6" t="s">
        <v>36</v>
      </c>
      <c r="J2285" s="6" t="s">
        <v>35</v>
      </c>
      <c r="K2285" s="7">
        <v>29.993578830000001</v>
      </c>
      <c r="L2285" s="7">
        <v>-95.384264430000002</v>
      </c>
      <c r="M2285" s="6" t="s">
        <v>198</v>
      </c>
      <c r="N2285" s="6" t="s">
        <v>24</v>
      </c>
      <c r="O2285" s="6" t="s">
        <v>23</v>
      </c>
    </row>
    <row r="2286" spans="1:15" x14ac:dyDescent="0.25">
      <c r="A2286" s="6" t="s">
        <v>339</v>
      </c>
      <c r="B2286" s="6" t="s">
        <v>338</v>
      </c>
      <c r="C2286" s="6" t="s">
        <v>31</v>
      </c>
      <c r="E2286" s="6" t="s">
        <v>337</v>
      </c>
      <c r="F2286" s="6" t="s">
        <v>336</v>
      </c>
      <c r="G2286" s="6" t="s">
        <v>16</v>
      </c>
      <c r="H2286" s="6" t="s">
        <v>28</v>
      </c>
      <c r="I2286" s="6" t="s">
        <v>14</v>
      </c>
      <c r="J2286" s="6" t="s">
        <v>104</v>
      </c>
      <c r="K2286" s="7">
        <v>32.746006629999997</v>
      </c>
      <c r="L2286" s="7">
        <v>-96.369298939999993</v>
      </c>
      <c r="M2286" s="6" t="s">
        <v>193</v>
      </c>
      <c r="N2286" s="6" t="s">
        <v>102</v>
      </c>
      <c r="O2286" s="6" t="s">
        <v>42</v>
      </c>
    </row>
    <row r="2287" spans="1:15" x14ac:dyDescent="0.25">
      <c r="A2287" s="6" t="s">
        <v>1708</v>
      </c>
      <c r="B2287" s="6" t="s">
        <v>1707</v>
      </c>
      <c r="C2287" s="6" t="s">
        <v>31</v>
      </c>
      <c r="E2287" s="6" t="s">
        <v>1706</v>
      </c>
      <c r="F2287" s="6" t="s">
        <v>1705</v>
      </c>
      <c r="G2287" s="6" t="s">
        <v>16</v>
      </c>
      <c r="H2287" s="6" t="s">
        <v>28</v>
      </c>
      <c r="I2287" s="6" t="s">
        <v>27</v>
      </c>
      <c r="J2287" s="6" t="s">
        <v>145</v>
      </c>
      <c r="K2287" s="7">
        <v>30.506793999999999</v>
      </c>
      <c r="L2287" s="7">
        <v>-94.437520000000006</v>
      </c>
      <c r="M2287" s="6" t="s">
        <v>1704</v>
      </c>
      <c r="N2287" s="6" t="s">
        <v>52</v>
      </c>
      <c r="O2287" s="6" t="s">
        <v>24</v>
      </c>
    </row>
    <row r="2288" spans="1:15" x14ac:dyDescent="0.25">
      <c r="A2288" s="6" t="s">
        <v>8793</v>
      </c>
      <c r="B2288" s="6" t="s">
        <v>8792</v>
      </c>
      <c r="C2288" s="6" t="s">
        <v>31</v>
      </c>
      <c r="E2288" s="6" t="s">
        <v>8791</v>
      </c>
      <c r="F2288" s="6" t="s">
        <v>5708</v>
      </c>
      <c r="G2288" s="6" t="s">
        <v>16</v>
      </c>
      <c r="H2288" s="6" t="s">
        <v>28</v>
      </c>
      <c r="I2288" s="6" t="s">
        <v>27</v>
      </c>
      <c r="J2288" s="6" t="s">
        <v>35</v>
      </c>
      <c r="K2288" s="7">
        <v>30.037270880000001</v>
      </c>
      <c r="L2288" s="7">
        <v>-95.068887239999995</v>
      </c>
      <c r="M2288" s="6" t="s">
        <v>914</v>
      </c>
      <c r="N2288" s="6" t="s">
        <v>120</v>
      </c>
      <c r="O2288" s="6" t="s">
        <v>23</v>
      </c>
    </row>
    <row r="2289" spans="1:15" x14ac:dyDescent="0.25">
      <c r="A2289" s="6" t="s">
        <v>7631</v>
      </c>
      <c r="B2289" s="6" t="s">
        <v>7630</v>
      </c>
      <c r="C2289" s="6" t="s">
        <v>31</v>
      </c>
      <c r="E2289" s="6" t="s">
        <v>7629</v>
      </c>
      <c r="F2289" s="6" t="s">
        <v>895</v>
      </c>
      <c r="G2289" s="6" t="s">
        <v>16</v>
      </c>
      <c r="H2289" s="6" t="s">
        <v>28</v>
      </c>
      <c r="I2289" s="6" t="s">
        <v>60</v>
      </c>
      <c r="J2289" s="6" t="s">
        <v>35</v>
      </c>
      <c r="K2289" s="7">
        <v>29.933195000000001</v>
      </c>
      <c r="L2289" s="7">
        <v>-95.547832999999997</v>
      </c>
      <c r="M2289" s="6" t="s">
        <v>77</v>
      </c>
      <c r="N2289" s="6" t="s">
        <v>24</v>
      </c>
      <c r="O2289" s="6" t="s">
        <v>23</v>
      </c>
    </row>
    <row r="2290" spans="1:15" x14ac:dyDescent="0.25">
      <c r="A2290" s="6" t="s">
        <v>9208</v>
      </c>
      <c r="B2290" s="6" t="s">
        <v>9207</v>
      </c>
      <c r="C2290" s="6" t="s">
        <v>31</v>
      </c>
      <c r="E2290" s="6" t="s">
        <v>9206</v>
      </c>
      <c r="F2290" s="6" t="s">
        <v>5708</v>
      </c>
      <c r="G2290" s="6" t="s">
        <v>16</v>
      </c>
      <c r="H2290" s="6" t="s">
        <v>15</v>
      </c>
      <c r="I2290" s="6" t="s">
        <v>36</v>
      </c>
      <c r="J2290" s="6" t="s">
        <v>35</v>
      </c>
      <c r="K2290" s="7">
        <v>29.929730200000002</v>
      </c>
      <c r="L2290" s="7">
        <v>-95.281694740000006</v>
      </c>
      <c r="M2290" s="6" t="s">
        <v>198</v>
      </c>
      <c r="N2290" s="6" t="s">
        <v>24</v>
      </c>
      <c r="O2290" s="6" t="s">
        <v>42</v>
      </c>
    </row>
    <row r="2291" spans="1:15" x14ac:dyDescent="0.25">
      <c r="A2291" s="6" t="s">
        <v>7620</v>
      </c>
      <c r="B2291" s="6" t="s">
        <v>7619</v>
      </c>
      <c r="C2291" s="6" t="s">
        <v>31</v>
      </c>
      <c r="E2291" s="6" t="s">
        <v>7618</v>
      </c>
      <c r="F2291" s="6" t="s">
        <v>7617</v>
      </c>
      <c r="G2291" s="6" t="s">
        <v>16</v>
      </c>
      <c r="H2291" s="6" t="s">
        <v>28</v>
      </c>
      <c r="I2291" s="6" t="s">
        <v>60</v>
      </c>
      <c r="J2291" s="6" t="s">
        <v>3523</v>
      </c>
      <c r="K2291" s="7">
        <v>29.495369</v>
      </c>
      <c r="L2291" s="7">
        <v>-96.666493000000003</v>
      </c>
      <c r="M2291" s="6" t="s">
        <v>2429</v>
      </c>
      <c r="N2291" s="6" t="s">
        <v>510</v>
      </c>
      <c r="O2291" s="6" t="s">
        <v>23</v>
      </c>
    </row>
    <row r="2292" spans="1:15" x14ac:dyDescent="0.25">
      <c r="A2292" s="6" t="s">
        <v>11671</v>
      </c>
      <c r="B2292" s="6" t="s">
        <v>1257</v>
      </c>
      <c r="C2292" s="6" t="s">
        <v>31</v>
      </c>
      <c r="E2292" s="6" t="s">
        <v>1256</v>
      </c>
      <c r="F2292" s="6" t="s">
        <v>1255</v>
      </c>
      <c r="G2292" s="6" t="s">
        <v>16</v>
      </c>
      <c r="H2292" s="6" t="s">
        <v>15</v>
      </c>
      <c r="I2292" s="6" t="s">
        <v>36</v>
      </c>
      <c r="J2292" s="6" t="s">
        <v>90</v>
      </c>
      <c r="K2292" s="7">
        <v>26.336256200000001</v>
      </c>
      <c r="L2292" s="7">
        <v>-97.434572459999998</v>
      </c>
      <c r="M2292" s="6" t="s">
        <v>1254</v>
      </c>
      <c r="N2292" s="6" t="s">
        <v>11</v>
      </c>
      <c r="O2292" s="6" t="s">
        <v>22</v>
      </c>
    </row>
    <row r="2293" spans="1:15" x14ac:dyDescent="0.25">
      <c r="A2293" s="6" t="s">
        <v>1258</v>
      </c>
      <c r="B2293" s="6" t="s">
        <v>1257</v>
      </c>
      <c r="C2293" s="6" t="s">
        <v>19</v>
      </c>
      <c r="E2293" s="6" t="s">
        <v>1256</v>
      </c>
      <c r="F2293" s="6" t="s">
        <v>1255</v>
      </c>
      <c r="G2293" s="6" t="s">
        <v>16</v>
      </c>
      <c r="H2293" s="6" t="s">
        <v>15</v>
      </c>
      <c r="I2293" s="6" t="s">
        <v>36</v>
      </c>
      <c r="J2293" s="6" t="s">
        <v>90</v>
      </c>
      <c r="K2293" s="7">
        <v>26.335691919999999</v>
      </c>
      <c r="L2293" s="7">
        <v>-97.435106820000001</v>
      </c>
      <c r="M2293" s="6" t="s">
        <v>1254</v>
      </c>
      <c r="N2293" s="6" t="s">
        <v>11</v>
      </c>
      <c r="O2293" s="6" t="s">
        <v>22</v>
      </c>
    </row>
    <row r="2294" spans="1:15" x14ac:dyDescent="0.25">
      <c r="A2294" s="6" t="s">
        <v>6564</v>
      </c>
      <c r="B2294" s="6" t="s">
        <v>6563</v>
      </c>
      <c r="C2294" s="6" t="s">
        <v>31</v>
      </c>
      <c r="E2294" s="6" t="s">
        <v>6562</v>
      </c>
      <c r="F2294" s="6" t="s">
        <v>263</v>
      </c>
      <c r="G2294" s="6" t="s">
        <v>16</v>
      </c>
      <c r="H2294" s="6" t="s">
        <v>15</v>
      </c>
      <c r="I2294" s="6" t="s">
        <v>14</v>
      </c>
      <c r="J2294" s="6" t="s">
        <v>162</v>
      </c>
      <c r="K2294" s="7">
        <v>29.311291529999998</v>
      </c>
      <c r="L2294" s="7">
        <v>-95.552441860000002</v>
      </c>
      <c r="M2294" s="6" t="s">
        <v>2680</v>
      </c>
      <c r="N2294" s="6" t="s">
        <v>160</v>
      </c>
      <c r="O2294" s="6" t="s">
        <v>23</v>
      </c>
    </row>
    <row r="2295" spans="1:15" x14ac:dyDescent="0.25">
      <c r="A2295" s="6" t="s">
        <v>1935</v>
      </c>
      <c r="B2295" s="6" t="s">
        <v>1934</v>
      </c>
      <c r="C2295" s="6" t="s">
        <v>31</v>
      </c>
      <c r="E2295" s="6" t="s">
        <v>1933</v>
      </c>
      <c r="F2295" s="6" t="s">
        <v>1310</v>
      </c>
      <c r="G2295" s="6" t="s">
        <v>16</v>
      </c>
      <c r="H2295" s="6" t="s">
        <v>430</v>
      </c>
      <c r="I2295" s="6" t="s">
        <v>36</v>
      </c>
      <c r="J2295" s="6" t="s">
        <v>35</v>
      </c>
      <c r="K2295" s="7">
        <v>29.625529419999999</v>
      </c>
      <c r="L2295" s="7">
        <v>-95.080030300000004</v>
      </c>
      <c r="M2295" s="6" t="s">
        <v>1932</v>
      </c>
      <c r="N2295" s="6" t="s">
        <v>160</v>
      </c>
      <c r="O2295" s="6" t="s">
        <v>23</v>
      </c>
    </row>
    <row r="2296" spans="1:15" x14ac:dyDescent="0.25">
      <c r="A2296" s="6" t="s">
        <v>3949</v>
      </c>
      <c r="B2296" s="6" t="s">
        <v>3948</v>
      </c>
      <c r="C2296" s="6" t="s">
        <v>31</v>
      </c>
      <c r="E2296" s="6" t="s">
        <v>3947</v>
      </c>
      <c r="F2296" s="6" t="s">
        <v>3946</v>
      </c>
      <c r="G2296" s="6" t="s">
        <v>16</v>
      </c>
      <c r="H2296" s="6" t="s">
        <v>430</v>
      </c>
      <c r="I2296" s="6" t="s">
        <v>36</v>
      </c>
      <c r="J2296" s="6" t="s">
        <v>35</v>
      </c>
      <c r="K2296" s="7">
        <v>29.71269766</v>
      </c>
      <c r="L2296" s="7">
        <v>-95.248500989999997</v>
      </c>
      <c r="M2296" s="6" t="s">
        <v>866</v>
      </c>
      <c r="N2296" s="6" t="s">
        <v>24</v>
      </c>
      <c r="O2296" s="6" t="s">
        <v>23</v>
      </c>
    </row>
    <row r="2297" spans="1:15" x14ac:dyDescent="0.25">
      <c r="A2297" s="6" t="s">
        <v>10928</v>
      </c>
      <c r="B2297" s="6" t="s">
        <v>10927</v>
      </c>
      <c r="C2297" s="6" t="s">
        <v>31</v>
      </c>
      <c r="E2297" s="6" t="s">
        <v>10926</v>
      </c>
      <c r="F2297" s="6" t="s">
        <v>10925</v>
      </c>
      <c r="G2297" s="6" t="s">
        <v>16</v>
      </c>
      <c r="H2297" s="6" t="s">
        <v>28</v>
      </c>
      <c r="I2297" s="6" t="s">
        <v>60</v>
      </c>
      <c r="J2297" s="6" t="s">
        <v>26</v>
      </c>
      <c r="K2297" s="7">
        <v>30.392551000000001</v>
      </c>
      <c r="L2297" s="7">
        <v>-95.651739000000006</v>
      </c>
      <c r="M2297" s="6" t="s">
        <v>340</v>
      </c>
      <c r="N2297" s="6" t="s">
        <v>24</v>
      </c>
      <c r="O2297" s="6" t="s">
        <v>23</v>
      </c>
    </row>
    <row r="2298" spans="1:15" x14ac:dyDescent="0.25">
      <c r="A2298" s="6" t="s">
        <v>1990</v>
      </c>
      <c r="B2298" s="6" t="s">
        <v>1989</v>
      </c>
      <c r="C2298" s="6" t="s">
        <v>31</v>
      </c>
      <c r="E2298" s="6" t="s">
        <v>1988</v>
      </c>
      <c r="F2298" s="6" t="s">
        <v>1987</v>
      </c>
      <c r="G2298" s="6" t="s">
        <v>16</v>
      </c>
      <c r="H2298" s="6" t="s">
        <v>591</v>
      </c>
      <c r="I2298" s="6" t="s">
        <v>46</v>
      </c>
      <c r="J2298" s="6" t="s">
        <v>72</v>
      </c>
      <c r="K2298" s="7">
        <v>32.097224310000001</v>
      </c>
      <c r="L2298" s="7">
        <v>-95.056219110000001</v>
      </c>
      <c r="M2298" s="6" t="s">
        <v>203</v>
      </c>
      <c r="N2298" s="6" t="s">
        <v>52</v>
      </c>
      <c r="O2298" s="6" t="s">
        <v>65</v>
      </c>
    </row>
    <row r="2299" spans="1:15" x14ac:dyDescent="0.25">
      <c r="A2299" s="6" t="s">
        <v>2978</v>
      </c>
      <c r="B2299" s="6" t="s">
        <v>1989</v>
      </c>
      <c r="C2299" s="6" t="s">
        <v>19</v>
      </c>
      <c r="E2299" s="6" t="s">
        <v>1988</v>
      </c>
      <c r="F2299" s="6" t="s">
        <v>1987</v>
      </c>
      <c r="G2299" s="6" t="s">
        <v>16</v>
      </c>
      <c r="H2299" s="6" t="s">
        <v>591</v>
      </c>
      <c r="I2299" s="6" t="s">
        <v>46</v>
      </c>
      <c r="J2299" s="6" t="s">
        <v>72</v>
      </c>
      <c r="K2299" s="7">
        <v>32.111345749999998</v>
      </c>
      <c r="L2299" s="7">
        <v>-95.060174989999993</v>
      </c>
      <c r="M2299" s="6" t="s">
        <v>203</v>
      </c>
      <c r="N2299" s="6" t="s">
        <v>52</v>
      </c>
      <c r="O2299" s="6" t="s">
        <v>65</v>
      </c>
    </row>
    <row r="2300" spans="1:15" x14ac:dyDescent="0.25">
      <c r="A2300" s="6" t="s">
        <v>5563</v>
      </c>
      <c r="B2300" s="6" t="s">
        <v>1989</v>
      </c>
      <c r="C2300" s="6" t="s">
        <v>557</v>
      </c>
      <c r="E2300" s="6" t="s">
        <v>1988</v>
      </c>
      <c r="F2300" s="6" t="s">
        <v>1987</v>
      </c>
      <c r="G2300" s="6" t="s">
        <v>16</v>
      </c>
      <c r="H2300" s="6" t="s">
        <v>591</v>
      </c>
      <c r="I2300" s="6" t="s">
        <v>46</v>
      </c>
      <c r="J2300" s="6" t="s">
        <v>72</v>
      </c>
      <c r="K2300" s="7">
        <v>32.10447911</v>
      </c>
      <c r="L2300" s="7">
        <v>-95.053850350000005</v>
      </c>
      <c r="M2300" s="6" t="s">
        <v>203</v>
      </c>
      <c r="N2300" s="6" t="s">
        <v>52</v>
      </c>
      <c r="O2300" s="6" t="s">
        <v>65</v>
      </c>
    </row>
    <row r="2301" spans="1:15" x14ac:dyDescent="0.25">
      <c r="A2301" s="6" t="s">
        <v>2977</v>
      </c>
      <c r="B2301" s="6" t="s">
        <v>1989</v>
      </c>
      <c r="C2301" s="6" t="s">
        <v>433</v>
      </c>
      <c r="E2301" s="6" t="s">
        <v>1988</v>
      </c>
      <c r="F2301" s="6" t="s">
        <v>1987</v>
      </c>
      <c r="G2301" s="6" t="s">
        <v>16</v>
      </c>
      <c r="H2301" s="6" t="s">
        <v>591</v>
      </c>
      <c r="I2301" s="6" t="s">
        <v>46</v>
      </c>
      <c r="J2301" s="6" t="s">
        <v>72</v>
      </c>
      <c r="K2301" s="7">
        <v>32.125227209999998</v>
      </c>
      <c r="L2301" s="7">
        <v>-95.060424029999993</v>
      </c>
      <c r="M2301" s="6" t="s">
        <v>203</v>
      </c>
      <c r="N2301" s="6" t="s">
        <v>52</v>
      </c>
      <c r="O2301" s="6" t="s">
        <v>65</v>
      </c>
    </row>
    <row r="2302" spans="1:15" x14ac:dyDescent="0.25">
      <c r="A2302" s="6" t="s">
        <v>2979</v>
      </c>
      <c r="B2302" s="6" t="s">
        <v>1989</v>
      </c>
      <c r="C2302" s="6" t="s">
        <v>1098</v>
      </c>
      <c r="E2302" s="6" t="s">
        <v>1988</v>
      </c>
      <c r="F2302" s="6" t="s">
        <v>1987</v>
      </c>
      <c r="G2302" s="6" t="s">
        <v>16</v>
      </c>
      <c r="H2302" s="6" t="s">
        <v>591</v>
      </c>
      <c r="I2302" s="6" t="s">
        <v>46</v>
      </c>
      <c r="J2302" s="6" t="s">
        <v>72</v>
      </c>
      <c r="K2302" s="7">
        <v>32.103315010000003</v>
      </c>
      <c r="L2302" s="7">
        <v>-95.046194810000003</v>
      </c>
      <c r="M2302" s="6" t="s">
        <v>203</v>
      </c>
      <c r="N2302" s="6" t="s">
        <v>52</v>
      </c>
      <c r="O2302" s="6" t="s">
        <v>65</v>
      </c>
    </row>
    <row r="2303" spans="1:15" x14ac:dyDescent="0.25">
      <c r="A2303" s="6" t="s">
        <v>8638</v>
      </c>
      <c r="B2303" s="6" t="s">
        <v>8637</v>
      </c>
      <c r="C2303" s="6" t="s">
        <v>31</v>
      </c>
      <c r="E2303" s="6" t="s">
        <v>8636</v>
      </c>
      <c r="F2303" s="6" t="s">
        <v>8635</v>
      </c>
      <c r="G2303" s="6" t="s">
        <v>16</v>
      </c>
      <c r="H2303" s="6" t="s">
        <v>28</v>
      </c>
      <c r="I2303" s="6" t="s">
        <v>27</v>
      </c>
      <c r="J2303" s="6" t="s">
        <v>84</v>
      </c>
      <c r="K2303" s="7">
        <v>28.561579999999999</v>
      </c>
      <c r="L2303" s="7">
        <v>-96.540801999999999</v>
      </c>
      <c r="M2303" s="6" t="s">
        <v>1272</v>
      </c>
      <c r="N2303" s="6" t="s">
        <v>82</v>
      </c>
      <c r="O2303" s="6" t="s">
        <v>10</v>
      </c>
    </row>
    <row r="2304" spans="1:15" x14ac:dyDescent="0.25">
      <c r="A2304" s="6" t="s">
        <v>7668</v>
      </c>
      <c r="B2304" s="6" t="s">
        <v>7667</v>
      </c>
      <c r="C2304" s="6" t="s">
        <v>31</v>
      </c>
      <c r="E2304" s="6" t="s">
        <v>7666</v>
      </c>
      <c r="F2304" s="6" t="s">
        <v>7665</v>
      </c>
      <c r="G2304" s="6" t="s">
        <v>16</v>
      </c>
      <c r="H2304" s="6" t="s">
        <v>28</v>
      </c>
      <c r="I2304" s="6" t="s">
        <v>60</v>
      </c>
      <c r="J2304" s="6" t="s">
        <v>318</v>
      </c>
      <c r="K2304" s="7">
        <v>30.759505999999998</v>
      </c>
      <c r="L2304" s="7">
        <v>-94.914818999999994</v>
      </c>
      <c r="M2304" s="6" t="s">
        <v>2355</v>
      </c>
      <c r="N2304" s="6" t="s">
        <v>102</v>
      </c>
      <c r="O2304" s="6" t="s">
        <v>24</v>
      </c>
    </row>
    <row r="2305" spans="1:15" x14ac:dyDescent="0.25">
      <c r="A2305" s="6" t="s">
        <v>6939</v>
      </c>
      <c r="B2305" s="6" t="s">
        <v>6938</v>
      </c>
      <c r="C2305" s="6" t="s">
        <v>31</v>
      </c>
      <c r="E2305" s="6" t="s">
        <v>6937</v>
      </c>
      <c r="F2305" s="6" t="s">
        <v>6936</v>
      </c>
      <c r="G2305" s="6" t="s">
        <v>16</v>
      </c>
      <c r="H2305" s="6" t="s">
        <v>28</v>
      </c>
      <c r="I2305" s="6" t="s">
        <v>27</v>
      </c>
      <c r="J2305" s="6" t="s">
        <v>566</v>
      </c>
      <c r="K2305" s="7">
        <v>32.281628380000001</v>
      </c>
      <c r="L2305" s="7">
        <v>-94.957302569999996</v>
      </c>
      <c r="M2305" s="6" t="s">
        <v>1218</v>
      </c>
      <c r="N2305" s="6" t="s">
        <v>65</v>
      </c>
      <c r="O2305" s="6" t="s">
        <v>65</v>
      </c>
    </row>
    <row r="2306" spans="1:15" x14ac:dyDescent="0.25">
      <c r="A2306" s="6" t="s">
        <v>7783</v>
      </c>
      <c r="B2306" s="6" t="s">
        <v>7782</v>
      </c>
      <c r="C2306" s="6" t="s">
        <v>31</v>
      </c>
      <c r="E2306" s="6" t="s">
        <v>7781</v>
      </c>
      <c r="F2306" s="6" t="s">
        <v>7780</v>
      </c>
      <c r="G2306" s="6" t="s">
        <v>16</v>
      </c>
      <c r="H2306" s="6" t="s">
        <v>28</v>
      </c>
      <c r="I2306" s="6" t="s">
        <v>27</v>
      </c>
      <c r="J2306" s="6" t="s">
        <v>356</v>
      </c>
      <c r="K2306" s="7">
        <v>29.831448999999999</v>
      </c>
      <c r="L2306" s="7">
        <v>-96.089305999999993</v>
      </c>
      <c r="M2306" s="6" t="s">
        <v>355</v>
      </c>
      <c r="N2306" s="6" t="s">
        <v>23</v>
      </c>
      <c r="O2306" s="6" t="s">
        <v>23</v>
      </c>
    </row>
    <row r="2307" spans="1:15" x14ac:dyDescent="0.25">
      <c r="A2307" s="6" t="s">
        <v>7646</v>
      </c>
      <c r="B2307" s="6" t="s">
        <v>7645</v>
      </c>
      <c r="C2307" s="6" t="s">
        <v>31</v>
      </c>
      <c r="E2307" s="6" t="s">
        <v>7644</v>
      </c>
      <c r="F2307" s="6" t="s">
        <v>736</v>
      </c>
      <c r="G2307" s="6" t="s">
        <v>16</v>
      </c>
      <c r="H2307" s="6" t="s">
        <v>15</v>
      </c>
      <c r="I2307" s="6" t="s">
        <v>36</v>
      </c>
      <c r="J2307" s="6" t="s">
        <v>1288</v>
      </c>
      <c r="K2307" s="7">
        <v>32.48522518</v>
      </c>
      <c r="L2307" s="7">
        <v>-96.799664219999997</v>
      </c>
      <c r="M2307" s="6" t="s">
        <v>103</v>
      </c>
      <c r="N2307" s="6" t="s">
        <v>102</v>
      </c>
      <c r="O2307" s="6" t="s">
        <v>42</v>
      </c>
    </row>
    <row r="2308" spans="1:15" x14ac:dyDescent="0.25">
      <c r="A2308" s="6" t="s">
        <v>5468</v>
      </c>
      <c r="B2308" s="6" t="s">
        <v>5464</v>
      </c>
      <c r="C2308" s="6" t="s">
        <v>31</v>
      </c>
      <c r="E2308" s="6" t="s">
        <v>5463</v>
      </c>
      <c r="F2308" s="6" t="s">
        <v>5462</v>
      </c>
      <c r="G2308" s="6" t="s">
        <v>16</v>
      </c>
      <c r="H2308" s="6" t="s">
        <v>430</v>
      </c>
      <c r="I2308" s="6" t="s">
        <v>46</v>
      </c>
      <c r="J2308" s="6" t="s">
        <v>13</v>
      </c>
      <c r="K2308" s="7">
        <v>27.725683839999999</v>
      </c>
      <c r="L2308" s="7">
        <v>-97.66019378</v>
      </c>
      <c r="M2308" s="6" t="s">
        <v>792</v>
      </c>
      <c r="N2308" s="6" t="s">
        <v>11</v>
      </c>
      <c r="O2308" s="6" t="s">
        <v>10</v>
      </c>
    </row>
    <row r="2309" spans="1:15" x14ac:dyDescent="0.25">
      <c r="A2309" s="6" t="s">
        <v>5467</v>
      </c>
      <c r="B2309" s="6" t="s">
        <v>5464</v>
      </c>
      <c r="C2309" s="6" t="s">
        <v>19</v>
      </c>
      <c r="E2309" s="6" t="s">
        <v>5463</v>
      </c>
      <c r="F2309" s="6" t="s">
        <v>5462</v>
      </c>
      <c r="G2309" s="6" t="s">
        <v>16</v>
      </c>
      <c r="H2309" s="6" t="s">
        <v>430</v>
      </c>
      <c r="I2309" s="6" t="s">
        <v>46</v>
      </c>
      <c r="J2309" s="6" t="s">
        <v>13</v>
      </c>
      <c r="K2309" s="7">
        <v>27.730705350000001</v>
      </c>
      <c r="L2309" s="7">
        <v>-97.66018717</v>
      </c>
      <c r="M2309" s="6" t="s">
        <v>792</v>
      </c>
      <c r="N2309" s="6" t="s">
        <v>11</v>
      </c>
      <c r="O2309" s="6" t="s">
        <v>10</v>
      </c>
    </row>
    <row r="2310" spans="1:15" x14ac:dyDescent="0.25">
      <c r="A2310" s="6" t="s">
        <v>5466</v>
      </c>
      <c r="B2310" s="6" t="s">
        <v>5464</v>
      </c>
      <c r="C2310" s="6" t="s">
        <v>436</v>
      </c>
      <c r="E2310" s="6" t="s">
        <v>5463</v>
      </c>
      <c r="F2310" s="6" t="s">
        <v>5462</v>
      </c>
      <c r="G2310" s="6" t="s">
        <v>16</v>
      </c>
      <c r="H2310" s="6" t="s">
        <v>430</v>
      </c>
      <c r="I2310" s="6" t="s">
        <v>46</v>
      </c>
      <c r="J2310" s="6" t="s">
        <v>13</v>
      </c>
      <c r="K2310" s="7">
        <v>27.72660707</v>
      </c>
      <c r="L2310" s="7">
        <v>-97.660206160000001</v>
      </c>
      <c r="M2310" s="6" t="s">
        <v>792</v>
      </c>
      <c r="N2310" s="6" t="s">
        <v>11</v>
      </c>
      <c r="O2310" s="6" t="s">
        <v>10</v>
      </c>
    </row>
    <row r="2311" spans="1:15" x14ac:dyDescent="0.25">
      <c r="A2311" s="6" t="s">
        <v>5465</v>
      </c>
      <c r="B2311" s="6" t="s">
        <v>5464</v>
      </c>
      <c r="C2311" s="6" t="s">
        <v>597</v>
      </c>
      <c r="E2311" s="6" t="s">
        <v>5463</v>
      </c>
      <c r="F2311" s="6" t="s">
        <v>5462</v>
      </c>
      <c r="G2311" s="6" t="s">
        <v>16</v>
      </c>
      <c r="H2311" s="6" t="s">
        <v>430</v>
      </c>
      <c r="I2311" s="6" t="s">
        <v>46</v>
      </c>
      <c r="J2311" s="6" t="s">
        <v>13</v>
      </c>
      <c r="K2311" s="7">
        <v>27.732218230000001</v>
      </c>
      <c r="L2311" s="7">
        <v>-97.659489620000002</v>
      </c>
      <c r="M2311" s="6" t="s">
        <v>792</v>
      </c>
      <c r="N2311" s="6" t="s">
        <v>11</v>
      </c>
      <c r="O2311" s="6" t="s">
        <v>10</v>
      </c>
    </row>
    <row r="2312" spans="1:15" x14ac:dyDescent="0.25">
      <c r="A2312" s="6" t="s">
        <v>3286</v>
      </c>
      <c r="B2312" s="6" t="s">
        <v>3285</v>
      </c>
      <c r="C2312" s="6" t="s">
        <v>31</v>
      </c>
      <c r="E2312" s="6" t="s">
        <v>3284</v>
      </c>
      <c r="F2312" s="6" t="s">
        <v>3283</v>
      </c>
      <c r="G2312" s="6" t="s">
        <v>16</v>
      </c>
      <c r="H2312" s="6" t="s">
        <v>15</v>
      </c>
      <c r="I2312" s="6" t="s">
        <v>46</v>
      </c>
      <c r="J2312" s="6" t="s">
        <v>3250</v>
      </c>
      <c r="K2312" s="7">
        <v>32.267065049999999</v>
      </c>
      <c r="L2312" s="7">
        <v>-101.41447101999999</v>
      </c>
      <c r="M2312" s="6" t="s">
        <v>1801</v>
      </c>
      <c r="N2312" s="6" t="s">
        <v>10</v>
      </c>
      <c r="O2312" s="6" t="s">
        <v>383</v>
      </c>
    </row>
    <row r="2313" spans="1:15" x14ac:dyDescent="0.25">
      <c r="A2313" s="6" t="s">
        <v>9984</v>
      </c>
      <c r="B2313" s="6" t="s">
        <v>3285</v>
      </c>
      <c r="C2313" s="6" t="s">
        <v>19</v>
      </c>
      <c r="E2313" s="6" t="s">
        <v>3284</v>
      </c>
      <c r="F2313" s="6" t="s">
        <v>3283</v>
      </c>
      <c r="G2313" s="6" t="s">
        <v>16</v>
      </c>
      <c r="H2313" s="6" t="s">
        <v>15</v>
      </c>
      <c r="I2313" s="6" t="s">
        <v>46</v>
      </c>
      <c r="J2313" s="6" t="s">
        <v>3250</v>
      </c>
      <c r="K2313" s="7">
        <v>32.217476859999998</v>
      </c>
      <c r="L2313" s="7">
        <v>-101.36868955</v>
      </c>
      <c r="M2313" s="6" t="s">
        <v>1801</v>
      </c>
      <c r="N2313" s="6" t="s">
        <v>10</v>
      </c>
      <c r="O2313" s="6" t="s">
        <v>383</v>
      </c>
    </row>
    <row r="2314" spans="1:15" x14ac:dyDescent="0.25">
      <c r="A2314" s="6" t="s">
        <v>9983</v>
      </c>
      <c r="B2314" s="6" t="s">
        <v>3285</v>
      </c>
      <c r="C2314" s="6" t="s">
        <v>436</v>
      </c>
      <c r="E2314" s="6" t="s">
        <v>3284</v>
      </c>
      <c r="F2314" s="6" t="s">
        <v>3283</v>
      </c>
      <c r="G2314" s="6" t="s">
        <v>16</v>
      </c>
      <c r="H2314" s="6" t="s">
        <v>15</v>
      </c>
      <c r="I2314" s="6" t="s">
        <v>46</v>
      </c>
      <c r="J2314" s="6" t="s">
        <v>3250</v>
      </c>
      <c r="K2314" s="7">
        <v>32.267601290000002</v>
      </c>
      <c r="L2314" s="7">
        <v>-101.41528655</v>
      </c>
      <c r="M2314" s="6" t="s">
        <v>1801</v>
      </c>
      <c r="N2314" s="6" t="s">
        <v>10</v>
      </c>
      <c r="O2314" s="6" t="s">
        <v>383</v>
      </c>
    </row>
    <row r="2315" spans="1:15" x14ac:dyDescent="0.25">
      <c r="A2315" s="6" t="s">
        <v>705</v>
      </c>
      <c r="B2315" s="6" t="s">
        <v>704</v>
      </c>
      <c r="C2315" s="6" t="s">
        <v>31</v>
      </c>
      <c r="E2315" s="6" t="s">
        <v>703</v>
      </c>
      <c r="F2315" s="6" t="s">
        <v>702</v>
      </c>
      <c r="G2315" s="6" t="s">
        <v>16</v>
      </c>
      <c r="H2315" s="6" t="s">
        <v>15</v>
      </c>
      <c r="I2315" s="6" t="s">
        <v>14</v>
      </c>
      <c r="J2315" s="6" t="s">
        <v>35</v>
      </c>
      <c r="K2315" s="7">
        <v>29.768890299999999</v>
      </c>
      <c r="L2315" s="7">
        <v>-95.076739340000003</v>
      </c>
      <c r="M2315" s="6" t="s">
        <v>701</v>
      </c>
      <c r="N2315" s="6" t="s">
        <v>24</v>
      </c>
      <c r="O2315" s="6" t="s">
        <v>23</v>
      </c>
    </row>
    <row r="2316" spans="1:15" x14ac:dyDescent="0.25">
      <c r="A2316" s="6" t="s">
        <v>1747</v>
      </c>
      <c r="B2316" s="6" t="s">
        <v>704</v>
      </c>
      <c r="C2316" s="6" t="s">
        <v>19</v>
      </c>
      <c r="E2316" s="6" t="s">
        <v>703</v>
      </c>
      <c r="F2316" s="6" t="s">
        <v>702</v>
      </c>
      <c r="G2316" s="6" t="s">
        <v>16</v>
      </c>
      <c r="H2316" s="6" t="s">
        <v>15</v>
      </c>
      <c r="I2316" s="6" t="s">
        <v>14</v>
      </c>
      <c r="J2316" s="6" t="s">
        <v>35</v>
      </c>
      <c r="K2316" s="7">
        <v>29.768482039999999</v>
      </c>
      <c r="L2316" s="7">
        <v>-95.075886870000005</v>
      </c>
      <c r="M2316" s="6" t="s">
        <v>701</v>
      </c>
      <c r="N2316" s="6" t="s">
        <v>24</v>
      </c>
      <c r="O2316" s="6" t="s">
        <v>23</v>
      </c>
    </row>
    <row r="2317" spans="1:15" x14ac:dyDescent="0.25">
      <c r="A2317" s="6" t="s">
        <v>1746</v>
      </c>
      <c r="B2317" s="6" t="s">
        <v>704</v>
      </c>
      <c r="C2317" s="6" t="s">
        <v>436</v>
      </c>
      <c r="E2317" s="6" t="s">
        <v>703</v>
      </c>
      <c r="F2317" s="6" t="s">
        <v>702</v>
      </c>
      <c r="G2317" s="6" t="s">
        <v>16</v>
      </c>
      <c r="H2317" s="6" t="s">
        <v>15</v>
      </c>
      <c r="I2317" s="6" t="s">
        <v>14</v>
      </c>
      <c r="J2317" s="6" t="s">
        <v>35</v>
      </c>
      <c r="K2317" s="7">
        <v>29.766367559999999</v>
      </c>
      <c r="L2317" s="7">
        <v>-95.078442050000007</v>
      </c>
      <c r="M2317" s="6" t="s">
        <v>701</v>
      </c>
      <c r="N2317" s="6" t="s">
        <v>24</v>
      </c>
      <c r="O2317" s="6" t="s">
        <v>23</v>
      </c>
    </row>
    <row r="2318" spans="1:15" x14ac:dyDescent="0.25">
      <c r="A2318" s="6" t="s">
        <v>1745</v>
      </c>
      <c r="B2318" s="6" t="s">
        <v>704</v>
      </c>
      <c r="C2318" s="6" t="s">
        <v>597</v>
      </c>
      <c r="E2318" s="6" t="s">
        <v>703</v>
      </c>
      <c r="F2318" s="6" t="s">
        <v>702</v>
      </c>
      <c r="G2318" s="6" t="s">
        <v>16</v>
      </c>
      <c r="H2318" s="6" t="s">
        <v>15</v>
      </c>
      <c r="I2318" s="6" t="s">
        <v>14</v>
      </c>
      <c r="J2318" s="6" t="s">
        <v>35</v>
      </c>
      <c r="K2318" s="7">
        <v>29.768260099999999</v>
      </c>
      <c r="L2318" s="7">
        <v>-95.076015589999997</v>
      </c>
      <c r="M2318" s="6" t="s">
        <v>701</v>
      </c>
      <c r="N2318" s="6" t="s">
        <v>24</v>
      </c>
      <c r="O2318" s="6" t="s">
        <v>23</v>
      </c>
    </row>
    <row r="2319" spans="1:15" x14ac:dyDescent="0.25">
      <c r="A2319" s="6" t="s">
        <v>1744</v>
      </c>
      <c r="B2319" s="6" t="s">
        <v>704</v>
      </c>
      <c r="C2319" s="6" t="s">
        <v>557</v>
      </c>
      <c r="E2319" s="6" t="s">
        <v>703</v>
      </c>
      <c r="F2319" s="6" t="s">
        <v>702</v>
      </c>
      <c r="G2319" s="6" t="s">
        <v>16</v>
      </c>
      <c r="H2319" s="6" t="s">
        <v>430</v>
      </c>
      <c r="I2319" s="6" t="s">
        <v>14</v>
      </c>
      <c r="J2319" s="6" t="s">
        <v>35</v>
      </c>
      <c r="K2319" s="7">
        <v>29.768342430000001</v>
      </c>
      <c r="L2319" s="7">
        <v>-95.07595603</v>
      </c>
      <c r="M2319" s="6" t="s">
        <v>701</v>
      </c>
      <c r="N2319" s="6" t="s">
        <v>24</v>
      </c>
      <c r="O2319" s="6" t="s">
        <v>23</v>
      </c>
    </row>
    <row r="2320" spans="1:15" x14ac:dyDescent="0.25">
      <c r="A2320" s="6" t="s">
        <v>5684</v>
      </c>
      <c r="B2320" s="6" t="s">
        <v>5683</v>
      </c>
      <c r="C2320" s="6" t="s">
        <v>31</v>
      </c>
      <c r="E2320" s="6" t="s">
        <v>5682</v>
      </c>
      <c r="F2320" s="6" t="s">
        <v>5681</v>
      </c>
      <c r="G2320" s="6" t="s">
        <v>16</v>
      </c>
      <c r="H2320" s="6" t="s">
        <v>28</v>
      </c>
      <c r="I2320" s="6" t="s">
        <v>27</v>
      </c>
      <c r="J2320" s="6" t="s">
        <v>2768</v>
      </c>
      <c r="K2320" s="7">
        <v>32.442469000000003</v>
      </c>
      <c r="L2320" s="7">
        <v>-97.529736999999997</v>
      </c>
      <c r="M2320" s="6" t="s">
        <v>4460</v>
      </c>
      <c r="N2320" s="6" t="s">
        <v>23</v>
      </c>
      <c r="O2320" s="6" t="s">
        <v>42</v>
      </c>
    </row>
    <row r="2321" spans="1:15" x14ac:dyDescent="0.25">
      <c r="A2321" s="6" t="s">
        <v>7792</v>
      </c>
      <c r="B2321" s="6" t="s">
        <v>7791</v>
      </c>
      <c r="C2321" s="6" t="s">
        <v>31</v>
      </c>
      <c r="E2321" s="6" t="s">
        <v>7790</v>
      </c>
      <c r="F2321" s="6" t="s">
        <v>2923</v>
      </c>
      <c r="G2321" s="6" t="s">
        <v>16</v>
      </c>
      <c r="H2321" s="6" t="s">
        <v>28</v>
      </c>
      <c r="I2321" s="6" t="s">
        <v>60</v>
      </c>
      <c r="J2321" s="6" t="s">
        <v>480</v>
      </c>
      <c r="K2321" s="7">
        <v>26.11803531</v>
      </c>
      <c r="L2321" s="7">
        <v>-97.938918959999995</v>
      </c>
      <c r="M2321" s="6" t="s">
        <v>179</v>
      </c>
      <c r="N2321" s="6" t="s">
        <v>11</v>
      </c>
      <c r="O2321" s="6" t="s">
        <v>22</v>
      </c>
    </row>
    <row r="2322" spans="1:15" x14ac:dyDescent="0.25">
      <c r="A2322" s="6" t="s">
        <v>1420</v>
      </c>
      <c r="B2322" s="6" t="s">
        <v>1418</v>
      </c>
      <c r="C2322" s="6" t="s">
        <v>31</v>
      </c>
      <c r="E2322" s="6" t="s">
        <v>1417</v>
      </c>
      <c r="F2322" s="6" t="s">
        <v>1416</v>
      </c>
      <c r="G2322" s="6" t="s">
        <v>16</v>
      </c>
      <c r="H2322" s="6" t="s">
        <v>430</v>
      </c>
      <c r="I2322" s="6" t="s">
        <v>36</v>
      </c>
      <c r="J2322" s="6" t="s">
        <v>853</v>
      </c>
      <c r="K2322" s="7">
        <v>29.797422999999998</v>
      </c>
      <c r="L2322" s="7">
        <v>-94.532218999999998</v>
      </c>
      <c r="M2322" s="6" t="s">
        <v>894</v>
      </c>
      <c r="N2322" s="6" t="s">
        <v>383</v>
      </c>
      <c r="O2322" s="6" t="s">
        <v>23</v>
      </c>
    </row>
    <row r="2323" spans="1:15" x14ac:dyDescent="0.25">
      <c r="A2323" s="6" t="s">
        <v>1419</v>
      </c>
      <c r="B2323" s="6" t="s">
        <v>1418</v>
      </c>
      <c r="C2323" s="6" t="s">
        <v>436</v>
      </c>
      <c r="E2323" s="6" t="s">
        <v>1417</v>
      </c>
      <c r="F2323" s="6" t="s">
        <v>1416</v>
      </c>
      <c r="G2323" s="6" t="s">
        <v>16</v>
      </c>
      <c r="H2323" s="6" t="s">
        <v>430</v>
      </c>
      <c r="I2323" s="6" t="s">
        <v>36</v>
      </c>
      <c r="J2323" s="6" t="s">
        <v>853</v>
      </c>
      <c r="K2323" s="7">
        <v>29.797422999999998</v>
      </c>
      <c r="L2323" s="7">
        <v>-94.532218999999998</v>
      </c>
      <c r="M2323" s="6" t="s">
        <v>894</v>
      </c>
      <c r="N2323" s="6" t="s">
        <v>383</v>
      </c>
      <c r="O2323" s="6" t="s">
        <v>23</v>
      </c>
    </row>
    <row r="2324" spans="1:15" x14ac:dyDescent="0.25">
      <c r="A2324" s="6" t="s">
        <v>764</v>
      </c>
      <c r="B2324" s="6" t="s">
        <v>761</v>
      </c>
      <c r="C2324" s="6" t="s">
        <v>31</v>
      </c>
      <c r="E2324" s="6" t="s">
        <v>760</v>
      </c>
      <c r="F2324" s="6" t="s">
        <v>759</v>
      </c>
      <c r="G2324" s="6" t="s">
        <v>16</v>
      </c>
      <c r="H2324" s="6" t="s">
        <v>15</v>
      </c>
      <c r="I2324" s="6" t="s">
        <v>60</v>
      </c>
      <c r="J2324" s="6" t="s">
        <v>632</v>
      </c>
      <c r="K2324" s="7">
        <v>30.114263999999999</v>
      </c>
      <c r="L2324" s="7">
        <v>-93.805160999999998</v>
      </c>
      <c r="M2324" s="6" t="s">
        <v>758</v>
      </c>
      <c r="N2324" s="6" t="s">
        <v>65</v>
      </c>
      <c r="O2324" s="6" t="s">
        <v>24</v>
      </c>
    </row>
    <row r="2325" spans="1:15" x14ac:dyDescent="0.25">
      <c r="A2325" s="6" t="s">
        <v>763</v>
      </c>
      <c r="B2325" s="6" t="s">
        <v>761</v>
      </c>
      <c r="C2325" s="6" t="s">
        <v>19</v>
      </c>
      <c r="E2325" s="6" t="s">
        <v>760</v>
      </c>
      <c r="F2325" s="6" t="s">
        <v>759</v>
      </c>
      <c r="G2325" s="6" t="s">
        <v>16</v>
      </c>
      <c r="H2325" s="6" t="s">
        <v>15</v>
      </c>
      <c r="I2325" s="6" t="s">
        <v>60</v>
      </c>
      <c r="J2325" s="6" t="s">
        <v>632</v>
      </c>
      <c r="K2325" s="7">
        <v>30.114156000000001</v>
      </c>
      <c r="L2325" s="7">
        <v>-93.806118999999995</v>
      </c>
      <c r="M2325" s="6" t="s">
        <v>758</v>
      </c>
      <c r="N2325" s="6" t="s">
        <v>65</v>
      </c>
      <c r="O2325" s="6" t="s">
        <v>24</v>
      </c>
    </row>
    <row r="2326" spans="1:15" x14ac:dyDescent="0.25">
      <c r="A2326" s="6" t="s">
        <v>762</v>
      </c>
      <c r="B2326" s="6" t="s">
        <v>761</v>
      </c>
      <c r="C2326" s="6" t="s">
        <v>436</v>
      </c>
      <c r="E2326" s="6" t="s">
        <v>760</v>
      </c>
      <c r="F2326" s="6" t="s">
        <v>759</v>
      </c>
      <c r="G2326" s="6" t="s">
        <v>16</v>
      </c>
      <c r="H2326" s="6" t="s">
        <v>15</v>
      </c>
      <c r="I2326" s="6" t="s">
        <v>60</v>
      </c>
      <c r="J2326" s="6" t="s">
        <v>632</v>
      </c>
      <c r="K2326" s="7">
        <v>30.113938000000001</v>
      </c>
      <c r="L2326" s="7">
        <v>-93.807164999999998</v>
      </c>
      <c r="M2326" s="6" t="s">
        <v>758</v>
      </c>
      <c r="N2326" s="6" t="s">
        <v>65</v>
      </c>
      <c r="O2326" s="6" t="s">
        <v>24</v>
      </c>
    </row>
    <row r="2327" spans="1:15" x14ac:dyDescent="0.25">
      <c r="A2327" s="6" t="s">
        <v>4099</v>
      </c>
      <c r="B2327" s="6" t="s">
        <v>4098</v>
      </c>
      <c r="C2327" s="6" t="s">
        <v>31</v>
      </c>
      <c r="E2327" s="6" t="s">
        <v>4097</v>
      </c>
      <c r="F2327" s="6" t="s">
        <v>4096</v>
      </c>
      <c r="G2327" s="6" t="s">
        <v>16</v>
      </c>
      <c r="H2327" s="6" t="s">
        <v>28</v>
      </c>
      <c r="I2327" s="6" t="s">
        <v>36</v>
      </c>
      <c r="J2327" s="6" t="s">
        <v>776</v>
      </c>
      <c r="K2327" s="7">
        <v>32.945367670000003</v>
      </c>
      <c r="L2327" s="7">
        <v>-98.252298859999996</v>
      </c>
      <c r="M2327" s="6" t="s">
        <v>775</v>
      </c>
      <c r="N2327" s="6" t="s">
        <v>23</v>
      </c>
      <c r="O2327" s="6" t="s">
        <v>42</v>
      </c>
    </row>
    <row r="2328" spans="1:15" x14ac:dyDescent="0.25">
      <c r="A2328" s="6" t="s">
        <v>7775</v>
      </c>
      <c r="B2328" s="6" t="s">
        <v>7774</v>
      </c>
      <c r="C2328" s="6" t="s">
        <v>31</v>
      </c>
      <c r="E2328" s="6" t="s">
        <v>7773</v>
      </c>
      <c r="F2328" s="6" t="s">
        <v>7772</v>
      </c>
      <c r="G2328" s="6" t="s">
        <v>16</v>
      </c>
      <c r="H2328" s="6" t="s">
        <v>28</v>
      </c>
      <c r="I2328" s="6" t="s">
        <v>73</v>
      </c>
      <c r="J2328" s="6" t="s">
        <v>781</v>
      </c>
      <c r="K2328" s="7">
        <v>32.666773999999997</v>
      </c>
      <c r="L2328" s="7">
        <v>-94.180345000000003</v>
      </c>
      <c r="M2328" s="6" t="s">
        <v>7771</v>
      </c>
      <c r="N2328" s="6" t="s">
        <v>42</v>
      </c>
      <c r="O2328" s="6" t="s">
        <v>65</v>
      </c>
    </row>
    <row r="2329" spans="1:15" x14ac:dyDescent="0.25">
      <c r="A2329" s="6" t="s">
        <v>6299</v>
      </c>
      <c r="B2329" s="6" t="s">
        <v>6298</v>
      </c>
      <c r="C2329" s="6" t="s">
        <v>31</v>
      </c>
      <c r="E2329" s="6" t="s">
        <v>6297</v>
      </c>
      <c r="F2329" s="6" t="s">
        <v>6293</v>
      </c>
      <c r="G2329" s="6" t="s">
        <v>16</v>
      </c>
      <c r="H2329" s="6" t="s">
        <v>28</v>
      </c>
      <c r="I2329" s="6" t="s">
        <v>27</v>
      </c>
      <c r="J2329" s="6" t="s">
        <v>35</v>
      </c>
      <c r="K2329" s="7">
        <v>29.876071</v>
      </c>
      <c r="L2329" s="7">
        <v>-95.625226999999995</v>
      </c>
      <c r="M2329" s="6" t="s">
        <v>131</v>
      </c>
      <c r="N2329" s="6" t="s">
        <v>24</v>
      </c>
      <c r="O2329" s="6" t="s">
        <v>23</v>
      </c>
    </row>
    <row r="2330" spans="1:15" x14ac:dyDescent="0.25">
      <c r="A2330" s="6" t="s">
        <v>3511</v>
      </c>
      <c r="B2330" s="6" t="s">
        <v>3510</v>
      </c>
      <c r="C2330" s="6" t="s">
        <v>31</v>
      </c>
      <c r="E2330" s="6" t="s">
        <v>3509</v>
      </c>
      <c r="F2330" s="6" t="s">
        <v>3508</v>
      </c>
      <c r="G2330" s="6" t="s">
        <v>16</v>
      </c>
      <c r="H2330" s="6" t="s">
        <v>28</v>
      </c>
      <c r="I2330" s="6" t="s">
        <v>60</v>
      </c>
      <c r="J2330" s="6" t="s">
        <v>312</v>
      </c>
      <c r="K2330" s="7">
        <v>32.384117340000003</v>
      </c>
      <c r="L2330" s="7">
        <v>-97.714766679999997</v>
      </c>
      <c r="M2330" s="6" t="s">
        <v>311</v>
      </c>
      <c r="N2330" s="6" t="s">
        <v>23</v>
      </c>
      <c r="O2330" s="6" t="s">
        <v>42</v>
      </c>
    </row>
    <row r="2331" spans="1:15" x14ac:dyDescent="0.25">
      <c r="A2331" s="6" t="s">
        <v>12112</v>
      </c>
      <c r="B2331" s="6" t="s">
        <v>12111</v>
      </c>
      <c r="C2331" s="6" t="s">
        <v>31</v>
      </c>
      <c r="E2331" s="6" t="s">
        <v>12110</v>
      </c>
      <c r="F2331" s="6" t="s">
        <v>12109</v>
      </c>
      <c r="G2331" s="6" t="s">
        <v>16</v>
      </c>
      <c r="H2331" s="6" t="s">
        <v>15</v>
      </c>
      <c r="I2331" s="6" t="s">
        <v>14</v>
      </c>
      <c r="J2331" s="6" t="s">
        <v>139</v>
      </c>
      <c r="K2331" s="7">
        <v>27.86876831</v>
      </c>
      <c r="L2331" s="7">
        <v>-97.245410960000001</v>
      </c>
      <c r="M2331" s="6" t="s">
        <v>1168</v>
      </c>
      <c r="N2331" s="6" t="s">
        <v>137</v>
      </c>
      <c r="O2331" s="6" t="s">
        <v>10</v>
      </c>
    </row>
    <row r="2332" spans="1:15" x14ac:dyDescent="0.25">
      <c r="A2332" s="6" t="s">
        <v>9285</v>
      </c>
      <c r="B2332" s="6" t="s">
        <v>9284</v>
      </c>
      <c r="C2332" s="6" t="s">
        <v>31</v>
      </c>
      <c r="E2332" s="6" t="s">
        <v>9283</v>
      </c>
      <c r="F2332" s="6" t="s">
        <v>9282</v>
      </c>
      <c r="G2332" s="6" t="s">
        <v>16</v>
      </c>
      <c r="H2332" s="6" t="s">
        <v>28</v>
      </c>
      <c r="I2332" s="6" t="s">
        <v>73</v>
      </c>
      <c r="J2332" s="6" t="s">
        <v>5842</v>
      </c>
      <c r="K2332" s="7">
        <v>28.566676040000001</v>
      </c>
      <c r="L2332" s="7">
        <v>-99.581044019999993</v>
      </c>
      <c r="M2332" s="6" t="s">
        <v>5841</v>
      </c>
      <c r="N2332" s="6" t="s">
        <v>524</v>
      </c>
      <c r="O2332" s="6" t="s">
        <v>510</v>
      </c>
    </row>
    <row r="2333" spans="1:15" x14ac:dyDescent="0.25">
      <c r="A2333" s="6" t="s">
        <v>7793</v>
      </c>
      <c r="B2333" s="6" t="s">
        <v>738</v>
      </c>
      <c r="C2333" s="6" t="s">
        <v>31</v>
      </c>
      <c r="E2333" s="6" t="s">
        <v>737</v>
      </c>
      <c r="F2333" s="6" t="s">
        <v>736</v>
      </c>
      <c r="G2333" s="6" t="s">
        <v>16</v>
      </c>
      <c r="H2333" s="6" t="s">
        <v>15</v>
      </c>
      <c r="I2333" s="6" t="s">
        <v>73</v>
      </c>
      <c r="J2333" s="6" t="s">
        <v>168</v>
      </c>
      <c r="K2333" s="7">
        <v>33.023936620000001</v>
      </c>
      <c r="L2333" s="7">
        <v>-97.222030070000002</v>
      </c>
      <c r="M2333" s="6" t="s">
        <v>156</v>
      </c>
      <c r="N2333" s="6" t="s">
        <v>102</v>
      </c>
      <c r="O2333" s="6" t="s">
        <v>42</v>
      </c>
    </row>
    <row r="2334" spans="1:15" x14ac:dyDescent="0.25">
      <c r="A2334" s="6" t="s">
        <v>739</v>
      </c>
      <c r="B2334" s="6" t="s">
        <v>738</v>
      </c>
      <c r="C2334" s="6" t="s">
        <v>19</v>
      </c>
      <c r="E2334" s="6" t="s">
        <v>737</v>
      </c>
      <c r="F2334" s="6" t="s">
        <v>736</v>
      </c>
      <c r="G2334" s="6" t="s">
        <v>16</v>
      </c>
      <c r="H2334" s="6" t="s">
        <v>15</v>
      </c>
      <c r="I2334" s="6" t="s">
        <v>73</v>
      </c>
      <c r="J2334" s="6" t="s">
        <v>168</v>
      </c>
      <c r="K2334" s="7">
        <v>33.048110559999998</v>
      </c>
      <c r="L2334" s="7">
        <v>-97.186267049999998</v>
      </c>
      <c r="M2334" s="6" t="s">
        <v>156</v>
      </c>
      <c r="N2334" s="6" t="s">
        <v>102</v>
      </c>
      <c r="O2334" s="6" t="s">
        <v>42</v>
      </c>
    </row>
    <row r="2335" spans="1:15" x14ac:dyDescent="0.25">
      <c r="A2335" s="6" t="s">
        <v>7766</v>
      </c>
      <c r="B2335" s="6" t="s">
        <v>7765</v>
      </c>
      <c r="C2335" s="6" t="s">
        <v>31</v>
      </c>
      <c r="E2335" s="6" t="s">
        <v>7764</v>
      </c>
      <c r="F2335" s="6" t="s">
        <v>7763</v>
      </c>
      <c r="G2335" s="6" t="s">
        <v>16</v>
      </c>
      <c r="H2335" s="6" t="s">
        <v>15</v>
      </c>
      <c r="I2335" s="6" t="s">
        <v>36</v>
      </c>
      <c r="J2335" s="6" t="s">
        <v>35</v>
      </c>
      <c r="K2335" s="7">
        <v>29.922382689999999</v>
      </c>
      <c r="L2335" s="7">
        <v>-95.200745839999996</v>
      </c>
      <c r="M2335" s="6" t="s">
        <v>198</v>
      </c>
      <c r="N2335" s="6" t="s">
        <v>24</v>
      </c>
      <c r="O2335" s="6" t="s">
        <v>23</v>
      </c>
    </row>
    <row r="2336" spans="1:15" x14ac:dyDescent="0.25">
      <c r="A2336" s="6" t="s">
        <v>6339</v>
      </c>
      <c r="B2336" s="6" t="s">
        <v>6338</v>
      </c>
      <c r="C2336" s="6" t="s">
        <v>31</v>
      </c>
      <c r="E2336" s="6" t="s">
        <v>6337</v>
      </c>
      <c r="F2336" s="6" t="s">
        <v>6336</v>
      </c>
      <c r="G2336" s="6" t="s">
        <v>16</v>
      </c>
      <c r="H2336" s="6" t="s">
        <v>28</v>
      </c>
      <c r="I2336" s="6" t="s">
        <v>73</v>
      </c>
      <c r="J2336" s="6" t="s">
        <v>480</v>
      </c>
      <c r="K2336" s="7">
        <v>26.304224049999998</v>
      </c>
      <c r="L2336" s="7">
        <v>-97.999908840000003</v>
      </c>
      <c r="M2336" s="6" t="s">
        <v>89</v>
      </c>
      <c r="N2336" s="6" t="s">
        <v>11</v>
      </c>
      <c r="O2336" s="6" t="s">
        <v>22</v>
      </c>
    </row>
    <row r="2337" spans="1:15" x14ac:dyDescent="0.25">
      <c r="A2337" s="6" t="s">
        <v>6323</v>
      </c>
      <c r="B2337" s="6" t="s">
        <v>6322</v>
      </c>
      <c r="C2337" s="6" t="s">
        <v>31</v>
      </c>
      <c r="E2337" s="6" t="s">
        <v>6321</v>
      </c>
      <c r="F2337" s="6" t="s">
        <v>6320</v>
      </c>
      <c r="G2337" s="6" t="s">
        <v>16</v>
      </c>
      <c r="H2337" s="6" t="s">
        <v>28</v>
      </c>
      <c r="I2337" s="6" t="s">
        <v>27</v>
      </c>
      <c r="J2337" s="6" t="s">
        <v>1281</v>
      </c>
      <c r="K2337" s="7">
        <v>31.302378999999998</v>
      </c>
      <c r="L2337" s="7">
        <v>-96.625986999999995</v>
      </c>
      <c r="M2337" s="6" t="s">
        <v>121</v>
      </c>
      <c r="N2337" s="6" t="s">
        <v>23</v>
      </c>
      <c r="O2337" s="6" t="s">
        <v>120</v>
      </c>
    </row>
    <row r="2338" spans="1:15" x14ac:dyDescent="0.25">
      <c r="A2338" s="6" t="s">
        <v>8331</v>
      </c>
      <c r="B2338" s="6" t="s">
        <v>8330</v>
      </c>
      <c r="C2338" s="6" t="s">
        <v>31</v>
      </c>
      <c r="E2338" s="6" t="s">
        <v>8329</v>
      </c>
      <c r="F2338" s="6" t="s">
        <v>895</v>
      </c>
      <c r="G2338" s="6" t="s">
        <v>16</v>
      </c>
      <c r="H2338" s="6" t="s">
        <v>28</v>
      </c>
      <c r="I2338" s="6" t="s">
        <v>60</v>
      </c>
      <c r="J2338" s="6" t="s">
        <v>318</v>
      </c>
      <c r="K2338" s="7">
        <v>30.729488</v>
      </c>
      <c r="L2338" s="7">
        <v>-95.046509999999998</v>
      </c>
      <c r="M2338" s="6" t="s">
        <v>2355</v>
      </c>
      <c r="N2338" s="6" t="s">
        <v>102</v>
      </c>
      <c r="O2338" s="6" t="s">
        <v>24</v>
      </c>
    </row>
    <row r="2339" spans="1:15" x14ac:dyDescent="0.25">
      <c r="A2339" s="6" t="s">
        <v>9751</v>
      </c>
      <c r="B2339" s="6" t="s">
        <v>7456</v>
      </c>
      <c r="C2339" s="6" t="s">
        <v>31</v>
      </c>
      <c r="E2339" s="6" t="s">
        <v>7455</v>
      </c>
      <c r="F2339" s="6" t="s">
        <v>5708</v>
      </c>
      <c r="G2339" s="6" t="s">
        <v>16</v>
      </c>
      <c r="H2339" s="6" t="s">
        <v>15</v>
      </c>
      <c r="I2339" s="6" t="s">
        <v>60</v>
      </c>
      <c r="J2339" s="6" t="s">
        <v>35</v>
      </c>
      <c r="K2339" s="7">
        <v>29.708805999999999</v>
      </c>
      <c r="L2339" s="7">
        <v>-95.258082000000002</v>
      </c>
      <c r="M2339" s="6" t="s">
        <v>866</v>
      </c>
      <c r="N2339" s="6" t="s">
        <v>24</v>
      </c>
      <c r="O2339" s="6" t="s">
        <v>23</v>
      </c>
    </row>
    <row r="2340" spans="1:15" x14ac:dyDescent="0.25">
      <c r="A2340" s="6" t="s">
        <v>7458</v>
      </c>
      <c r="B2340" s="6" t="s">
        <v>7456</v>
      </c>
      <c r="C2340" s="6" t="s">
        <v>19</v>
      </c>
      <c r="E2340" s="6" t="s">
        <v>7455</v>
      </c>
      <c r="F2340" s="6" t="s">
        <v>5708</v>
      </c>
      <c r="G2340" s="6" t="s">
        <v>16</v>
      </c>
      <c r="H2340" s="6" t="s">
        <v>15</v>
      </c>
      <c r="I2340" s="6" t="s">
        <v>60</v>
      </c>
      <c r="J2340" s="6" t="s">
        <v>35</v>
      </c>
      <c r="K2340" s="7">
        <v>29.700721999999999</v>
      </c>
      <c r="L2340" s="7">
        <v>-95.263811000000004</v>
      </c>
      <c r="M2340" s="6" t="s">
        <v>866</v>
      </c>
      <c r="N2340" s="6" t="s">
        <v>24</v>
      </c>
      <c r="O2340" s="6" t="s">
        <v>23</v>
      </c>
    </row>
    <row r="2341" spans="1:15" x14ac:dyDescent="0.25">
      <c r="A2341" s="6" t="s">
        <v>7457</v>
      </c>
      <c r="B2341" s="6" t="s">
        <v>7456</v>
      </c>
      <c r="C2341" s="6" t="s">
        <v>436</v>
      </c>
      <c r="E2341" s="6" t="s">
        <v>7455</v>
      </c>
      <c r="F2341" s="6" t="s">
        <v>5708</v>
      </c>
      <c r="G2341" s="6" t="s">
        <v>16</v>
      </c>
      <c r="H2341" s="6" t="s">
        <v>15</v>
      </c>
      <c r="I2341" s="6" t="s">
        <v>60</v>
      </c>
      <c r="J2341" s="6" t="s">
        <v>35</v>
      </c>
      <c r="K2341" s="7">
        <v>29.714690999999998</v>
      </c>
      <c r="L2341" s="7">
        <v>-95.332622999999998</v>
      </c>
      <c r="M2341" s="6" t="s">
        <v>866</v>
      </c>
      <c r="N2341" s="6" t="s">
        <v>24</v>
      </c>
      <c r="O2341" s="6" t="s">
        <v>23</v>
      </c>
    </row>
    <row r="2342" spans="1:15" x14ac:dyDescent="0.25">
      <c r="A2342" s="6" t="s">
        <v>8416</v>
      </c>
      <c r="B2342" s="6" t="s">
        <v>8415</v>
      </c>
      <c r="C2342" s="6" t="s">
        <v>31</v>
      </c>
      <c r="E2342" s="6" t="s">
        <v>8414</v>
      </c>
      <c r="F2342" s="6" t="s">
        <v>8413</v>
      </c>
      <c r="G2342" s="6" t="s">
        <v>16</v>
      </c>
      <c r="H2342" s="6" t="s">
        <v>28</v>
      </c>
      <c r="I2342" s="6" t="s">
        <v>73</v>
      </c>
      <c r="J2342" s="6" t="s">
        <v>67</v>
      </c>
      <c r="K2342" s="7">
        <v>32.464813999999997</v>
      </c>
      <c r="L2342" s="7">
        <v>-95.403585000000007</v>
      </c>
      <c r="M2342" s="6" t="s">
        <v>765</v>
      </c>
      <c r="N2342" s="6" t="s">
        <v>52</v>
      </c>
      <c r="O2342" s="6" t="s">
        <v>65</v>
      </c>
    </row>
    <row r="2343" spans="1:15" x14ac:dyDescent="0.25">
      <c r="A2343" s="6" t="s">
        <v>8759</v>
      </c>
      <c r="B2343" s="6" t="s">
        <v>8758</v>
      </c>
      <c r="C2343" s="6" t="s">
        <v>31</v>
      </c>
      <c r="E2343" s="6" t="s">
        <v>8757</v>
      </c>
      <c r="F2343" s="6" t="s">
        <v>1115</v>
      </c>
      <c r="G2343" s="6" t="s">
        <v>16</v>
      </c>
      <c r="H2343" s="6" t="s">
        <v>28</v>
      </c>
      <c r="I2343" s="6" t="s">
        <v>60</v>
      </c>
      <c r="J2343" s="6" t="s">
        <v>883</v>
      </c>
      <c r="K2343" s="7">
        <v>32.999083370000001</v>
      </c>
      <c r="L2343" s="7">
        <v>-94.339700980000003</v>
      </c>
      <c r="M2343" s="6" t="s">
        <v>1114</v>
      </c>
      <c r="N2343" s="6" t="s">
        <v>42</v>
      </c>
      <c r="O2343" s="6" t="s">
        <v>65</v>
      </c>
    </row>
    <row r="2344" spans="1:15" x14ac:dyDescent="0.25">
      <c r="A2344" s="6" t="s">
        <v>7770</v>
      </c>
      <c r="B2344" s="6" t="s">
        <v>7769</v>
      </c>
      <c r="C2344" s="6" t="s">
        <v>31</v>
      </c>
      <c r="E2344" s="6" t="s">
        <v>7768</v>
      </c>
      <c r="F2344" s="6" t="s">
        <v>7767</v>
      </c>
      <c r="G2344" s="6" t="s">
        <v>16</v>
      </c>
      <c r="H2344" s="6" t="s">
        <v>28</v>
      </c>
      <c r="I2344" s="6" t="s">
        <v>46</v>
      </c>
      <c r="J2344" s="6" t="s">
        <v>4135</v>
      </c>
      <c r="K2344" s="7">
        <v>28.845160499999999</v>
      </c>
      <c r="L2344" s="7">
        <v>-96.460885289999993</v>
      </c>
      <c r="M2344" s="6" t="s">
        <v>1388</v>
      </c>
      <c r="N2344" s="6" t="s">
        <v>22</v>
      </c>
      <c r="O2344" s="6" t="s">
        <v>10</v>
      </c>
    </row>
    <row r="2345" spans="1:15" x14ac:dyDescent="0.25">
      <c r="A2345" s="6" t="s">
        <v>6586</v>
      </c>
      <c r="B2345" s="6" t="s">
        <v>6585</v>
      </c>
      <c r="C2345" s="6" t="s">
        <v>31</v>
      </c>
      <c r="E2345" s="6" t="s">
        <v>6584</v>
      </c>
      <c r="F2345" s="6" t="s">
        <v>6583</v>
      </c>
      <c r="G2345" s="6" t="s">
        <v>16</v>
      </c>
      <c r="H2345" s="6" t="s">
        <v>28</v>
      </c>
      <c r="I2345" s="6" t="s">
        <v>60</v>
      </c>
      <c r="J2345" s="6" t="s">
        <v>312</v>
      </c>
      <c r="K2345" s="7">
        <v>32.361006000000003</v>
      </c>
      <c r="L2345" s="7">
        <v>-97.689172999999997</v>
      </c>
      <c r="M2345" s="6" t="s">
        <v>466</v>
      </c>
      <c r="N2345" s="6" t="s">
        <v>23</v>
      </c>
      <c r="O2345" s="6" t="s">
        <v>42</v>
      </c>
    </row>
    <row r="2346" spans="1:15" x14ac:dyDescent="0.25">
      <c r="A2346" s="6" t="s">
        <v>6589</v>
      </c>
      <c r="B2346" s="6" t="s">
        <v>6588</v>
      </c>
      <c r="C2346" s="6" t="s">
        <v>31</v>
      </c>
      <c r="E2346" s="6" t="s">
        <v>6587</v>
      </c>
      <c r="F2346" s="6" t="s">
        <v>6583</v>
      </c>
      <c r="G2346" s="6" t="s">
        <v>16</v>
      </c>
      <c r="H2346" s="6" t="s">
        <v>28</v>
      </c>
      <c r="I2346" s="6" t="s">
        <v>14</v>
      </c>
      <c r="J2346" s="6" t="s">
        <v>312</v>
      </c>
      <c r="K2346" s="7">
        <v>32.437068930000002</v>
      </c>
      <c r="L2346" s="7">
        <v>-97.696564039999998</v>
      </c>
      <c r="M2346" s="6" t="s">
        <v>311</v>
      </c>
      <c r="N2346" s="6" t="s">
        <v>23</v>
      </c>
      <c r="O2346" s="6" t="s">
        <v>42</v>
      </c>
    </row>
    <row r="2347" spans="1:15" x14ac:dyDescent="0.25">
      <c r="A2347" s="6" t="s">
        <v>4225</v>
      </c>
      <c r="B2347" s="6" t="s">
        <v>4224</v>
      </c>
      <c r="C2347" s="6" t="s">
        <v>31</v>
      </c>
      <c r="E2347" s="6" t="s">
        <v>4223</v>
      </c>
      <c r="F2347" s="6" t="s">
        <v>4222</v>
      </c>
      <c r="G2347" s="6" t="s">
        <v>16</v>
      </c>
      <c r="H2347" s="6" t="s">
        <v>15</v>
      </c>
      <c r="I2347" s="6" t="s">
        <v>36</v>
      </c>
      <c r="J2347" s="6" t="s">
        <v>1831</v>
      </c>
      <c r="K2347" s="7">
        <v>33.104253129999996</v>
      </c>
      <c r="L2347" s="7">
        <v>-94.952389670000002</v>
      </c>
      <c r="M2347" s="6" t="s">
        <v>1941</v>
      </c>
      <c r="N2347" s="6" t="s">
        <v>42</v>
      </c>
      <c r="O2347" s="6" t="s">
        <v>65</v>
      </c>
    </row>
    <row r="2348" spans="1:15" x14ac:dyDescent="0.25">
      <c r="A2348" s="6" t="s">
        <v>7380</v>
      </c>
      <c r="B2348" s="6" t="s">
        <v>7379</v>
      </c>
      <c r="C2348" s="6" t="s">
        <v>31</v>
      </c>
      <c r="E2348" s="6" t="s">
        <v>7378</v>
      </c>
      <c r="F2348" s="6" t="s">
        <v>7377</v>
      </c>
      <c r="G2348" s="6" t="s">
        <v>16</v>
      </c>
      <c r="H2348" s="6" t="s">
        <v>28</v>
      </c>
      <c r="I2348" s="6" t="s">
        <v>27</v>
      </c>
      <c r="J2348" s="6" t="s">
        <v>7376</v>
      </c>
      <c r="K2348" s="7">
        <v>32.378587000000003</v>
      </c>
      <c r="L2348" s="7">
        <v>-99.48124</v>
      </c>
      <c r="M2348" s="6" t="s">
        <v>7375</v>
      </c>
      <c r="N2348" s="6" t="s">
        <v>10</v>
      </c>
      <c r="O2348" s="6" t="s">
        <v>95</v>
      </c>
    </row>
    <row r="2349" spans="1:15" x14ac:dyDescent="0.25">
      <c r="A2349" s="6" t="s">
        <v>6880</v>
      </c>
      <c r="B2349" s="6" t="s">
        <v>6879</v>
      </c>
      <c r="C2349" s="6" t="s">
        <v>31</v>
      </c>
      <c r="E2349" s="6" t="s">
        <v>6878</v>
      </c>
      <c r="F2349" s="6" t="s">
        <v>313</v>
      </c>
      <c r="G2349" s="6" t="s">
        <v>16</v>
      </c>
      <c r="H2349" s="6" t="s">
        <v>15</v>
      </c>
      <c r="I2349" s="6" t="s">
        <v>14</v>
      </c>
      <c r="J2349" s="6" t="s">
        <v>312</v>
      </c>
      <c r="K2349" s="7">
        <v>32.42051429</v>
      </c>
      <c r="L2349" s="7">
        <v>-97.778912390000002</v>
      </c>
      <c r="M2349" s="6" t="s">
        <v>311</v>
      </c>
      <c r="N2349" s="6" t="s">
        <v>23</v>
      </c>
      <c r="O2349" s="6" t="s">
        <v>42</v>
      </c>
    </row>
    <row r="2350" spans="1:15" x14ac:dyDescent="0.25">
      <c r="A2350" s="6" t="s">
        <v>5339</v>
      </c>
      <c r="B2350" s="6" t="s">
        <v>5338</v>
      </c>
      <c r="C2350" s="6" t="s">
        <v>31</v>
      </c>
      <c r="E2350" s="6" t="s">
        <v>5337</v>
      </c>
      <c r="F2350" s="6" t="s">
        <v>5336</v>
      </c>
      <c r="G2350" s="6" t="s">
        <v>16</v>
      </c>
      <c r="H2350" s="6" t="s">
        <v>15</v>
      </c>
      <c r="I2350" s="6" t="s">
        <v>14</v>
      </c>
      <c r="J2350" s="6" t="s">
        <v>162</v>
      </c>
      <c r="K2350" s="7">
        <v>29.273368000000001</v>
      </c>
      <c r="L2350" s="7">
        <v>-95.295455000000004</v>
      </c>
      <c r="M2350" s="6" t="s">
        <v>3071</v>
      </c>
      <c r="N2350" s="6" t="s">
        <v>160</v>
      </c>
      <c r="O2350" s="6" t="s">
        <v>23</v>
      </c>
    </row>
    <row r="2351" spans="1:15" x14ac:dyDescent="0.25">
      <c r="A2351" s="6" t="s">
        <v>1931</v>
      </c>
      <c r="B2351" s="6" t="s">
        <v>1929</v>
      </c>
      <c r="C2351" s="6" t="s">
        <v>31</v>
      </c>
      <c r="E2351" s="6" t="s">
        <v>1928</v>
      </c>
      <c r="F2351" s="6" t="s">
        <v>1927</v>
      </c>
      <c r="G2351" s="6" t="s">
        <v>16</v>
      </c>
      <c r="H2351" s="6" t="s">
        <v>15</v>
      </c>
      <c r="I2351" s="6" t="s">
        <v>14</v>
      </c>
      <c r="J2351" s="6" t="s">
        <v>385</v>
      </c>
      <c r="K2351" s="7">
        <v>29.897627</v>
      </c>
      <c r="L2351" s="7">
        <v>-93.973639000000006</v>
      </c>
      <c r="M2351" s="6" t="s">
        <v>418</v>
      </c>
      <c r="N2351" s="6" t="s">
        <v>383</v>
      </c>
      <c r="O2351" s="6" t="s">
        <v>24</v>
      </c>
    </row>
    <row r="2352" spans="1:15" x14ac:dyDescent="0.25">
      <c r="A2352" s="6" t="s">
        <v>1930</v>
      </c>
      <c r="B2352" s="6" t="s">
        <v>1929</v>
      </c>
      <c r="C2352" s="6" t="s">
        <v>19</v>
      </c>
      <c r="E2352" s="6" t="s">
        <v>1928</v>
      </c>
      <c r="F2352" s="6" t="s">
        <v>1927</v>
      </c>
      <c r="G2352" s="6" t="s">
        <v>16</v>
      </c>
      <c r="H2352" s="6" t="s">
        <v>15</v>
      </c>
      <c r="I2352" s="6" t="s">
        <v>14</v>
      </c>
      <c r="J2352" s="6" t="s">
        <v>385</v>
      </c>
      <c r="K2352" s="7">
        <v>29.89972543</v>
      </c>
      <c r="L2352" s="7">
        <v>-93.971506809999994</v>
      </c>
      <c r="M2352" s="6" t="s">
        <v>418</v>
      </c>
      <c r="N2352" s="6" t="s">
        <v>383</v>
      </c>
      <c r="O2352" s="6" t="s">
        <v>24</v>
      </c>
    </row>
    <row r="2353" spans="1:15" x14ac:dyDescent="0.25">
      <c r="A2353" s="6" t="s">
        <v>8301</v>
      </c>
      <c r="B2353" s="6" t="s">
        <v>8300</v>
      </c>
      <c r="C2353" s="6" t="s">
        <v>31</v>
      </c>
      <c r="E2353" s="6" t="s">
        <v>8299</v>
      </c>
      <c r="F2353" s="6" t="s">
        <v>8298</v>
      </c>
      <c r="G2353" s="6" t="s">
        <v>16</v>
      </c>
      <c r="H2353" s="6" t="s">
        <v>15</v>
      </c>
      <c r="I2353" s="6" t="s">
        <v>36</v>
      </c>
      <c r="J2353" s="6" t="s">
        <v>35</v>
      </c>
      <c r="K2353" s="7">
        <v>29.986235919999999</v>
      </c>
      <c r="L2353" s="7">
        <v>-95.728275460000006</v>
      </c>
      <c r="M2353" s="6" t="s">
        <v>279</v>
      </c>
      <c r="N2353" s="6" t="s">
        <v>24</v>
      </c>
      <c r="O2353" s="6" t="s">
        <v>23</v>
      </c>
    </row>
    <row r="2354" spans="1:15" x14ac:dyDescent="0.25">
      <c r="A2354" s="6" t="s">
        <v>7758</v>
      </c>
      <c r="B2354" s="6" t="s">
        <v>7757</v>
      </c>
      <c r="C2354" s="6" t="s">
        <v>31</v>
      </c>
      <c r="E2354" s="6" t="s">
        <v>7756</v>
      </c>
      <c r="F2354" s="6" t="s">
        <v>7755</v>
      </c>
      <c r="G2354" s="6" t="s">
        <v>16</v>
      </c>
      <c r="H2354" s="6" t="s">
        <v>28</v>
      </c>
      <c r="I2354" s="6" t="s">
        <v>73</v>
      </c>
      <c r="J2354" s="6" t="s">
        <v>35</v>
      </c>
      <c r="K2354" s="7">
        <v>29.829771000000001</v>
      </c>
      <c r="L2354" s="7">
        <v>-95.211335000000005</v>
      </c>
      <c r="M2354" s="6" t="s">
        <v>34</v>
      </c>
      <c r="N2354" s="6" t="s">
        <v>24</v>
      </c>
      <c r="O2354" s="6" t="s">
        <v>23</v>
      </c>
    </row>
    <row r="2355" spans="1:15" x14ac:dyDescent="0.25">
      <c r="A2355" s="6" t="s">
        <v>5257</v>
      </c>
      <c r="B2355" s="6" t="s">
        <v>5256</v>
      </c>
      <c r="C2355" s="6" t="s">
        <v>31</v>
      </c>
      <c r="E2355" s="6" t="s">
        <v>5255</v>
      </c>
      <c r="F2355" s="6" t="s">
        <v>5254</v>
      </c>
      <c r="G2355" s="6" t="s">
        <v>16</v>
      </c>
      <c r="H2355" s="6" t="s">
        <v>15</v>
      </c>
      <c r="I2355" s="6" t="s">
        <v>14</v>
      </c>
      <c r="J2355" s="6" t="s">
        <v>13</v>
      </c>
      <c r="K2355" s="7">
        <v>27.809474569999999</v>
      </c>
      <c r="L2355" s="7">
        <v>-97.457166459999996</v>
      </c>
      <c r="M2355" s="6" t="s">
        <v>12</v>
      </c>
      <c r="N2355" s="6" t="s">
        <v>11</v>
      </c>
      <c r="O2355" s="6" t="s">
        <v>10</v>
      </c>
    </row>
    <row r="2356" spans="1:15" x14ac:dyDescent="0.25">
      <c r="A2356" s="6" t="s">
        <v>6650</v>
      </c>
      <c r="B2356" s="6" t="s">
        <v>5256</v>
      </c>
      <c r="C2356" s="6" t="s">
        <v>19</v>
      </c>
      <c r="E2356" s="6" t="s">
        <v>5255</v>
      </c>
      <c r="F2356" s="6" t="s">
        <v>5254</v>
      </c>
      <c r="G2356" s="6" t="s">
        <v>284</v>
      </c>
      <c r="H2356" s="6" t="s">
        <v>15</v>
      </c>
      <c r="I2356" s="6" t="s">
        <v>14</v>
      </c>
      <c r="J2356" s="6" t="s">
        <v>13</v>
      </c>
      <c r="K2356" s="7">
        <v>27.815015030000001</v>
      </c>
      <c r="L2356" s="7">
        <v>-97.460878690000001</v>
      </c>
      <c r="M2356" s="6" t="s">
        <v>12</v>
      </c>
      <c r="N2356" s="6" t="s">
        <v>11</v>
      </c>
      <c r="O2356" s="6" t="s">
        <v>10</v>
      </c>
    </row>
    <row r="2357" spans="1:15" x14ac:dyDescent="0.25">
      <c r="A2357" s="6" t="s">
        <v>1415</v>
      </c>
      <c r="B2357" s="6" t="s">
        <v>1413</v>
      </c>
      <c r="C2357" s="6" t="s">
        <v>31</v>
      </c>
      <c r="E2357" s="6" t="s">
        <v>1412</v>
      </c>
      <c r="F2357" s="6" t="s">
        <v>1411</v>
      </c>
      <c r="G2357" s="6" t="s">
        <v>16</v>
      </c>
      <c r="H2357" s="6" t="s">
        <v>15</v>
      </c>
      <c r="I2357" s="6" t="s">
        <v>1410</v>
      </c>
      <c r="J2357" s="6" t="s">
        <v>90</v>
      </c>
      <c r="K2357" s="7">
        <v>25.91372788</v>
      </c>
      <c r="L2357" s="7">
        <v>-97.523441950000006</v>
      </c>
      <c r="M2357" s="6" t="s">
        <v>374</v>
      </c>
      <c r="N2357" s="6" t="s">
        <v>373</v>
      </c>
      <c r="O2357" s="6" t="s">
        <v>22</v>
      </c>
    </row>
    <row r="2358" spans="1:15" x14ac:dyDescent="0.25">
      <c r="A2358" s="6" t="s">
        <v>1414</v>
      </c>
      <c r="B2358" s="6" t="s">
        <v>1413</v>
      </c>
      <c r="C2358" s="6" t="s">
        <v>19</v>
      </c>
      <c r="E2358" s="6" t="s">
        <v>1412</v>
      </c>
      <c r="F2358" s="6" t="s">
        <v>1411</v>
      </c>
      <c r="G2358" s="6" t="s">
        <v>16</v>
      </c>
      <c r="H2358" s="6" t="s">
        <v>15</v>
      </c>
      <c r="I2358" s="6" t="s">
        <v>1410</v>
      </c>
      <c r="J2358" s="6" t="s">
        <v>90</v>
      </c>
      <c r="K2358" s="7">
        <v>25.913246520000001</v>
      </c>
      <c r="L2358" s="7">
        <v>-97.523268720000004</v>
      </c>
      <c r="M2358" s="6" t="s">
        <v>374</v>
      </c>
      <c r="N2358" s="6" t="s">
        <v>373</v>
      </c>
      <c r="O2358" s="6" t="s">
        <v>22</v>
      </c>
    </row>
    <row r="2359" spans="1:15" x14ac:dyDescent="0.25">
      <c r="A2359" s="6" t="s">
        <v>7742</v>
      </c>
      <c r="B2359" s="6" t="s">
        <v>7741</v>
      </c>
      <c r="C2359" s="6" t="s">
        <v>31</v>
      </c>
      <c r="E2359" s="6" t="s">
        <v>7740</v>
      </c>
      <c r="F2359" s="6" t="s">
        <v>7739</v>
      </c>
      <c r="G2359" s="6" t="s">
        <v>16</v>
      </c>
      <c r="H2359" s="6" t="s">
        <v>28</v>
      </c>
      <c r="I2359" s="6" t="s">
        <v>27</v>
      </c>
      <c r="J2359" s="6" t="s">
        <v>268</v>
      </c>
      <c r="K2359" s="7">
        <v>32.563406999999998</v>
      </c>
      <c r="L2359" s="7">
        <v>-97.392080000000007</v>
      </c>
      <c r="M2359" s="6" t="s">
        <v>2826</v>
      </c>
      <c r="N2359" s="6" t="s">
        <v>102</v>
      </c>
      <c r="O2359" s="6" t="s">
        <v>42</v>
      </c>
    </row>
    <row r="2360" spans="1:15" x14ac:dyDescent="0.25">
      <c r="A2360" s="6" t="s">
        <v>7746</v>
      </c>
      <c r="B2360" s="6" t="s">
        <v>7745</v>
      </c>
      <c r="C2360" s="6" t="s">
        <v>31</v>
      </c>
      <c r="E2360" s="6" t="s">
        <v>7744</v>
      </c>
      <c r="F2360" s="6" t="s">
        <v>7743</v>
      </c>
      <c r="G2360" s="6" t="s">
        <v>16</v>
      </c>
      <c r="H2360" s="6" t="s">
        <v>28</v>
      </c>
      <c r="I2360" s="6" t="s">
        <v>73</v>
      </c>
      <c r="J2360" s="6" t="s">
        <v>726</v>
      </c>
      <c r="K2360" s="7">
        <v>33.645480999999997</v>
      </c>
      <c r="L2360" s="7">
        <v>-97.043023000000005</v>
      </c>
      <c r="M2360" s="6" t="s">
        <v>3701</v>
      </c>
      <c r="N2360" s="6" t="s">
        <v>102</v>
      </c>
      <c r="O2360" s="6" t="s">
        <v>42</v>
      </c>
    </row>
    <row r="2361" spans="1:15" x14ac:dyDescent="0.25">
      <c r="A2361" s="6" t="s">
        <v>7714</v>
      </c>
      <c r="B2361" s="6" t="s">
        <v>7713</v>
      </c>
      <c r="C2361" s="6" t="s">
        <v>31</v>
      </c>
      <c r="E2361" s="6" t="s">
        <v>7712</v>
      </c>
      <c r="F2361" s="6" t="s">
        <v>7711</v>
      </c>
      <c r="G2361" s="6" t="s">
        <v>16</v>
      </c>
      <c r="H2361" s="6" t="s">
        <v>28</v>
      </c>
      <c r="I2361" s="6" t="s">
        <v>27</v>
      </c>
      <c r="J2361" s="6" t="s">
        <v>2267</v>
      </c>
      <c r="K2361" s="7">
        <v>32.098255739999999</v>
      </c>
      <c r="L2361" s="7">
        <v>-95.640935069999998</v>
      </c>
      <c r="M2361" s="6" t="s">
        <v>53</v>
      </c>
      <c r="N2361" s="6" t="s">
        <v>52</v>
      </c>
      <c r="O2361" s="6" t="s">
        <v>65</v>
      </c>
    </row>
    <row r="2362" spans="1:15" x14ac:dyDescent="0.25">
      <c r="A2362" s="6" t="s">
        <v>5840</v>
      </c>
      <c r="B2362" s="6" t="s">
        <v>5838</v>
      </c>
      <c r="C2362" s="6" t="s">
        <v>31</v>
      </c>
      <c r="E2362" s="6" t="s">
        <v>5837</v>
      </c>
      <c r="F2362" s="6" t="s">
        <v>5836</v>
      </c>
      <c r="G2362" s="6" t="s">
        <v>16</v>
      </c>
      <c r="H2362" s="6" t="s">
        <v>28</v>
      </c>
      <c r="I2362" s="6" t="s">
        <v>14</v>
      </c>
      <c r="J2362" s="6" t="s">
        <v>84</v>
      </c>
      <c r="K2362" s="7">
        <v>28.644397080000001</v>
      </c>
      <c r="L2362" s="7">
        <v>-96.547404220000004</v>
      </c>
      <c r="M2362" s="6" t="s">
        <v>1087</v>
      </c>
      <c r="N2362" s="6" t="s">
        <v>22</v>
      </c>
      <c r="O2362" s="6" t="s">
        <v>10</v>
      </c>
    </row>
    <row r="2363" spans="1:15" x14ac:dyDescent="0.25">
      <c r="A2363" s="6" t="s">
        <v>5839</v>
      </c>
      <c r="B2363" s="6" t="s">
        <v>5838</v>
      </c>
      <c r="C2363" s="6" t="s">
        <v>19</v>
      </c>
      <c r="E2363" s="6" t="s">
        <v>5837</v>
      </c>
      <c r="F2363" s="6" t="s">
        <v>5836</v>
      </c>
      <c r="G2363" s="6" t="s">
        <v>16</v>
      </c>
      <c r="H2363" s="6" t="s">
        <v>430</v>
      </c>
      <c r="I2363" s="6" t="s">
        <v>14</v>
      </c>
      <c r="J2363" s="6" t="s">
        <v>84</v>
      </c>
      <c r="K2363" s="7">
        <v>28.644019780000001</v>
      </c>
      <c r="L2363" s="7">
        <v>-96.547637359999996</v>
      </c>
      <c r="M2363" s="6" t="s">
        <v>1087</v>
      </c>
      <c r="N2363" s="6" t="s">
        <v>22</v>
      </c>
      <c r="O2363" s="6" t="s">
        <v>10</v>
      </c>
    </row>
    <row r="2364" spans="1:15" x14ac:dyDescent="0.25">
      <c r="A2364" s="6" t="s">
        <v>7688</v>
      </c>
      <c r="B2364" s="6" t="s">
        <v>7687</v>
      </c>
      <c r="C2364" s="6" t="s">
        <v>31</v>
      </c>
      <c r="E2364" s="6" t="s">
        <v>7686</v>
      </c>
      <c r="F2364" s="6" t="s">
        <v>7685</v>
      </c>
      <c r="G2364" s="6" t="s">
        <v>16</v>
      </c>
      <c r="H2364" s="6" t="s">
        <v>28</v>
      </c>
      <c r="I2364" s="6" t="s">
        <v>14</v>
      </c>
      <c r="J2364" s="6" t="s">
        <v>290</v>
      </c>
      <c r="K2364" s="7">
        <v>28.648977899999998</v>
      </c>
      <c r="L2364" s="7">
        <v>-95.964278309999997</v>
      </c>
      <c r="M2364" s="6" t="s">
        <v>2606</v>
      </c>
      <c r="N2364" s="6" t="s">
        <v>10</v>
      </c>
      <c r="O2364" s="6" t="s">
        <v>23</v>
      </c>
    </row>
    <row r="2365" spans="1:15" x14ac:dyDescent="0.25">
      <c r="A2365" s="6" t="s">
        <v>7730</v>
      </c>
      <c r="B2365" s="6" t="s">
        <v>7729</v>
      </c>
      <c r="C2365" s="6" t="s">
        <v>31</v>
      </c>
      <c r="E2365" s="6" t="s">
        <v>7728</v>
      </c>
      <c r="F2365" s="6" t="s">
        <v>7727</v>
      </c>
      <c r="G2365" s="6" t="s">
        <v>16</v>
      </c>
      <c r="H2365" s="6" t="s">
        <v>28</v>
      </c>
      <c r="I2365" s="6" t="s">
        <v>60</v>
      </c>
      <c r="J2365" s="6" t="s">
        <v>35</v>
      </c>
      <c r="K2365" s="7">
        <v>30.051625999999999</v>
      </c>
      <c r="L2365" s="7">
        <v>-95.236621999999997</v>
      </c>
      <c r="M2365" s="6" t="s">
        <v>1766</v>
      </c>
      <c r="N2365" s="6" t="s">
        <v>24</v>
      </c>
      <c r="O2365" s="6" t="s">
        <v>23</v>
      </c>
    </row>
    <row r="2366" spans="1:15" x14ac:dyDescent="0.25">
      <c r="A2366" s="6" t="s">
        <v>7933</v>
      </c>
      <c r="B2366" s="6" t="s">
        <v>7932</v>
      </c>
      <c r="C2366" s="6" t="s">
        <v>31</v>
      </c>
      <c r="E2366" s="6" t="s">
        <v>7931</v>
      </c>
      <c r="F2366" s="6" t="s">
        <v>7930</v>
      </c>
      <c r="G2366" s="6" t="s">
        <v>16</v>
      </c>
      <c r="H2366" s="6" t="s">
        <v>28</v>
      </c>
      <c r="I2366" s="6" t="s">
        <v>14</v>
      </c>
      <c r="J2366" s="6" t="s">
        <v>132</v>
      </c>
      <c r="K2366" s="7">
        <v>29.6557016</v>
      </c>
      <c r="L2366" s="7">
        <v>-95.928151009999993</v>
      </c>
      <c r="M2366" s="6" t="s">
        <v>355</v>
      </c>
      <c r="N2366" s="6" t="s">
        <v>23</v>
      </c>
      <c r="O2366" s="6" t="s">
        <v>23</v>
      </c>
    </row>
    <row r="2367" spans="1:15" x14ac:dyDescent="0.25">
      <c r="A2367" s="6" t="s">
        <v>5253</v>
      </c>
      <c r="B2367" s="6" t="s">
        <v>5251</v>
      </c>
      <c r="C2367" s="6" t="s">
        <v>31</v>
      </c>
      <c r="E2367" s="6" t="s">
        <v>5250</v>
      </c>
      <c r="F2367" s="6" t="s">
        <v>5249</v>
      </c>
      <c r="G2367" s="6" t="s">
        <v>16</v>
      </c>
      <c r="H2367" s="6" t="s">
        <v>15</v>
      </c>
      <c r="I2367" s="6" t="s">
        <v>14</v>
      </c>
      <c r="J2367" s="6" t="s">
        <v>35</v>
      </c>
      <c r="K2367" s="7">
        <v>29.787639309999999</v>
      </c>
      <c r="L2367" s="7">
        <v>-95.29683575</v>
      </c>
      <c r="M2367" s="6" t="s">
        <v>866</v>
      </c>
      <c r="N2367" s="6" t="s">
        <v>24</v>
      </c>
      <c r="O2367" s="6" t="s">
        <v>23</v>
      </c>
    </row>
    <row r="2368" spans="1:15" x14ac:dyDescent="0.25">
      <c r="A2368" s="6" t="s">
        <v>5252</v>
      </c>
      <c r="B2368" s="6" t="s">
        <v>5251</v>
      </c>
      <c r="C2368" s="6" t="s">
        <v>19</v>
      </c>
      <c r="E2368" s="6" t="s">
        <v>5250</v>
      </c>
      <c r="F2368" s="6" t="s">
        <v>5249</v>
      </c>
      <c r="G2368" s="6" t="s">
        <v>16</v>
      </c>
      <c r="H2368" s="6" t="s">
        <v>15</v>
      </c>
      <c r="I2368" s="6" t="s">
        <v>14</v>
      </c>
      <c r="J2368" s="6" t="s">
        <v>35</v>
      </c>
      <c r="K2368" s="7">
        <v>29.789198200000001</v>
      </c>
      <c r="L2368" s="7">
        <v>-95.296668699999998</v>
      </c>
      <c r="M2368" s="6" t="s">
        <v>866</v>
      </c>
      <c r="N2368" s="6" t="s">
        <v>24</v>
      </c>
      <c r="O2368" s="6" t="s">
        <v>23</v>
      </c>
    </row>
    <row r="2369" spans="1:15" x14ac:dyDescent="0.25">
      <c r="A2369" s="6" t="s">
        <v>7533</v>
      </c>
      <c r="B2369" s="6" t="s">
        <v>7532</v>
      </c>
      <c r="C2369" s="6" t="s">
        <v>31</v>
      </c>
      <c r="E2369" s="6" t="s">
        <v>7531</v>
      </c>
      <c r="F2369" s="6" t="s">
        <v>3199</v>
      </c>
      <c r="G2369" s="6" t="s">
        <v>16</v>
      </c>
      <c r="H2369" s="6" t="s">
        <v>15</v>
      </c>
      <c r="I2369" s="6" t="s">
        <v>14</v>
      </c>
      <c r="J2369" s="6" t="s">
        <v>3198</v>
      </c>
      <c r="K2369" s="7">
        <v>33.51323773</v>
      </c>
      <c r="L2369" s="7">
        <v>-101.65935659</v>
      </c>
      <c r="M2369" s="6" t="s">
        <v>3197</v>
      </c>
      <c r="N2369" s="6" t="s">
        <v>23</v>
      </c>
      <c r="O2369" s="6" t="s">
        <v>43</v>
      </c>
    </row>
    <row r="2370" spans="1:15" x14ac:dyDescent="0.25">
      <c r="A2370" s="6" t="s">
        <v>12200</v>
      </c>
      <c r="B2370" s="6" t="s">
        <v>7532</v>
      </c>
      <c r="C2370" s="6" t="s">
        <v>1098</v>
      </c>
      <c r="E2370" s="6" t="s">
        <v>7531</v>
      </c>
      <c r="F2370" s="6" t="s">
        <v>3199</v>
      </c>
      <c r="G2370" s="6" t="s">
        <v>16</v>
      </c>
      <c r="H2370" s="6" t="s">
        <v>15</v>
      </c>
      <c r="I2370" s="6" t="s">
        <v>14</v>
      </c>
      <c r="J2370" s="6" t="s">
        <v>3198</v>
      </c>
      <c r="K2370" s="7">
        <v>33.561945770000001</v>
      </c>
      <c r="L2370" s="7">
        <v>-101.79862478</v>
      </c>
      <c r="M2370" s="6" t="s">
        <v>3197</v>
      </c>
      <c r="N2370" s="6" t="s">
        <v>23</v>
      </c>
      <c r="O2370" s="6" t="s">
        <v>43</v>
      </c>
    </row>
    <row r="2371" spans="1:15" x14ac:dyDescent="0.25">
      <c r="A2371" s="6" t="s">
        <v>7722</v>
      </c>
      <c r="B2371" s="6" t="s">
        <v>7721</v>
      </c>
      <c r="C2371" s="6" t="s">
        <v>31</v>
      </c>
      <c r="E2371" s="6" t="s">
        <v>7720</v>
      </c>
      <c r="F2371" s="6" t="s">
        <v>7719</v>
      </c>
      <c r="G2371" s="6" t="s">
        <v>16</v>
      </c>
      <c r="H2371" s="6" t="s">
        <v>28</v>
      </c>
      <c r="I2371" s="6" t="s">
        <v>60</v>
      </c>
      <c r="J2371" s="6" t="s">
        <v>982</v>
      </c>
      <c r="K2371" s="7">
        <v>31.992957000000001</v>
      </c>
      <c r="L2371" s="7">
        <v>-96.174182000000002</v>
      </c>
      <c r="M2371" s="6" t="s">
        <v>981</v>
      </c>
      <c r="N2371" s="6" t="s">
        <v>102</v>
      </c>
      <c r="O2371" s="6" t="s">
        <v>42</v>
      </c>
    </row>
    <row r="2372" spans="1:15" x14ac:dyDescent="0.25">
      <c r="A2372" s="6" t="s">
        <v>7726</v>
      </c>
      <c r="B2372" s="6" t="s">
        <v>7725</v>
      </c>
      <c r="C2372" s="6" t="s">
        <v>31</v>
      </c>
      <c r="E2372" s="6" t="s">
        <v>7724</v>
      </c>
      <c r="F2372" s="6" t="s">
        <v>7723</v>
      </c>
      <c r="G2372" s="6" t="s">
        <v>16</v>
      </c>
      <c r="H2372" s="6" t="s">
        <v>28</v>
      </c>
      <c r="I2372" s="6" t="s">
        <v>27</v>
      </c>
      <c r="J2372" s="6" t="s">
        <v>576</v>
      </c>
      <c r="K2372" s="7">
        <v>30.539366999999999</v>
      </c>
      <c r="L2372" s="7">
        <v>-95.841616999999999</v>
      </c>
      <c r="M2372" s="6" t="s">
        <v>25</v>
      </c>
      <c r="N2372" s="6" t="s">
        <v>24</v>
      </c>
      <c r="O2372" s="6" t="s">
        <v>120</v>
      </c>
    </row>
    <row r="2373" spans="1:15" x14ac:dyDescent="0.25">
      <c r="A2373" s="6" t="s">
        <v>5327</v>
      </c>
      <c r="B2373" s="6" t="s">
        <v>5326</v>
      </c>
      <c r="C2373" s="6" t="s">
        <v>31</v>
      </c>
      <c r="E2373" s="6" t="s">
        <v>5325</v>
      </c>
      <c r="F2373" s="6" t="s">
        <v>5249</v>
      </c>
      <c r="G2373" s="6" t="s">
        <v>16</v>
      </c>
      <c r="H2373" s="6" t="s">
        <v>15</v>
      </c>
      <c r="I2373" s="6" t="s">
        <v>14</v>
      </c>
      <c r="J2373" s="6" t="s">
        <v>35</v>
      </c>
      <c r="K2373" s="7">
        <v>29.725630949999999</v>
      </c>
      <c r="L2373" s="7">
        <v>-95.260726629999994</v>
      </c>
      <c r="M2373" s="6" t="s">
        <v>866</v>
      </c>
      <c r="N2373" s="6" t="s">
        <v>24</v>
      </c>
      <c r="O2373" s="6" t="s">
        <v>23</v>
      </c>
    </row>
    <row r="2374" spans="1:15" x14ac:dyDescent="0.25">
      <c r="A2374" s="6" t="s">
        <v>7718</v>
      </c>
      <c r="B2374" s="6" t="s">
        <v>7717</v>
      </c>
      <c r="C2374" s="6" t="s">
        <v>31</v>
      </c>
      <c r="E2374" s="6" t="s">
        <v>7716</v>
      </c>
      <c r="F2374" s="6" t="s">
        <v>7715</v>
      </c>
      <c r="G2374" s="6" t="s">
        <v>16</v>
      </c>
      <c r="H2374" s="6" t="s">
        <v>28</v>
      </c>
      <c r="I2374" s="6" t="s">
        <v>73</v>
      </c>
      <c r="J2374" s="6" t="s">
        <v>1209</v>
      </c>
      <c r="K2374" s="7">
        <v>31.962517609999999</v>
      </c>
      <c r="L2374" s="7">
        <v>-97.553633199999993</v>
      </c>
      <c r="M2374" s="6" t="s">
        <v>1450</v>
      </c>
      <c r="N2374" s="6" t="s">
        <v>23</v>
      </c>
      <c r="O2374" s="6" t="s">
        <v>120</v>
      </c>
    </row>
    <row r="2375" spans="1:15" x14ac:dyDescent="0.25">
      <c r="A2375" s="6" t="s">
        <v>9142</v>
      </c>
      <c r="B2375" s="6" t="s">
        <v>9141</v>
      </c>
      <c r="C2375" s="6" t="s">
        <v>31</v>
      </c>
      <c r="E2375" s="6" t="s">
        <v>9140</v>
      </c>
      <c r="F2375" s="6" t="s">
        <v>9139</v>
      </c>
      <c r="G2375" s="6" t="s">
        <v>16</v>
      </c>
      <c r="H2375" s="6" t="s">
        <v>28</v>
      </c>
      <c r="I2375" s="6" t="s">
        <v>27</v>
      </c>
      <c r="J2375" s="6" t="s">
        <v>2768</v>
      </c>
      <c r="K2375" s="7">
        <v>32.395553999999997</v>
      </c>
      <c r="L2375" s="7">
        <v>-97.285064000000006</v>
      </c>
      <c r="M2375" s="6" t="s">
        <v>2048</v>
      </c>
      <c r="N2375" s="6" t="s">
        <v>102</v>
      </c>
      <c r="O2375" s="6" t="s">
        <v>42</v>
      </c>
    </row>
    <row r="2376" spans="1:15" x14ac:dyDescent="0.25">
      <c r="A2376" s="6" t="s">
        <v>10258</v>
      </c>
      <c r="B2376" s="6" t="s">
        <v>10257</v>
      </c>
      <c r="C2376" s="6" t="s">
        <v>31</v>
      </c>
      <c r="E2376" s="6" t="s">
        <v>10256</v>
      </c>
      <c r="F2376" s="6" t="s">
        <v>10255</v>
      </c>
      <c r="G2376" s="6" t="s">
        <v>16</v>
      </c>
      <c r="H2376" s="6" t="s">
        <v>28</v>
      </c>
      <c r="I2376" s="6" t="s">
        <v>60</v>
      </c>
      <c r="J2376" s="6" t="s">
        <v>632</v>
      </c>
      <c r="K2376" s="7">
        <v>30.049938910000002</v>
      </c>
      <c r="L2376" s="7">
        <v>-93.813554420000003</v>
      </c>
      <c r="M2376" s="6" t="s">
        <v>758</v>
      </c>
      <c r="N2376" s="6" t="s">
        <v>65</v>
      </c>
      <c r="O2376" s="6" t="s">
        <v>24</v>
      </c>
    </row>
    <row r="2377" spans="1:15" x14ac:dyDescent="0.25">
      <c r="A2377" s="6" t="s">
        <v>11333</v>
      </c>
      <c r="B2377" s="6" t="s">
        <v>11332</v>
      </c>
      <c r="C2377" s="6" t="s">
        <v>31</v>
      </c>
      <c r="E2377" s="6" t="s">
        <v>11331</v>
      </c>
      <c r="F2377" s="6" t="s">
        <v>4175</v>
      </c>
      <c r="G2377" s="6" t="s">
        <v>16</v>
      </c>
      <c r="H2377" s="6" t="s">
        <v>15</v>
      </c>
      <c r="I2377" s="6" t="s">
        <v>60</v>
      </c>
      <c r="J2377" s="6" t="s">
        <v>424</v>
      </c>
      <c r="K2377" s="7">
        <v>32.608735500000002</v>
      </c>
      <c r="L2377" s="7">
        <v>-95.195588349999994</v>
      </c>
      <c r="M2377" s="6" t="s">
        <v>423</v>
      </c>
      <c r="N2377" s="6" t="s">
        <v>65</v>
      </c>
      <c r="O2377" s="6" t="s">
        <v>65</v>
      </c>
    </row>
    <row r="2378" spans="1:15" x14ac:dyDescent="0.25">
      <c r="A2378" s="6" t="s">
        <v>5576</v>
      </c>
      <c r="B2378" s="6" t="s">
        <v>5575</v>
      </c>
      <c r="C2378" s="6" t="s">
        <v>31</v>
      </c>
      <c r="E2378" s="6" t="s">
        <v>5574</v>
      </c>
      <c r="F2378" s="6" t="s">
        <v>5573</v>
      </c>
      <c r="G2378" s="6" t="s">
        <v>16</v>
      </c>
      <c r="H2378" s="6" t="s">
        <v>430</v>
      </c>
      <c r="I2378" s="6" t="s">
        <v>27</v>
      </c>
      <c r="J2378" s="6" t="s">
        <v>35</v>
      </c>
      <c r="K2378" s="7">
        <v>29.765464999999999</v>
      </c>
      <c r="L2378" s="7">
        <v>-95.070400000000006</v>
      </c>
      <c r="M2378" s="6" t="s">
        <v>2245</v>
      </c>
      <c r="N2378" s="6" t="s">
        <v>120</v>
      </c>
      <c r="O2378" s="6" t="s">
        <v>23</v>
      </c>
    </row>
    <row r="2379" spans="1:15" x14ac:dyDescent="0.25">
      <c r="A2379" s="6" t="s">
        <v>5236</v>
      </c>
      <c r="B2379" s="6" t="s">
        <v>5226</v>
      </c>
      <c r="C2379" s="6" t="s">
        <v>31</v>
      </c>
      <c r="E2379" s="6" t="s">
        <v>5225</v>
      </c>
      <c r="F2379" s="6" t="s">
        <v>3946</v>
      </c>
      <c r="G2379" s="6" t="s">
        <v>16</v>
      </c>
      <c r="H2379" s="6" t="s">
        <v>15</v>
      </c>
      <c r="I2379" s="6" t="s">
        <v>14</v>
      </c>
      <c r="J2379" s="6" t="s">
        <v>35</v>
      </c>
      <c r="K2379" s="7">
        <v>29.7541917</v>
      </c>
      <c r="L2379" s="7">
        <v>-95.161892519999995</v>
      </c>
      <c r="M2379" s="6" t="s">
        <v>34</v>
      </c>
      <c r="N2379" s="6" t="s">
        <v>24</v>
      </c>
      <c r="O2379" s="6" t="s">
        <v>23</v>
      </c>
    </row>
    <row r="2380" spans="1:15" x14ac:dyDescent="0.25">
      <c r="A2380" s="6" t="s">
        <v>5227</v>
      </c>
      <c r="B2380" s="6" t="s">
        <v>5226</v>
      </c>
      <c r="C2380" s="6" t="s">
        <v>19</v>
      </c>
      <c r="E2380" s="6" t="s">
        <v>5225</v>
      </c>
      <c r="F2380" s="6" t="s">
        <v>3946</v>
      </c>
      <c r="G2380" s="6" t="s">
        <v>16</v>
      </c>
      <c r="H2380" s="6" t="s">
        <v>15</v>
      </c>
      <c r="I2380" s="6" t="s">
        <v>14</v>
      </c>
      <c r="J2380" s="6" t="s">
        <v>35</v>
      </c>
      <c r="K2380" s="7">
        <v>29.74844929</v>
      </c>
      <c r="L2380" s="7">
        <v>-95.166266269999994</v>
      </c>
      <c r="M2380" s="6" t="s">
        <v>34</v>
      </c>
      <c r="N2380" s="6" t="s">
        <v>24</v>
      </c>
      <c r="O2380" s="6" t="s">
        <v>23</v>
      </c>
    </row>
    <row r="2381" spans="1:15" x14ac:dyDescent="0.25">
      <c r="A2381" s="6" t="s">
        <v>6315</v>
      </c>
      <c r="B2381" s="6" t="s">
        <v>6314</v>
      </c>
      <c r="C2381" s="6" t="s">
        <v>31</v>
      </c>
      <c r="E2381" s="6" t="s">
        <v>6313</v>
      </c>
      <c r="F2381" s="6" t="s">
        <v>6312</v>
      </c>
      <c r="G2381" s="6" t="s">
        <v>16</v>
      </c>
      <c r="H2381" s="6" t="s">
        <v>28</v>
      </c>
      <c r="I2381" s="6" t="s">
        <v>14</v>
      </c>
      <c r="J2381" s="6" t="s">
        <v>1451</v>
      </c>
      <c r="K2381" s="7">
        <v>31.945250390000002</v>
      </c>
      <c r="L2381" s="7">
        <v>-97.33647852</v>
      </c>
      <c r="M2381" s="6" t="s">
        <v>1450</v>
      </c>
      <c r="N2381" s="6" t="s">
        <v>23</v>
      </c>
      <c r="O2381" s="6" t="s">
        <v>120</v>
      </c>
    </row>
    <row r="2382" spans="1:15" x14ac:dyDescent="0.25">
      <c r="A2382" s="6" t="s">
        <v>7702</v>
      </c>
      <c r="B2382" s="6" t="s">
        <v>7701</v>
      </c>
      <c r="C2382" s="6" t="s">
        <v>31</v>
      </c>
      <c r="E2382" s="6" t="s">
        <v>7700</v>
      </c>
      <c r="F2382" s="6" t="s">
        <v>3760</v>
      </c>
      <c r="G2382" s="6" t="s">
        <v>16</v>
      </c>
      <c r="H2382" s="6" t="s">
        <v>28</v>
      </c>
      <c r="I2382" s="6" t="s">
        <v>73</v>
      </c>
      <c r="J2382" s="6" t="s">
        <v>54</v>
      </c>
      <c r="K2382" s="7">
        <v>30.924735999999999</v>
      </c>
      <c r="L2382" s="7">
        <v>-95.254275000000007</v>
      </c>
      <c r="M2382" s="6" t="s">
        <v>317</v>
      </c>
      <c r="N2382" s="6" t="s">
        <v>102</v>
      </c>
      <c r="O2382" s="6" t="s">
        <v>24</v>
      </c>
    </row>
    <row r="2383" spans="1:15" x14ac:dyDescent="0.25">
      <c r="A2383" s="6" t="s">
        <v>11254</v>
      </c>
      <c r="B2383" s="6" t="s">
        <v>11252</v>
      </c>
      <c r="C2383" s="6" t="s">
        <v>19</v>
      </c>
      <c r="E2383" s="6" t="s">
        <v>11251</v>
      </c>
      <c r="F2383" s="6" t="s">
        <v>2142</v>
      </c>
      <c r="G2383" s="6" t="s">
        <v>16</v>
      </c>
      <c r="H2383" s="6" t="s">
        <v>430</v>
      </c>
      <c r="I2383" s="6" t="s">
        <v>14</v>
      </c>
      <c r="J2383" s="6" t="s">
        <v>35</v>
      </c>
      <c r="K2383" s="7">
        <v>29.680386009999999</v>
      </c>
      <c r="L2383" s="7">
        <v>-95.009189689999999</v>
      </c>
      <c r="M2383" s="6" t="s">
        <v>5298</v>
      </c>
      <c r="N2383" s="6" t="s">
        <v>24</v>
      </c>
      <c r="O2383" s="6" t="s">
        <v>23</v>
      </c>
    </row>
    <row r="2384" spans="1:15" x14ac:dyDescent="0.25">
      <c r="A2384" s="6" t="s">
        <v>11253</v>
      </c>
      <c r="B2384" s="6" t="s">
        <v>11252</v>
      </c>
      <c r="C2384" s="6" t="s">
        <v>436</v>
      </c>
      <c r="E2384" s="6" t="s">
        <v>11251</v>
      </c>
      <c r="F2384" s="6" t="s">
        <v>2142</v>
      </c>
      <c r="G2384" s="6" t="s">
        <v>16</v>
      </c>
      <c r="H2384" s="6" t="s">
        <v>15</v>
      </c>
      <c r="I2384" s="6" t="s">
        <v>14</v>
      </c>
      <c r="J2384" s="6" t="s">
        <v>35</v>
      </c>
      <c r="K2384" s="7">
        <v>29.682868590000002</v>
      </c>
      <c r="L2384" s="7">
        <v>-95.009641999999999</v>
      </c>
      <c r="M2384" s="6" t="s">
        <v>5298</v>
      </c>
      <c r="N2384" s="6" t="s">
        <v>24</v>
      </c>
      <c r="O2384" s="6" t="s">
        <v>23</v>
      </c>
    </row>
    <row r="2385" spans="1:15" x14ac:dyDescent="0.25">
      <c r="A2385" s="6" t="s">
        <v>7706</v>
      </c>
      <c r="B2385" s="6" t="s">
        <v>7705</v>
      </c>
      <c r="C2385" s="6" t="s">
        <v>31</v>
      </c>
      <c r="E2385" s="6" t="s">
        <v>7704</v>
      </c>
      <c r="F2385" s="6" t="s">
        <v>7703</v>
      </c>
      <c r="G2385" s="6" t="s">
        <v>16</v>
      </c>
      <c r="H2385" s="6" t="s">
        <v>28</v>
      </c>
      <c r="I2385" s="6" t="s">
        <v>27</v>
      </c>
      <c r="J2385" s="6" t="s">
        <v>1519</v>
      </c>
      <c r="K2385" s="7">
        <v>30.147411999999999</v>
      </c>
      <c r="L2385" s="7">
        <v>-94.635396999999998</v>
      </c>
      <c r="M2385" s="6" t="s">
        <v>144</v>
      </c>
      <c r="N2385" s="6" t="s">
        <v>52</v>
      </c>
      <c r="O2385" s="6" t="s">
        <v>23</v>
      </c>
    </row>
    <row r="2386" spans="1:15" x14ac:dyDescent="0.25">
      <c r="A2386" s="6" t="s">
        <v>1182</v>
      </c>
      <c r="B2386" s="6" t="s">
        <v>1181</v>
      </c>
      <c r="C2386" s="6" t="s">
        <v>31</v>
      </c>
      <c r="E2386" s="6" t="s">
        <v>1180</v>
      </c>
      <c r="F2386" s="6" t="s">
        <v>1179</v>
      </c>
      <c r="G2386" s="6" t="s">
        <v>16</v>
      </c>
      <c r="H2386" s="6" t="s">
        <v>15</v>
      </c>
      <c r="I2386" s="6" t="s">
        <v>14</v>
      </c>
      <c r="J2386" s="6" t="s">
        <v>1178</v>
      </c>
      <c r="K2386" s="7">
        <v>35.324206539999999</v>
      </c>
      <c r="L2386" s="7">
        <v>-101.55546683999999</v>
      </c>
      <c r="M2386" s="6" t="s">
        <v>1177</v>
      </c>
      <c r="N2386" s="6" t="s">
        <v>43</v>
      </c>
      <c r="O2386" s="6" t="s">
        <v>535</v>
      </c>
    </row>
    <row r="2387" spans="1:15" x14ac:dyDescent="0.25">
      <c r="A2387" s="6" t="s">
        <v>516</v>
      </c>
      <c r="B2387" s="6" t="s">
        <v>515</v>
      </c>
      <c r="C2387" s="6" t="s">
        <v>31</v>
      </c>
      <c r="E2387" s="6" t="s">
        <v>514</v>
      </c>
      <c r="F2387" s="6" t="s">
        <v>513</v>
      </c>
      <c r="G2387" s="6" t="s">
        <v>16</v>
      </c>
      <c r="H2387" s="6" t="s">
        <v>28</v>
      </c>
      <c r="I2387" s="6" t="s">
        <v>73</v>
      </c>
      <c r="J2387" s="6" t="s">
        <v>512</v>
      </c>
      <c r="K2387" s="7">
        <v>27.692213769999999</v>
      </c>
      <c r="L2387" s="7">
        <v>-99.736831850000002</v>
      </c>
      <c r="M2387" s="6" t="s">
        <v>511</v>
      </c>
      <c r="N2387" s="6" t="s">
        <v>373</v>
      </c>
      <c r="O2387" s="6" t="s">
        <v>510</v>
      </c>
    </row>
    <row r="2388" spans="1:15" x14ac:dyDescent="0.25">
      <c r="A2388" s="6" t="s">
        <v>6470</v>
      </c>
      <c r="B2388" s="6" t="s">
        <v>6469</v>
      </c>
      <c r="C2388" s="6" t="s">
        <v>31</v>
      </c>
      <c r="E2388" s="6" t="s">
        <v>6468</v>
      </c>
      <c r="F2388" s="6" t="s">
        <v>6467</v>
      </c>
      <c r="G2388" s="6" t="s">
        <v>16</v>
      </c>
      <c r="H2388" s="6" t="s">
        <v>28</v>
      </c>
      <c r="I2388" s="6" t="s">
        <v>27</v>
      </c>
      <c r="J2388" s="6" t="s">
        <v>2696</v>
      </c>
      <c r="K2388" s="7">
        <v>31.763277769999998</v>
      </c>
      <c r="L2388" s="7">
        <v>-93.841709559999998</v>
      </c>
      <c r="M2388" s="6" t="s">
        <v>2695</v>
      </c>
      <c r="N2388" s="6" t="s">
        <v>65</v>
      </c>
      <c r="O2388" s="6" t="s">
        <v>24</v>
      </c>
    </row>
    <row r="2389" spans="1:15" x14ac:dyDescent="0.25">
      <c r="A2389" s="6" t="s">
        <v>8438</v>
      </c>
      <c r="B2389" s="6" t="s">
        <v>8437</v>
      </c>
      <c r="C2389" s="6" t="s">
        <v>31</v>
      </c>
      <c r="E2389" s="6" t="s">
        <v>8436</v>
      </c>
      <c r="F2389" s="6" t="s">
        <v>2892</v>
      </c>
      <c r="G2389" s="6" t="s">
        <v>16</v>
      </c>
      <c r="H2389" s="6" t="s">
        <v>15</v>
      </c>
      <c r="I2389" s="6" t="s">
        <v>46</v>
      </c>
      <c r="J2389" s="6" t="s">
        <v>2891</v>
      </c>
      <c r="K2389" s="7">
        <v>28.64247284</v>
      </c>
      <c r="L2389" s="7">
        <v>-100.45769719</v>
      </c>
      <c r="M2389" s="6" t="s">
        <v>511</v>
      </c>
      <c r="N2389" s="6" t="s">
        <v>373</v>
      </c>
      <c r="O2389" s="6" t="s">
        <v>510</v>
      </c>
    </row>
    <row r="2390" spans="1:15" x14ac:dyDescent="0.25">
      <c r="A2390" s="6" t="s">
        <v>8196</v>
      </c>
      <c r="B2390" s="6" t="s">
        <v>8195</v>
      </c>
      <c r="C2390" s="6" t="s">
        <v>31</v>
      </c>
      <c r="E2390" s="6" t="s">
        <v>8194</v>
      </c>
      <c r="F2390" s="6" t="s">
        <v>8193</v>
      </c>
      <c r="G2390" s="6" t="s">
        <v>16</v>
      </c>
      <c r="H2390" s="6" t="s">
        <v>28</v>
      </c>
      <c r="I2390" s="6" t="s">
        <v>27</v>
      </c>
      <c r="J2390" s="6" t="s">
        <v>45</v>
      </c>
      <c r="K2390" s="7">
        <v>33.423400989999998</v>
      </c>
      <c r="L2390" s="7">
        <v>-96.166558570000007</v>
      </c>
      <c r="M2390" s="6" t="s">
        <v>5642</v>
      </c>
      <c r="N2390" s="6" t="s">
        <v>95</v>
      </c>
      <c r="O2390" s="6" t="s">
        <v>42</v>
      </c>
    </row>
    <row r="2391" spans="1:15" x14ac:dyDescent="0.25">
      <c r="A2391" s="6" t="s">
        <v>238</v>
      </c>
      <c r="B2391" s="6" t="s">
        <v>237</v>
      </c>
      <c r="C2391" s="6" t="s">
        <v>31</v>
      </c>
      <c r="E2391" s="6" t="s">
        <v>236</v>
      </c>
      <c r="F2391" s="6" t="s">
        <v>235</v>
      </c>
      <c r="G2391" s="6" t="s">
        <v>16</v>
      </c>
      <c r="H2391" s="6" t="s">
        <v>28</v>
      </c>
      <c r="I2391" s="6" t="s">
        <v>27</v>
      </c>
      <c r="J2391" s="6" t="s">
        <v>234</v>
      </c>
      <c r="K2391" s="7">
        <v>29.309709000000002</v>
      </c>
      <c r="L2391" s="7">
        <v>-98.804885999999996</v>
      </c>
      <c r="M2391" s="6" t="s">
        <v>233</v>
      </c>
      <c r="N2391" s="6" t="s">
        <v>232</v>
      </c>
      <c r="O2391" s="6" t="s">
        <v>231</v>
      </c>
    </row>
    <row r="2392" spans="1:15" x14ac:dyDescent="0.25">
      <c r="A2392" s="6" t="s">
        <v>1674</v>
      </c>
      <c r="B2392" s="6" t="s">
        <v>1673</v>
      </c>
      <c r="C2392" s="6" t="s">
        <v>31</v>
      </c>
      <c r="E2392" s="6" t="s">
        <v>1672</v>
      </c>
      <c r="F2392" s="6" t="s">
        <v>1671</v>
      </c>
      <c r="G2392" s="6" t="s">
        <v>16</v>
      </c>
      <c r="H2392" s="6" t="s">
        <v>28</v>
      </c>
      <c r="I2392" s="6" t="s">
        <v>60</v>
      </c>
      <c r="J2392" s="6" t="s">
        <v>1670</v>
      </c>
      <c r="K2392" s="7">
        <v>31.027277999999999</v>
      </c>
      <c r="L2392" s="7">
        <v>-104.817744</v>
      </c>
      <c r="M2392" s="6" t="s">
        <v>1669</v>
      </c>
      <c r="N2392" s="6" t="s">
        <v>373</v>
      </c>
      <c r="O2392" s="6" t="s">
        <v>52</v>
      </c>
    </row>
    <row r="2393" spans="1:15" x14ac:dyDescent="0.25">
      <c r="A2393" s="6" t="s">
        <v>8192</v>
      </c>
      <c r="B2393" s="6" t="s">
        <v>8191</v>
      </c>
      <c r="C2393" s="6" t="s">
        <v>31</v>
      </c>
      <c r="E2393" s="6" t="s">
        <v>8190</v>
      </c>
      <c r="F2393" s="6" t="s">
        <v>8189</v>
      </c>
      <c r="G2393" s="6" t="s">
        <v>16</v>
      </c>
      <c r="H2393" s="6" t="s">
        <v>28</v>
      </c>
      <c r="I2393" s="6" t="s">
        <v>73</v>
      </c>
      <c r="J2393" s="6" t="s">
        <v>72</v>
      </c>
      <c r="K2393" s="7">
        <v>31.997351999999999</v>
      </c>
      <c r="L2393" s="7">
        <v>-95.088933999999995</v>
      </c>
      <c r="M2393" s="6" t="s">
        <v>203</v>
      </c>
      <c r="N2393" s="6" t="s">
        <v>52</v>
      </c>
      <c r="O2393" s="6" t="s">
        <v>65</v>
      </c>
    </row>
    <row r="2394" spans="1:15" x14ac:dyDescent="0.25">
      <c r="A2394" s="6" t="s">
        <v>8188</v>
      </c>
      <c r="B2394" s="6" t="s">
        <v>8187</v>
      </c>
      <c r="C2394" s="6" t="s">
        <v>31</v>
      </c>
      <c r="E2394" s="6" t="s">
        <v>8186</v>
      </c>
      <c r="F2394" s="6" t="s">
        <v>8185</v>
      </c>
      <c r="G2394" s="6" t="s">
        <v>16</v>
      </c>
      <c r="H2394" s="6" t="s">
        <v>28</v>
      </c>
      <c r="I2394" s="6" t="s">
        <v>46</v>
      </c>
      <c r="J2394" s="6" t="s">
        <v>904</v>
      </c>
      <c r="K2394" s="7">
        <v>32.868233590000003</v>
      </c>
      <c r="L2394" s="7">
        <v>-97.885718150000002</v>
      </c>
      <c r="M2394" s="6" t="s">
        <v>775</v>
      </c>
      <c r="N2394" s="6" t="s">
        <v>23</v>
      </c>
      <c r="O2394" s="6" t="s">
        <v>42</v>
      </c>
    </row>
    <row r="2395" spans="1:15" x14ac:dyDescent="0.25">
      <c r="A2395" s="6" t="s">
        <v>5213</v>
      </c>
      <c r="B2395" s="6" t="s">
        <v>5212</v>
      </c>
      <c r="C2395" s="6" t="s">
        <v>31</v>
      </c>
      <c r="E2395" s="6" t="s">
        <v>5211</v>
      </c>
      <c r="F2395" s="6" t="s">
        <v>5210</v>
      </c>
      <c r="G2395" s="6" t="s">
        <v>16</v>
      </c>
      <c r="H2395" s="6" t="s">
        <v>15</v>
      </c>
      <c r="I2395" s="6" t="s">
        <v>46</v>
      </c>
      <c r="J2395" s="6" t="s">
        <v>471</v>
      </c>
      <c r="K2395" s="7">
        <v>32.764329019999998</v>
      </c>
      <c r="L2395" s="7">
        <v>-96.94422127</v>
      </c>
      <c r="M2395" s="6" t="s">
        <v>5209</v>
      </c>
      <c r="N2395" s="6" t="s">
        <v>102</v>
      </c>
      <c r="O2395" s="6" t="s">
        <v>42</v>
      </c>
    </row>
    <row r="2396" spans="1:15" x14ac:dyDescent="0.25">
      <c r="A2396" s="6" t="s">
        <v>8223</v>
      </c>
      <c r="B2396" s="6" t="s">
        <v>8222</v>
      </c>
      <c r="C2396" s="6" t="s">
        <v>31</v>
      </c>
      <c r="E2396" s="6" t="s">
        <v>8221</v>
      </c>
      <c r="F2396" s="6" t="s">
        <v>8220</v>
      </c>
      <c r="G2396" s="6" t="s">
        <v>16</v>
      </c>
      <c r="H2396" s="6" t="s">
        <v>28</v>
      </c>
      <c r="I2396" s="6" t="s">
        <v>60</v>
      </c>
      <c r="J2396" s="6" t="s">
        <v>35</v>
      </c>
      <c r="K2396" s="7">
        <v>30.050277000000001</v>
      </c>
      <c r="L2396" s="7">
        <v>-95.470849999999999</v>
      </c>
      <c r="M2396" s="6" t="s">
        <v>279</v>
      </c>
      <c r="N2396" s="6" t="s">
        <v>24</v>
      </c>
      <c r="O2396" s="6" t="s">
        <v>23</v>
      </c>
    </row>
    <row r="2397" spans="1:15" x14ac:dyDescent="0.25">
      <c r="A2397" s="6" t="s">
        <v>8231</v>
      </c>
      <c r="B2397" s="6" t="s">
        <v>8230</v>
      </c>
      <c r="C2397" s="6" t="s">
        <v>31</v>
      </c>
      <c r="E2397" s="6" t="s">
        <v>8229</v>
      </c>
      <c r="F2397" s="6" t="s">
        <v>8228</v>
      </c>
      <c r="G2397" s="6" t="s">
        <v>16</v>
      </c>
      <c r="H2397" s="6" t="s">
        <v>28</v>
      </c>
      <c r="I2397" s="6" t="s">
        <v>60</v>
      </c>
      <c r="J2397" s="6" t="s">
        <v>385</v>
      </c>
      <c r="K2397" s="7">
        <v>29.873009</v>
      </c>
      <c r="L2397" s="7">
        <v>-94.125279000000006</v>
      </c>
      <c r="M2397" s="6" t="s">
        <v>384</v>
      </c>
      <c r="N2397" s="6" t="s">
        <v>383</v>
      </c>
      <c r="O2397" s="6" t="s">
        <v>24</v>
      </c>
    </row>
    <row r="2398" spans="1:15" x14ac:dyDescent="0.25">
      <c r="A2398" s="6" t="s">
        <v>2538</v>
      </c>
      <c r="B2398" s="6" t="s">
        <v>2537</v>
      </c>
      <c r="C2398" s="6" t="s">
        <v>31</v>
      </c>
      <c r="E2398" s="6" t="s">
        <v>2536</v>
      </c>
      <c r="F2398" s="6" t="s">
        <v>386</v>
      </c>
      <c r="G2398" s="6" t="s">
        <v>16</v>
      </c>
      <c r="H2398" s="6" t="s">
        <v>15</v>
      </c>
      <c r="I2398" s="6" t="s">
        <v>14</v>
      </c>
      <c r="J2398" s="6" t="s">
        <v>1861</v>
      </c>
      <c r="K2398" s="7">
        <v>30.547009389999999</v>
      </c>
      <c r="L2398" s="7">
        <v>-96.373393219999997</v>
      </c>
      <c r="M2398" s="6" t="s">
        <v>121</v>
      </c>
      <c r="N2398" s="6" t="s">
        <v>23</v>
      </c>
      <c r="O2398" s="6" t="s">
        <v>120</v>
      </c>
    </row>
    <row r="2399" spans="1:15" x14ac:dyDescent="0.25">
      <c r="A2399" s="6" t="s">
        <v>3880</v>
      </c>
      <c r="B2399" s="6" t="s">
        <v>3876</v>
      </c>
      <c r="C2399" s="6" t="s">
        <v>31</v>
      </c>
      <c r="E2399" s="6" t="s">
        <v>3875</v>
      </c>
      <c r="F2399" s="6" t="s">
        <v>3874</v>
      </c>
      <c r="G2399" s="6" t="s">
        <v>16</v>
      </c>
      <c r="H2399" s="6" t="s">
        <v>15</v>
      </c>
      <c r="I2399" s="6" t="s">
        <v>36</v>
      </c>
      <c r="J2399" s="6" t="s">
        <v>35</v>
      </c>
      <c r="K2399" s="7">
        <v>29.718914940000001</v>
      </c>
      <c r="L2399" s="7">
        <v>-95.17544796</v>
      </c>
      <c r="M2399" s="6" t="s">
        <v>866</v>
      </c>
      <c r="N2399" s="6" t="s">
        <v>24</v>
      </c>
      <c r="O2399" s="6" t="s">
        <v>23</v>
      </c>
    </row>
    <row r="2400" spans="1:15" x14ac:dyDescent="0.25">
      <c r="A2400" s="6" t="s">
        <v>3879</v>
      </c>
      <c r="B2400" s="6" t="s">
        <v>3876</v>
      </c>
      <c r="C2400" s="6" t="s">
        <v>19</v>
      </c>
      <c r="E2400" s="6" t="s">
        <v>3875</v>
      </c>
      <c r="F2400" s="6" t="s">
        <v>3874</v>
      </c>
      <c r="G2400" s="6" t="s">
        <v>16</v>
      </c>
      <c r="H2400" s="6" t="s">
        <v>15</v>
      </c>
      <c r="I2400" s="6" t="s">
        <v>36</v>
      </c>
      <c r="J2400" s="6" t="s">
        <v>35</v>
      </c>
      <c r="K2400" s="7">
        <v>29.719261230000001</v>
      </c>
      <c r="L2400" s="7">
        <v>-95.178802840000003</v>
      </c>
      <c r="M2400" s="6" t="s">
        <v>866</v>
      </c>
      <c r="N2400" s="6" t="s">
        <v>24</v>
      </c>
      <c r="O2400" s="6" t="s">
        <v>23</v>
      </c>
    </row>
    <row r="2401" spans="1:15" x14ac:dyDescent="0.25">
      <c r="A2401" s="6" t="s">
        <v>3878</v>
      </c>
      <c r="B2401" s="6" t="s">
        <v>3876</v>
      </c>
      <c r="C2401" s="6" t="s">
        <v>436</v>
      </c>
      <c r="E2401" s="6" t="s">
        <v>3875</v>
      </c>
      <c r="F2401" s="6" t="s">
        <v>3874</v>
      </c>
      <c r="G2401" s="6" t="s">
        <v>16</v>
      </c>
      <c r="H2401" s="6" t="s">
        <v>15</v>
      </c>
      <c r="I2401" s="6" t="s">
        <v>36</v>
      </c>
      <c r="J2401" s="6" t="s">
        <v>35</v>
      </c>
      <c r="K2401" s="7">
        <v>29.71925616</v>
      </c>
      <c r="L2401" s="7">
        <v>-95.178964100000002</v>
      </c>
      <c r="M2401" s="6" t="s">
        <v>866</v>
      </c>
      <c r="N2401" s="6" t="s">
        <v>24</v>
      </c>
      <c r="O2401" s="6" t="s">
        <v>23</v>
      </c>
    </row>
    <row r="2402" spans="1:15" x14ac:dyDescent="0.25">
      <c r="A2402" s="6" t="s">
        <v>3877</v>
      </c>
      <c r="B2402" s="6" t="s">
        <v>3876</v>
      </c>
      <c r="C2402" s="6" t="s">
        <v>597</v>
      </c>
      <c r="E2402" s="6" t="s">
        <v>3875</v>
      </c>
      <c r="F2402" s="6" t="s">
        <v>3874</v>
      </c>
      <c r="G2402" s="6" t="s">
        <v>16</v>
      </c>
      <c r="H2402" s="6" t="s">
        <v>15</v>
      </c>
      <c r="I2402" s="6" t="s">
        <v>36</v>
      </c>
      <c r="J2402" s="6" t="s">
        <v>35</v>
      </c>
      <c r="K2402" s="7">
        <v>29.718022529999999</v>
      </c>
      <c r="L2402" s="7">
        <v>-95.178878859999998</v>
      </c>
      <c r="M2402" s="6" t="s">
        <v>866</v>
      </c>
      <c r="N2402" s="6" t="s">
        <v>24</v>
      </c>
      <c r="O2402" s="6" t="s">
        <v>23</v>
      </c>
    </row>
    <row r="2403" spans="1:15" x14ac:dyDescent="0.25">
      <c r="A2403" s="6" t="s">
        <v>6461</v>
      </c>
      <c r="B2403" s="6" t="s">
        <v>6460</v>
      </c>
      <c r="C2403" s="6" t="s">
        <v>31</v>
      </c>
      <c r="E2403" s="6" t="s">
        <v>6459</v>
      </c>
      <c r="F2403" s="6" t="s">
        <v>6458</v>
      </c>
      <c r="G2403" s="6" t="s">
        <v>16</v>
      </c>
      <c r="H2403" s="6" t="s">
        <v>15</v>
      </c>
      <c r="I2403" s="6" t="s">
        <v>14</v>
      </c>
      <c r="J2403" s="6" t="s">
        <v>215</v>
      </c>
      <c r="K2403" s="7">
        <v>29.424010119999998</v>
      </c>
      <c r="L2403" s="7">
        <v>-95.016606539999998</v>
      </c>
      <c r="M2403" s="6" t="s">
        <v>3066</v>
      </c>
      <c r="N2403" s="6" t="s">
        <v>160</v>
      </c>
      <c r="O2403" s="6" t="s">
        <v>23</v>
      </c>
    </row>
    <row r="2404" spans="1:15" x14ac:dyDescent="0.25">
      <c r="A2404" s="6" t="s">
        <v>5204</v>
      </c>
      <c r="B2404" s="6" t="s">
        <v>5201</v>
      </c>
      <c r="C2404" s="6" t="s">
        <v>31</v>
      </c>
      <c r="E2404" s="6" t="s">
        <v>5200</v>
      </c>
      <c r="F2404" s="6" t="s">
        <v>5199</v>
      </c>
      <c r="G2404" s="6" t="s">
        <v>16</v>
      </c>
      <c r="H2404" s="6" t="s">
        <v>15</v>
      </c>
      <c r="I2404" s="6" t="s">
        <v>14</v>
      </c>
      <c r="J2404" s="6" t="s">
        <v>4135</v>
      </c>
      <c r="K2404" s="7">
        <v>28.803797830000001</v>
      </c>
      <c r="L2404" s="7">
        <v>-96.575498550000006</v>
      </c>
      <c r="M2404" s="6" t="s">
        <v>5203</v>
      </c>
      <c r="N2404" s="6" t="s">
        <v>510</v>
      </c>
      <c r="O2404" s="6" t="s">
        <v>10</v>
      </c>
    </row>
    <row r="2405" spans="1:15" x14ac:dyDescent="0.25">
      <c r="A2405" s="6" t="s">
        <v>5202</v>
      </c>
      <c r="B2405" s="6" t="s">
        <v>5201</v>
      </c>
      <c r="C2405" s="6" t="s">
        <v>19</v>
      </c>
      <c r="E2405" s="6" t="s">
        <v>5200</v>
      </c>
      <c r="F2405" s="6" t="s">
        <v>5199</v>
      </c>
      <c r="G2405" s="6" t="s">
        <v>16</v>
      </c>
      <c r="H2405" s="6" t="s">
        <v>430</v>
      </c>
      <c r="I2405" s="6" t="s">
        <v>14</v>
      </c>
      <c r="J2405" s="6" t="s">
        <v>4135</v>
      </c>
      <c r="K2405" s="7">
        <v>28.78955702</v>
      </c>
      <c r="L2405" s="7">
        <v>-96.539072239999996</v>
      </c>
      <c r="M2405" s="6" t="s">
        <v>1087</v>
      </c>
      <c r="N2405" s="6" t="s">
        <v>22</v>
      </c>
      <c r="O2405" s="6" t="s">
        <v>10</v>
      </c>
    </row>
    <row r="2406" spans="1:15" x14ac:dyDescent="0.25">
      <c r="A2406" s="6" t="s">
        <v>6462</v>
      </c>
      <c r="B2406" s="6" t="s">
        <v>5201</v>
      </c>
      <c r="C2406" s="6" t="s">
        <v>436</v>
      </c>
      <c r="E2406" s="6" t="s">
        <v>5200</v>
      </c>
      <c r="F2406" s="6" t="s">
        <v>5199</v>
      </c>
      <c r="G2406" s="6" t="s">
        <v>16</v>
      </c>
      <c r="H2406" s="6" t="s">
        <v>430</v>
      </c>
      <c r="I2406" s="6" t="s">
        <v>14</v>
      </c>
      <c r="J2406" s="6" t="s">
        <v>4135</v>
      </c>
      <c r="K2406" s="7">
        <v>28.80007333</v>
      </c>
      <c r="L2406" s="7">
        <v>-96.543468450000006</v>
      </c>
      <c r="M2406" s="6" t="s">
        <v>1087</v>
      </c>
      <c r="N2406" s="6" t="s">
        <v>22</v>
      </c>
      <c r="O2406" s="6" t="s">
        <v>10</v>
      </c>
    </row>
    <row r="2407" spans="1:15" x14ac:dyDescent="0.25">
      <c r="A2407" s="6" t="s">
        <v>9028</v>
      </c>
      <c r="B2407" s="6" t="s">
        <v>9027</v>
      </c>
      <c r="C2407" s="6" t="s">
        <v>31</v>
      </c>
      <c r="E2407" s="6" t="s">
        <v>9026</v>
      </c>
      <c r="F2407" s="6" t="s">
        <v>4160</v>
      </c>
      <c r="G2407" s="6" t="s">
        <v>16</v>
      </c>
      <c r="H2407" s="6" t="s">
        <v>28</v>
      </c>
      <c r="I2407" s="6" t="s">
        <v>73</v>
      </c>
      <c r="J2407" s="6" t="s">
        <v>957</v>
      </c>
      <c r="K2407" s="7">
        <v>33.289552999999998</v>
      </c>
      <c r="L2407" s="7">
        <v>-95.667028000000002</v>
      </c>
      <c r="M2407" s="6" t="s">
        <v>4482</v>
      </c>
      <c r="N2407" s="6" t="s">
        <v>95</v>
      </c>
      <c r="O2407" s="6" t="s">
        <v>65</v>
      </c>
    </row>
    <row r="2408" spans="1:15" x14ac:dyDescent="0.25">
      <c r="A2408" s="6" t="s">
        <v>6453</v>
      </c>
      <c r="B2408" s="6" t="s">
        <v>3162</v>
      </c>
      <c r="C2408" s="6" t="s">
        <v>31</v>
      </c>
      <c r="E2408" s="6" t="s">
        <v>3161</v>
      </c>
      <c r="F2408" s="6" t="s">
        <v>3160</v>
      </c>
      <c r="G2408" s="6" t="s">
        <v>16</v>
      </c>
      <c r="H2408" s="6" t="s">
        <v>591</v>
      </c>
      <c r="I2408" s="6" t="s">
        <v>46</v>
      </c>
      <c r="J2408" s="6" t="s">
        <v>2891</v>
      </c>
      <c r="K2408" s="7">
        <v>28.812921070000002</v>
      </c>
      <c r="L2408" s="7">
        <v>-100.43939702999999</v>
      </c>
      <c r="M2408" s="6" t="s">
        <v>511</v>
      </c>
      <c r="N2408" s="6" t="s">
        <v>373</v>
      </c>
      <c r="O2408" s="6" t="s">
        <v>510</v>
      </c>
    </row>
    <row r="2409" spans="1:15" x14ac:dyDescent="0.25">
      <c r="A2409" s="6" t="s">
        <v>3163</v>
      </c>
      <c r="B2409" s="6" t="s">
        <v>3162</v>
      </c>
      <c r="C2409" s="6" t="s">
        <v>2869</v>
      </c>
      <c r="E2409" s="6" t="s">
        <v>3161</v>
      </c>
      <c r="F2409" s="6" t="s">
        <v>3160</v>
      </c>
      <c r="G2409" s="6" t="s">
        <v>16</v>
      </c>
      <c r="H2409" s="6" t="s">
        <v>15</v>
      </c>
      <c r="I2409" s="6" t="s">
        <v>46</v>
      </c>
      <c r="J2409" s="6" t="s">
        <v>2891</v>
      </c>
      <c r="K2409" s="7">
        <v>28.819722599999999</v>
      </c>
      <c r="L2409" s="7">
        <v>-100.45916645</v>
      </c>
      <c r="M2409" s="6" t="s">
        <v>511</v>
      </c>
      <c r="N2409" s="6" t="s">
        <v>373</v>
      </c>
      <c r="O2409" s="6" t="s">
        <v>510</v>
      </c>
    </row>
    <row r="2410" spans="1:15" x14ac:dyDescent="0.25">
      <c r="A2410" s="6" t="s">
        <v>9014</v>
      </c>
      <c r="B2410" s="6" t="s">
        <v>9013</v>
      </c>
      <c r="C2410" s="6" t="s">
        <v>31</v>
      </c>
      <c r="E2410" s="6" t="s">
        <v>9012</v>
      </c>
      <c r="F2410" s="6" t="s">
        <v>9011</v>
      </c>
      <c r="G2410" s="6" t="s">
        <v>16</v>
      </c>
      <c r="H2410" s="6" t="s">
        <v>28</v>
      </c>
      <c r="I2410" s="6" t="s">
        <v>60</v>
      </c>
      <c r="J2410" s="6" t="s">
        <v>35</v>
      </c>
      <c r="K2410" s="7">
        <v>29.925820999999999</v>
      </c>
      <c r="L2410" s="7">
        <v>-95.539900000000003</v>
      </c>
      <c r="M2410" s="6" t="s">
        <v>77</v>
      </c>
      <c r="N2410" s="6" t="s">
        <v>24</v>
      </c>
      <c r="O2410" s="6" t="s">
        <v>23</v>
      </c>
    </row>
    <row r="2411" spans="1:15" x14ac:dyDescent="0.25">
      <c r="A2411" s="6" t="s">
        <v>8215</v>
      </c>
      <c r="B2411" s="6" t="s">
        <v>8214</v>
      </c>
      <c r="C2411" s="6" t="s">
        <v>31</v>
      </c>
      <c r="E2411" s="6" t="s">
        <v>8213</v>
      </c>
      <c r="F2411" s="6" t="s">
        <v>8212</v>
      </c>
      <c r="G2411" s="6" t="s">
        <v>16</v>
      </c>
      <c r="H2411" s="6" t="s">
        <v>28</v>
      </c>
      <c r="I2411" s="6" t="s">
        <v>350</v>
      </c>
      <c r="J2411" s="6" t="s">
        <v>26</v>
      </c>
      <c r="K2411" s="7">
        <v>30.441576999999999</v>
      </c>
      <c r="L2411" s="7">
        <v>-95.612927999999997</v>
      </c>
      <c r="M2411" s="6" t="s">
        <v>340</v>
      </c>
      <c r="N2411" s="6" t="s">
        <v>24</v>
      </c>
      <c r="O2411" s="6" t="s">
        <v>23</v>
      </c>
    </row>
    <row r="2412" spans="1:15" x14ac:dyDescent="0.25">
      <c r="A2412" s="6" t="s">
        <v>1483</v>
      </c>
      <c r="B2412" s="6" t="s">
        <v>1482</v>
      </c>
      <c r="C2412" s="6" t="s">
        <v>31</v>
      </c>
      <c r="E2412" s="6" t="s">
        <v>1481</v>
      </c>
      <c r="F2412" s="6" t="s">
        <v>1135</v>
      </c>
      <c r="G2412" s="6" t="s">
        <v>16</v>
      </c>
      <c r="H2412" s="6" t="s">
        <v>15</v>
      </c>
      <c r="I2412" s="6" t="s">
        <v>14</v>
      </c>
      <c r="J2412" s="6" t="s">
        <v>409</v>
      </c>
      <c r="K2412" s="7">
        <v>30.294168370000001</v>
      </c>
      <c r="L2412" s="7">
        <v>-97.784735879999999</v>
      </c>
      <c r="M2412" s="6" t="s">
        <v>1480</v>
      </c>
      <c r="N2412" s="6" t="s">
        <v>10</v>
      </c>
      <c r="O2412" s="6" t="s">
        <v>160</v>
      </c>
    </row>
    <row r="2413" spans="1:15" x14ac:dyDescent="0.25">
      <c r="A2413" s="6" t="s">
        <v>8978</v>
      </c>
      <c r="B2413" s="6" t="s">
        <v>8977</v>
      </c>
      <c r="C2413" s="6" t="s">
        <v>31</v>
      </c>
      <c r="E2413" s="6" t="s">
        <v>8976</v>
      </c>
      <c r="F2413" s="6" t="s">
        <v>8975</v>
      </c>
      <c r="G2413" s="6" t="s">
        <v>16</v>
      </c>
      <c r="H2413" s="6" t="s">
        <v>28</v>
      </c>
      <c r="I2413" s="6" t="s">
        <v>60</v>
      </c>
      <c r="J2413" s="6" t="s">
        <v>26</v>
      </c>
      <c r="K2413" s="7">
        <v>30.151060999999999</v>
      </c>
      <c r="L2413" s="7">
        <v>-95.665333000000004</v>
      </c>
      <c r="M2413" s="6" t="s">
        <v>731</v>
      </c>
      <c r="N2413" s="6" t="s">
        <v>24</v>
      </c>
      <c r="O2413" s="6" t="s">
        <v>23</v>
      </c>
    </row>
    <row r="2414" spans="1:15" x14ac:dyDescent="0.25">
      <c r="A2414" s="6" t="s">
        <v>8991</v>
      </c>
      <c r="B2414" s="6" t="s">
        <v>8990</v>
      </c>
      <c r="C2414" s="6" t="s">
        <v>31</v>
      </c>
      <c r="E2414" s="6" t="s">
        <v>8989</v>
      </c>
      <c r="F2414" s="6" t="s">
        <v>8988</v>
      </c>
      <c r="G2414" s="6" t="s">
        <v>16</v>
      </c>
      <c r="H2414" s="6" t="s">
        <v>28</v>
      </c>
      <c r="I2414" s="6" t="s">
        <v>60</v>
      </c>
      <c r="J2414" s="6" t="s">
        <v>162</v>
      </c>
      <c r="K2414" s="7">
        <v>29.469079959999998</v>
      </c>
      <c r="L2414" s="7">
        <v>-95.270111360000001</v>
      </c>
      <c r="M2414" s="6" t="s">
        <v>3768</v>
      </c>
      <c r="N2414" s="6" t="s">
        <v>160</v>
      </c>
      <c r="O2414" s="6" t="s">
        <v>23</v>
      </c>
    </row>
    <row r="2415" spans="1:15" x14ac:dyDescent="0.25">
      <c r="A2415" s="6" t="s">
        <v>8203</v>
      </c>
      <c r="B2415" s="6" t="s">
        <v>8202</v>
      </c>
      <c r="C2415" s="6" t="s">
        <v>31</v>
      </c>
      <c r="E2415" s="6" t="s">
        <v>8201</v>
      </c>
      <c r="F2415" s="6" t="s">
        <v>8200</v>
      </c>
      <c r="G2415" s="6" t="s">
        <v>16</v>
      </c>
      <c r="H2415" s="6" t="s">
        <v>28</v>
      </c>
      <c r="I2415" s="6" t="s">
        <v>27</v>
      </c>
      <c r="J2415" s="6" t="s">
        <v>1275</v>
      </c>
      <c r="K2415" s="7">
        <v>31.668293999999999</v>
      </c>
      <c r="L2415" s="7">
        <v>-96.203580000000002</v>
      </c>
      <c r="M2415" s="6" t="s">
        <v>1031</v>
      </c>
      <c r="N2415" s="6" t="s">
        <v>102</v>
      </c>
      <c r="O2415" s="6" t="s">
        <v>120</v>
      </c>
    </row>
    <row r="2416" spans="1:15" x14ac:dyDescent="0.25">
      <c r="A2416" s="6" t="s">
        <v>1444</v>
      </c>
      <c r="B2416" s="6" t="s">
        <v>1441</v>
      </c>
      <c r="C2416" s="6" t="s">
        <v>31</v>
      </c>
      <c r="E2416" s="6" t="s">
        <v>1440</v>
      </c>
      <c r="F2416" s="6" t="s">
        <v>1439</v>
      </c>
      <c r="G2416" s="6" t="s">
        <v>16</v>
      </c>
      <c r="H2416" s="6" t="s">
        <v>430</v>
      </c>
      <c r="I2416" s="6" t="s">
        <v>14</v>
      </c>
      <c r="J2416" s="6" t="s">
        <v>13</v>
      </c>
      <c r="K2416" s="7">
        <v>27.81083392</v>
      </c>
      <c r="L2416" s="7">
        <v>-97.410556110000002</v>
      </c>
      <c r="M2416" s="6" t="s">
        <v>12</v>
      </c>
      <c r="N2416" s="6" t="s">
        <v>11</v>
      </c>
      <c r="O2416" s="6" t="s">
        <v>10</v>
      </c>
    </row>
    <row r="2417" spans="1:15" x14ac:dyDescent="0.25">
      <c r="A2417" s="6" t="s">
        <v>1443</v>
      </c>
      <c r="B2417" s="6" t="s">
        <v>1441</v>
      </c>
      <c r="C2417" s="6" t="s">
        <v>19</v>
      </c>
      <c r="E2417" s="6" t="s">
        <v>1440</v>
      </c>
      <c r="F2417" s="6" t="s">
        <v>1439</v>
      </c>
      <c r="G2417" s="6" t="s">
        <v>16</v>
      </c>
      <c r="H2417" s="6" t="s">
        <v>430</v>
      </c>
      <c r="I2417" s="6" t="s">
        <v>14</v>
      </c>
      <c r="J2417" s="6" t="s">
        <v>13</v>
      </c>
      <c r="K2417" s="7">
        <v>27.81027795</v>
      </c>
      <c r="L2417" s="7">
        <v>-97.408056139999999</v>
      </c>
      <c r="M2417" s="6" t="s">
        <v>12</v>
      </c>
      <c r="N2417" s="6" t="s">
        <v>11</v>
      </c>
      <c r="O2417" s="6" t="s">
        <v>10</v>
      </c>
    </row>
    <row r="2418" spans="1:15" x14ac:dyDescent="0.25">
      <c r="A2418" s="6" t="s">
        <v>1442</v>
      </c>
      <c r="B2418" s="6" t="s">
        <v>1441</v>
      </c>
      <c r="C2418" s="6" t="s">
        <v>436</v>
      </c>
      <c r="E2418" s="6" t="s">
        <v>1440</v>
      </c>
      <c r="F2418" s="6" t="s">
        <v>1439</v>
      </c>
      <c r="G2418" s="6" t="s">
        <v>16</v>
      </c>
      <c r="H2418" s="6" t="s">
        <v>430</v>
      </c>
      <c r="I2418" s="6" t="s">
        <v>14</v>
      </c>
      <c r="J2418" s="6" t="s">
        <v>13</v>
      </c>
      <c r="K2418" s="7">
        <v>27.80944414</v>
      </c>
      <c r="L2418" s="7">
        <v>-97.406944139999993</v>
      </c>
      <c r="M2418" s="6" t="s">
        <v>12</v>
      </c>
      <c r="N2418" s="6" t="s">
        <v>11</v>
      </c>
      <c r="O2418" s="6" t="s">
        <v>10</v>
      </c>
    </row>
    <row r="2419" spans="1:15" x14ac:dyDescent="0.25">
      <c r="A2419" s="6" t="s">
        <v>8959</v>
      </c>
      <c r="B2419" s="6" t="s">
        <v>8958</v>
      </c>
      <c r="C2419" s="6" t="s">
        <v>31</v>
      </c>
      <c r="E2419" s="6" t="s">
        <v>8957</v>
      </c>
      <c r="F2419" s="6" t="s">
        <v>8956</v>
      </c>
      <c r="G2419" s="6" t="s">
        <v>16</v>
      </c>
      <c r="H2419" s="6" t="s">
        <v>28</v>
      </c>
      <c r="I2419" s="6" t="s">
        <v>73</v>
      </c>
      <c r="J2419" s="6" t="s">
        <v>139</v>
      </c>
      <c r="K2419" s="7">
        <v>27.96947836</v>
      </c>
      <c r="L2419" s="7">
        <v>-97.677658589999993</v>
      </c>
      <c r="M2419" s="6" t="s">
        <v>8126</v>
      </c>
      <c r="N2419" s="6" t="s">
        <v>524</v>
      </c>
      <c r="O2419" s="6" t="s">
        <v>10</v>
      </c>
    </row>
    <row r="2420" spans="1:15" x14ac:dyDescent="0.25">
      <c r="A2420" s="6" t="s">
        <v>8966</v>
      </c>
      <c r="B2420" s="6" t="s">
        <v>8965</v>
      </c>
      <c r="C2420" s="6" t="s">
        <v>31</v>
      </c>
      <c r="E2420" s="6" t="s">
        <v>8964</v>
      </c>
      <c r="F2420" s="6" t="s">
        <v>8963</v>
      </c>
      <c r="G2420" s="6" t="s">
        <v>16</v>
      </c>
      <c r="H2420" s="6" t="s">
        <v>28</v>
      </c>
      <c r="I2420" s="6" t="s">
        <v>27</v>
      </c>
      <c r="J2420" s="6" t="s">
        <v>139</v>
      </c>
      <c r="K2420" s="7">
        <v>28.066271</v>
      </c>
      <c r="L2420" s="7">
        <v>-97.530839</v>
      </c>
      <c r="M2420" s="6" t="s">
        <v>4382</v>
      </c>
      <c r="N2420" s="6" t="s">
        <v>137</v>
      </c>
      <c r="O2420" s="6" t="s">
        <v>10</v>
      </c>
    </row>
    <row r="2421" spans="1:15" x14ac:dyDescent="0.25">
      <c r="A2421" s="6" t="s">
        <v>8936</v>
      </c>
      <c r="B2421" s="6" t="s">
        <v>8935</v>
      </c>
      <c r="C2421" s="6" t="s">
        <v>31</v>
      </c>
      <c r="E2421" s="6" t="s">
        <v>8934</v>
      </c>
      <c r="F2421" s="6" t="s">
        <v>8933</v>
      </c>
      <c r="G2421" s="6" t="s">
        <v>16</v>
      </c>
      <c r="H2421" s="6" t="s">
        <v>28</v>
      </c>
      <c r="I2421" s="6" t="s">
        <v>73</v>
      </c>
      <c r="J2421" s="6" t="s">
        <v>110</v>
      </c>
      <c r="K2421" s="7">
        <v>32.894485000000003</v>
      </c>
      <c r="L2421" s="7">
        <v>-95.665177</v>
      </c>
      <c r="M2421" s="6" t="s">
        <v>956</v>
      </c>
      <c r="N2421" s="6" t="s">
        <v>65</v>
      </c>
      <c r="O2421" s="6" t="s">
        <v>65</v>
      </c>
    </row>
    <row r="2422" spans="1:15" x14ac:dyDescent="0.25">
      <c r="A2422" s="6" t="s">
        <v>8943</v>
      </c>
      <c r="B2422" s="6" t="s">
        <v>8942</v>
      </c>
      <c r="C2422" s="6" t="s">
        <v>31</v>
      </c>
      <c r="E2422" s="6" t="s">
        <v>8941</v>
      </c>
      <c r="F2422" s="6" t="s">
        <v>4372</v>
      </c>
      <c r="G2422" s="6" t="s">
        <v>16</v>
      </c>
      <c r="H2422" s="6" t="s">
        <v>28</v>
      </c>
      <c r="I2422" s="6" t="s">
        <v>36</v>
      </c>
      <c r="J2422" s="6" t="s">
        <v>26</v>
      </c>
      <c r="K2422" s="7">
        <v>30.140105179999999</v>
      </c>
      <c r="L2422" s="7">
        <v>-95.75300154</v>
      </c>
      <c r="M2422" s="6" t="s">
        <v>731</v>
      </c>
      <c r="N2422" s="6" t="s">
        <v>24</v>
      </c>
      <c r="O2422" s="6" t="s">
        <v>23</v>
      </c>
    </row>
    <row r="2423" spans="1:15" x14ac:dyDescent="0.25">
      <c r="A2423" s="6" t="s">
        <v>360</v>
      </c>
      <c r="B2423" s="6" t="s">
        <v>359</v>
      </c>
      <c r="C2423" s="6" t="s">
        <v>31</v>
      </c>
      <c r="E2423" s="6" t="s">
        <v>358</v>
      </c>
      <c r="F2423" s="6" t="s">
        <v>357</v>
      </c>
      <c r="G2423" s="6" t="s">
        <v>16</v>
      </c>
      <c r="H2423" s="6" t="s">
        <v>15</v>
      </c>
      <c r="I2423" s="6" t="s">
        <v>14</v>
      </c>
      <c r="J2423" s="6" t="s">
        <v>356</v>
      </c>
      <c r="K2423" s="7">
        <v>30.0998868</v>
      </c>
      <c r="L2423" s="7">
        <v>-95.99522297</v>
      </c>
      <c r="M2423" s="6" t="s">
        <v>355</v>
      </c>
      <c r="N2423" s="6" t="s">
        <v>23</v>
      </c>
      <c r="O2423" s="6" t="s">
        <v>23</v>
      </c>
    </row>
    <row r="2424" spans="1:15" x14ac:dyDescent="0.25">
      <c r="A2424" s="6" t="s">
        <v>12407</v>
      </c>
      <c r="B2424" s="6" t="s">
        <v>12406</v>
      </c>
      <c r="C2424" s="6" t="s">
        <v>31</v>
      </c>
      <c r="E2424" s="6" t="s">
        <v>12405</v>
      </c>
      <c r="F2424" s="6" t="s">
        <v>12404</v>
      </c>
      <c r="G2424" s="6" t="s">
        <v>16</v>
      </c>
      <c r="H2424" s="6" t="s">
        <v>15</v>
      </c>
      <c r="I2424" s="6" t="s">
        <v>46</v>
      </c>
      <c r="J2424" s="6" t="s">
        <v>4338</v>
      </c>
      <c r="K2424" s="7">
        <v>33.532883320000003</v>
      </c>
      <c r="L2424" s="7">
        <v>-97.851709009999993</v>
      </c>
      <c r="M2424" s="6" t="s">
        <v>150</v>
      </c>
      <c r="N2424" s="6" t="s">
        <v>102</v>
      </c>
      <c r="O2424" s="6" t="s">
        <v>95</v>
      </c>
    </row>
    <row r="2425" spans="1:15" x14ac:dyDescent="0.25">
      <c r="A2425" s="6" t="s">
        <v>8184</v>
      </c>
      <c r="B2425" s="6" t="s">
        <v>8183</v>
      </c>
      <c r="C2425" s="6" t="s">
        <v>31</v>
      </c>
      <c r="E2425" s="6" t="s">
        <v>8182</v>
      </c>
      <c r="F2425" s="6" t="s">
        <v>8181</v>
      </c>
      <c r="G2425" s="6" t="s">
        <v>16</v>
      </c>
      <c r="H2425" s="6" t="s">
        <v>28</v>
      </c>
      <c r="I2425" s="6" t="s">
        <v>46</v>
      </c>
      <c r="J2425" s="6" t="s">
        <v>312</v>
      </c>
      <c r="K2425" s="7">
        <v>32.533335999999998</v>
      </c>
      <c r="L2425" s="7">
        <v>-98.041026000000002</v>
      </c>
      <c r="M2425" s="6" t="s">
        <v>775</v>
      </c>
      <c r="N2425" s="6" t="s">
        <v>23</v>
      </c>
      <c r="O2425" s="6" t="s">
        <v>42</v>
      </c>
    </row>
    <row r="2426" spans="1:15" x14ac:dyDescent="0.25">
      <c r="A2426" s="6" t="s">
        <v>5283</v>
      </c>
      <c r="B2426" s="6" t="s">
        <v>5282</v>
      </c>
      <c r="C2426" s="6" t="s">
        <v>31</v>
      </c>
      <c r="E2426" s="6" t="s">
        <v>5281</v>
      </c>
      <c r="F2426" s="6" t="s">
        <v>5280</v>
      </c>
      <c r="G2426" s="6" t="s">
        <v>16</v>
      </c>
      <c r="H2426" s="6" t="s">
        <v>28</v>
      </c>
      <c r="I2426" s="6" t="s">
        <v>27</v>
      </c>
      <c r="J2426" s="6" t="s">
        <v>5279</v>
      </c>
      <c r="K2426" s="7">
        <v>32.483651000000002</v>
      </c>
      <c r="L2426" s="7">
        <v>-100.000103</v>
      </c>
      <c r="M2426" s="6" t="s">
        <v>5278</v>
      </c>
      <c r="N2426" s="6" t="s">
        <v>23</v>
      </c>
      <c r="O2426" s="6" t="s">
        <v>95</v>
      </c>
    </row>
    <row r="2427" spans="1:15" x14ac:dyDescent="0.25">
      <c r="A2427" s="6" t="s">
        <v>1248</v>
      </c>
      <c r="B2427" s="6" t="s">
        <v>1247</v>
      </c>
      <c r="C2427" s="6" t="s">
        <v>31</v>
      </c>
      <c r="E2427" s="6" t="s">
        <v>1246</v>
      </c>
      <c r="F2427" s="6" t="s">
        <v>1245</v>
      </c>
      <c r="G2427" s="6" t="s">
        <v>16</v>
      </c>
      <c r="H2427" s="6" t="s">
        <v>15</v>
      </c>
      <c r="I2427" s="6" t="s">
        <v>14</v>
      </c>
      <c r="J2427" s="6" t="s">
        <v>35</v>
      </c>
      <c r="K2427" s="7">
        <v>29.62871183</v>
      </c>
      <c r="L2427" s="7">
        <v>-95.03464031</v>
      </c>
      <c r="M2427" s="6" t="s">
        <v>804</v>
      </c>
      <c r="N2427" s="6" t="s">
        <v>160</v>
      </c>
      <c r="O2427" s="6" t="s">
        <v>23</v>
      </c>
    </row>
    <row r="2428" spans="1:15" x14ac:dyDescent="0.25">
      <c r="A2428" s="6" t="s">
        <v>1657</v>
      </c>
      <c r="B2428" s="6" t="s">
        <v>1656</v>
      </c>
      <c r="C2428" s="6" t="s">
        <v>31</v>
      </c>
      <c r="E2428" s="6" t="s">
        <v>1655</v>
      </c>
      <c r="F2428" s="6" t="s">
        <v>1654</v>
      </c>
      <c r="G2428" s="6" t="s">
        <v>16</v>
      </c>
      <c r="H2428" s="6" t="s">
        <v>28</v>
      </c>
      <c r="I2428" s="6" t="s">
        <v>73</v>
      </c>
      <c r="J2428" s="6" t="s">
        <v>781</v>
      </c>
      <c r="K2428" s="7">
        <v>32.501703999999997</v>
      </c>
      <c r="L2428" s="7">
        <v>-94.639831000000001</v>
      </c>
      <c r="M2428" s="6" t="s">
        <v>1218</v>
      </c>
      <c r="N2428" s="6" t="s">
        <v>65</v>
      </c>
      <c r="O2428" s="6" t="s">
        <v>65</v>
      </c>
    </row>
    <row r="2429" spans="1:15" x14ac:dyDescent="0.25">
      <c r="A2429" s="6" t="s">
        <v>8219</v>
      </c>
      <c r="B2429" s="6" t="s">
        <v>8218</v>
      </c>
      <c r="C2429" s="6" t="s">
        <v>31</v>
      </c>
      <c r="E2429" s="6" t="s">
        <v>8217</v>
      </c>
      <c r="F2429" s="6" t="s">
        <v>8216</v>
      </c>
      <c r="G2429" s="6" t="s">
        <v>16</v>
      </c>
      <c r="H2429" s="6" t="s">
        <v>28</v>
      </c>
      <c r="I2429" s="6" t="s">
        <v>27</v>
      </c>
      <c r="J2429" s="6" t="s">
        <v>1249</v>
      </c>
      <c r="K2429" s="7">
        <v>31.924201</v>
      </c>
      <c r="L2429" s="7">
        <v>-95.925272000000007</v>
      </c>
      <c r="M2429" s="6" t="s">
        <v>1031</v>
      </c>
      <c r="N2429" s="6" t="s">
        <v>102</v>
      </c>
      <c r="O2429" s="6" t="s">
        <v>65</v>
      </c>
    </row>
    <row r="2430" spans="1:15" x14ac:dyDescent="0.25">
      <c r="A2430" s="6" t="s">
        <v>2670</v>
      </c>
      <c r="B2430" s="6" t="s">
        <v>2669</v>
      </c>
      <c r="C2430" s="6" t="s">
        <v>31</v>
      </c>
      <c r="E2430" s="6" t="s">
        <v>2668</v>
      </c>
      <c r="F2430" s="6" t="s">
        <v>2667</v>
      </c>
      <c r="G2430" s="6" t="s">
        <v>16</v>
      </c>
      <c r="H2430" s="6" t="s">
        <v>28</v>
      </c>
      <c r="I2430" s="6" t="s">
        <v>60</v>
      </c>
      <c r="J2430" s="6" t="s">
        <v>385</v>
      </c>
      <c r="K2430" s="7">
        <v>29.99177027</v>
      </c>
      <c r="L2430" s="7">
        <v>-94.02420755</v>
      </c>
      <c r="M2430" s="6" t="s">
        <v>384</v>
      </c>
      <c r="N2430" s="6" t="s">
        <v>383</v>
      </c>
      <c r="O2430" s="6" t="s">
        <v>24</v>
      </c>
    </row>
    <row r="2431" spans="1:15" x14ac:dyDescent="0.25">
      <c r="A2431" s="6" t="s">
        <v>1253</v>
      </c>
      <c r="B2431" s="6" t="s">
        <v>1252</v>
      </c>
      <c r="C2431" s="6" t="s">
        <v>31</v>
      </c>
      <c r="E2431" s="6" t="s">
        <v>1251</v>
      </c>
      <c r="F2431" s="6" t="s">
        <v>1250</v>
      </c>
      <c r="G2431" s="6" t="s">
        <v>16</v>
      </c>
      <c r="H2431" s="6" t="s">
        <v>15</v>
      </c>
      <c r="I2431" s="6" t="s">
        <v>36</v>
      </c>
      <c r="J2431" s="6" t="s">
        <v>1249</v>
      </c>
      <c r="K2431" s="7">
        <v>31.702212979999999</v>
      </c>
      <c r="L2431" s="7">
        <v>-95.728770780000005</v>
      </c>
      <c r="M2431" s="6" t="s">
        <v>1031</v>
      </c>
      <c r="N2431" s="6" t="s">
        <v>102</v>
      </c>
      <c r="O2431" s="6" t="s">
        <v>65</v>
      </c>
    </row>
    <row r="2432" spans="1:15" x14ac:dyDescent="0.25">
      <c r="A2432" s="6" t="s">
        <v>4790</v>
      </c>
      <c r="B2432" s="6" t="s">
        <v>4789</v>
      </c>
      <c r="C2432" s="6" t="s">
        <v>31</v>
      </c>
      <c r="E2432" s="6" t="s">
        <v>4788</v>
      </c>
      <c r="F2432" s="6" t="s">
        <v>4787</v>
      </c>
      <c r="G2432" s="6" t="s">
        <v>16</v>
      </c>
      <c r="H2432" s="6" t="s">
        <v>28</v>
      </c>
      <c r="I2432" s="6" t="s">
        <v>1200</v>
      </c>
      <c r="J2432" s="6" t="s">
        <v>35</v>
      </c>
      <c r="K2432" s="7">
        <v>29.935054999999998</v>
      </c>
      <c r="L2432" s="7">
        <v>-95.458545999999998</v>
      </c>
      <c r="M2432" s="6" t="s">
        <v>198</v>
      </c>
      <c r="N2432" s="6" t="s">
        <v>24</v>
      </c>
      <c r="O2432" s="6" t="s">
        <v>23</v>
      </c>
    </row>
    <row r="2433" spans="1:15" x14ac:dyDescent="0.25">
      <c r="A2433" s="6" t="s">
        <v>6891</v>
      </c>
      <c r="B2433" s="6" t="s">
        <v>6890</v>
      </c>
      <c r="C2433" s="6" t="s">
        <v>31</v>
      </c>
      <c r="E2433" s="6" t="s">
        <v>6889</v>
      </c>
      <c r="F2433" s="6" t="s">
        <v>6882</v>
      </c>
      <c r="G2433" s="6" t="s">
        <v>16</v>
      </c>
      <c r="H2433" s="6" t="s">
        <v>15</v>
      </c>
      <c r="I2433" s="6" t="s">
        <v>14</v>
      </c>
      <c r="J2433" s="6" t="s">
        <v>2273</v>
      </c>
      <c r="K2433" s="7">
        <v>31.443582880000001</v>
      </c>
      <c r="L2433" s="7">
        <v>-97.748200659999995</v>
      </c>
      <c r="M2433" s="6" t="s">
        <v>1322</v>
      </c>
      <c r="N2433" s="6" t="s">
        <v>23</v>
      </c>
      <c r="O2433" s="6" t="s">
        <v>120</v>
      </c>
    </row>
    <row r="2434" spans="1:15" x14ac:dyDescent="0.25">
      <c r="A2434" s="6" t="s">
        <v>8999</v>
      </c>
      <c r="B2434" s="6" t="s">
        <v>8998</v>
      </c>
      <c r="C2434" s="6" t="s">
        <v>31</v>
      </c>
      <c r="E2434" s="6" t="s">
        <v>8997</v>
      </c>
      <c r="F2434" s="6" t="s">
        <v>3922</v>
      </c>
      <c r="G2434" s="6" t="s">
        <v>16</v>
      </c>
      <c r="H2434" s="6" t="s">
        <v>15</v>
      </c>
      <c r="I2434" s="6" t="s">
        <v>14</v>
      </c>
      <c r="J2434" s="6" t="s">
        <v>132</v>
      </c>
      <c r="K2434" s="7">
        <v>29.57829555</v>
      </c>
      <c r="L2434" s="7">
        <v>-95.695526839999999</v>
      </c>
      <c r="M2434" s="6" t="s">
        <v>355</v>
      </c>
      <c r="N2434" s="6" t="s">
        <v>23</v>
      </c>
      <c r="O2434" s="6" t="s">
        <v>23</v>
      </c>
    </row>
    <row r="2435" spans="1:15" x14ac:dyDescent="0.25">
      <c r="A2435" s="6" t="s">
        <v>8521</v>
      </c>
      <c r="B2435" s="6" t="s">
        <v>8520</v>
      </c>
      <c r="C2435" s="6" t="s">
        <v>31</v>
      </c>
      <c r="E2435" s="6" t="s">
        <v>8519</v>
      </c>
      <c r="F2435" s="6" t="s">
        <v>8518</v>
      </c>
      <c r="G2435" s="6" t="s">
        <v>16</v>
      </c>
      <c r="H2435" s="6" t="s">
        <v>15</v>
      </c>
      <c r="I2435" s="6" t="s">
        <v>36</v>
      </c>
      <c r="J2435" s="6" t="s">
        <v>35</v>
      </c>
      <c r="K2435" s="7">
        <v>29.89613233</v>
      </c>
      <c r="L2435" s="7">
        <v>-95.550606049999999</v>
      </c>
      <c r="M2435" s="6" t="s">
        <v>77</v>
      </c>
      <c r="N2435" s="6" t="s">
        <v>24</v>
      </c>
      <c r="O2435" s="6" t="s">
        <v>23</v>
      </c>
    </row>
    <row r="2436" spans="1:15" x14ac:dyDescent="0.25">
      <c r="A2436" s="6" t="s">
        <v>1235</v>
      </c>
      <c r="B2436" s="6" t="s">
        <v>1123</v>
      </c>
      <c r="C2436" s="6" t="s">
        <v>31</v>
      </c>
      <c r="E2436" s="6" t="s">
        <v>1122</v>
      </c>
      <c r="F2436" s="6" t="s">
        <v>1121</v>
      </c>
      <c r="G2436" s="6" t="s">
        <v>16</v>
      </c>
      <c r="H2436" s="6" t="s">
        <v>15</v>
      </c>
      <c r="I2436" s="6" t="s">
        <v>46</v>
      </c>
      <c r="J2436" s="6" t="s">
        <v>1120</v>
      </c>
      <c r="K2436" s="7">
        <v>32.841051</v>
      </c>
      <c r="L2436" s="7">
        <v>-102.288224</v>
      </c>
      <c r="M2436" s="6" t="s">
        <v>1119</v>
      </c>
      <c r="N2436" s="6" t="s">
        <v>10</v>
      </c>
      <c r="O2436" s="6" t="s">
        <v>383</v>
      </c>
    </row>
    <row r="2437" spans="1:15" x14ac:dyDescent="0.25">
      <c r="A2437" s="6" t="s">
        <v>1149</v>
      </c>
      <c r="B2437" s="6" t="s">
        <v>1123</v>
      </c>
      <c r="C2437" s="6" t="s">
        <v>19</v>
      </c>
      <c r="E2437" s="6" t="s">
        <v>1122</v>
      </c>
      <c r="F2437" s="6" t="s">
        <v>1121</v>
      </c>
      <c r="G2437" s="6" t="s">
        <v>16</v>
      </c>
      <c r="H2437" s="6" t="s">
        <v>15</v>
      </c>
      <c r="I2437" s="6" t="s">
        <v>46</v>
      </c>
      <c r="J2437" s="6" t="s">
        <v>1120</v>
      </c>
      <c r="K2437" s="7">
        <v>32.828411000000003</v>
      </c>
      <c r="L2437" s="7">
        <v>-102.290358</v>
      </c>
      <c r="M2437" s="6" t="s">
        <v>1119</v>
      </c>
      <c r="N2437" s="6" t="s">
        <v>10</v>
      </c>
      <c r="O2437" s="6" t="s">
        <v>383</v>
      </c>
    </row>
    <row r="2438" spans="1:15" x14ac:dyDescent="0.25">
      <c r="A2438" s="6" t="s">
        <v>1148</v>
      </c>
      <c r="B2438" s="6" t="s">
        <v>1123</v>
      </c>
      <c r="C2438" s="6" t="s">
        <v>436</v>
      </c>
      <c r="E2438" s="6" t="s">
        <v>1122</v>
      </c>
      <c r="F2438" s="6" t="s">
        <v>1121</v>
      </c>
      <c r="G2438" s="6" t="s">
        <v>16</v>
      </c>
      <c r="H2438" s="6" t="s">
        <v>15</v>
      </c>
      <c r="I2438" s="6" t="s">
        <v>46</v>
      </c>
      <c r="J2438" s="6" t="s">
        <v>1120</v>
      </c>
      <c r="K2438" s="7">
        <v>32.837069999999997</v>
      </c>
      <c r="L2438" s="7">
        <v>-102.29142400000001</v>
      </c>
      <c r="M2438" s="6" t="s">
        <v>1119</v>
      </c>
      <c r="N2438" s="6" t="s">
        <v>10</v>
      </c>
      <c r="O2438" s="6" t="s">
        <v>383</v>
      </c>
    </row>
    <row r="2439" spans="1:15" x14ac:dyDescent="0.25">
      <c r="A2439" s="6" t="s">
        <v>1124</v>
      </c>
      <c r="B2439" s="6" t="s">
        <v>1123</v>
      </c>
      <c r="C2439" s="6" t="s">
        <v>597</v>
      </c>
      <c r="E2439" s="6" t="s">
        <v>1122</v>
      </c>
      <c r="F2439" s="6" t="s">
        <v>1121</v>
      </c>
      <c r="G2439" s="6" t="s">
        <v>16</v>
      </c>
      <c r="H2439" s="6" t="s">
        <v>15</v>
      </c>
      <c r="I2439" s="6" t="s">
        <v>46</v>
      </c>
      <c r="J2439" s="6" t="s">
        <v>1120</v>
      </c>
      <c r="K2439" s="7">
        <v>32.83975719</v>
      </c>
      <c r="L2439" s="7">
        <v>-102.29164642000001</v>
      </c>
      <c r="M2439" s="6" t="s">
        <v>1119</v>
      </c>
      <c r="N2439" s="6" t="s">
        <v>10</v>
      </c>
      <c r="O2439" s="6" t="s">
        <v>383</v>
      </c>
    </row>
    <row r="2440" spans="1:15" x14ac:dyDescent="0.25">
      <c r="A2440" s="6" t="s">
        <v>6835</v>
      </c>
      <c r="B2440" s="6" t="s">
        <v>6834</v>
      </c>
      <c r="C2440" s="6" t="s">
        <v>31</v>
      </c>
      <c r="E2440" s="6" t="s">
        <v>6833</v>
      </c>
      <c r="F2440" s="6" t="s">
        <v>6832</v>
      </c>
      <c r="G2440" s="6" t="s">
        <v>16</v>
      </c>
      <c r="H2440" s="6" t="s">
        <v>28</v>
      </c>
      <c r="I2440" s="6" t="s">
        <v>1200</v>
      </c>
      <c r="J2440" s="6" t="s">
        <v>6831</v>
      </c>
      <c r="K2440" s="7">
        <v>29.277911</v>
      </c>
      <c r="L2440" s="7">
        <v>-100.425538</v>
      </c>
      <c r="M2440" s="6" t="s">
        <v>511</v>
      </c>
      <c r="N2440" s="6" t="s">
        <v>373</v>
      </c>
      <c r="O2440" s="6" t="s">
        <v>510</v>
      </c>
    </row>
    <row r="2441" spans="1:15" x14ac:dyDescent="0.25">
      <c r="A2441" s="6" t="s">
        <v>8749</v>
      </c>
      <c r="B2441" s="6" t="s">
        <v>8748</v>
      </c>
      <c r="C2441" s="6" t="s">
        <v>31</v>
      </c>
      <c r="E2441" s="6" t="s">
        <v>8747</v>
      </c>
      <c r="F2441" s="6" t="s">
        <v>8746</v>
      </c>
      <c r="G2441" s="6" t="s">
        <v>16</v>
      </c>
      <c r="H2441" s="6" t="s">
        <v>28</v>
      </c>
      <c r="I2441" s="6" t="s">
        <v>27</v>
      </c>
      <c r="J2441" s="6" t="s">
        <v>84</v>
      </c>
      <c r="K2441" s="7">
        <v>28.435386999999999</v>
      </c>
      <c r="L2441" s="7">
        <v>-96.455481000000006</v>
      </c>
      <c r="M2441" s="6" t="s">
        <v>289</v>
      </c>
      <c r="N2441" s="6" t="s">
        <v>82</v>
      </c>
      <c r="O2441" s="6" t="s">
        <v>10</v>
      </c>
    </row>
    <row r="2442" spans="1:15" x14ac:dyDescent="0.25">
      <c r="A2442" s="6" t="s">
        <v>10924</v>
      </c>
      <c r="B2442" s="6" t="s">
        <v>10923</v>
      </c>
      <c r="C2442" s="6" t="s">
        <v>31</v>
      </c>
      <c r="E2442" s="6" t="s">
        <v>10922</v>
      </c>
      <c r="F2442" s="6" t="s">
        <v>7919</v>
      </c>
      <c r="G2442" s="6" t="s">
        <v>16</v>
      </c>
      <c r="H2442" s="6" t="s">
        <v>28</v>
      </c>
      <c r="I2442" s="6" t="s">
        <v>60</v>
      </c>
      <c r="J2442" s="6" t="s">
        <v>35</v>
      </c>
      <c r="K2442" s="7">
        <v>29.853511999999998</v>
      </c>
      <c r="L2442" s="7">
        <v>-95.008403999999999</v>
      </c>
      <c r="M2442" s="6" t="s">
        <v>914</v>
      </c>
      <c r="N2442" s="6" t="s">
        <v>120</v>
      </c>
      <c r="O2442" s="6" t="s">
        <v>23</v>
      </c>
    </row>
    <row r="2443" spans="1:15" x14ac:dyDescent="0.25">
      <c r="A2443" s="6" t="s">
        <v>9018</v>
      </c>
      <c r="B2443" s="6" t="s">
        <v>9017</v>
      </c>
      <c r="C2443" s="6" t="s">
        <v>31</v>
      </c>
      <c r="E2443" s="6" t="s">
        <v>9016</v>
      </c>
      <c r="F2443" s="6" t="s">
        <v>9015</v>
      </c>
      <c r="G2443" s="6" t="s">
        <v>16</v>
      </c>
      <c r="H2443" s="6" t="s">
        <v>28</v>
      </c>
      <c r="I2443" s="6" t="s">
        <v>73</v>
      </c>
      <c r="J2443" s="6" t="s">
        <v>1451</v>
      </c>
      <c r="K2443" s="7">
        <v>31.858464349999998</v>
      </c>
      <c r="L2443" s="7">
        <v>-96.920758410000005</v>
      </c>
      <c r="M2443" s="6" t="s">
        <v>1904</v>
      </c>
      <c r="N2443" s="6" t="s">
        <v>102</v>
      </c>
      <c r="O2443" s="6" t="s">
        <v>120</v>
      </c>
    </row>
    <row r="2444" spans="1:15" x14ac:dyDescent="0.25">
      <c r="A2444" s="6" t="s">
        <v>10331</v>
      </c>
      <c r="B2444" s="6" t="s">
        <v>9537</v>
      </c>
      <c r="C2444" s="6" t="s">
        <v>31</v>
      </c>
      <c r="E2444" s="6" t="s">
        <v>9536</v>
      </c>
      <c r="F2444" s="6" t="s">
        <v>9535</v>
      </c>
      <c r="G2444" s="6" t="s">
        <v>16</v>
      </c>
      <c r="H2444" s="6" t="s">
        <v>15</v>
      </c>
      <c r="I2444" s="6" t="s">
        <v>46</v>
      </c>
      <c r="J2444" s="6" t="s">
        <v>132</v>
      </c>
      <c r="K2444" s="7">
        <v>29.54341114</v>
      </c>
      <c r="L2444" s="7">
        <v>-95.447516379999996</v>
      </c>
      <c r="M2444" s="6" t="s">
        <v>706</v>
      </c>
      <c r="N2444" s="6" t="s">
        <v>23</v>
      </c>
      <c r="O2444" s="6" t="s">
        <v>23</v>
      </c>
    </row>
    <row r="2445" spans="1:15" x14ac:dyDescent="0.25">
      <c r="A2445" s="6" t="s">
        <v>9538</v>
      </c>
      <c r="B2445" s="6" t="s">
        <v>9537</v>
      </c>
      <c r="C2445" s="6" t="s">
        <v>19</v>
      </c>
      <c r="E2445" s="6" t="s">
        <v>9536</v>
      </c>
      <c r="F2445" s="6" t="s">
        <v>9535</v>
      </c>
      <c r="G2445" s="6" t="s">
        <v>16</v>
      </c>
      <c r="H2445" s="6" t="s">
        <v>28</v>
      </c>
      <c r="I2445" s="6" t="s">
        <v>46</v>
      </c>
      <c r="J2445" s="6" t="s">
        <v>132</v>
      </c>
      <c r="K2445" s="7">
        <v>29.542430639999999</v>
      </c>
      <c r="L2445" s="7">
        <v>-95.450256710000005</v>
      </c>
      <c r="M2445" s="6" t="s">
        <v>706</v>
      </c>
      <c r="N2445" s="6" t="s">
        <v>23</v>
      </c>
      <c r="O2445" s="6" t="s">
        <v>23</v>
      </c>
    </row>
    <row r="2446" spans="1:15" x14ac:dyDescent="0.25">
      <c r="A2446" s="6" t="s">
        <v>12338</v>
      </c>
      <c r="B2446" s="6" t="s">
        <v>12337</v>
      </c>
      <c r="C2446" s="6" t="s">
        <v>31</v>
      </c>
      <c r="E2446" s="6" t="s">
        <v>12336</v>
      </c>
      <c r="F2446" s="6" t="s">
        <v>12335</v>
      </c>
      <c r="G2446" s="6" t="s">
        <v>16</v>
      </c>
      <c r="H2446" s="6" t="s">
        <v>28</v>
      </c>
      <c r="I2446" s="6" t="s">
        <v>1200</v>
      </c>
      <c r="J2446" s="6" t="s">
        <v>35</v>
      </c>
      <c r="K2446" s="7">
        <v>29.813576000000001</v>
      </c>
      <c r="L2446" s="7">
        <v>-95.684860999999998</v>
      </c>
      <c r="M2446" s="6" t="s">
        <v>131</v>
      </c>
      <c r="N2446" s="6" t="s">
        <v>24</v>
      </c>
      <c r="O2446" s="6" t="s">
        <v>23</v>
      </c>
    </row>
    <row r="2447" spans="1:15" x14ac:dyDescent="0.25">
      <c r="A2447" s="6" t="s">
        <v>8713</v>
      </c>
      <c r="B2447" s="6" t="s">
        <v>8712</v>
      </c>
      <c r="C2447" s="6" t="s">
        <v>31</v>
      </c>
      <c r="E2447" s="6" t="s">
        <v>8711</v>
      </c>
      <c r="F2447" s="6" t="s">
        <v>8710</v>
      </c>
      <c r="G2447" s="6" t="s">
        <v>16</v>
      </c>
      <c r="H2447" s="6" t="s">
        <v>28</v>
      </c>
      <c r="I2447" s="6" t="s">
        <v>36</v>
      </c>
      <c r="J2447" s="6" t="s">
        <v>72</v>
      </c>
      <c r="K2447" s="7">
        <v>32.024994909999997</v>
      </c>
      <c r="L2447" s="7">
        <v>-95.419128560000004</v>
      </c>
      <c r="M2447" s="6" t="s">
        <v>53</v>
      </c>
      <c r="N2447" s="6" t="s">
        <v>52</v>
      </c>
      <c r="O2447" s="6" t="s">
        <v>65</v>
      </c>
    </row>
    <row r="2448" spans="1:15" x14ac:dyDescent="0.25">
      <c r="A2448" s="6" t="s">
        <v>9388</v>
      </c>
      <c r="B2448" s="6" t="s">
        <v>2481</v>
      </c>
      <c r="C2448" s="6" t="s">
        <v>31</v>
      </c>
      <c r="E2448" s="6" t="s">
        <v>2480</v>
      </c>
      <c r="F2448" s="6" t="s">
        <v>2479</v>
      </c>
      <c r="G2448" s="6" t="s">
        <v>16</v>
      </c>
      <c r="H2448" s="6" t="s">
        <v>15</v>
      </c>
      <c r="I2448" s="6" t="s">
        <v>14</v>
      </c>
      <c r="J2448" s="6" t="s">
        <v>290</v>
      </c>
      <c r="K2448" s="7">
        <v>28.6808409</v>
      </c>
      <c r="L2448" s="7">
        <v>-96.167520769999996</v>
      </c>
      <c r="M2448" s="6" t="s">
        <v>2478</v>
      </c>
      <c r="N2448" s="6" t="s">
        <v>22</v>
      </c>
      <c r="O2448" s="6" t="s">
        <v>23</v>
      </c>
    </row>
    <row r="2449" spans="1:15" x14ac:dyDescent="0.25">
      <c r="A2449" s="6" t="s">
        <v>9334</v>
      </c>
      <c r="B2449" s="6" t="s">
        <v>2481</v>
      </c>
      <c r="C2449" s="6" t="s">
        <v>19</v>
      </c>
      <c r="E2449" s="6" t="s">
        <v>2480</v>
      </c>
      <c r="F2449" s="6" t="s">
        <v>2479</v>
      </c>
      <c r="G2449" s="6" t="s">
        <v>16</v>
      </c>
      <c r="H2449" s="6" t="s">
        <v>15</v>
      </c>
      <c r="I2449" s="6" t="s">
        <v>14</v>
      </c>
      <c r="J2449" s="6" t="s">
        <v>290</v>
      </c>
      <c r="K2449" s="7">
        <v>28.680802539999998</v>
      </c>
      <c r="L2449" s="7">
        <v>-96.171719120000006</v>
      </c>
      <c r="M2449" s="6" t="s">
        <v>2478</v>
      </c>
      <c r="N2449" s="6" t="s">
        <v>22</v>
      </c>
      <c r="O2449" s="6" t="s">
        <v>23</v>
      </c>
    </row>
    <row r="2450" spans="1:15" x14ac:dyDescent="0.25">
      <c r="A2450" s="6" t="s">
        <v>2738</v>
      </c>
      <c r="B2450" s="6" t="s">
        <v>2481</v>
      </c>
      <c r="C2450" s="6" t="s">
        <v>436</v>
      </c>
      <c r="E2450" s="6" t="s">
        <v>2480</v>
      </c>
      <c r="F2450" s="6" t="s">
        <v>2479</v>
      </c>
      <c r="G2450" s="6" t="s">
        <v>16</v>
      </c>
      <c r="H2450" s="6" t="s">
        <v>15</v>
      </c>
      <c r="I2450" s="6" t="s">
        <v>14</v>
      </c>
      <c r="J2450" s="6" t="s">
        <v>290</v>
      </c>
      <c r="K2450" s="7">
        <v>28.680735210000002</v>
      </c>
      <c r="L2450" s="7">
        <v>-96.177698559999996</v>
      </c>
      <c r="M2450" s="6" t="s">
        <v>2478</v>
      </c>
      <c r="N2450" s="6" t="s">
        <v>22</v>
      </c>
      <c r="O2450" s="6" t="s">
        <v>23</v>
      </c>
    </row>
    <row r="2451" spans="1:15" x14ac:dyDescent="0.25">
      <c r="A2451" s="6" t="s">
        <v>2482</v>
      </c>
      <c r="B2451" s="6" t="s">
        <v>2481</v>
      </c>
      <c r="C2451" s="6" t="s">
        <v>597</v>
      </c>
      <c r="E2451" s="6" t="s">
        <v>2480</v>
      </c>
      <c r="F2451" s="6" t="s">
        <v>2479</v>
      </c>
      <c r="G2451" s="6" t="s">
        <v>16</v>
      </c>
      <c r="H2451" s="6" t="s">
        <v>15</v>
      </c>
      <c r="I2451" s="6" t="s">
        <v>14</v>
      </c>
      <c r="J2451" s="6" t="s">
        <v>290</v>
      </c>
      <c r="K2451" s="7">
        <v>28.681143590000001</v>
      </c>
      <c r="L2451" s="7">
        <v>-96.189736789999998</v>
      </c>
      <c r="M2451" s="6" t="s">
        <v>2478</v>
      </c>
      <c r="N2451" s="6" t="s">
        <v>22</v>
      </c>
      <c r="O2451" s="6" t="s">
        <v>23</v>
      </c>
    </row>
    <row r="2452" spans="1:15" x14ac:dyDescent="0.25">
      <c r="A2452" s="6" t="s">
        <v>9134</v>
      </c>
      <c r="B2452" s="6" t="s">
        <v>9133</v>
      </c>
      <c r="C2452" s="6" t="s">
        <v>31</v>
      </c>
      <c r="E2452" s="6" t="s">
        <v>9132</v>
      </c>
      <c r="F2452" s="6" t="s">
        <v>9131</v>
      </c>
      <c r="G2452" s="6" t="s">
        <v>16</v>
      </c>
      <c r="H2452" s="6" t="s">
        <v>28</v>
      </c>
      <c r="I2452" s="6" t="s">
        <v>73</v>
      </c>
      <c r="J2452" s="6" t="s">
        <v>2696</v>
      </c>
      <c r="K2452" s="7">
        <v>31.899972000000002</v>
      </c>
      <c r="L2452" s="7">
        <v>-94.382677000000001</v>
      </c>
      <c r="M2452" s="6" t="s">
        <v>2695</v>
      </c>
      <c r="N2452" s="6" t="s">
        <v>65</v>
      </c>
      <c r="O2452" s="6" t="s">
        <v>24</v>
      </c>
    </row>
    <row r="2453" spans="1:15" x14ac:dyDescent="0.25">
      <c r="A2453" s="6" t="s">
        <v>2787</v>
      </c>
      <c r="B2453" s="6" t="s">
        <v>2786</v>
      </c>
      <c r="C2453" s="6" t="s">
        <v>31</v>
      </c>
      <c r="E2453" s="6" t="s">
        <v>2785</v>
      </c>
      <c r="F2453" s="6" t="s">
        <v>895</v>
      </c>
      <c r="G2453" s="6" t="s">
        <v>16</v>
      </c>
      <c r="H2453" s="6" t="s">
        <v>28</v>
      </c>
      <c r="I2453" s="6" t="s">
        <v>60</v>
      </c>
      <c r="J2453" s="6" t="s">
        <v>54</v>
      </c>
      <c r="K2453" s="7">
        <v>30.91404</v>
      </c>
      <c r="L2453" s="7">
        <v>-95.226010000000002</v>
      </c>
      <c r="M2453" s="6" t="s">
        <v>317</v>
      </c>
      <c r="N2453" s="6" t="s">
        <v>102</v>
      </c>
      <c r="O2453" s="6" t="s">
        <v>24</v>
      </c>
    </row>
    <row r="2454" spans="1:15" x14ac:dyDescent="0.25">
      <c r="A2454" s="6" t="s">
        <v>7684</v>
      </c>
      <c r="B2454" s="6" t="s">
        <v>7683</v>
      </c>
      <c r="C2454" s="6" t="s">
        <v>31</v>
      </c>
      <c r="E2454" s="6" t="s">
        <v>7682</v>
      </c>
      <c r="F2454" s="6" t="s">
        <v>7681</v>
      </c>
      <c r="G2454" s="6" t="s">
        <v>16</v>
      </c>
      <c r="H2454" s="6" t="s">
        <v>28</v>
      </c>
      <c r="I2454" s="6" t="s">
        <v>799</v>
      </c>
      <c r="J2454" s="6" t="s">
        <v>185</v>
      </c>
      <c r="K2454" s="7">
        <v>27.270022969999999</v>
      </c>
      <c r="L2454" s="7">
        <v>-97.807009030000003</v>
      </c>
      <c r="M2454" s="6" t="s">
        <v>184</v>
      </c>
      <c r="N2454" s="6" t="s">
        <v>11</v>
      </c>
      <c r="O2454" s="6" t="s">
        <v>10</v>
      </c>
    </row>
    <row r="2455" spans="1:15" x14ac:dyDescent="0.25">
      <c r="A2455" s="6" t="s">
        <v>4767</v>
      </c>
      <c r="B2455" s="6" t="s">
        <v>4766</v>
      </c>
      <c r="C2455" s="6" t="s">
        <v>31</v>
      </c>
      <c r="E2455" s="6" t="s">
        <v>4765</v>
      </c>
      <c r="F2455" s="6" t="s">
        <v>4764</v>
      </c>
      <c r="G2455" s="6" t="s">
        <v>16</v>
      </c>
      <c r="H2455" s="6" t="s">
        <v>15</v>
      </c>
      <c r="I2455" s="6" t="s">
        <v>14</v>
      </c>
      <c r="J2455" s="6" t="s">
        <v>215</v>
      </c>
      <c r="K2455" s="7">
        <v>29.461100999999999</v>
      </c>
      <c r="L2455" s="7">
        <v>-94.974479630000005</v>
      </c>
      <c r="M2455" s="6" t="s">
        <v>3066</v>
      </c>
      <c r="N2455" s="6" t="s">
        <v>160</v>
      </c>
      <c r="O2455" s="6" t="s">
        <v>23</v>
      </c>
    </row>
    <row r="2456" spans="1:15" x14ac:dyDescent="0.25">
      <c r="A2456" s="6" t="s">
        <v>8698</v>
      </c>
      <c r="B2456" s="6" t="s">
        <v>8697</v>
      </c>
      <c r="C2456" s="6" t="s">
        <v>31</v>
      </c>
      <c r="E2456" s="6" t="s">
        <v>8696</v>
      </c>
      <c r="F2456" s="6" t="s">
        <v>8695</v>
      </c>
      <c r="G2456" s="6" t="s">
        <v>16</v>
      </c>
      <c r="H2456" s="6" t="s">
        <v>28</v>
      </c>
      <c r="I2456" s="6" t="s">
        <v>73</v>
      </c>
      <c r="J2456" s="6" t="s">
        <v>90</v>
      </c>
      <c r="K2456" s="7">
        <v>26.335801100000001</v>
      </c>
      <c r="L2456" s="7">
        <v>-97.799851669999995</v>
      </c>
      <c r="M2456" s="6" t="s">
        <v>89</v>
      </c>
      <c r="N2456" s="6" t="s">
        <v>11</v>
      </c>
      <c r="O2456" s="6" t="s">
        <v>22</v>
      </c>
    </row>
    <row r="2457" spans="1:15" x14ac:dyDescent="0.25">
      <c r="A2457" s="6" t="s">
        <v>4749</v>
      </c>
      <c r="B2457" s="6" t="s">
        <v>4748</v>
      </c>
      <c r="C2457" s="6" t="s">
        <v>31</v>
      </c>
      <c r="E2457" s="6" t="s">
        <v>4747</v>
      </c>
      <c r="F2457" s="6" t="s">
        <v>1038</v>
      </c>
      <c r="G2457" s="6" t="s">
        <v>16</v>
      </c>
      <c r="H2457" s="6" t="s">
        <v>15</v>
      </c>
      <c r="I2457" s="6" t="s">
        <v>14</v>
      </c>
      <c r="J2457" s="6" t="s">
        <v>4746</v>
      </c>
      <c r="K2457" s="7">
        <v>31.812793549999999</v>
      </c>
      <c r="L2457" s="7">
        <v>-102.33048629</v>
      </c>
      <c r="M2457" s="6" t="s">
        <v>1801</v>
      </c>
      <c r="N2457" s="6" t="s">
        <v>10</v>
      </c>
      <c r="O2457" s="6" t="s">
        <v>383</v>
      </c>
    </row>
    <row r="2458" spans="1:15" x14ac:dyDescent="0.25">
      <c r="A2458" s="6" t="s">
        <v>8677</v>
      </c>
      <c r="B2458" s="6" t="s">
        <v>8676</v>
      </c>
      <c r="C2458" s="6" t="s">
        <v>31</v>
      </c>
      <c r="E2458" s="6" t="s">
        <v>8675</v>
      </c>
      <c r="F2458" s="6" t="s">
        <v>8674</v>
      </c>
      <c r="G2458" s="6" t="s">
        <v>16</v>
      </c>
      <c r="H2458" s="6" t="s">
        <v>28</v>
      </c>
      <c r="I2458" s="6" t="s">
        <v>60</v>
      </c>
      <c r="J2458" s="6" t="s">
        <v>35</v>
      </c>
      <c r="K2458" s="7">
        <v>29.979695</v>
      </c>
      <c r="L2458" s="7">
        <v>-95.632564000000002</v>
      </c>
      <c r="M2458" s="6" t="s">
        <v>279</v>
      </c>
      <c r="N2458" s="6" t="s">
        <v>24</v>
      </c>
      <c r="O2458" s="6" t="s">
        <v>23</v>
      </c>
    </row>
    <row r="2459" spans="1:15" x14ac:dyDescent="0.25">
      <c r="A2459" s="6" t="s">
        <v>11950</v>
      </c>
      <c r="B2459" s="6" t="s">
        <v>11949</v>
      </c>
      <c r="C2459" s="6" t="s">
        <v>31</v>
      </c>
      <c r="E2459" s="6" t="s">
        <v>11948</v>
      </c>
      <c r="F2459" s="6" t="s">
        <v>11947</v>
      </c>
      <c r="G2459" s="6" t="s">
        <v>16</v>
      </c>
      <c r="H2459" s="6" t="s">
        <v>28</v>
      </c>
      <c r="I2459" s="6" t="s">
        <v>27</v>
      </c>
      <c r="J2459" s="6" t="s">
        <v>35</v>
      </c>
      <c r="K2459" s="7">
        <v>30.034638000000001</v>
      </c>
      <c r="L2459" s="7">
        <v>-95.542829999999995</v>
      </c>
      <c r="M2459" s="6" t="s">
        <v>279</v>
      </c>
      <c r="N2459" s="6" t="s">
        <v>24</v>
      </c>
      <c r="O2459" s="6" t="s">
        <v>23</v>
      </c>
    </row>
    <row r="2460" spans="1:15" x14ac:dyDescent="0.25">
      <c r="A2460" s="6" t="s">
        <v>11953</v>
      </c>
      <c r="B2460" s="6" t="s">
        <v>11952</v>
      </c>
      <c r="C2460" s="6" t="s">
        <v>31</v>
      </c>
      <c r="E2460" s="6" t="s">
        <v>11951</v>
      </c>
      <c r="F2460" s="6" t="s">
        <v>11947</v>
      </c>
      <c r="G2460" s="6" t="s">
        <v>16</v>
      </c>
      <c r="H2460" s="6" t="s">
        <v>28</v>
      </c>
      <c r="I2460" s="6" t="s">
        <v>60</v>
      </c>
      <c r="J2460" s="6" t="s">
        <v>35</v>
      </c>
      <c r="K2460" s="7">
        <v>30.024179</v>
      </c>
      <c r="L2460" s="7">
        <v>-95.525471999999993</v>
      </c>
      <c r="M2460" s="6" t="s">
        <v>279</v>
      </c>
      <c r="N2460" s="6" t="s">
        <v>24</v>
      </c>
      <c r="O2460" s="6" t="s">
        <v>23</v>
      </c>
    </row>
    <row r="2461" spans="1:15" x14ac:dyDescent="0.25">
      <c r="A2461" s="6" t="s">
        <v>9205</v>
      </c>
      <c r="B2461" s="6" t="s">
        <v>9204</v>
      </c>
      <c r="C2461" s="6" t="s">
        <v>31</v>
      </c>
      <c r="E2461" s="6" t="s">
        <v>9203</v>
      </c>
      <c r="F2461" s="6" t="s">
        <v>5708</v>
      </c>
      <c r="G2461" s="6" t="s">
        <v>16</v>
      </c>
      <c r="H2461" s="6" t="s">
        <v>15</v>
      </c>
      <c r="I2461" s="6" t="s">
        <v>36</v>
      </c>
      <c r="J2461" s="6" t="s">
        <v>35</v>
      </c>
      <c r="K2461" s="7">
        <v>29.953043739999998</v>
      </c>
      <c r="L2461" s="7">
        <v>-95.531569759999996</v>
      </c>
      <c r="M2461" s="6" t="s">
        <v>198</v>
      </c>
      <c r="N2461" s="6" t="s">
        <v>24</v>
      </c>
      <c r="O2461" s="6" t="s">
        <v>23</v>
      </c>
    </row>
    <row r="2462" spans="1:15" x14ac:dyDescent="0.25">
      <c r="A2462" s="6" t="s">
        <v>5877</v>
      </c>
      <c r="B2462" s="6" t="s">
        <v>5876</v>
      </c>
      <c r="C2462" s="6" t="s">
        <v>31</v>
      </c>
      <c r="E2462" s="6" t="s">
        <v>5875</v>
      </c>
      <c r="F2462" s="6" t="s">
        <v>5874</v>
      </c>
      <c r="G2462" s="6" t="s">
        <v>16</v>
      </c>
      <c r="H2462" s="6" t="s">
        <v>15</v>
      </c>
      <c r="I2462" s="6" t="s">
        <v>27</v>
      </c>
      <c r="J2462" s="6" t="s">
        <v>84</v>
      </c>
      <c r="K2462" s="7">
        <v>28.66045909</v>
      </c>
      <c r="L2462" s="7">
        <v>-96.337848210000004</v>
      </c>
      <c r="M2462" s="6" t="s">
        <v>289</v>
      </c>
      <c r="N2462" s="6" t="s">
        <v>22</v>
      </c>
      <c r="O2462" s="6" t="s">
        <v>10</v>
      </c>
    </row>
    <row r="2463" spans="1:15" x14ac:dyDescent="0.25">
      <c r="A2463" s="6" t="s">
        <v>5873</v>
      </c>
      <c r="B2463" s="6" t="s">
        <v>5872</v>
      </c>
      <c r="C2463" s="6" t="s">
        <v>31</v>
      </c>
      <c r="E2463" s="6" t="s">
        <v>5871</v>
      </c>
      <c r="F2463" s="6" t="s">
        <v>5870</v>
      </c>
      <c r="G2463" s="6" t="s">
        <v>16</v>
      </c>
      <c r="H2463" s="6" t="s">
        <v>15</v>
      </c>
      <c r="I2463" s="6" t="s">
        <v>14</v>
      </c>
      <c r="J2463" s="6" t="s">
        <v>904</v>
      </c>
      <c r="K2463" s="7">
        <v>32.788184739999998</v>
      </c>
      <c r="L2463" s="7">
        <v>-98.056360470000001</v>
      </c>
      <c r="M2463" s="6" t="s">
        <v>775</v>
      </c>
      <c r="N2463" s="6" t="s">
        <v>23</v>
      </c>
      <c r="O2463" s="6" t="s">
        <v>42</v>
      </c>
    </row>
    <row r="2464" spans="1:15" x14ac:dyDescent="0.25">
      <c r="A2464" s="6" t="s">
        <v>7025</v>
      </c>
      <c r="B2464" s="6" t="s">
        <v>7024</v>
      </c>
      <c r="C2464" s="6" t="s">
        <v>31</v>
      </c>
      <c r="E2464" s="6" t="s">
        <v>7023</v>
      </c>
      <c r="F2464" s="6" t="s">
        <v>7022</v>
      </c>
      <c r="G2464" s="6" t="s">
        <v>16</v>
      </c>
      <c r="H2464" s="6" t="s">
        <v>15</v>
      </c>
      <c r="I2464" s="6" t="s">
        <v>14</v>
      </c>
      <c r="J2464" s="6" t="s">
        <v>2137</v>
      </c>
      <c r="K2464" s="7">
        <v>29.870566579999998</v>
      </c>
      <c r="L2464" s="7">
        <v>-97.619701680000006</v>
      </c>
      <c r="M2464" s="6" t="s">
        <v>752</v>
      </c>
      <c r="N2464" s="6" t="s">
        <v>559</v>
      </c>
      <c r="O2464" s="6" t="s">
        <v>160</v>
      </c>
    </row>
    <row r="2465" spans="1:15" x14ac:dyDescent="0.25">
      <c r="A2465" s="6" t="s">
        <v>8648</v>
      </c>
      <c r="B2465" s="6" t="s">
        <v>8647</v>
      </c>
      <c r="C2465" s="6" t="s">
        <v>31</v>
      </c>
      <c r="E2465" s="6" t="s">
        <v>8646</v>
      </c>
      <c r="F2465" s="6" t="s">
        <v>7739</v>
      </c>
      <c r="G2465" s="6" t="s">
        <v>16</v>
      </c>
      <c r="H2465" s="6" t="s">
        <v>28</v>
      </c>
      <c r="I2465" s="6" t="s">
        <v>60</v>
      </c>
      <c r="J2465" s="6" t="s">
        <v>2768</v>
      </c>
      <c r="K2465" s="7">
        <v>32.546991269999999</v>
      </c>
      <c r="L2465" s="7">
        <v>-97.253906180000001</v>
      </c>
      <c r="M2465" s="6" t="s">
        <v>1287</v>
      </c>
      <c r="N2465" s="6" t="s">
        <v>102</v>
      </c>
      <c r="O2465" s="6" t="s">
        <v>42</v>
      </c>
    </row>
    <row r="2466" spans="1:15" x14ac:dyDescent="0.25">
      <c r="A2466" s="6" t="s">
        <v>1865</v>
      </c>
      <c r="B2466" s="6" t="s">
        <v>1864</v>
      </c>
      <c r="C2466" s="6" t="s">
        <v>31</v>
      </c>
      <c r="E2466" s="6" t="s">
        <v>1863</v>
      </c>
      <c r="F2466" s="6" t="s">
        <v>1862</v>
      </c>
      <c r="G2466" s="6" t="s">
        <v>16</v>
      </c>
      <c r="H2466" s="6" t="s">
        <v>15</v>
      </c>
      <c r="I2466" s="6" t="s">
        <v>14</v>
      </c>
      <c r="J2466" s="6" t="s">
        <v>1861</v>
      </c>
      <c r="K2466" s="7">
        <v>30.643543749999999</v>
      </c>
      <c r="L2466" s="7">
        <v>-96.417527809999996</v>
      </c>
      <c r="M2466" s="6" t="s">
        <v>121</v>
      </c>
      <c r="N2466" s="6" t="s">
        <v>23</v>
      </c>
      <c r="O2466" s="6" t="s">
        <v>120</v>
      </c>
    </row>
    <row r="2467" spans="1:15" x14ac:dyDescent="0.25">
      <c r="A2467" s="6" t="s">
        <v>8721</v>
      </c>
      <c r="B2467" s="6" t="s">
        <v>8720</v>
      </c>
      <c r="C2467" s="6" t="s">
        <v>31</v>
      </c>
      <c r="E2467" s="6" t="s">
        <v>8719</v>
      </c>
      <c r="F2467" s="6" t="s">
        <v>8718</v>
      </c>
      <c r="G2467" s="6" t="s">
        <v>16</v>
      </c>
      <c r="H2467" s="6" t="s">
        <v>28</v>
      </c>
      <c r="I2467" s="6" t="s">
        <v>73</v>
      </c>
      <c r="J2467" s="6" t="s">
        <v>35</v>
      </c>
      <c r="K2467" s="7">
        <v>29.906516799999999</v>
      </c>
      <c r="L2467" s="7">
        <v>-95.524734580000001</v>
      </c>
      <c r="M2467" s="6" t="s">
        <v>77</v>
      </c>
      <c r="N2467" s="6" t="s">
        <v>24</v>
      </c>
      <c r="O2467" s="6" t="s">
        <v>23</v>
      </c>
    </row>
    <row r="2468" spans="1:15" x14ac:dyDescent="0.25">
      <c r="A2468" s="6" t="s">
        <v>8932</v>
      </c>
      <c r="B2468" s="6" t="s">
        <v>8931</v>
      </c>
      <c r="C2468" s="6" t="s">
        <v>31</v>
      </c>
      <c r="E2468" s="6" t="s">
        <v>8930</v>
      </c>
      <c r="F2468" s="6" t="s">
        <v>8929</v>
      </c>
      <c r="G2468" s="6" t="s">
        <v>16</v>
      </c>
      <c r="H2468" s="6" t="s">
        <v>28</v>
      </c>
      <c r="I2468" s="6" t="s">
        <v>60</v>
      </c>
      <c r="J2468" s="6" t="s">
        <v>35</v>
      </c>
      <c r="K2468" s="7">
        <v>29.761914000000001</v>
      </c>
      <c r="L2468" s="7">
        <v>-95.079948999999999</v>
      </c>
      <c r="M2468" s="6" t="s">
        <v>701</v>
      </c>
      <c r="N2468" s="6" t="s">
        <v>24</v>
      </c>
      <c r="O2468" s="6" t="s">
        <v>23</v>
      </c>
    </row>
    <row r="2469" spans="1:15" x14ac:dyDescent="0.25">
      <c r="A2469" s="6" t="s">
        <v>7918</v>
      </c>
      <c r="B2469" s="6" t="s">
        <v>7917</v>
      </c>
      <c r="C2469" s="6" t="s">
        <v>31</v>
      </c>
      <c r="E2469" s="6" t="s">
        <v>7916</v>
      </c>
      <c r="F2469" s="6" t="s">
        <v>7459</v>
      </c>
      <c r="G2469" s="6" t="s">
        <v>16</v>
      </c>
      <c r="H2469" s="6" t="s">
        <v>28</v>
      </c>
      <c r="I2469" s="6" t="s">
        <v>60</v>
      </c>
      <c r="J2469" s="6" t="s">
        <v>456</v>
      </c>
      <c r="K2469" s="7">
        <v>30.015775999999999</v>
      </c>
      <c r="L2469" s="7">
        <v>-97.145291</v>
      </c>
      <c r="M2469" s="6" t="s">
        <v>455</v>
      </c>
      <c r="N2469" s="6" t="s">
        <v>10</v>
      </c>
      <c r="O2469" s="6" t="s">
        <v>160</v>
      </c>
    </row>
    <row r="2470" spans="1:15" x14ac:dyDescent="0.25">
      <c r="A2470" s="6" t="s">
        <v>10724</v>
      </c>
      <c r="B2470" s="6" t="s">
        <v>10723</v>
      </c>
      <c r="C2470" s="6" t="s">
        <v>31</v>
      </c>
      <c r="E2470" s="6" t="s">
        <v>10722</v>
      </c>
      <c r="F2470" s="6" t="s">
        <v>10721</v>
      </c>
      <c r="G2470" s="6" t="s">
        <v>16</v>
      </c>
      <c r="H2470" s="6" t="s">
        <v>15</v>
      </c>
      <c r="I2470" s="6" t="s">
        <v>14</v>
      </c>
      <c r="J2470" s="6" t="s">
        <v>4377</v>
      </c>
      <c r="K2470" s="7">
        <v>28.28250018</v>
      </c>
      <c r="L2470" s="7">
        <v>-97.621111639999995</v>
      </c>
      <c r="M2470" s="6" t="s">
        <v>4376</v>
      </c>
      <c r="N2470" s="6" t="s">
        <v>137</v>
      </c>
      <c r="O2470" s="6" t="s">
        <v>10</v>
      </c>
    </row>
    <row r="2471" spans="1:15" x14ac:dyDescent="0.25">
      <c r="A2471" s="6" t="s">
        <v>9635</v>
      </c>
      <c r="B2471" s="6" t="s">
        <v>9634</v>
      </c>
      <c r="C2471" s="6" t="s">
        <v>31</v>
      </c>
      <c r="E2471" s="6" t="s">
        <v>9633</v>
      </c>
      <c r="F2471" s="6" t="s">
        <v>9632</v>
      </c>
      <c r="G2471" s="6" t="s">
        <v>16</v>
      </c>
      <c r="H2471" s="6" t="s">
        <v>28</v>
      </c>
      <c r="I2471" s="6" t="s">
        <v>60</v>
      </c>
      <c r="J2471" s="6" t="s">
        <v>90</v>
      </c>
      <c r="K2471" s="7">
        <v>26.045504909999998</v>
      </c>
      <c r="L2471" s="7">
        <v>-97.506570199999999</v>
      </c>
      <c r="M2471" s="6" t="s">
        <v>770</v>
      </c>
      <c r="N2471" s="6" t="s">
        <v>11</v>
      </c>
      <c r="O2471" s="6" t="s">
        <v>22</v>
      </c>
    </row>
    <row r="2472" spans="1:15" x14ac:dyDescent="0.25">
      <c r="A2472" s="6" t="s">
        <v>8726</v>
      </c>
      <c r="B2472" s="6" t="s">
        <v>8725</v>
      </c>
      <c r="C2472" s="6" t="s">
        <v>31</v>
      </c>
      <c r="E2472" s="6" t="s">
        <v>8724</v>
      </c>
      <c r="F2472" s="6" t="s">
        <v>8723</v>
      </c>
      <c r="G2472" s="6" t="s">
        <v>16</v>
      </c>
      <c r="H2472" s="6" t="s">
        <v>28</v>
      </c>
      <c r="I2472" s="6" t="s">
        <v>60</v>
      </c>
      <c r="J2472" s="6" t="s">
        <v>682</v>
      </c>
      <c r="K2472" s="7">
        <v>32.417656000000001</v>
      </c>
      <c r="L2472" s="7">
        <v>-98.700106000000005</v>
      </c>
      <c r="M2472" s="6" t="s">
        <v>8722</v>
      </c>
      <c r="N2472" s="6" t="s">
        <v>23</v>
      </c>
      <c r="O2472" s="6" t="s">
        <v>95</v>
      </c>
    </row>
    <row r="2473" spans="1:15" x14ac:dyDescent="0.25">
      <c r="A2473" s="6" t="s">
        <v>9665</v>
      </c>
      <c r="B2473" s="6" t="s">
        <v>9664</v>
      </c>
      <c r="C2473" s="6" t="s">
        <v>31</v>
      </c>
      <c r="E2473" s="6" t="s">
        <v>9663</v>
      </c>
      <c r="F2473" s="6" t="s">
        <v>777</v>
      </c>
      <c r="G2473" s="6" t="s">
        <v>16</v>
      </c>
      <c r="H2473" s="6" t="s">
        <v>28</v>
      </c>
      <c r="I2473" s="6" t="s">
        <v>60</v>
      </c>
      <c r="J2473" s="6" t="s">
        <v>1451</v>
      </c>
      <c r="K2473" s="7">
        <v>32.028390999999999</v>
      </c>
      <c r="L2473" s="7">
        <v>-97.399652000000003</v>
      </c>
      <c r="M2473" s="6" t="s">
        <v>1450</v>
      </c>
      <c r="N2473" s="6" t="s">
        <v>23</v>
      </c>
      <c r="O2473" s="6" t="s">
        <v>120</v>
      </c>
    </row>
    <row r="2474" spans="1:15" x14ac:dyDescent="0.25">
      <c r="A2474" s="6" t="s">
        <v>9631</v>
      </c>
      <c r="B2474" s="6" t="s">
        <v>9630</v>
      </c>
      <c r="C2474" s="6" t="s">
        <v>31</v>
      </c>
      <c r="E2474" s="6" t="s">
        <v>9629</v>
      </c>
      <c r="F2474" s="6" t="s">
        <v>29</v>
      </c>
      <c r="G2474" s="6" t="s">
        <v>16</v>
      </c>
      <c r="H2474" s="6" t="s">
        <v>28</v>
      </c>
      <c r="I2474" s="6" t="s">
        <v>27</v>
      </c>
      <c r="J2474" s="6" t="s">
        <v>35</v>
      </c>
      <c r="K2474" s="7">
        <v>30.074802999999999</v>
      </c>
      <c r="L2474" s="7">
        <v>-95.420596000000003</v>
      </c>
      <c r="M2474" s="6" t="s">
        <v>279</v>
      </c>
      <c r="N2474" s="6" t="s">
        <v>24</v>
      </c>
      <c r="O2474" s="6" t="s">
        <v>23</v>
      </c>
    </row>
    <row r="2475" spans="1:15" x14ac:dyDescent="0.25">
      <c r="A2475" s="6" t="s">
        <v>4753</v>
      </c>
      <c r="B2475" s="6" t="s">
        <v>4752</v>
      </c>
      <c r="C2475" s="6" t="s">
        <v>31</v>
      </c>
      <c r="E2475" s="6" t="s">
        <v>4751</v>
      </c>
      <c r="F2475" s="6" t="s">
        <v>4750</v>
      </c>
      <c r="G2475" s="6" t="s">
        <v>16</v>
      </c>
      <c r="H2475" s="6" t="s">
        <v>15</v>
      </c>
      <c r="I2475" s="6" t="s">
        <v>36</v>
      </c>
      <c r="J2475" s="6" t="s">
        <v>35</v>
      </c>
      <c r="K2475" s="7">
        <v>29.75122863</v>
      </c>
      <c r="L2475" s="7">
        <v>-95.184218419999993</v>
      </c>
      <c r="M2475" s="6" t="s">
        <v>866</v>
      </c>
      <c r="N2475" s="6" t="s">
        <v>24</v>
      </c>
      <c r="O2475" s="6" t="s">
        <v>23</v>
      </c>
    </row>
    <row r="2476" spans="1:15" x14ac:dyDescent="0.25">
      <c r="A2476" s="6" t="s">
        <v>7680</v>
      </c>
      <c r="B2476" s="6" t="s">
        <v>7679</v>
      </c>
      <c r="C2476" s="6" t="s">
        <v>31</v>
      </c>
      <c r="E2476" s="6" t="s">
        <v>7678</v>
      </c>
      <c r="F2476" s="6" t="s">
        <v>7677</v>
      </c>
      <c r="G2476" s="6" t="s">
        <v>16</v>
      </c>
      <c r="H2476" s="6" t="s">
        <v>28</v>
      </c>
      <c r="I2476" s="6" t="s">
        <v>73</v>
      </c>
      <c r="J2476" s="6" t="s">
        <v>185</v>
      </c>
      <c r="K2476" s="7">
        <v>27.408829000000001</v>
      </c>
      <c r="L2476" s="7">
        <v>-97.850161999999997</v>
      </c>
      <c r="M2476" s="6" t="s">
        <v>184</v>
      </c>
      <c r="N2476" s="6" t="s">
        <v>11</v>
      </c>
      <c r="O2476" s="6" t="s">
        <v>10</v>
      </c>
    </row>
    <row r="2477" spans="1:15" x14ac:dyDescent="0.25">
      <c r="A2477" s="6" t="s">
        <v>9891</v>
      </c>
      <c r="B2477" s="6" t="s">
        <v>9890</v>
      </c>
      <c r="C2477" s="6" t="s">
        <v>31</v>
      </c>
      <c r="E2477" s="6" t="s">
        <v>9889</v>
      </c>
      <c r="F2477" s="6" t="s">
        <v>9885</v>
      </c>
      <c r="G2477" s="6" t="s">
        <v>16</v>
      </c>
      <c r="H2477" s="6" t="s">
        <v>15</v>
      </c>
      <c r="I2477" s="6" t="s">
        <v>14</v>
      </c>
      <c r="J2477" s="6" t="s">
        <v>221</v>
      </c>
      <c r="K2477" s="7">
        <v>30.673149609999999</v>
      </c>
      <c r="L2477" s="7">
        <v>-97.609989209999995</v>
      </c>
      <c r="M2477" s="6" t="s">
        <v>4688</v>
      </c>
      <c r="N2477" s="6" t="s">
        <v>23</v>
      </c>
      <c r="O2477" s="6" t="s">
        <v>160</v>
      </c>
    </row>
    <row r="2478" spans="1:15" x14ac:dyDescent="0.25">
      <c r="A2478" s="6" t="s">
        <v>8687</v>
      </c>
      <c r="B2478" s="6" t="s">
        <v>8686</v>
      </c>
      <c r="C2478" s="6" t="s">
        <v>31</v>
      </c>
      <c r="E2478" s="6" t="s">
        <v>8685</v>
      </c>
      <c r="F2478" s="6" t="s">
        <v>481</v>
      </c>
      <c r="G2478" s="6" t="s">
        <v>16</v>
      </c>
      <c r="H2478" s="6" t="s">
        <v>28</v>
      </c>
      <c r="I2478" s="6" t="s">
        <v>27</v>
      </c>
      <c r="J2478" s="6" t="s">
        <v>390</v>
      </c>
      <c r="K2478" s="7">
        <v>26.470743259999999</v>
      </c>
      <c r="L2478" s="7">
        <v>-97.918415199999998</v>
      </c>
      <c r="M2478" s="6" t="s">
        <v>89</v>
      </c>
      <c r="N2478" s="6" t="s">
        <v>11</v>
      </c>
      <c r="O2478" s="6" t="s">
        <v>22</v>
      </c>
    </row>
    <row r="2479" spans="1:15" x14ac:dyDescent="0.25">
      <c r="A2479" s="6" t="s">
        <v>9620</v>
      </c>
      <c r="B2479" s="6" t="s">
        <v>9619</v>
      </c>
      <c r="C2479" s="6" t="s">
        <v>31</v>
      </c>
      <c r="E2479" s="6" t="s">
        <v>9618</v>
      </c>
      <c r="F2479" s="6" t="s">
        <v>9617</v>
      </c>
      <c r="G2479" s="6" t="s">
        <v>16</v>
      </c>
      <c r="H2479" s="6" t="s">
        <v>28</v>
      </c>
      <c r="I2479" s="6" t="s">
        <v>27</v>
      </c>
      <c r="J2479" s="6" t="s">
        <v>6760</v>
      </c>
      <c r="K2479" s="7">
        <v>30.240342999999999</v>
      </c>
      <c r="L2479" s="7">
        <v>-96.577813000000006</v>
      </c>
      <c r="M2479" s="6" t="s">
        <v>589</v>
      </c>
      <c r="N2479" s="6" t="s">
        <v>23</v>
      </c>
      <c r="O2479" s="6" t="s">
        <v>120</v>
      </c>
    </row>
    <row r="2480" spans="1:15" x14ac:dyDescent="0.25">
      <c r="A2480" s="6" t="s">
        <v>9289</v>
      </c>
      <c r="B2480" s="6" t="s">
        <v>9288</v>
      </c>
      <c r="C2480" s="6" t="s">
        <v>31</v>
      </c>
      <c r="E2480" s="6" t="s">
        <v>9287</v>
      </c>
      <c r="F2480" s="6" t="s">
        <v>9286</v>
      </c>
      <c r="G2480" s="6" t="s">
        <v>16</v>
      </c>
      <c r="H2480" s="6" t="s">
        <v>28</v>
      </c>
      <c r="I2480" s="6" t="s">
        <v>27</v>
      </c>
      <c r="J2480" s="6" t="s">
        <v>1382</v>
      </c>
      <c r="K2480" s="7">
        <v>31.393329999999999</v>
      </c>
      <c r="L2480" s="7">
        <v>-95.470698999999996</v>
      </c>
      <c r="M2480" s="6" t="s">
        <v>1031</v>
      </c>
      <c r="N2480" s="6" t="s">
        <v>102</v>
      </c>
      <c r="O2480" s="6" t="s">
        <v>24</v>
      </c>
    </row>
    <row r="2481" spans="1:15" x14ac:dyDescent="0.25">
      <c r="A2481" s="6" t="s">
        <v>8423</v>
      </c>
      <c r="B2481" s="6" t="s">
        <v>8422</v>
      </c>
      <c r="C2481" s="6" t="s">
        <v>31</v>
      </c>
      <c r="E2481" s="6" t="s">
        <v>8421</v>
      </c>
      <c r="F2481" s="6" t="s">
        <v>8420</v>
      </c>
      <c r="G2481" s="6" t="s">
        <v>16</v>
      </c>
      <c r="H2481" s="6" t="s">
        <v>15</v>
      </c>
      <c r="I2481" s="6" t="s">
        <v>14</v>
      </c>
      <c r="J2481" s="6" t="s">
        <v>215</v>
      </c>
      <c r="K2481" s="7">
        <v>29.348808739999999</v>
      </c>
      <c r="L2481" s="7">
        <v>-94.981408169999995</v>
      </c>
      <c r="M2481" s="6" t="s">
        <v>214</v>
      </c>
      <c r="N2481" s="6" t="s">
        <v>160</v>
      </c>
      <c r="O2481" s="6" t="s">
        <v>23</v>
      </c>
    </row>
    <row r="2482" spans="1:15" x14ac:dyDescent="0.25">
      <c r="A2482" s="6" t="s">
        <v>9616</v>
      </c>
      <c r="B2482" s="6" t="s">
        <v>9615</v>
      </c>
      <c r="C2482" s="6" t="s">
        <v>31</v>
      </c>
      <c r="E2482" s="6" t="s">
        <v>9614</v>
      </c>
      <c r="F2482" s="6" t="s">
        <v>9613</v>
      </c>
      <c r="G2482" s="6" t="s">
        <v>16</v>
      </c>
      <c r="H2482" s="6" t="s">
        <v>15</v>
      </c>
      <c r="I2482" s="6" t="s">
        <v>46</v>
      </c>
      <c r="J2482" s="6" t="s">
        <v>632</v>
      </c>
      <c r="K2482" s="7">
        <v>30.227668739999999</v>
      </c>
      <c r="L2482" s="7">
        <v>-93.807219849999996</v>
      </c>
      <c r="M2482" s="6" t="s">
        <v>797</v>
      </c>
      <c r="N2482" s="6" t="s">
        <v>65</v>
      </c>
      <c r="O2482" s="6" t="s">
        <v>24</v>
      </c>
    </row>
    <row r="2483" spans="1:15" x14ac:dyDescent="0.25">
      <c r="A2483" s="6" t="s">
        <v>11098</v>
      </c>
      <c r="B2483" s="6" t="s">
        <v>11097</v>
      </c>
      <c r="C2483" s="6" t="s">
        <v>31</v>
      </c>
      <c r="E2483" s="6" t="s">
        <v>11096</v>
      </c>
      <c r="F2483" s="6" t="s">
        <v>11095</v>
      </c>
      <c r="G2483" s="6" t="s">
        <v>16</v>
      </c>
      <c r="H2483" s="6" t="s">
        <v>28</v>
      </c>
      <c r="I2483" s="6" t="s">
        <v>73</v>
      </c>
      <c r="J2483" s="6" t="s">
        <v>566</v>
      </c>
      <c r="K2483" s="7">
        <v>32.286287000000002</v>
      </c>
      <c r="L2483" s="7">
        <v>-94.913273000000004</v>
      </c>
      <c r="M2483" s="6" t="s">
        <v>6849</v>
      </c>
      <c r="N2483" s="6" t="s">
        <v>65</v>
      </c>
      <c r="O2483" s="6" t="s">
        <v>65</v>
      </c>
    </row>
    <row r="2484" spans="1:15" x14ac:dyDescent="0.25">
      <c r="A2484" s="6" t="s">
        <v>9573</v>
      </c>
      <c r="B2484" s="6" t="s">
        <v>9572</v>
      </c>
      <c r="C2484" s="6" t="s">
        <v>31</v>
      </c>
      <c r="E2484" s="6" t="s">
        <v>9571</v>
      </c>
      <c r="F2484" s="6" t="s">
        <v>2777</v>
      </c>
      <c r="G2484" s="6" t="s">
        <v>16</v>
      </c>
      <c r="H2484" s="6" t="s">
        <v>15</v>
      </c>
      <c r="I2484" s="6" t="s">
        <v>14</v>
      </c>
      <c r="J2484" s="6" t="s">
        <v>132</v>
      </c>
      <c r="K2484" s="7">
        <v>29.546628810000001</v>
      </c>
      <c r="L2484" s="7">
        <v>-95.571301890000001</v>
      </c>
      <c r="M2484" s="6" t="s">
        <v>616</v>
      </c>
      <c r="N2484" s="6" t="s">
        <v>23</v>
      </c>
      <c r="O2484" s="6" t="s">
        <v>23</v>
      </c>
    </row>
    <row r="2485" spans="1:15" x14ac:dyDescent="0.25">
      <c r="A2485" s="6" t="s">
        <v>8940</v>
      </c>
      <c r="B2485" s="6" t="s">
        <v>8939</v>
      </c>
      <c r="C2485" s="6" t="s">
        <v>31</v>
      </c>
      <c r="E2485" s="6" t="s">
        <v>8938</v>
      </c>
      <c r="F2485" s="6" t="s">
        <v>8937</v>
      </c>
      <c r="G2485" s="6" t="s">
        <v>16</v>
      </c>
      <c r="H2485" s="6" t="s">
        <v>28</v>
      </c>
      <c r="I2485" s="6" t="s">
        <v>27</v>
      </c>
      <c r="J2485" s="6" t="s">
        <v>1074</v>
      </c>
      <c r="K2485" s="7">
        <v>29.885290999999999</v>
      </c>
      <c r="L2485" s="7">
        <v>-96.477609999999999</v>
      </c>
      <c r="M2485" s="6" t="s">
        <v>1063</v>
      </c>
      <c r="N2485" s="6" t="s">
        <v>231</v>
      </c>
      <c r="O2485" s="6" t="s">
        <v>23</v>
      </c>
    </row>
    <row r="2486" spans="1:15" x14ac:dyDescent="0.25">
      <c r="A2486" s="6" t="s">
        <v>5782</v>
      </c>
      <c r="B2486" s="6" t="s">
        <v>5781</v>
      </c>
      <c r="C2486" s="6" t="s">
        <v>31</v>
      </c>
      <c r="E2486" s="6" t="s">
        <v>5780</v>
      </c>
      <c r="F2486" s="6" t="s">
        <v>5779</v>
      </c>
      <c r="G2486" s="6" t="s">
        <v>16</v>
      </c>
      <c r="H2486" s="6" t="s">
        <v>15</v>
      </c>
      <c r="I2486" s="6" t="s">
        <v>14</v>
      </c>
      <c r="J2486" s="6" t="s">
        <v>162</v>
      </c>
      <c r="K2486" s="7">
        <v>29.316926509999998</v>
      </c>
      <c r="L2486" s="7">
        <v>-95.258109730000001</v>
      </c>
      <c r="M2486" s="6" t="s">
        <v>3071</v>
      </c>
      <c r="N2486" s="6" t="s">
        <v>160</v>
      </c>
      <c r="O2486" s="6" t="s">
        <v>23</v>
      </c>
    </row>
    <row r="2487" spans="1:15" x14ac:dyDescent="0.25">
      <c r="A2487" s="6" t="s">
        <v>1982</v>
      </c>
      <c r="B2487" s="6" t="s">
        <v>1981</v>
      </c>
      <c r="C2487" s="6" t="s">
        <v>31</v>
      </c>
      <c r="E2487" s="6" t="s">
        <v>1980</v>
      </c>
      <c r="F2487" s="6" t="s">
        <v>1979</v>
      </c>
      <c r="G2487" s="6" t="s">
        <v>16</v>
      </c>
      <c r="H2487" s="6" t="s">
        <v>15</v>
      </c>
      <c r="I2487" s="6" t="s">
        <v>46</v>
      </c>
      <c r="J2487" s="6" t="s">
        <v>1978</v>
      </c>
      <c r="K2487" s="7">
        <v>28.367781999999998</v>
      </c>
      <c r="L2487" s="7">
        <v>-96.805819</v>
      </c>
      <c r="M2487" s="6" t="s">
        <v>1977</v>
      </c>
      <c r="N2487" s="6" t="s">
        <v>137</v>
      </c>
      <c r="O2487" s="6" t="s">
        <v>10</v>
      </c>
    </row>
    <row r="2488" spans="1:15" x14ac:dyDescent="0.25">
      <c r="A2488" s="6" t="s">
        <v>5786</v>
      </c>
      <c r="B2488" s="6" t="s">
        <v>5785</v>
      </c>
      <c r="C2488" s="6" t="s">
        <v>31</v>
      </c>
      <c r="E2488" s="6" t="s">
        <v>5784</v>
      </c>
      <c r="F2488" s="6" t="s">
        <v>5783</v>
      </c>
      <c r="G2488" s="6" t="s">
        <v>16</v>
      </c>
      <c r="H2488" s="6" t="s">
        <v>15</v>
      </c>
      <c r="I2488" s="6" t="s">
        <v>14</v>
      </c>
      <c r="J2488" s="6" t="s">
        <v>1064</v>
      </c>
      <c r="K2488" s="7">
        <v>29.2642898</v>
      </c>
      <c r="L2488" s="7">
        <v>-95.899908890000006</v>
      </c>
      <c r="M2488" s="6" t="s">
        <v>1063</v>
      </c>
      <c r="N2488" s="6" t="s">
        <v>231</v>
      </c>
      <c r="O2488" s="6" t="s">
        <v>23</v>
      </c>
    </row>
    <row r="2489" spans="1:15" x14ac:dyDescent="0.25">
      <c r="A2489" s="6" t="s">
        <v>5835</v>
      </c>
      <c r="B2489" s="6" t="s">
        <v>5834</v>
      </c>
      <c r="C2489" s="6" t="s">
        <v>31</v>
      </c>
      <c r="E2489" s="6" t="s">
        <v>5833</v>
      </c>
      <c r="F2489" s="6" t="s">
        <v>5832</v>
      </c>
      <c r="G2489" s="6" t="s">
        <v>16</v>
      </c>
      <c r="H2489" s="6" t="s">
        <v>15</v>
      </c>
      <c r="I2489" s="6" t="s">
        <v>14</v>
      </c>
      <c r="J2489" s="6" t="s">
        <v>2768</v>
      </c>
      <c r="K2489" s="7">
        <v>32.24834997</v>
      </c>
      <c r="L2489" s="7">
        <v>-97.549173199999998</v>
      </c>
      <c r="M2489" s="6" t="s">
        <v>1450</v>
      </c>
      <c r="N2489" s="6" t="s">
        <v>23</v>
      </c>
      <c r="O2489" s="6" t="s">
        <v>42</v>
      </c>
    </row>
    <row r="2490" spans="1:15" x14ac:dyDescent="0.25">
      <c r="A2490" s="6" t="s">
        <v>9638</v>
      </c>
      <c r="B2490" s="6" t="s">
        <v>9637</v>
      </c>
      <c r="C2490" s="6" t="s">
        <v>31</v>
      </c>
      <c r="E2490" s="6" t="s">
        <v>9636</v>
      </c>
      <c r="F2490" s="6" t="s">
        <v>263</v>
      </c>
      <c r="G2490" s="6" t="s">
        <v>16</v>
      </c>
      <c r="H2490" s="6" t="s">
        <v>15</v>
      </c>
      <c r="I2490" s="6" t="s">
        <v>14</v>
      </c>
      <c r="J2490" s="6" t="s">
        <v>162</v>
      </c>
      <c r="K2490" s="7">
        <v>29.296257910000001</v>
      </c>
      <c r="L2490" s="7">
        <v>-95.540531999999999</v>
      </c>
      <c r="M2490" s="6" t="s">
        <v>2680</v>
      </c>
      <c r="N2490" s="6" t="s">
        <v>160</v>
      </c>
      <c r="O2490" s="6" t="s">
        <v>23</v>
      </c>
    </row>
    <row r="2491" spans="1:15" x14ac:dyDescent="0.25">
      <c r="A2491" s="6" t="s">
        <v>7572</v>
      </c>
      <c r="B2491" s="6" t="s">
        <v>7571</v>
      </c>
      <c r="C2491" s="6" t="s">
        <v>31</v>
      </c>
      <c r="E2491" s="6" t="s">
        <v>7570</v>
      </c>
      <c r="F2491" s="6" t="s">
        <v>4988</v>
      </c>
      <c r="G2491" s="6" t="s">
        <v>16</v>
      </c>
      <c r="H2491" s="6" t="s">
        <v>15</v>
      </c>
      <c r="I2491" s="6" t="s">
        <v>14</v>
      </c>
      <c r="J2491" s="6" t="s">
        <v>132</v>
      </c>
      <c r="K2491" s="7">
        <v>29.569102709999999</v>
      </c>
      <c r="L2491" s="7">
        <v>-95.754281860000006</v>
      </c>
      <c r="M2491" s="6" t="s">
        <v>355</v>
      </c>
      <c r="N2491" s="6" t="s">
        <v>23</v>
      </c>
      <c r="O2491" s="6" t="s">
        <v>23</v>
      </c>
    </row>
    <row r="2492" spans="1:15" x14ac:dyDescent="0.25">
      <c r="A2492" s="6" t="s">
        <v>9602</v>
      </c>
      <c r="B2492" s="6" t="s">
        <v>9601</v>
      </c>
      <c r="C2492" s="6" t="s">
        <v>31</v>
      </c>
      <c r="E2492" s="6" t="s">
        <v>9600</v>
      </c>
      <c r="F2492" s="6" t="s">
        <v>9599</v>
      </c>
      <c r="G2492" s="6" t="s">
        <v>16</v>
      </c>
      <c r="H2492" s="6" t="s">
        <v>28</v>
      </c>
      <c r="I2492" s="6" t="s">
        <v>73</v>
      </c>
      <c r="J2492" s="6" t="s">
        <v>946</v>
      </c>
      <c r="K2492" s="7">
        <v>31.163543000000001</v>
      </c>
      <c r="L2492" s="7">
        <v>-105.320455</v>
      </c>
      <c r="M2492" s="6" t="s">
        <v>1669</v>
      </c>
      <c r="N2492" s="6" t="s">
        <v>373</v>
      </c>
      <c r="O2492" s="6" t="s">
        <v>52</v>
      </c>
    </row>
    <row r="2493" spans="1:15" x14ac:dyDescent="0.25">
      <c r="A2493" s="6" t="s">
        <v>9032</v>
      </c>
      <c r="B2493" s="6" t="s">
        <v>9031</v>
      </c>
      <c r="C2493" s="6" t="s">
        <v>31</v>
      </c>
      <c r="E2493" s="6" t="s">
        <v>9030</v>
      </c>
      <c r="F2493" s="6" t="s">
        <v>9029</v>
      </c>
      <c r="G2493" s="6" t="s">
        <v>16</v>
      </c>
      <c r="H2493" s="6" t="s">
        <v>28</v>
      </c>
      <c r="I2493" s="6" t="s">
        <v>36</v>
      </c>
      <c r="J2493" s="6" t="s">
        <v>35</v>
      </c>
      <c r="K2493" s="7">
        <v>29.920783440000001</v>
      </c>
      <c r="L2493" s="7">
        <v>-95.469400379999996</v>
      </c>
      <c r="M2493" s="6" t="s">
        <v>34</v>
      </c>
      <c r="N2493" s="6" t="s">
        <v>24</v>
      </c>
      <c r="O2493" s="6" t="s">
        <v>23</v>
      </c>
    </row>
    <row r="2494" spans="1:15" x14ac:dyDescent="0.25">
      <c r="A2494" s="6" t="s">
        <v>8701</v>
      </c>
      <c r="B2494" s="6" t="s">
        <v>8700</v>
      </c>
      <c r="C2494" s="6" t="s">
        <v>31</v>
      </c>
      <c r="E2494" s="6" t="s">
        <v>8699</v>
      </c>
      <c r="F2494" s="6" t="s">
        <v>2607</v>
      </c>
      <c r="G2494" s="6" t="s">
        <v>16</v>
      </c>
      <c r="H2494" s="6" t="s">
        <v>28</v>
      </c>
      <c r="I2494" s="6" t="s">
        <v>27</v>
      </c>
      <c r="J2494" s="6" t="s">
        <v>3523</v>
      </c>
      <c r="K2494" s="7">
        <v>29.709644000000001</v>
      </c>
      <c r="L2494" s="7">
        <v>-96.481301000000002</v>
      </c>
      <c r="M2494" s="6" t="s">
        <v>295</v>
      </c>
      <c r="N2494" s="6" t="s">
        <v>10</v>
      </c>
      <c r="O2494" s="6" t="s">
        <v>23</v>
      </c>
    </row>
    <row r="2495" spans="1:15" x14ac:dyDescent="0.25">
      <c r="A2495" s="6" t="s">
        <v>9598</v>
      </c>
      <c r="B2495" s="6" t="s">
        <v>9597</v>
      </c>
      <c r="C2495" s="6" t="s">
        <v>31</v>
      </c>
      <c r="E2495" s="6" t="s">
        <v>9596</v>
      </c>
      <c r="F2495" s="6" t="s">
        <v>29</v>
      </c>
      <c r="G2495" s="6" t="s">
        <v>16</v>
      </c>
      <c r="H2495" s="6" t="s">
        <v>28</v>
      </c>
      <c r="I2495" s="6" t="s">
        <v>73</v>
      </c>
      <c r="J2495" s="6" t="s">
        <v>26</v>
      </c>
      <c r="K2495" s="7">
        <v>30.14256258</v>
      </c>
      <c r="L2495" s="7">
        <v>-95.653217280000007</v>
      </c>
      <c r="M2495" s="6" t="s">
        <v>731</v>
      </c>
      <c r="N2495" s="6" t="s">
        <v>24</v>
      </c>
      <c r="O2495" s="6" t="s">
        <v>23</v>
      </c>
    </row>
    <row r="2496" spans="1:15" x14ac:dyDescent="0.25">
      <c r="A2496" s="6" t="s">
        <v>5769</v>
      </c>
      <c r="B2496" s="6" t="s">
        <v>1408</v>
      </c>
      <c r="C2496" s="6" t="s">
        <v>31</v>
      </c>
      <c r="E2496" s="6" t="s">
        <v>1407</v>
      </c>
      <c r="F2496" s="6" t="s">
        <v>1406</v>
      </c>
      <c r="G2496" s="6" t="s">
        <v>16</v>
      </c>
      <c r="H2496" s="6" t="s">
        <v>15</v>
      </c>
      <c r="I2496" s="6" t="s">
        <v>60</v>
      </c>
      <c r="J2496" s="6" t="s">
        <v>1405</v>
      </c>
      <c r="K2496" s="7">
        <v>35.959047380000001</v>
      </c>
      <c r="L2496" s="7">
        <v>-101.87661285999999</v>
      </c>
      <c r="M2496" s="6" t="s">
        <v>1404</v>
      </c>
      <c r="N2496" s="6" t="s">
        <v>535</v>
      </c>
      <c r="O2496" s="6" t="s">
        <v>535</v>
      </c>
    </row>
    <row r="2497" spans="1:15" x14ac:dyDescent="0.25">
      <c r="A2497" s="6" t="s">
        <v>5768</v>
      </c>
      <c r="B2497" s="6" t="s">
        <v>1408</v>
      </c>
      <c r="C2497" s="6" t="s">
        <v>19</v>
      </c>
      <c r="E2497" s="6" t="s">
        <v>1407</v>
      </c>
      <c r="F2497" s="6" t="s">
        <v>1406</v>
      </c>
      <c r="G2497" s="6" t="s">
        <v>16</v>
      </c>
      <c r="H2497" s="6" t="s">
        <v>15</v>
      </c>
      <c r="I2497" s="6" t="s">
        <v>60</v>
      </c>
      <c r="J2497" s="6" t="s">
        <v>1405</v>
      </c>
      <c r="K2497" s="7">
        <v>35.959051909999999</v>
      </c>
      <c r="L2497" s="7">
        <v>-101.87517764</v>
      </c>
      <c r="M2497" s="6" t="s">
        <v>1404</v>
      </c>
      <c r="N2497" s="6" t="s">
        <v>535</v>
      </c>
      <c r="O2497" s="6" t="s">
        <v>535</v>
      </c>
    </row>
    <row r="2498" spans="1:15" x14ac:dyDescent="0.25">
      <c r="A2498" s="6" t="s">
        <v>5767</v>
      </c>
      <c r="B2498" s="6" t="s">
        <v>1408</v>
      </c>
      <c r="C2498" s="6" t="s">
        <v>436</v>
      </c>
      <c r="E2498" s="6" t="s">
        <v>1407</v>
      </c>
      <c r="F2498" s="6" t="s">
        <v>1406</v>
      </c>
      <c r="G2498" s="6" t="s">
        <v>16</v>
      </c>
      <c r="H2498" s="6" t="s">
        <v>430</v>
      </c>
      <c r="I2498" s="6" t="s">
        <v>60</v>
      </c>
      <c r="J2498" s="6" t="s">
        <v>1405</v>
      </c>
      <c r="K2498" s="7">
        <v>35.957764330000003</v>
      </c>
      <c r="L2498" s="7">
        <v>-101.87604819000001</v>
      </c>
      <c r="M2498" s="6" t="s">
        <v>1404</v>
      </c>
      <c r="N2498" s="6" t="s">
        <v>535</v>
      </c>
      <c r="O2498" s="6" t="s">
        <v>535</v>
      </c>
    </row>
    <row r="2499" spans="1:15" x14ac:dyDescent="0.25">
      <c r="A2499" s="6" t="s">
        <v>5766</v>
      </c>
      <c r="B2499" s="6" t="s">
        <v>1408</v>
      </c>
      <c r="C2499" s="6" t="s">
        <v>597</v>
      </c>
      <c r="E2499" s="6" t="s">
        <v>1407</v>
      </c>
      <c r="F2499" s="6" t="s">
        <v>1406</v>
      </c>
      <c r="G2499" s="6" t="s">
        <v>16</v>
      </c>
      <c r="H2499" s="6" t="s">
        <v>430</v>
      </c>
      <c r="I2499" s="6" t="s">
        <v>60</v>
      </c>
      <c r="J2499" s="6" t="s">
        <v>1405</v>
      </c>
      <c r="K2499" s="7">
        <v>35.958606949999997</v>
      </c>
      <c r="L2499" s="7">
        <v>-101.87788454</v>
      </c>
      <c r="M2499" s="6" t="s">
        <v>1404</v>
      </c>
      <c r="N2499" s="6" t="s">
        <v>535</v>
      </c>
      <c r="O2499" s="6" t="s">
        <v>535</v>
      </c>
    </row>
    <row r="2500" spans="1:15" x14ac:dyDescent="0.25">
      <c r="A2500" s="6" t="s">
        <v>5765</v>
      </c>
      <c r="B2500" s="6" t="s">
        <v>1408</v>
      </c>
      <c r="C2500" s="6" t="s">
        <v>557</v>
      </c>
      <c r="E2500" s="6" t="s">
        <v>1407</v>
      </c>
      <c r="F2500" s="6" t="s">
        <v>1406</v>
      </c>
      <c r="G2500" s="6" t="s">
        <v>16</v>
      </c>
      <c r="H2500" s="6" t="s">
        <v>430</v>
      </c>
      <c r="I2500" s="6" t="s">
        <v>60</v>
      </c>
      <c r="J2500" s="6" t="s">
        <v>1405</v>
      </c>
      <c r="K2500" s="7">
        <v>35.958414470000001</v>
      </c>
      <c r="L2500" s="7">
        <v>-101.87974077</v>
      </c>
      <c r="M2500" s="6" t="s">
        <v>1404</v>
      </c>
      <c r="N2500" s="6" t="s">
        <v>535</v>
      </c>
      <c r="O2500" s="6" t="s">
        <v>535</v>
      </c>
    </row>
    <row r="2501" spans="1:15" x14ac:dyDescent="0.25">
      <c r="A2501" s="6" t="s">
        <v>5764</v>
      </c>
      <c r="B2501" s="6" t="s">
        <v>1408</v>
      </c>
      <c r="C2501" s="6" t="s">
        <v>1098</v>
      </c>
      <c r="E2501" s="6" t="s">
        <v>1407</v>
      </c>
      <c r="F2501" s="6" t="s">
        <v>1406</v>
      </c>
      <c r="G2501" s="6" t="s">
        <v>16</v>
      </c>
      <c r="H2501" s="6" t="s">
        <v>430</v>
      </c>
      <c r="I2501" s="6" t="s">
        <v>60</v>
      </c>
      <c r="J2501" s="6" t="s">
        <v>1405</v>
      </c>
      <c r="K2501" s="7">
        <v>35.956782500000003</v>
      </c>
      <c r="L2501" s="7">
        <v>-101.8828232</v>
      </c>
      <c r="M2501" s="6" t="s">
        <v>1404</v>
      </c>
      <c r="N2501" s="6" t="s">
        <v>535</v>
      </c>
      <c r="O2501" s="6" t="s">
        <v>535</v>
      </c>
    </row>
    <row r="2502" spans="1:15" x14ac:dyDescent="0.25">
      <c r="A2502" s="6" t="s">
        <v>1409</v>
      </c>
      <c r="B2502" s="6" t="s">
        <v>1408</v>
      </c>
      <c r="C2502" s="6" t="s">
        <v>1096</v>
      </c>
      <c r="E2502" s="6" t="s">
        <v>1407</v>
      </c>
      <c r="F2502" s="6" t="s">
        <v>1406</v>
      </c>
      <c r="G2502" s="6" t="s">
        <v>16</v>
      </c>
      <c r="H2502" s="6" t="s">
        <v>430</v>
      </c>
      <c r="I2502" s="6" t="s">
        <v>60</v>
      </c>
      <c r="J2502" s="6" t="s">
        <v>1405</v>
      </c>
      <c r="K2502" s="7">
        <v>35.957122009999999</v>
      </c>
      <c r="L2502" s="7">
        <v>-101.89037612</v>
      </c>
      <c r="M2502" s="6" t="s">
        <v>1404</v>
      </c>
      <c r="N2502" s="6" t="s">
        <v>535</v>
      </c>
      <c r="O2502" s="6" t="s">
        <v>535</v>
      </c>
    </row>
    <row r="2503" spans="1:15" x14ac:dyDescent="0.25">
      <c r="A2503" s="6" t="s">
        <v>8634</v>
      </c>
      <c r="B2503" s="6" t="s">
        <v>8633</v>
      </c>
      <c r="C2503" s="6" t="s">
        <v>31</v>
      </c>
      <c r="E2503" s="6" t="s">
        <v>8632</v>
      </c>
      <c r="F2503" s="6" t="s">
        <v>8631</v>
      </c>
      <c r="G2503" s="6" t="s">
        <v>16</v>
      </c>
      <c r="H2503" s="6" t="s">
        <v>28</v>
      </c>
      <c r="I2503" s="6" t="s">
        <v>799</v>
      </c>
      <c r="J2503" s="6" t="s">
        <v>132</v>
      </c>
      <c r="K2503" s="7">
        <v>29.752074</v>
      </c>
      <c r="L2503" s="7">
        <v>-95.780581999999995</v>
      </c>
      <c r="M2503" s="6" t="s">
        <v>131</v>
      </c>
      <c r="N2503" s="6" t="s">
        <v>24</v>
      </c>
      <c r="O2503" s="6" t="s">
        <v>23</v>
      </c>
    </row>
    <row r="2504" spans="1:15" x14ac:dyDescent="0.25">
      <c r="A2504" s="6" t="s">
        <v>9178</v>
      </c>
      <c r="B2504" s="6" t="s">
        <v>9177</v>
      </c>
      <c r="C2504" s="6" t="s">
        <v>31</v>
      </c>
      <c r="E2504" s="6" t="s">
        <v>9176</v>
      </c>
      <c r="F2504" s="6" t="s">
        <v>5708</v>
      </c>
      <c r="G2504" s="6" t="s">
        <v>16</v>
      </c>
      <c r="H2504" s="6" t="s">
        <v>28</v>
      </c>
      <c r="I2504" s="6" t="s">
        <v>27</v>
      </c>
      <c r="J2504" s="6" t="s">
        <v>35</v>
      </c>
      <c r="K2504" s="7">
        <v>30.03225003</v>
      </c>
      <c r="L2504" s="7">
        <v>-95.248039730000002</v>
      </c>
      <c r="M2504" s="6" t="s">
        <v>1766</v>
      </c>
      <c r="N2504" s="6" t="s">
        <v>24</v>
      </c>
      <c r="O2504" s="6" t="s">
        <v>23</v>
      </c>
    </row>
    <row r="2505" spans="1:15" x14ac:dyDescent="0.25">
      <c r="A2505" s="6" t="s">
        <v>9527</v>
      </c>
      <c r="B2505" s="6" t="s">
        <v>9526</v>
      </c>
      <c r="C2505" s="6" t="s">
        <v>31</v>
      </c>
      <c r="E2505" s="6" t="s">
        <v>9525</v>
      </c>
      <c r="F2505" s="6" t="s">
        <v>9524</v>
      </c>
      <c r="G2505" s="6" t="s">
        <v>16</v>
      </c>
      <c r="H2505" s="6" t="s">
        <v>15</v>
      </c>
      <c r="I2505" s="6" t="s">
        <v>36</v>
      </c>
      <c r="J2505" s="6" t="s">
        <v>35</v>
      </c>
      <c r="K2505" s="7">
        <v>30.039509979999998</v>
      </c>
      <c r="L2505" s="7">
        <v>-95.566843919999997</v>
      </c>
      <c r="M2505" s="6" t="s">
        <v>279</v>
      </c>
      <c r="N2505" s="6" t="s">
        <v>24</v>
      </c>
      <c r="O2505" s="6" t="s">
        <v>23</v>
      </c>
    </row>
    <row r="2506" spans="1:15" x14ac:dyDescent="0.25">
      <c r="A2506" s="6" t="s">
        <v>9612</v>
      </c>
      <c r="B2506" s="6" t="s">
        <v>9611</v>
      </c>
      <c r="C2506" s="6" t="s">
        <v>31</v>
      </c>
      <c r="E2506" s="6" t="s">
        <v>9610</v>
      </c>
      <c r="F2506" s="6" t="s">
        <v>7739</v>
      </c>
      <c r="G2506" s="6" t="s">
        <v>16</v>
      </c>
      <c r="H2506" s="6" t="s">
        <v>28</v>
      </c>
      <c r="I2506" s="6" t="s">
        <v>60</v>
      </c>
      <c r="J2506" s="6" t="s">
        <v>2768</v>
      </c>
      <c r="K2506" s="7">
        <v>32.513004530000003</v>
      </c>
      <c r="L2506" s="7">
        <v>-97.451514189999997</v>
      </c>
      <c r="M2506" s="6" t="s">
        <v>2015</v>
      </c>
      <c r="N2506" s="6" t="s">
        <v>102</v>
      </c>
      <c r="O2506" s="6" t="s">
        <v>42</v>
      </c>
    </row>
    <row r="2507" spans="1:15" x14ac:dyDescent="0.25">
      <c r="A2507" s="6" t="s">
        <v>9520</v>
      </c>
      <c r="B2507" s="6" t="s">
        <v>9519</v>
      </c>
      <c r="C2507" s="6" t="s">
        <v>31</v>
      </c>
      <c r="E2507" s="6" t="s">
        <v>9518</v>
      </c>
      <c r="F2507" s="6" t="s">
        <v>9517</v>
      </c>
      <c r="G2507" s="6" t="s">
        <v>16</v>
      </c>
      <c r="H2507" s="6" t="s">
        <v>15</v>
      </c>
      <c r="I2507" s="6" t="s">
        <v>36</v>
      </c>
      <c r="J2507" s="6" t="s">
        <v>35</v>
      </c>
      <c r="K2507" s="7">
        <v>29.965901599999999</v>
      </c>
      <c r="L2507" s="7">
        <v>-95.676829729999994</v>
      </c>
      <c r="M2507" s="6" t="s">
        <v>279</v>
      </c>
      <c r="N2507" s="6" t="s">
        <v>24</v>
      </c>
      <c r="O2507" s="6" t="s">
        <v>23</v>
      </c>
    </row>
    <row r="2508" spans="1:15" x14ac:dyDescent="0.25">
      <c r="A2508" s="6" t="s">
        <v>8661</v>
      </c>
      <c r="B2508" s="6" t="s">
        <v>8660</v>
      </c>
      <c r="C2508" s="6" t="s">
        <v>31</v>
      </c>
      <c r="E2508" s="6" t="s">
        <v>8659</v>
      </c>
      <c r="F2508" s="6" t="s">
        <v>8658</v>
      </c>
      <c r="G2508" s="6" t="s">
        <v>16</v>
      </c>
      <c r="H2508" s="6" t="s">
        <v>28</v>
      </c>
      <c r="I2508" s="6" t="s">
        <v>1200</v>
      </c>
      <c r="J2508" s="6" t="s">
        <v>35</v>
      </c>
      <c r="K2508" s="7">
        <v>30.062775999999999</v>
      </c>
      <c r="L2508" s="7">
        <v>-95.423878000000002</v>
      </c>
      <c r="M2508" s="6" t="s">
        <v>279</v>
      </c>
      <c r="N2508" s="6" t="s">
        <v>24</v>
      </c>
      <c r="O2508" s="6" t="s">
        <v>23</v>
      </c>
    </row>
    <row r="2509" spans="1:15" x14ac:dyDescent="0.25">
      <c r="A2509" s="6" t="s">
        <v>5756</v>
      </c>
      <c r="B2509" s="6" t="s">
        <v>5754</v>
      </c>
      <c r="C2509" s="6" t="s">
        <v>31</v>
      </c>
      <c r="E2509" s="6" t="s">
        <v>5753</v>
      </c>
      <c r="F2509" s="6" t="s">
        <v>5752</v>
      </c>
      <c r="G2509" s="6" t="s">
        <v>16</v>
      </c>
      <c r="H2509" s="6" t="s">
        <v>430</v>
      </c>
      <c r="I2509" s="6" t="s">
        <v>14</v>
      </c>
      <c r="J2509" s="6" t="s">
        <v>35</v>
      </c>
      <c r="K2509" s="7">
        <v>29.761271690000001</v>
      </c>
      <c r="L2509" s="7">
        <v>-95.183778689999997</v>
      </c>
      <c r="M2509" s="6" t="s">
        <v>34</v>
      </c>
      <c r="N2509" s="6" t="s">
        <v>24</v>
      </c>
      <c r="O2509" s="6" t="s">
        <v>23</v>
      </c>
    </row>
    <row r="2510" spans="1:15" x14ac:dyDescent="0.25">
      <c r="A2510" s="6" t="s">
        <v>5755</v>
      </c>
      <c r="B2510" s="6" t="s">
        <v>5754</v>
      </c>
      <c r="C2510" s="6" t="s">
        <v>436</v>
      </c>
      <c r="E2510" s="6" t="s">
        <v>5753</v>
      </c>
      <c r="F2510" s="6" t="s">
        <v>5752</v>
      </c>
      <c r="G2510" s="6" t="s">
        <v>16</v>
      </c>
      <c r="H2510" s="6" t="s">
        <v>430</v>
      </c>
      <c r="I2510" s="6" t="s">
        <v>14</v>
      </c>
      <c r="J2510" s="6" t="s">
        <v>35</v>
      </c>
      <c r="K2510" s="7">
        <v>29.761255469999998</v>
      </c>
      <c r="L2510" s="7">
        <v>-95.184744980000005</v>
      </c>
      <c r="M2510" s="6" t="s">
        <v>34</v>
      </c>
      <c r="N2510" s="6" t="s">
        <v>24</v>
      </c>
      <c r="O2510" s="6" t="s">
        <v>23</v>
      </c>
    </row>
    <row r="2511" spans="1:15" x14ac:dyDescent="0.25">
      <c r="A2511" s="6" t="s">
        <v>10469</v>
      </c>
      <c r="B2511" s="6" t="s">
        <v>10468</v>
      </c>
      <c r="C2511" s="6" t="s">
        <v>31</v>
      </c>
      <c r="E2511" s="6" t="s">
        <v>10467</v>
      </c>
      <c r="F2511" s="6" t="s">
        <v>10466</v>
      </c>
      <c r="G2511" s="6" t="s">
        <v>16</v>
      </c>
      <c r="H2511" s="6" t="s">
        <v>28</v>
      </c>
      <c r="I2511" s="6" t="s">
        <v>27</v>
      </c>
      <c r="J2511" s="6" t="s">
        <v>3523</v>
      </c>
      <c r="K2511" s="7">
        <v>29.718944690000001</v>
      </c>
      <c r="L2511" s="7">
        <v>-96.587456590000002</v>
      </c>
      <c r="M2511" s="6" t="s">
        <v>295</v>
      </c>
      <c r="N2511" s="6" t="s">
        <v>10</v>
      </c>
      <c r="O2511" s="6" t="s">
        <v>23</v>
      </c>
    </row>
    <row r="2512" spans="1:15" x14ac:dyDescent="0.25">
      <c r="A2512" s="6" t="s">
        <v>5692</v>
      </c>
      <c r="B2512" s="6" t="s">
        <v>5691</v>
      </c>
      <c r="C2512" s="6" t="s">
        <v>31</v>
      </c>
      <c r="E2512" s="6" t="s">
        <v>5690</v>
      </c>
      <c r="F2512" s="6" t="s">
        <v>5689</v>
      </c>
      <c r="G2512" s="6" t="s">
        <v>16</v>
      </c>
      <c r="H2512" s="6" t="s">
        <v>3460</v>
      </c>
      <c r="I2512" s="6" t="s">
        <v>14</v>
      </c>
      <c r="J2512" s="6" t="s">
        <v>873</v>
      </c>
      <c r="K2512" s="7">
        <v>29.361176440000001</v>
      </c>
      <c r="L2512" s="7">
        <v>-98.579045789999995</v>
      </c>
      <c r="M2512" s="6" t="s">
        <v>4655</v>
      </c>
      <c r="N2512" s="6" t="s">
        <v>232</v>
      </c>
      <c r="O2512" s="6" t="s">
        <v>231</v>
      </c>
    </row>
    <row r="2513" spans="1:15" x14ac:dyDescent="0.25">
      <c r="A2513" s="6" t="s">
        <v>9504</v>
      </c>
      <c r="B2513" s="6" t="s">
        <v>9503</v>
      </c>
      <c r="C2513" s="6" t="s">
        <v>31</v>
      </c>
      <c r="E2513" s="6" t="s">
        <v>9502</v>
      </c>
      <c r="F2513" s="6" t="s">
        <v>9501</v>
      </c>
      <c r="G2513" s="6" t="s">
        <v>16</v>
      </c>
      <c r="H2513" s="6" t="s">
        <v>28</v>
      </c>
      <c r="I2513" s="6" t="s">
        <v>27</v>
      </c>
      <c r="J2513" s="6" t="s">
        <v>1978</v>
      </c>
      <c r="K2513" s="7">
        <v>28.095569999999999</v>
      </c>
      <c r="L2513" s="7">
        <v>-97.231862000000007</v>
      </c>
      <c r="M2513" s="6" t="s">
        <v>138</v>
      </c>
      <c r="N2513" s="6" t="s">
        <v>137</v>
      </c>
      <c r="O2513" s="6" t="s">
        <v>10</v>
      </c>
    </row>
    <row r="2514" spans="1:15" x14ac:dyDescent="0.25">
      <c r="A2514" s="6" t="s">
        <v>4188</v>
      </c>
      <c r="B2514" s="6" t="s">
        <v>4187</v>
      </c>
      <c r="C2514" s="6" t="s">
        <v>31</v>
      </c>
      <c r="E2514" s="6" t="s">
        <v>4186</v>
      </c>
      <c r="F2514" s="6" t="s">
        <v>4185</v>
      </c>
      <c r="G2514" s="6" t="s">
        <v>16</v>
      </c>
      <c r="H2514" s="6" t="s">
        <v>28</v>
      </c>
      <c r="I2514" s="6" t="s">
        <v>27</v>
      </c>
      <c r="J2514" s="6" t="s">
        <v>928</v>
      </c>
      <c r="K2514" s="7">
        <v>31.578006999999999</v>
      </c>
      <c r="L2514" s="7">
        <v>-95.844108000000006</v>
      </c>
      <c r="M2514" s="6" t="s">
        <v>1031</v>
      </c>
      <c r="N2514" s="6" t="s">
        <v>102</v>
      </c>
      <c r="O2514" s="6" t="s">
        <v>120</v>
      </c>
    </row>
    <row r="2515" spans="1:15" x14ac:dyDescent="0.25">
      <c r="A2515" s="6" t="s">
        <v>9483</v>
      </c>
      <c r="B2515" s="6" t="s">
        <v>9482</v>
      </c>
      <c r="C2515" s="6" t="s">
        <v>31</v>
      </c>
      <c r="E2515" s="6" t="s">
        <v>9481</v>
      </c>
      <c r="F2515" s="6" t="s">
        <v>9480</v>
      </c>
      <c r="G2515" s="6" t="s">
        <v>16</v>
      </c>
      <c r="H2515" s="6" t="s">
        <v>28</v>
      </c>
      <c r="I2515" s="6" t="s">
        <v>73</v>
      </c>
      <c r="J2515" s="6" t="s">
        <v>104</v>
      </c>
      <c r="K2515" s="7">
        <v>32.741782000000001</v>
      </c>
      <c r="L2515" s="7">
        <v>-96.393343999999999</v>
      </c>
      <c r="M2515" s="6" t="s">
        <v>193</v>
      </c>
      <c r="N2515" s="6" t="s">
        <v>120</v>
      </c>
      <c r="O2515" s="6" t="s">
        <v>42</v>
      </c>
    </row>
    <row r="2516" spans="1:15" x14ac:dyDescent="0.25">
      <c r="A2516" s="6" t="s">
        <v>9468</v>
      </c>
      <c r="B2516" s="6" t="s">
        <v>9467</v>
      </c>
      <c r="C2516" s="6" t="s">
        <v>31</v>
      </c>
      <c r="E2516" s="6" t="s">
        <v>9466</v>
      </c>
      <c r="F2516" s="6" t="s">
        <v>9465</v>
      </c>
      <c r="G2516" s="6" t="s">
        <v>16</v>
      </c>
      <c r="H2516" s="6" t="s">
        <v>28</v>
      </c>
      <c r="I2516" s="6" t="s">
        <v>27</v>
      </c>
      <c r="J2516" s="6" t="s">
        <v>512</v>
      </c>
      <c r="K2516" s="7">
        <v>27.431567000000001</v>
      </c>
      <c r="L2516" s="7">
        <v>-98.823560999999998</v>
      </c>
      <c r="M2516" s="6" t="s">
        <v>9464</v>
      </c>
      <c r="N2516" s="6" t="s">
        <v>11</v>
      </c>
      <c r="O2516" s="6" t="s">
        <v>510</v>
      </c>
    </row>
    <row r="2517" spans="1:15" x14ac:dyDescent="0.25">
      <c r="A2517" s="6" t="s">
        <v>9496</v>
      </c>
      <c r="B2517" s="6" t="s">
        <v>9495</v>
      </c>
      <c r="C2517" s="6" t="s">
        <v>31</v>
      </c>
      <c r="E2517" s="6" t="s">
        <v>9494</v>
      </c>
      <c r="F2517" s="6" t="s">
        <v>9493</v>
      </c>
      <c r="G2517" s="6" t="s">
        <v>16</v>
      </c>
      <c r="H2517" s="6" t="s">
        <v>28</v>
      </c>
      <c r="I2517" s="6" t="s">
        <v>27</v>
      </c>
      <c r="J2517" s="6" t="s">
        <v>1074</v>
      </c>
      <c r="K2517" s="7">
        <v>29.98023851</v>
      </c>
      <c r="L2517" s="7">
        <v>-96.518680419999995</v>
      </c>
      <c r="M2517" s="6" t="s">
        <v>355</v>
      </c>
      <c r="N2517" s="6" t="s">
        <v>23</v>
      </c>
      <c r="O2517" s="6" t="s">
        <v>23</v>
      </c>
    </row>
    <row r="2518" spans="1:15" x14ac:dyDescent="0.25">
      <c r="A2518" s="6" t="s">
        <v>1458</v>
      </c>
      <c r="B2518" s="6" t="s">
        <v>1457</v>
      </c>
      <c r="C2518" s="6" t="s">
        <v>31</v>
      </c>
      <c r="E2518" s="6" t="s">
        <v>1456</v>
      </c>
      <c r="F2518" s="6" t="s">
        <v>1100</v>
      </c>
      <c r="G2518" s="6" t="s">
        <v>16</v>
      </c>
      <c r="H2518" s="6" t="s">
        <v>15</v>
      </c>
      <c r="I2518" s="6" t="s">
        <v>14</v>
      </c>
      <c r="J2518" s="6" t="s">
        <v>385</v>
      </c>
      <c r="K2518" s="7">
        <v>29.828395839999999</v>
      </c>
      <c r="L2518" s="7">
        <v>-93.962497339999999</v>
      </c>
      <c r="M2518" s="6" t="s">
        <v>610</v>
      </c>
      <c r="N2518" s="6" t="s">
        <v>383</v>
      </c>
      <c r="O2518" s="6" t="s">
        <v>24</v>
      </c>
    </row>
    <row r="2519" spans="1:15" x14ac:dyDescent="0.25">
      <c r="A2519" s="6" t="s">
        <v>9459</v>
      </c>
      <c r="B2519" s="6" t="s">
        <v>9458</v>
      </c>
      <c r="C2519" s="6" t="s">
        <v>31</v>
      </c>
      <c r="E2519" s="6" t="s">
        <v>9457</v>
      </c>
      <c r="F2519" s="6" t="s">
        <v>9456</v>
      </c>
      <c r="G2519" s="6" t="s">
        <v>16</v>
      </c>
      <c r="H2519" s="6" t="s">
        <v>28</v>
      </c>
      <c r="I2519" s="6" t="s">
        <v>27</v>
      </c>
      <c r="J2519" s="6" t="s">
        <v>576</v>
      </c>
      <c r="K2519" s="7">
        <v>30.479768</v>
      </c>
      <c r="L2519" s="7">
        <v>-95.986588999999995</v>
      </c>
      <c r="M2519" s="6" t="s">
        <v>927</v>
      </c>
      <c r="N2519" s="6" t="s">
        <v>23</v>
      </c>
      <c r="O2519" s="6" t="s">
        <v>120</v>
      </c>
    </row>
    <row r="2520" spans="1:15" x14ac:dyDescent="0.25">
      <c r="A2520" s="6" t="s">
        <v>9257</v>
      </c>
      <c r="B2520" s="6" t="s">
        <v>9256</v>
      </c>
      <c r="C2520" s="6" t="s">
        <v>31</v>
      </c>
      <c r="E2520" s="6" t="s">
        <v>9255</v>
      </c>
      <c r="F2520" s="6" t="s">
        <v>9254</v>
      </c>
      <c r="G2520" s="6" t="s">
        <v>16</v>
      </c>
      <c r="H2520" s="6" t="s">
        <v>15</v>
      </c>
      <c r="I2520" s="6" t="s">
        <v>14</v>
      </c>
      <c r="J2520" s="6" t="s">
        <v>132</v>
      </c>
      <c r="K2520" s="7">
        <v>29.64620094</v>
      </c>
      <c r="L2520" s="7">
        <v>-95.727273629999999</v>
      </c>
      <c r="M2520" s="6" t="s">
        <v>616</v>
      </c>
      <c r="N2520" s="6" t="s">
        <v>23</v>
      </c>
      <c r="O2520" s="6" t="s">
        <v>23</v>
      </c>
    </row>
    <row r="2521" spans="1:15" x14ac:dyDescent="0.25">
      <c r="A2521" s="6" t="s">
        <v>9113</v>
      </c>
      <c r="B2521" s="6" t="s">
        <v>9112</v>
      </c>
      <c r="C2521" s="6" t="s">
        <v>31</v>
      </c>
      <c r="E2521" s="6" t="s">
        <v>9111</v>
      </c>
      <c r="F2521" s="6" t="s">
        <v>9110</v>
      </c>
      <c r="G2521" s="6" t="s">
        <v>16</v>
      </c>
      <c r="H2521" s="6" t="s">
        <v>15</v>
      </c>
      <c r="I2521" s="6" t="s">
        <v>46</v>
      </c>
      <c r="J2521" s="6" t="s">
        <v>480</v>
      </c>
      <c r="K2521" s="7">
        <v>26.116556639999999</v>
      </c>
      <c r="L2521" s="7">
        <v>-98.021630500000001</v>
      </c>
      <c r="M2521" s="6" t="s">
        <v>179</v>
      </c>
      <c r="N2521" s="6" t="s">
        <v>11</v>
      </c>
      <c r="O2521" s="6" t="s">
        <v>22</v>
      </c>
    </row>
    <row r="2522" spans="1:15" x14ac:dyDescent="0.25">
      <c r="A2522" s="6" t="s">
        <v>9273</v>
      </c>
      <c r="B2522" s="6" t="s">
        <v>9272</v>
      </c>
      <c r="C2522" s="6" t="s">
        <v>31</v>
      </c>
      <c r="E2522" s="6" t="s">
        <v>9271</v>
      </c>
      <c r="F2522" s="6" t="s">
        <v>9270</v>
      </c>
      <c r="G2522" s="6" t="s">
        <v>16</v>
      </c>
      <c r="H2522" s="6" t="s">
        <v>28</v>
      </c>
      <c r="I2522" s="6" t="s">
        <v>27</v>
      </c>
      <c r="J2522" s="6" t="s">
        <v>132</v>
      </c>
      <c r="K2522" s="7">
        <v>29.522796</v>
      </c>
      <c r="L2522" s="7">
        <v>-95.665949999999995</v>
      </c>
      <c r="M2522" s="6" t="s">
        <v>355</v>
      </c>
      <c r="N2522" s="6" t="s">
        <v>23</v>
      </c>
      <c r="O2522" s="6" t="s">
        <v>23</v>
      </c>
    </row>
    <row r="2523" spans="1:15" x14ac:dyDescent="0.25">
      <c r="A2523" s="6" t="s">
        <v>11428</v>
      </c>
      <c r="B2523" s="6" t="s">
        <v>11427</v>
      </c>
      <c r="C2523" s="6" t="s">
        <v>31</v>
      </c>
      <c r="E2523" s="6" t="s">
        <v>11426</v>
      </c>
      <c r="F2523" s="6" t="s">
        <v>11425</v>
      </c>
      <c r="G2523" s="6" t="s">
        <v>16</v>
      </c>
      <c r="H2523" s="6" t="s">
        <v>28</v>
      </c>
      <c r="I2523" s="6" t="s">
        <v>27</v>
      </c>
      <c r="J2523" s="6" t="s">
        <v>385</v>
      </c>
      <c r="K2523" s="7">
        <v>29.874780999999999</v>
      </c>
      <c r="L2523" s="7">
        <v>-94.310784999999996</v>
      </c>
      <c r="M2523" s="6" t="s">
        <v>384</v>
      </c>
      <c r="N2523" s="6" t="s">
        <v>383</v>
      </c>
      <c r="O2523" s="6" t="s">
        <v>24</v>
      </c>
    </row>
    <row r="2524" spans="1:15" x14ac:dyDescent="0.25">
      <c r="A2524" s="6" t="s">
        <v>2636</v>
      </c>
      <c r="B2524" s="6" t="s">
        <v>2635</v>
      </c>
      <c r="C2524" s="6" t="s">
        <v>31</v>
      </c>
      <c r="E2524" s="6" t="s">
        <v>2634</v>
      </c>
      <c r="F2524" s="6" t="s">
        <v>2633</v>
      </c>
      <c r="G2524" s="6" t="s">
        <v>16</v>
      </c>
      <c r="H2524" s="6" t="s">
        <v>28</v>
      </c>
      <c r="I2524" s="6" t="s">
        <v>60</v>
      </c>
      <c r="J2524" s="6" t="s">
        <v>26</v>
      </c>
      <c r="K2524" s="7">
        <v>30.454542</v>
      </c>
      <c r="L2524" s="7">
        <v>-95.549612999999994</v>
      </c>
      <c r="M2524" s="6" t="s">
        <v>340</v>
      </c>
      <c r="N2524" s="6" t="s">
        <v>24</v>
      </c>
      <c r="O2524" s="6" t="s">
        <v>23</v>
      </c>
    </row>
    <row r="2525" spans="1:15" x14ac:dyDescent="0.25">
      <c r="A2525" s="6" t="s">
        <v>399</v>
      </c>
      <c r="B2525" s="6" t="s">
        <v>398</v>
      </c>
      <c r="C2525" s="6" t="s">
        <v>31</v>
      </c>
      <c r="E2525" s="6" t="s">
        <v>397</v>
      </c>
      <c r="F2525" s="6" t="s">
        <v>396</v>
      </c>
      <c r="G2525" s="6" t="s">
        <v>16</v>
      </c>
      <c r="H2525" s="6" t="s">
        <v>28</v>
      </c>
      <c r="I2525" s="6" t="s">
        <v>27</v>
      </c>
      <c r="J2525" s="6" t="s">
        <v>395</v>
      </c>
      <c r="K2525" s="7">
        <v>33.414979840000001</v>
      </c>
      <c r="L2525" s="7">
        <v>-95.166157690000006</v>
      </c>
      <c r="M2525" s="6" t="s">
        <v>96</v>
      </c>
      <c r="N2525" s="6" t="s">
        <v>95</v>
      </c>
      <c r="O2525" s="6" t="s">
        <v>65</v>
      </c>
    </row>
    <row r="2526" spans="1:15" x14ac:dyDescent="0.25">
      <c r="A2526" s="6" t="s">
        <v>5291</v>
      </c>
      <c r="B2526" s="6" t="s">
        <v>5290</v>
      </c>
      <c r="C2526" s="6" t="s">
        <v>31</v>
      </c>
      <c r="E2526" s="6" t="s">
        <v>5289</v>
      </c>
      <c r="F2526" s="6" t="s">
        <v>5288</v>
      </c>
      <c r="G2526" s="6" t="s">
        <v>16</v>
      </c>
      <c r="H2526" s="6" t="s">
        <v>15</v>
      </c>
      <c r="I2526" s="6" t="s">
        <v>14</v>
      </c>
      <c r="J2526" s="6" t="s">
        <v>1716</v>
      </c>
      <c r="K2526" s="7">
        <v>30.646249260000001</v>
      </c>
      <c r="L2526" s="7">
        <v>-95.594991489999998</v>
      </c>
      <c r="M2526" s="6" t="s">
        <v>340</v>
      </c>
      <c r="N2526" s="6" t="s">
        <v>24</v>
      </c>
      <c r="O2526" s="6" t="s">
        <v>23</v>
      </c>
    </row>
    <row r="2527" spans="1:15" x14ac:dyDescent="0.25">
      <c r="A2527" s="6" t="s">
        <v>10704</v>
      </c>
      <c r="B2527" s="6" t="s">
        <v>10703</v>
      </c>
      <c r="C2527" s="6" t="s">
        <v>31</v>
      </c>
      <c r="E2527" s="6" t="s">
        <v>10702</v>
      </c>
      <c r="F2527" s="6" t="s">
        <v>10691</v>
      </c>
      <c r="G2527" s="6" t="s">
        <v>16</v>
      </c>
      <c r="H2527" s="6" t="s">
        <v>15</v>
      </c>
      <c r="I2527" s="6" t="s">
        <v>14</v>
      </c>
      <c r="J2527" s="6" t="s">
        <v>162</v>
      </c>
      <c r="K2527" s="7">
        <v>29.546434680000001</v>
      </c>
      <c r="L2527" s="7">
        <v>-95.312169740000002</v>
      </c>
      <c r="M2527" s="6" t="s">
        <v>542</v>
      </c>
      <c r="N2527" s="6" t="s">
        <v>160</v>
      </c>
      <c r="O2527" s="6" t="s">
        <v>23</v>
      </c>
    </row>
    <row r="2528" spans="1:15" x14ac:dyDescent="0.25">
      <c r="A2528" s="6" t="s">
        <v>7789</v>
      </c>
      <c r="B2528" s="6" t="s">
        <v>7788</v>
      </c>
      <c r="C2528" s="6" t="s">
        <v>31</v>
      </c>
      <c r="E2528" s="6" t="s">
        <v>7787</v>
      </c>
      <c r="F2528" s="6" t="s">
        <v>2923</v>
      </c>
      <c r="G2528" s="6" t="s">
        <v>16</v>
      </c>
      <c r="H2528" s="6" t="s">
        <v>28</v>
      </c>
      <c r="I2528" s="6" t="s">
        <v>73</v>
      </c>
      <c r="J2528" s="6" t="s">
        <v>480</v>
      </c>
      <c r="K2528" s="7">
        <v>26.135766</v>
      </c>
      <c r="L2528" s="7">
        <v>-98.119450999999998</v>
      </c>
      <c r="M2528" s="6" t="s">
        <v>179</v>
      </c>
      <c r="N2528" s="6" t="s">
        <v>11</v>
      </c>
      <c r="O2528" s="6" t="s">
        <v>22</v>
      </c>
    </row>
    <row r="2529" spans="1:15" x14ac:dyDescent="0.25">
      <c r="A2529" s="6" t="s">
        <v>9212</v>
      </c>
      <c r="B2529" s="6" t="s">
        <v>9211</v>
      </c>
      <c r="C2529" s="6" t="s">
        <v>31</v>
      </c>
      <c r="E2529" s="6" t="s">
        <v>9210</v>
      </c>
      <c r="F2529" s="6" t="s">
        <v>9209</v>
      </c>
      <c r="G2529" s="6" t="s">
        <v>16</v>
      </c>
      <c r="H2529" s="6" t="s">
        <v>28</v>
      </c>
      <c r="I2529" s="6" t="s">
        <v>60</v>
      </c>
      <c r="J2529" s="6" t="s">
        <v>1209</v>
      </c>
      <c r="K2529" s="7">
        <v>32.074570000000001</v>
      </c>
      <c r="L2529" s="7">
        <v>-97.501591000000005</v>
      </c>
      <c r="M2529" s="6" t="s">
        <v>1450</v>
      </c>
      <c r="N2529" s="6" t="s">
        <v>23</v>
      </c>
      <c r="O2529" s="6" t="s">
        <v>120</v>
      </c>
    </row>
    <row r="2530" spans="1:15" x14ac:dyDescent="0.25">
      <c r="A2530" s="6" t="s">
        <v>8412</v>
      </c>
      <c r="B2530" s="6" t="s">
        <v>8411</v>
      </c>
      <c r="C2530" s="6" t="s">
        <v>31</v>
      </c>
      <c r="E2530" s="6" t="s">
        <v>8410</v>
      </c>
      <c r="F2530" s="6" t="s">
        <v>8409</v>
      </c>
      <c r="G2530" s="6" t="s">
        <v>16</v>
      </c>
      <c r="H2530" s="6" t="s">
        <v>28</v>
      </c>
      <c r="I2530" s="6" t="s">
        <v>14</v>
      </c>
      <c r="J2530" s="6" t="s">
        <v>2500</v>
      </c>
      <c r="K2530" s="7">
        <v>29.971538559999999</v>
      </c>
      <c r="L2530" s="7">
        <v>-98.892034089999996</v>
      </c>
      <c r="M2530" s="6" t="s">
        <v>560</v>
      </c>
      <c r="N2530" s="6" t="s">
        <v>559</v>
      </c>
      <c r="O2530" s="6" t="s">
        <v>231</v>
      </c>
    </row>
    <row r="2531" spans="1:15" x14ac:dyDescent="0.25">
      <c r="A2531" s="6" t="s">
        <v>11872</v>
      </c>
      <c r="B2531" s="6" t="s">
        <v>11871</v>
      </c>
      <c r="C2531" s="6" t="s">
        <v>31</v>
      </c>
      <c r="E2531" s="6" t="s">
        <v>11870</v>
      </c>
      <c r="F2531" s="6" t="s">
        <v>11869</v>
      </c>
      <c r="G2531" s="6" t="s">
        <v>16</v>
      </c>
      <c r="H2531" s="6" t="s">
        <v>15</v>
      </c>
      <c r="I2531" s="6" t="s">
        <v>14</v>
      </c>
      <c r="J2531" s="6" t="s">
        <v>480</v>
      </c>
      <c r="K2531" s="7">
        <v>26.3375193</v>
      </c>
      <c r="L2531" s="7">
        <v>-98.184530350000003</v>
      </c>
      <c r="M2531" s="6" t="s">
        <v>89</v>
      </c>
      <c r="N2531" s="6" t="s">
        <v>11</v>
      </c>
      <c r="O2531" s="6" t="s">
        <v>22</v>
      </c>
    </row>
    <row r="2532" spans="1:15" x14ac:dyDescent="0.25">
      <c r="A2532" s="6" t="s">
        <v>10088</v>
      </c>
      <c r="B2532" s="6" t="s">
        <v>10087</v>
      </c>
      <c r="C2532" s="6" t="s">
        <v>31</v>
      </c>
      <c r="E2532" s="6" t="s">
        <v>10086</v>
      </c>
      <c r="F2532" s="6" t="s">
        <v>10085</v>
      </c>
      <c r="G2532" s="6" t="s">
        <v>16</v>
      </c>
      <c r="H2532" s="6" t="s">
        <v>15</v>
      </c>
      <c r="I2532" s="6" t="s">
        <v>14</v>
      </c>
      <c r="J2532" s="6" t="s">
        <v>480</v>
      </c>
      <c r="K2532" s="7">
        <v>26.20928224</v>
      </c>
      <c r="L2532" s="7">
        <v>-98.397772230000001</v>
      </c>
      <c r="M2532" s="6" t="s">
        <v>179</v>
      </c>
      <c r="N2532" s="6" t="s">
        <v>11</v>
      </c>
      <c r="O2532" s="6" t="s">
        <v>22</v>
      </c>
    </row>
    <row r="2533" spans="1:15" x14ac:dyDescent="0.25">
      <c r="A2533" s="6" t="s">
        <v>5778</v>
      </c>
      <c r="B2533" s="6" t="s">
        <v>5776</v>
      </c>
      <c r="C2533" s="6" t="s">
        <v>31</v>
      </c>
      <c r="E2533" s="6" t="s">
        <v>5775</v>
      </c>
      <c r="F2533" s="6" t="s">
        <v>5774</v>
      </c>
      <c r="G2533" s="6" t="s">
        <v>16</v>
      </c>
      <c r="H2533" s="6" t="s">
        <v>15</v>
      </c>
      <c r="I2533" s="6" t="s">
        <v>14</v>
      </c>
      <c r="J2533" s="6" t="s">
        <v>5773</v>
      </c>
      <c r="K2533" s="7">
        <v>32.250683000000002</v>
      </c>
      <c r="L2533" s="7">
        <v>-100.462602</v>
      </c>
      <c r="M2533" s="6" t="s">
        <v>5278</v>
      </c>
      <c r="N2533" s="6" t="s">
        <v>23</v>
      </c>
      <c r="O2533" s="6" t="s">
        <v>95</v>
      </c>
    </row>
    <row r="2534" spans="1:15" x14ac:dyDescent="0.25">
      <c r="A2534" s="6" t="s">
        <v>5777</v>
      </c>
      <c r="B2534" s="6" t="s">
        <v>5776</v>
      </c>
      <c r="C2534" s="6" t="s">
        <v>19</v>
      </c>
      <c r="E2534" s="6" t="s">
        <v>5775</v>
      </c>
      <c r="F2534" s="6" t="s">
        <v>5774</v>
      </c>
      <c r="G2534" s="6" t="s">
        <v>16</v>
      </c>
      <c r="H2534" s="6" t="s">
        <v>430</v>
      </c>
      <c r="I2534" s="6" t="s">
        <v>14</v>
      </c>
      <c r="J2534" s="6" t="s">
        <v>5773</v>
      </c>
      <c r="K2534" s="7">
        <v>32.257924000000003</v>
      </c>
      <c r="L2534" s="7">
        <v>-100.45452299999999</v>
      </c>
      <c r="M2534" s="6" t="s">
        <v>5278</v>
      </c>
      <c r="N2534" s="6" t="s">
        <v>23</v>
      </c>
      <c r="O2534" s="6" t="s">
        <v>95</v>
      </c>
    </row>
    <row r="2535" spans="1:15" x14ac:dyDescent="0.25">
      <c r="A2535" s="6" t="s">
        <v>4332</v>
      </c>
      <c r="B2535" s="6" t="s">
        <v>4331</v>
      </c>
      <c r="C2535" s="6" t="s">
        <v>31</v>
      </c>
      <c r="E2535" s="6" t="s">
        <v>4330</v>
      </c>
      <c r="F2535" s="6" t="s">
        <v>4329</v>
      </c>
      <c r="G2535" s="6" t="s">
        <v>16</v>
      </c>
      <c r="H2535" s="6" t="s">
        <v>28</v>
      </c>
      <c r="I2535" s="6" t="s">
        <v>27</v>
      </c>
      <c r="J2535" s="6" t="s">
        <v>221</v>
      </c>
      <c r="K2535" s="7">
        <v>30.461037000000001</v>
      </c>
      <c r="L2535" s="7">
        <v>-97.387219000000002</v>
      </c>
      <c r="M2535" s="6" t="s">
        <v>3908</v>
      </c>
      <c r="N2535" s="6" t="s">
        <v>160</v>
      </c>
      <c r="O2535" s="6" t="s">
        <v>160</v>
      </c>
    </row>
    <row r="2536" spans="1:15" x14ac:dyDescent="0.25">
      <c r="A2536" s="6" t="s">
        <v>1492</v>
      </c>
      <c r="B2536" s="6" t="s">
        <v>1303</v>
      </c>
      <c r="C2536" s="6" t="s">
        <v>31</v>
      </c>
      <c r="E2536" s="6" t="s">
        <v>1302</v>
      </c>
      <c r="F2536" s="6" t="s">
        <v>1301</v>
      </c>
      <c r="G2536" s="6" t="s">
        <v>16</v>
      </c>
      <c r="H2536" s="6" t="s">
        <v>430</v>
      </c>
      <c r="I2536" s="6" t="s">
        <v>14</v>
      </c>
      <c r="J2536" s="6" t="s">
        <v>385</v>
      </c>
      <c r="K2536" s="7">
        <v>29.902648920000001</v>
      </c>
      <c r="L2536" s="7">
        <v>-94.005582570000001</v>
      </c>
      <c r="M2536" s="6" t="s">
        <v>418</v>
      </c>
      <c r="N2536" s="6" t="s">
        <v>383</v>
      </c>
      <c r="O2536" s="6" t="s">
        <v>24</v>
      </c>
    </row>
    <row r="2537" spans="1:15" x14ac:dyDescent="0.25">
      <c r="A2537" s="6" t="s">
        <v>1304</v>
      </c>
      <c r="B2537" s="6" t="s">
        <v>1303</v>
      </c>
      <c r="C2537" s="6" t="s">
        <v>19</v>
      </c>
      <c r="E2537" s="6" t="s">
        <v>1302</v>
      </c>
      <c r="F2537" s="6" t="s">
        <v>1301</v>
      </c>
      <c r="G2537" s="6" t="s">
        <v>16</v>
      </c>
      <c r="H2537" s="6" t="s">
        <v>15</v>
      </c>
      <c r="I2537" s="6" t="s">
        <v>14</v>
      </c>
      <c r="J2537" s="6" t="s">
        <v>385</v>
      </c>
      <c r="K2537" s="7">
        <v>29.903818640000001</v>
      </c>
      <c r="L2537" s="7">
        <v>-94.008326890000006</v>
      </c>
      <c r="M2537" s="6" t="s">
        <v>418</v>
      </c>
      <c r="N2537" s="6" t="s">
        <v>383</v>
      </c>
      <c r="O2537" s="6" t="s">
        <v>24</v>
      </c>
    </row>
    <row r="2538" spans="1:15" x14ac:dyDescent="0.25">
      <c r="A2538" s="6" t="s">
        <v>1972</v>
      </c>
      <c r="B2538" s="6" t="s">
        <v>1971</v>
      </c>
      <c r="C2538" s="6" t="s">
        <v>31</v>
      </c>
      <c r="E2538" s="6" t="s">
        <v>1970</v>
      </c>
      <c r="F2538" s="6" t="s">
        <v>1969</v>
      </c>
      <c r="G2538" s="6" t="s">
        <v>16</v>
      </c>
      <c r="H2538" s="6" t="s">
        <v>15</v>
      </c>
      <c r="I2538" s="6" t="s">
        <v>36</v>
      </c>
      <c r="J2538" s="6" t="s">
        <v>35</v>
      </c>
      <c r="K2538" s="7">
        <v>29.74471101</v>
      </c>
      <c r="L2538" s="7">
        <v>-95.184036899999995</v>
      </c>
      <c r="M2538" s="6" t="s">
        <v>866</v>
      </c>
      <c r="N2538" s="6" t="s">
        <v>24</v>
      </c>
      <c r="O2538" s="6" t="s">
        <v>23</v>
      </c>
    </row>
    <row r="2539" spans="1:15" x14ac:dyDescent="0.25">
      <c r="A2539" s="6" t="s">
        <v>10080</v>
      </c>
      <c r="B2539" s="6" t="s">
        <v>10079</v>
      </c>
      <c r="C2539" s="6" t="s">
        <v>31</v>
      </c>
      <c r="E2539" s="6" t="s">
        <v>10078</v>
      </c>
      <c r="F2539" s="6" t="s">
        <v>431</v>
      </c>
      <c r="G2539" s="6" t="s">
        <v>16</v>
      </c>
      <c r="H2539" s="6" t="s">
        <v>15</v>
      </c>
      <c r="I2539" s="6" t="s">
        <v>27</v>
      </c>
      <c r="J2539" s="6" t="s">
        <v>385</v>
      </c>
      <c r="K2539" s="7">
        <v>30.036531279999998</v>
      </c>
      <c r="L2539" s="7">
        <v>-94.048493620000002</v>
      </c>
      <c r="M2539" s="6" t="s">
        <v>429</v>
      </c>
      <c r="N2539" s="6" t="s">
        <v>52</v>
      </c>
      <c r="O2539" s="6" t="s">
        <v>24</v>
      </c>
    </row>
    <row r="2540" spans="1:15" x14ac:dyDescent="0.25">
      <c r="A2540" s="6" t="s">
        <v>11874</v>
      </c>
      <c r="B2540" s="6" t="s">
        <v>5856</v>
      </c>
      <c r="C2540" s="6" t="s">
        <v>31</v>
      </c>
      <c r="E2540" s="6" t="s">
        <v>5855</v>
      </c>
      <c r="F2540" s="6" t="s">
        <v>5854</v>
      </c>
      <c r="G2540" s="6" t="s">
        <v>16</v>
      </c>
      <c r="H2540" s="6" t="s">
        <v>15</v>
      </c>
      <c r="I2540" s="6" t="s">
        <v>60</v>
      </c>
      <c r="J2540" s="6" t="s">
        <v>3485</v>
      </c>
      <c r="K2540" s="7">
        <v>32.429996000000003</v>
      </c>
      <c r="L2540" s="7">
        <v>-103.063924</v>
      </c>
      <c r="M2540" s="6" t="s">
        <v>604</v>
      </c>
      <c r="N2540" s="6" t="s">
        <v>373</v>
      </c>
      <c r="O2540" s="6" t="s">
        <v>383</v>
      </c>
    </row>
    <row r="2541" spans="1:15" x14ac:dyDescent="0.25">
      <c r="A2541" s="6" t="s">
        <v>11873</v>
      </c>
      <c r="B2541" s="6" t="s">
        <v>5856</v>
      </c>
      <c r="C2541" s="6" t="s">
        <v>19</v>
      </c>
      <c r="E2541" s="6" t="s">
        <v>5855</v>
      </c>
      <c r="F2541" s="6" t="s">
        <v>5854</v>
      </c>
      <c r="G2541" s="6" t="s">
        <v>16</v>
      </c>
      <c r="H2541" s="6" t="s">
        <v>430</v>
      </c>
      <c r="I2541" s="6" t="s">
        <v>60</v>
      </c>
      <c r="J2541" s="6" t="s">
        <v>3485</v>
      </c>
      <c r="K2541" s="7">
        <v>32.435326000000003</v>
      </c>
      <c r="L2541" s="7">
        <v>-103.06417</v>
      </c>
      <c r="M2541" s="6" t="s">
        <v>604</v>
      </c>
      <c r="N2541" s="6" t="s">
        <v>373</v>
      </c>
      <c r="O2541" s="6" t="s">
        <v>383</v>
      </c>
    </row>
    <row r="2542" spans="1:15" x14ac:dyDescent="0.25">
      <c r="A2542" s="6" t="s">
        <v>5857</v>
      </c>
      <c r="B2542" s="6" t="s">
        <v>5856</v>
      </c>
      <c r="C2542" s="6" t="s">
        <v>436</v>
      </c>
      <c r="E2542" s="6" t="s">
        <v>5855</v>
      </c>
      <c r="F2542" s="6" t="s">
        <v>5854</v>
      </c>
      <c r="G2542" s="6" t="s">
        <v>16</v>
      </c>
      <c r="H2542" s="6" t="s">
        <v>430</v>
      </c>
      <c r="I2542" s="6" t="s">
        <v>60</v>
      </c>
      <c r="J2542" s="6" t="s">
        <v>3485</v>
      </c>
      <c r="K2542" s="7">
        <v>32.446976999999997</v>
      </c>
      <c r="L2542" s="7">
        <v>-103.063925</v>
      </c>
      <c r="M2542" s="6" t="s">
        <v>604</v>
      </c>
      <c r="N2542" s="6" t="s">
        <v>373</v>
      </c>
      <c r="O2542" s="6" t="s">
        <v>383</v>
      </c>
    </row>
    <row r="2543" spans="1:15" x14ac:dyDescent="0.25">
      <c r="A2543" s="6" t="s">
        <v>6144</v>
      </c>
      <c r="B2543" s="6" t="s">
        <v>6143</v>
      </c>
      <c r="C2543" s="6" t="s">
        <v>31</v>
      </c>
      <c r="E2543" s="6" t="s">
        <v>6142</v>
      </c>
      <c r="F2543" s="6" t="s">
        <v>6141</v>
      </c>
      <c r="G2543" s="6" t="s">
        <v>16</v>
      </c>
      <c r="H2543" s="6" t="s">
        <v>28</v>
      </c>
      <c r="I2543" s="6" t="s">
        <v>27</v>
      </c>
      <c r="J2543" s="6" t="s">
        <v>982</v>
      </c>
      <c r="K2543" s="7">
        <v>32.238736000000003</v>
      </c>
      <c r="L2543" s="7">
        <v>-96.506275000000002</v>
      </c>
      <c r="M2543" s="6" t="s">
        <v>2048</v>
      </c>
      <c r="N2543" s="6" t="s">
        <v>102</v>
      </c>
      <c r="O2543" s="6" t="s">
        <v>42</v>
      </c>
    </row>
    <row r="2544" spans="1:15" x14ac:dyDescent="0.25">
      <c r="A2544" s="6" t="s">
        <v>7230</v>
      </c>
      <c r="B2544" s="6" t="s">
        <v>7229</v>
      </c>
      <c r="C2544" s="6" t="s">
        <v>31</v>
      </c>
      <c r="E2544" s="6" t="s">
        <v>7228</v>
      </c>
      <c r="F2544" s="6" t="s">
        <v>7227</v>
      </c>
      <c r="G2544" s="6" t="s">
        <v>16</v>
      </c>
      <c r="H2544" s="6" t="s">
        <v>28</v>
      </c>
      <c r="I2544" s="6" t="s">
        <v>60</v>
      </c>
      <c r="J2544" s="6" t="s">
        <v>35</v>
      </c>
      <c r="K2544" s="7">
        <v>29.885293999999998</v>
      </c>
      <c r="L2544" s="7">
        <v>-95.597442000000001</v>
      </c>
      <c r="M2544" s="6" t="s">
        <v>77</v>
      </c>
      <c r="N2544" s="6" t="s">
        <v>24</v>
      </c>
      <c r="O2544" s="6" t="s">
        <v>23</v>
      </c>
    </row>
    <row r="2545" spans="1:15" x14ac:dyDescent="0.25">
      <c r="A2545" s="6" t="s">
        <v>94</v>
      </c>
      <c r="B2545" s="6" t="s">
        <v>93</v>
      </c>
      <c r="C2545" s="6" t="s">
        <v>31</v>
      </c>
      <c r="E2545" s="6" t="s">
        <v>92</v>
      </c>
      <c r="F2545" s="6" t="s">
        <v>91</v>
      </c>
      <c r="G2545" s="6" t="s">
        <v>16</v>
      </c>
      <c r="H2545" s="6" t="s">
        <v>28</v>
      </c>
      <c r="I2545" s="6" t="s">
        <v>73</v>
      </c>
      <c r="J2545" s="6" t="s">
        <v>90</v>
      </c>
      <c r="K2545" s="7">
        <v>26.118427950000001</v>
      </c>
      <c r="L2545" s="7">
        <v>-97.315215699999996</v>
      </c>
      <c r="M2545" s="6" t="s">
        <v>89</v>
      </c>
      <c r="N2545" s="6" t="s">
        <v>11</v>
      </c>
      <c r="O2545" s="6" t="s">
        <v>22</v>
      </c>
    </row>
    <row r="2546" spans="1:15" x14ac:dyDescent="0.25">
      <c r="A2546" s="6" t="s">
        <v>9442</v>
      </c>
      <c r="B2546" s="6" t="s">
        <v>9441</v>
      </c>
      <c r="C2546" s="6" t="s">
        <v>31</v>
      </c>
      <c r="E2546" s="6" t="s">
        <v>9440</v>
      </c>
      <c r="F2546" s="6" t="s">
        <v>9439</v>
      </c>
      <c r="G2546" s="6" t="s">
        <v>16</v>
      </c>
      <c r="H2546" s="6" t="s">
        <v>28</v>
      </c>
      <c r="I2546" s="6" t="s">
        <v>1200</v>
      </c>
      <c r="J2546" s="6" t="s">
        <v>35</v>
      </c>
      <c r="K2546" s="7">
        <v>29.955473000000001</v>
      </c>
      <c r="L2546" s="7">
        <v>-95.709138999999993</v>
      </c>
      <c r="M2546" s="6" t="s">
        <v>279</v>
      </c>
      <c r="N2546" s="6" t="s">
        <v>24</v>
      </c>
      <c r="O2546" s="6" t="s">
        <v>23</v>
      </c>
    </row>
    <row r="2547" spans="1:15" x14ac:dyDescent="0.25">
      <c r="A2547" s="6" t="s">
        <v>8856</v>
      </c>
      <c r="B2547" s="6" t="s">
        <v>8855</v>
      </c>
      <c r="C2547" s="6" t="s">
        <v>31</v>
      </c>
      <c r="E2547" s="6" t="s">
        <v>8854</v>
      </c>
      <c r="F2547" s="6" t="s">
        <v>895</v>
      </c>
      <c r="G2547" s="6" t="s">
        <v>16</v>
      </c>
      <c r="H2547" s="6" t="s">
        <v>28</v>
      </c>
      <c r="I2547" s="6" t="s">
        <v>60</v>
      </c>
      <c r="J2547" s="6" t="s">
        <v>26</v>
      </c>
      <c r="K2547" s="7">
        <v>30.371080289999998</v>
      </c>
      <c r="L2547" s="7">
        <v>-95.628042519999994</v>
      </c>
      <c r="M2547" s="6" t="s">
        <v>340</v>
      </c>
      <c r="N2547" s="6" t="s">
        <v>24</v>
      </c>
      <c r="O2547" s="6" t="s">
        <v>23</v>
      </c>
    </row>
    <row r="2548" spans="1:15" x14ac:dyDescent="0.25">
      <c r="A2548" s="6" t="s">
        <v>9438</v>
      </c>
      <c r="B2548" s="6" t="s">
        <v>9437</v>
      </c>
      <c r="C2548" s="6" t="s">
        <v>31</v>
      </c>
      <c r="E2548" s="6" t="s">
        <v>9436</v>
      </c>
      <c r="F2548" s="6" t="s">
        <v>29</v>
      </c>
      <c r="G2548" s="6" t="s">
        <v>16</v>
      </c>
      <c r="H2548" s="6" t="s">
        <v>28</v>
      </c>
      <c r="I2548" s="6" t="s">
        <v>60</v>
      </c>
      <c r="J2548" s="6" t="s">
        <v>26</v>
      </c>
      <c r="K2548" s="7">
        <v>30.221553530000001</v>
      </c>
      <c r="L2548" s="7">
        <v>-95.319261909999994</v>
      </c>
      <c r="M2548" s="6" t="s">
        <v>59</v>
      </c>
      <c r="N2548" s="6" t="s">
        <v>24</v>
      </c>
      <c r="O2548" s="6" t="s">
        <v>23</v>
      </c>
    </row>
    <row r="2549" spans="1:15" x14ac:dyDescent="0.25">
      <c r="A2549" s="6" t="s">
        <v>1203</v>
      </c>
      <c r="B2549" s="6" t="s">
        <v>1202</v>
      </c>
      <c r="C2549" s="6" t="s">
        <v>31</v>
      </c>
      <c r="E2549" s="6" t="s">
        <v>1201</v>
      </c>
      <c r="F2549" s="6" t="s">
        <v>895</v>
      </c>
      <c r="G2549" s="6" t="s">
        <v>16</v>
      </c>
      <c r="H2549" s="6" t="s">
        <v>28</v>
      </c>
      <c r="I2549" s="6" t="s">
        <v>1200</v>
      </c>
      <c r="J2549" s="6" t="s">
        <v>35</v>
      </c>
      <c r="K2549" s="7">
        <v>30.003171999999999</v>
      </c>
      <c r="L2549" s="7">
        <v>-95.665876999999995</v>
      </c>
      <c r="M2549" s="6" t="s">
        <v>279</v>
      </c>
      <c r="N2549" s="6" t="s">
        <v>24</v>
      </c>
      <c r="O2549" s="6" t="s">
        <v>23</v>
      </c>
    </row>
    <row r="2550" spans="1:15" x14ac:dyDescent="0.25">
      <c r="A2550" s="6" t="s">
        <v>9431</v>
      </c>
      <c r="B2550" s="6" t="s">
        <v>9430</v>
      </c>
      <c r="C2550" s="6" t="s">
        <v>31</v>
      </c>
      <c r="E2550" s="6" t="s">
        <v>9429</v>
      </c>
      <c r="F2550" s="6" t="s">
        <v>2138</v>
      </c>
      <c r="G2550" s="6" t="s">
        <v>16</v>
      </c>
      <c r="H2550" s="6" t="s">
        <v>28</v>
      </c>
      <c r="I2550" s="6" t="s">
        <v>73</v>
      </c>
      <c r="J2550" s="6" t="s">
        <v>2137</v>
      </c>
      <c r="K2550" s="7">
        <v>29.921230999999999</v>
      </c>
      <c r="L2550" s="7">
        <v>-97.561781999999994</v>
      </c>
      <c r="M2550" s="6" t="s">
        <v>752</v>
      </c>
      <c r="N2550" s="6" t="s">
        <v>559</v>
      </c>
      <c r="O2550" s="6" t="s">
        <v>160</v>
      </c>
    </row>
    <row r="2551" spans="1:15" x14ac:dyDescent="0.25">
      <c r="A2551" s="6" t="s">
        <v>9428</v>
      </c>
      <c r="B2551" s="6" t="s">
        <v>9427</v>
      </c>
      <c r="C2551" s="6" t="s">
        <v>31</v>
      </c>
      <c r="E2551" s="6" t="s">
        <v>9426</v>
      </c>
      <c r="F2551" s="6" t="s">
        <v>2138</v>
      </c>
      <c r="G2551" s="6" t="s">
        <v>16</v>
      </c>
      <c r="H2551" s="6" t="s">
        <v>28</v>
      </c>
      <c r="I2551" s="6" t="s">
        <v>27</v>
      </c>
      <c r="J2551" s="6" t="s">
        <v>2137</v>
      </c>
      <c r="K2551" s="7">
        <v>29.817547000000001</v>
      </c>
      <c r="L2551" s="7">
        <v>-97.635766000000004</v>
      </c>
      <c r="M2551" s="6" t="s">
        <v>752</v>
      </c>
      <c r="N2551" s="6" t="s">
        <v>559</v>
      </c>
      <c r="O2551" s="6" t="s">
        <v>160</v>
      </c>
    </row>
    <row r="2552" spans="1:15" x14ac:dyDescent="0.25">
      <c r="A2552" s="6" t="s">
        <v>8445</v>
      </c>
      <c r="B2552" s="6" t="s">
        <v>8444</v>
      </c>
      <c r="C2552" s="6" t="s">
        <v>31</v>
      </c>
      <c r="E2552" s="6" t="s">
        <v>8443</v>
      </c>
      <c r="F2552" s="6" t="s">
        <v>5036</v>
      </c>
      <c r="G2552" s="6" t="s">
        <v>16</v>
      </c>
      <c r="H2552" s="6" t="s">
        <v>28</v>
      </c>
      <c r="I2552" s="6" t="s">
        <v>73</v>
      </c>
      <c r="J2552" s="6" t="s">
        <v>1676</v>
      </c>
      <c r="K2552" s="7">
        <v>28.65409</v>
      </c>
      <c r="L2552" s="7">
        <v>-99.198057000000006</v>
      </c>
      <c r="M2552" s="6" t="s">
        <v>1644</v>
      </c>
      <c r="N2552" s="6" t="s">
        <v>524</v>
      </c>
      <c r="O2552" s="6" t="s">
        <v>231</v>
      </c>
    </row>
    <row r="2553" spans="1:15" x14ac:dyDescent="0.25">
      <c r="A2553" s="6" t="s">
        <v>9425</v>
      </c>
      <c r="B2553" s="6" t="s">
        <v>9424</v>
      </c>
      <c r="C2553" s="6" t="s">
        <v>31</v>
      </c>
      <c r="E2553" s="6" t="s">
        <v>9423</v>
      </c>
      <c r="F2553" s="6" t="s">
        <v>199</v>
      </c>
      <c r="G2553" s="6" t="s">
        <v>16</v>
      </c>
      <c r="H2553" s="6" t="s">
        <v>28</v>
      </c>
      <c r="I2553" s="6" t="s">
        <v>27</v>
      </c>
      <c r="J2553" s="6" t="s">
        <v>162</v>
      </c>
      <c r="K2553" s="7">
        <v>29.380673000000002</v>
      </c>
      <c r="L2553" s="7">
        <v>-95.245658000000006</v>
      </c>
      <c r="M2553" s="6" t="s">
        <v>706</v>
      </c>
      <c r="N2553" s="6" t="s">
        <v>160</v>
      </c>
      <c r="O2553" s="6" t="s">
        <v>23</v>
      </c>
    </row>
    <row r="2554" spans="1:15" x14ac:dyDescent="0.25">
      <c r="A2554" s="6" t="s">
        <v>6457</v>
      </c>
      <c r="B2554" s="6" t="s">
        <v>6456</v>
      </c>
      <c r="C2554" s="6" t="s">
        <v>31</v>
      </c>
      <c r="E2554" s="6" t="s">
        <v>6455</v>
      </c>
      <c r="F2554" s="6" t="s">
        <v>6454</v>
      </c>
      <c r="G2554" s="6" t="s">
        <v>16</v>
      </c>
      <c r="H2554" s="6" t="s">
        <v>28</v>
      </c>
      <c r="I2554" s="6" t="s">
        <v>60</v>
      </c>
      <c r="J2554" s="6" t="s">
        <v>1611</v>
      </c>
      <c r="K2554" s="7">
        <v>32.399801449999998</v>
      </c>
      <c r="L2554" s="7">
        <v>-94.915891029999997</v>
      </c>
      <c r="M2554" s="6" t="s">
        <v>1218</v>
      </c>
      <c r="N2554" s="6" t="s">
        <v>65</v>
      </c>
      <c r="O2554" s="6" t="s">
        <v>65</v>
      </c>
    </row>
    <row r="2555" spans="1:15" x14ac:dyDescent="0.25">
      <c r="A2555" s="6" t="s">
        <v>9411</v>
      </c>
      <c r="B2555" s="6" t="s">
        <v>9410</v>
      </c>
      <c r="C2555" s="6" t="s">
        <v>31</v>
      </c>
      <c r="E2555" s="6" t="s">
        <v>9409</v>
      </c>
      <c r="F2555" s="6" t="s">
        <v>9408</v>
      </c>
      <c r="G2555" s="6" t="s">
        <v>16</v>
      </c>
      <c r="H2555" s="6" t="s">
        <v>28</v>
      </c>
      <c r="I2555" s="6" t="s">
        <v>73</v>
      </c>
      <c r="J2555" s="6" t="s">
        <v>632</v>
      </c>
      <c r="K2555" s="7">
        <v>30.20729</v>
      </c>
      <c r="L2555" s="7">
        <v>-94.031216999999998</v>
      </c>
      <c r="M2555" s="6" t="s">
        <v>429</v>
      </c>
      <c r="N2555" s="6" t="s">
        <v>52</v>
      </c>
      <c r="O2555" s="6" t="s">
        <v>24</v>
      </c>
    </row>
    <row r="2556" spans="1:15" x14ac:dyDescent="0.25">
      <c r="A2556" s="6" t="s">
        <v>2968</v>
      </c>
      <c r="B2556" s="6" t="s">
        <v>2967</v>
      </c>
      <c r="C2556" s="6" t="s">
        <v>31</v>
      </c>
      <c r="E2556" s="6" t="s">
        <v>2966</v>
      </c>
      <c r="F2556" s="6" t="s">
        <v>2965</v>
      </c>
      <c r="G2556" s="6" t="s">
        <v>16</v>
      </c>
      <c r="H2556" s="6" t="s">
        <v>28</v>
      </c>
      <c r="I2556" s="6" t="s">
        <v>60</v>
      </c>
      <c r="J2556" s="6" t="s">
        <v>409</v>
      </c>
      <c r="K2556" s="7">
        <v>30.326855819999999</v>
      </c>
      <c r="L2556" s="7">
        <v>-97.529502070000007</v>
      </c>
      <c r="M2556" s="6" t="s">
        <v>455</v>
      </c>
      <c r="N2556" s="6" t="s">
        <v>10</v>
      </c>
      <c r="O2556" s="6" t="s">
        <v>160</v>
      </c>
    </row>
    <row r="2557" spans="1:15" x14ac:dyDescent="0.25">
      <c r="A2557" s="6" t="s">
        <v>9404</v>
      </c>
      <c r="B2557" s="6" t="s">
        <v>9403</v>
      </c>
      <c r="C2557" s="6" t="s">
        <v>31</v>
      </c>
      <c r="E2557" s="6" t="s">
        <v>9402</v>
      </c>
      <c r="F2557" s="6" t="s">
        <v>9401</v>
      </c>
      <c r="G2557" s="6" t="s">
        <v>16</v>
      </c>
      <c r="H2557" s="6" t="s">
        <v>28</v>
      </c>
      <c r="I2557" s="6" t="s">
        <v>73</v>
      </c>
      <c r="J2557" s="6" t="s">
        <v>1752</v>
      </c>
      <c r="K2557" s="7">
        <v>30.799982020000002</v>
      </c>
      <c r="L2557" s="7">
        <v>-95.171575779999998</v>
      </c>
      <c r="M2557" s="6" t="s">
        <v>317</v>
      </c>
      <c r="N2557" s="6" t="s">
        <v>102</v>
      </c>
      <c r="O2557" s="6" t="s">
        <v>24</v>
      </c>
    </row>
    <row r="2558" spans="1:15" x14ac:dyDescent="0.25">
      <c r="A2558" s="6" t="s">
        <v>2964</v>
      </c>
      <c r="B2558" s="6" t="s">
        <v>2963</v>
      </c>
      <c r="C2558" s="6" t="s">
        <v>31</v>
      </c>
      <c r="E2558" s="6" t="s">
        <v>2962</v>
      </c>
      <c r="F2558" s="6" t="s">
        <v>2961</v>
      </c>
      <c r="G2558" s="6" t="s">
        <v>16</v>
      </c>
      <c r="H2558" s="6" t="s">
        <v>28</v>
      </c>
      <c r="I2558" s="6" t="s">
        <v>60</v>
      </c>
      <c r="J2558" s="6" t="s">
        <v>132</v>
      </c>
      <c r="K2558" s="7">
        <v>29.595835999999998</v>
      </c>
      <c r="L2558" s="7">
        <v>-95.552681000000007</v>
      </c>
      <c r="M2558" s="6" t="s">
        <v>616</v>
      </c>
      <c r="N2558" s="6" t="s">
        <v>23</v>
      </c>
      <c r="O2558" s="6" t="s">
        <v>23</v>
      </c>
    </row>
    <row r="2559" spans="1:15" x14ac:dyDescent="0.25">
      <c r="A2559" s="6" t="s">
        <v>8899</v>
      </c>
      <c r="B2559" s="6" t="s">
        <v>8898</v>
      </c>
      <c r="C2559" s="6" t="s">
        <v>31</v>
      </c>
      <c r="E2559" s="6" t="s">
        <v>8897</v>
      </c>
      <c r="F2559" s="6" t="s">
        <v>8896</v>
      </c>
      <c r="G2559" s="6" t="s">
        <v>16</v>
      </c>
      <c r="H2559" s="6" t="s">
        <v>28</v>
      </c>
      <c r="I2559" s="6" t="s">
        <v>27</v>
      </c>
      <c r="J2559" s="6" t="s">
        <v>356</v>
      </c>
      <c r="K2559" s="7">
        <v>29.881305999999999</v>
      </c>
      <c r="L2559" s="7">
        <v>-95.983787000000007</v>
      </c>
      <c r="M2559" s="6" t="s">
        <v>355</v>
      </c>
      <c r="N2559" s="6" t="s">
        <v>23</v>
      </c>
      <c r="O2559" s="6" t="s">
        <v>23</v>
      </c>
    </row>
    <row r="2560" spans="1:15" x14ac:dyDescent="0.25">
      <c r="A2560" s="6" t="s">
        <v>8887</v>
      </c>
      <c r="B2560" s="6" t="s">
        <v>8886</v>
      </c>
      <c r="C2560" s="6" t="s">
        <v>31</v>
      </c>
      <c r="E2560" s="6" t="s">
        <v>8885</v>
      </c>
      <c r="F2560" s="6" t="s">
        <v>3673</v>
      </c>
      <c r="G2560" s="6" t="s">
        <v>16</v>
      </c>
      <c r="H2560" s="6" t="s">
        <v>28</v>
      </c>
      <c r="I2560" s="6" t="s">
        <v>36</v>
      </c>
      <c r="J2560" s="6" t="s">
        <v>26</v>
      </c>
      <c r="K2560" s="7">
        <v>30.450240099999998</v>
      </c>
      <c r="L2560" s="7">
        <v>-95.53407765</v>
      </c>
      <c r="M2560" s="6" t="s">
        <v>340</v>
      </c>
      <c r="N2560" s="6" t="s">
        <v>24</v>
      </c>
      <c r="O2560" s="6" t="s">
        <v>23</v>
      </c>
    </row>
    <row r="2561" spans="1:15" x14ac:dyDescent="0.25">
      <c r="A2561" s="6" t="s">
        <v>9471</v>
      </c>
      <c r="B2561" s="6" t="s">
        <v>9470</v>
      </c>
      <c r="C2561" s="6" t="s">
        <v>31</v>
      </c>
      <c r="E2561" s="6" t="s">
        <v>9469</v>
      </c>
      <c r="F2561" s="6" t="s">
        <v>3830</v>
      </c>
      <c r="G2561" s="6" t="s">
        <v>16</v>
      </c>
      <c r="H2561" s="6" t="s">
        <v>28</v>
      </c>
      <c r="I2561" s="6" t="s">
        <v>27</v>
      </c>
      <c r="J2561" s="6" t="s">
        <v>35</v>
      </c>
      <c r="K2561" s="7">
        <v>29.89680126</v>
      </c>
      <c r="L2561" s="7">
        <v>-95.807704439999995</v>
      </c>
      <c r="M2561" s="6" t="s">
        <v>131</v>
      </c>
      <c r="N2561" s="6" t="s">
        <v>24</v>
      </c>
      <c r="O2561" s="6" t="s">
        <v>23</v>
      </c>
    </row>
    <row r="2562" spans="1:15" x14ac:dyDescent="0.25">
      <c r="A2562" s="6" t="s">
        <v>9407</v>
      </c>
      <c r="B2562" s="6" t="s">
        <v>9406</v>
      </c>
      <c r="C2562" s="6" t="s">
        <v>31</v>
      </c>
      <c r="E2562" s="6" t="s">
        <v>9405</v>
      </c>
      <c r="F2562" s="6" t="s">
        <v>3760</v>
      </c>
      <c r="G2562" s="6" t="s">
        <v>16</v>
      </c>
      <c r="H2562" s="6" t="s">
        <v>28</v>
      </c>
      <c r="I2562" s="6" t="s">
        <v>14</v>
      </c>
      <c r="J2562" s="6" t="s">
        <v>424</v>
      </c>
      <c r="K2562" s="7">
        <v>32.848792549999999</v>
      </c>
      <c r="L2562" s="7">
        <v>-95.509041960000005</v>
      </c>
      <c r="M2562" s="6" t="s">
        <v>956</v>
      </c>
      <c r="N2562" s="6" t="s">
        <v>65</v>
      </c>
      <c r="O2562" s="6" t="s">
        <v>65</v>
      </c>
    </row>
    <row r="2563" spans="1:15" x14ac:dyDescent="0.25">
      <c r="A2563" s="6" t="s">
        <v>4541</v>
      </c>
      <c r="B2563" s="6" t="s">
        <v>4540</v>
      </c>
      <c r="C2563" s="6" t="s">
        <v>31</v>
      </c>
      <c r="E2563" s="6" t="s">
        <v>4539</v>
      </c>
      <c r="F2563" s="6" t="s">
        <v>4538</v>
      </c>
      <c r="G2563" s="6" t="s">
        <v>16</v>
      </c>
      <c r="H2563" s="6" t="s">
        <v>28</v>
      </c>
      <c r="I2563" s="6" t="s">
        <v>27</v>
      </c>
      <c r="J2563" s="6" t="s">
        <v>26</v>
      </c>
      <c r="K2563" s="7">
        <v>30.249460549999998</v>
      </c>
      <c r="L2563" s="7">
        <v>-95.200566359999996</v>
      </c>
      <c r="M2563" s="6" t="s">
        <v>4048</v>
      </c>
      <c r="N2563" s="6" t="s">
        <v>24</v>
      </c>
      <c r="O2563" s="6" t="s">
        <v>23</v>
      </c>
    </row>
    <row r="2564" spans="1:15" x14ac:dyDescent="0.25">
      <c r="A2564" s="6" t="s">
        <v>8849</v>
      </c>
      <c r="B2564" s="6" t="s">
        <v>8848</v>
      </c>
      <c r="C2564" s="6" t="s">
        <v>31</v>
      </c>
      <c r="E2564" s="6" t="s">
        <v>8847</v>
      </c>
      <c r="F2564" s="6" t="s">
        <v>8846</v>
      </c>
      <c r="G2564" s="6" t="s">
        <v>16</v>
      </c>
      <c r="H2564" s="6" t="s">
        <v>28</v>
      </c>
      <c r="I2564" s="6" t="s">
        <v>60</v>
      </c>
      <c r="J2564" s="6" t="s">
        <v>548</v>
      </c>
      <c r="K2564" s="7">
        <v>33.33314352</v>
      </c>
      <c r="L2564" s="7">
        <v>-94.329379720000006</v>
      </c>
      <c r="M2564" s="6" t="s">
        <v>547</v>
      </c>
      <c r="N2564" s="6" t="s">
        <v>95</v>
      </c>
      <c r="O2564" s="6" t="s">
        <v>65</v>
      </c>
    </row>
    <row r="2565" spans="1:15" x14ac:dyDescent="0.25">
      <c r="A2565" s="6" t="s">
        <v>10701</v>
      </c>
      <c r="B2565" s="6" t="s">
        <v>10700</v>
      </c>
      <c r="C2565" s="6" t="s">
        <v>31</v>
      </c>
      <c r="E2565" s="6" t="s">
        <v>10699</v>
      </c>
      <c r="F2565" s="6" t="s">
        <v>10691</v>
      </c>
      <c r="G2565" s="6" t="s">
        <v>16</v>
      </c>
      <c r="H2565" s="6" t="s">
        <v>15</v>
      </c>
      <c r="I2565" s="6" t="s">
        <v>14</v>
      </c>
      <c r="J2565" s="6" t="s">
        <v>162</v>
      </c>
      <c r="K2565" s="7">
        <v>29.57996735</v>
      </c>
      <c r="L2565" s="7">
        <v>-95.409480060000007</v>
      </c>
      <c r="M2565" s="6" t="s">
        <v>542</v>
      </c>
      <c r="N2565" s="6" t="s">
        <v>160</v>
      </c>
      <c r="O2565" s="6" t="s">
        <v>23</v>
      </c>
    </row>
    <row r="2566" spans="1:15" x14ac:dyDescent="0.25">
      <c r="A2566" s="6" t="s">
        <v>11802</v>
      </c>
      <c r="B2566" s="6" t="s">
        <v>11801</v>
      </c>
      <c r="C2566" s="6" t="s">
        <v>31</v>
      </c>
      <c r="E2566" s="6" t="s">
        <v>11800</v>
      </c>
      <c r="F2566" s="6" t="s">
        <v>11799</v>
      </c>
      <c r="G2566" s="6" t="s">
        <v>16</v>
      </c>
      <c r="H2566" s="6" t="s">
        <v>15</v>
      </c>
      <c r="I2566" s="6" t="s">
        <v>36</v>
      </c>
      <c r="J2566" s="6" t="s">
        <v>35</v>
      </c>
      <c r="K2566" s="7">
        <v>29.714905000000002</v>
      </c>
      <c r="L2566" s="7">
        <v>-95.206348000000006</v>
      </c>
      <c r="M2566" s="6" t="s">
        <v>866</v>
      </c>
      <c r="N2566" s="6" t="s">
        <v>24</v>
      </c>
      <c r="O2566" s="6" t="s">
        <v>23</v>
      </c>
    </row>
    <row r="2567" spans="1:15" x14ac:dyDescent="0.25">
      <c r="A2567" s="6" t="s">
        <v>9422</v>
      </c>
      <c r="B2567" s="6" t="s">
        <v>9421</v>
      </c>
      <c r="C2567" s="6" t="s">
        <v>31</v>
      </c>
      <c r="E2567" s="6" t="s">
        <v>9420</v>
      </c>
      <c r="F2567" s="6" t="s">
        <v>5388</v>
      </c>
      <c r="G2567" s="6" t="s">
        <v>16</v>
      </c>
      <c r="H2567" s="6" t="s">
        <v>28</v>
      </c>
      <c r="I2567" s="6" t="s">
        <v>36</v>
      </c>
      <c r="J2567" s="6" t="s">
        <v>873</v>
      </c>
      <c r="K2567" s="7">
        <v>29.458956229999998</v>
      </c>
      <c r="L2567" s="7">
        <v>-98.290469810000005</v>
      </c>
      <c r="M2567" s="6" t="s">
        <v>3582</v>
      </c>
      <c r="N2567" s="6" t="s">
        <v>232</v>
      </c>
      <c r="O2567" s="6" t="s">
        <v>231</v>
      </c>
    </row>
    <row r="2568" spans="1:15" x14ac:dyDescent="0.25">
      <c r="A2568" s="6" t="s">
        <v>382</v>
      </c>
      <c r="B2568" s="6" t="s">
        <v>381</v>
      </c>
      <c r="C2568" s="6" t="s">
        <v>31</v>
      </c>
      <c r="E2568" s="6" t="s">
        <v>380</v>
      </c>
      <c r="F2568" s="6" t="s">
        <v>376</v>
      </c>
      <c r="G2568" s="6" t="s">
        <v>16</v>
      </c>
      <c r="H2568" s="6" t="s">
        <v>15</v>
      </c>
      <c r="I2568" s="6" t="s">
        <v>46</v>
      </c>
      <c r="J2568" s="6" t="s">
        <v>375</v>
      </c>
      <c r="K2568" s="7">
        <v>26.39435662</v>
      </c>
      <c r="L2568" s="7">
        <v>-99.001807299999996</v>
      </c>
      <c r="M2568" s="6" t="s">
        <v>374</v>
      </c>
      <c r="N2568" s="6" t="s">
        <v>373</v>
      </c>
      <c r="O2568" s="6" t="s">
        <v>22</v>
      </c>
    </row>
    <row r="2569" spans="1:15" x14ac:dyDescent="0.25">
      <c r="A2569" s="6" t="s">
        <v>9220</v>
      </c>
      <c r="B2569" s="6" t="s">
        <v>9219</v>
      </c>
      <c r="C2569" s="6" t="s">
        <v>31</v>
      </c>
      <c r="E2569" s="6" t="s">
        <v>9218</v>
      </c>
      <c r="F2569" s="6" t="s">
        <v>9217</v>
      </c>
      <c r="G2569" s="6" t="s">
        <v>16</v>
      </c>
      <c r="H2569" s="6" t="s">
        <v>28</v>
      </c>
      <c r="I2569" s="6" t="s">
        <v>799</v>
      </c>
      <c r="J2569" s="6" t="s">
        <v>928</v>
      </c>
      <c r="K2569" s="7">
        <v>31.22841343</v>
      </c>
      <c r="L2569" s="7">
        <v>-96.23522122</v>
      </c>
      <c r="M2569" s="6" t="s">
        <v>927</v>
      </c>
      <c r="N2569" s="6" t="s">
        <v>23</v>
      </c>
      <c r="O2569" s="6" t="s">
        <v>120</v>
      </c>
    </row>
    <row r="2570" spans="1:15" x14ac:dyDescent="0.25">
      <c r="A2570" s="6" t="s">
        <v>6869</v>
      </c>
      <c r="B2570" s="6" t="s">
        <v>6868</v>
      </c>
      <c r="C2570" s="6" t="s">
        <v>31</v>
      </c>
      <c r="E2570" s="6" t="s">
        <v>6867</v>
      </c>
      <c r="F2570" s="6" t="s">
        <v>2024</v>
      </c>
      <c r="G2570" s="6" t="s">
        <v>16</v>
      </c>
      <c r="H2570" s="6" t="s">
        <v>28</v>
      </c>
      <c r="I2570" s="6" t="s">
        <v>27</v>
      </c>
      <c r="J2570" s="6" t="s">
        <v>1281</v>
      </c>
      <c r="K2570" s="7">
        <v>31.574020999999998</v>
      </c>
      <c r="L2570" s="7">
        <v>-96.520323000000005</v>
      </c>
      <c r="M2570" s="6" t="s">
        <v>1761</v>
      </c>
      <c r="N2570" s="6" t="s">
        <v>23</v>
      </c>
      <c r="O2570" s="6" t="s">
        <v>120</v>
      </c>
    </row>
    <row r="2571" spans="1:15" x14ac:dyDescent="0.25">
      <c r="A2571" s="6" t="s">
        <v>9127</v>
      </c>
      <c r="B2571" s="6" t="s">
        <v>9126</v>
      </c>
      <c r="C2571" s="6" t="s">
        <v>31</v>
      </c>
      <c r="E2571" s="6" t="s">
        <v>9125</v>
      </c>
      <c r="F2571" s="6" t="s">
        <v>9124</v>
      </c>
      <c r="G2571" s="6" t="s">
        <v>16</v>
      </c>
      <c r="H2571" s="6" t="s">
        <v>15</v>
      </c>
      <c r="I2571" s="6" t="s">
        <v>14</v>
      </c>
      <c r="J2571" s="6" t="s">
        <v>35</v>
      </c>
      <c r="K2571" s="7">
        <v>30.066400810000001</v>
      </c>
      <c r="L2571" s="7">
        <v>-95.608882449999996</v>
      </c>
      <c r="M2571" s="6" t="s">
        <v>731</v>
      </c>
      <c r="N2571" s="6" t="s">
        <v>24</v>
      </c>
      <c r="O2571" s="6" t="s">
        <v>23</v>
      </c>
    </row>
    <row r="2572" spans="1:15" x14ac:dyDescent="0.25">
      <c r="A2572" s="6" t="s">
        <v>9223</v>
      </c>
      <c r="B2572" s="6" t="s">
        <v>9222</v>
      </c>
      <c r="C2572" s="6" t="s">
        <v>31</v>
      </c>
      <c r="E2572" s="6" t="s">
        <v>9221</v>
      </c>
      <c r="F2572" s="6" t="s">
        <v>2607</v>
      </c>
      <c r="G2572" s="6" t="s">
        <v>16</v>
      </c>
      <c r="H2572" s="6" t="s">
        <v>28</v>
      </c>
      <c r="I2572" s="6" t="s">
        <v>2671</v>
      </c>
      <c r="J2572" s="6" t="s">
        <v>456</v>
      </c>
      <c r="K2572" s="7">
        <v>30.139849999999999</v>
      </c>
      <c r="L2572" s="7">
        <v>-97.463589999999996</v>
      </c>
      <c r="M2572" s="6" t="s">
        <v>408</v>
      </c>
      <c r="N2572" s="6" t="s">
        <v>10</v>
      </c>
      <c r="O2572" s="6" t="s">
        <v>160</v>
      </c>
    </row>
    <row r="2573" spans="1:15" x14ac:dyDescent="0.25">
      <c r="A2573" s="6" t="s">
        <v>9269</v>
      </c>
      <c r="B2573" s="6" t="s">
        <v>9268</v>
      </c>
      <c r="C2573" s="6" t="s">
        <v>31</v>
      </c>
      <c r="E2573" s="6" t="s">
        <v>9267</v>
      </c>
      <c r="F2573" s="6" t="s">
        <v>9266</v>
      </c>
      <c r="G2573" s="6" t="s">
        <v>16</v>
      </c>
      <c r="H2573" s="6" t="s">
        <v>28</v>
      </c>
      <c r="I2573" s="6" t="s">
        <v>27</v>
      </c>
      <c r="J2573" s="6" t="s">
        <v>35</v>
      </c>
      <c r="K2573" s="7">
        <v>30.072019000000001</v>
      </c>
      <c r="L2573" s="7">
        <v>-95.573507000000006</v>
      </c>
      <c r="M2573" s="6" t="s">
        <v>731</v>
      </c>
      <c r="N2573" s="6" t="s">
        <v>24</v>
      </c>
      <c r="O2573" s="6" t="s">
        <v>23</v>
      </c>
    </row>
    <row r="2574" spans="1:15" x14ac:dyDescent="0.25">
      <c r="A2574" s="6" t="s">
        <v>5772</v>
      </c>
      <c r="B2574" s="6" t="s">
        <v>5771</v>
      </c>
      <c r="C2574" s="6" t="s">
        <v>31</v>
      </c>
      <c r="E2574" s="6" t="s">
        <v>5770</v>
      </c>
      <c r="F2574" s="6" t="s">
        <v>4474</v>
      </c>
      <c r="G2574" s="6" t="s">
        <v>16</v>
      </c>
      <c r="H2574" s="6" t="s">
        <v>15</v>
      </c>
      <c r="I2574" s="6" t="s">
        <v>14</v>
      </c>
      <c r="J2574" s="6" t="s">
        <v>1853</v>
      </c>
      <c r="K2574" s="7">
        <v>28.82301541</v>
      </c>
      <c r="L2574" s="7">
        <v>-97.841181000000006</v>
      </c>
      <c r="M2574" s="6" t="s">
        <v>4473</v>
      </c>
      <c r="N2574" s="6" t="s">
        <v>232</v>
      </c>
      <c r="O2574" s="6" t="s">
        <v>231</v>
      </c>
    </row>
    <row r="2575" spans="1:15" x14ac:dyDescent="0.25">
      <c r="A2575" s="6" t="s">
        <v>8891</v>
      </c>
      <c r="B2575" s="6" t="s">
        <v>8890</v>
      </c>
      <c r="C2575" s="6" t="s">
        <v>31</v>
      </c>
      <c r="E2575" s="6" t="s">
        <v>8889</v>
      </c>
      <c r="F2575" s="6" t="s">
        <v>8888</v>
      </c>
      <c r="G2575" s="6" t="s">
        <v>16</v>
      </c>
      <c r="H2575" s="6" t="s">
        <v>28</v>
      </c>
      <c r="I2575" s="6" t="s">
        <v>27</v>
      </c>
      <c r="J2575" s="6" t="s">
        <v>409</v>
      </c>
      <c r="K2575" s="7">
        <v>30.369990000000001</v>
      </c>
      <c r="L2575" s="7">
        <v>-97.553715999999994</v>
      </c>
      <c r="M2575" s="6" t="s">
        <v>455</v>
      </c>
      <c r="N2575" s="6" t="s">
        <v>10</v>
      </c>
      <c r="O2575" s="6" t="s">
        <v>160</v>
      </c>
    </row>
    <row r="2576" spans="1:15" x14ac:dyDescent="0.25">
      <c r="A2576" s="6" t="s">
        <v>2972</v>
      </c>
      <c r="B2576" s="6" t="s">
        <v>2971</v>
      </c>
      <c r="C2576" s="6" t="s">
        <v>31</v>
      </c>
      <c r="E2576" s="6" t="s">
        <v>2970</v>
      </c>
      <c r="F2576" s="6" t="s">
        <v>2969</v>
      </c>
      <c r="G2576" s="6" t="s">
        <v>16</v>
      </c>
      <c r="H2576" s="6" t="s">
        <v>28</v>
      </c>
      <c r="I2576" s="6" t="s">
        <v>14</v>
      </c>
      <c r="J2576" s="6" t="s">
        <v>753</v>
      </c>
      <c r="K2576" s="7">
        <v>29.99530583</v>
      </c>
      <c r="L2576" s="7">
        <v>-97.800630459999994</v>
      </c>
      <c r="M2576" s="6" t="s">
        <v>752</v>
      </c>
      <c r="N2576" s="6" t="s">
        <v>559</v>
      </c>
      <c r="O2576" s="6" t="s">
        <v>160</v>
      </c>
    </row>
    <row r="2577" spans="1:15" x14ac:dyDescent="0.25">
      <c r="A2577" s="6" t="s">
        <v>8884</v>
      </c>
      <c r="B2577" s="6" t="s">
        <v>8883</v>
      </c>
      <c r="C2577" s="6" t="s">
        <v>31</v>
      </c>
      <c r="E2577" s="6" t="s">
        <v>8882</v>
      </c>
      <c r="F2577" s="6" t="s">
        <v>8881</v>
      </c>
      <c r="G2577" s="6" t="s">
        <v>16</v>
      </c>
      <c r="H2577" s="6" t="s">
        <v>28</v>
      </c>
      <c r="I2577" s="6" t="s">
        <v>60</v>
      </c>
      <c r="J2577" s="6" t="s">
        <v>35</v>
      </c>
      <c r="K2577" s="7">
        <v>29.865988999999999</v>
      </c>
      <c r="L2577" s="7">
        <v>-95.526595999999998</v>
      </c>
      <c r="M2577" s="6" t="s">
        <v>77</v>
      </c>
      <c r="N2577" s="6" t="s">
        <v>24</v>
      </c>
      <c r="O2577" s="6" t="s">
        <v>23</v>
      </c>
    </row>
    <row r="2578" spans="1:15" x14ac:dyDescent="0.25">
      <c r="A2578" s="6" t="s">
        <v>8895</v>
      </c>
      <c r="B2578" s="6" t="s">
        <v>8894</v>
      </c>
      <c r="C2578" s="6" t="s">
        <v>31</v>
      </c>
      <c r="E2578" s="6" t="s">
        <v>8893</v>
      </c>
      <c r="F2578" s="6" t="s">
        <v>8892</v>
      </c>
      <c r="G2578" s="6" t="s">
        <v>16</v>
      </c>
      <c r="H2578" s="6" t="s">
        <v>28</v>
      </c>
      <c r="I2578" s="6" t="s">
        <v>27</v>
      </c>
      <c r="J2578" s="6" t="s">
        <v>26</v>
      </c>
      <c r="K2578" s="7">
        <v>30.123764000000001</v>
      </c>
      <c r="L2578" s="7">
        <v>-95.387808000000007</v>
      </c>
      <c r="M2578" s="6" t="s">
        <v>1022</v>
      </c>
      <c r="N2578" s="6" t="s">
        <v>24</v>
      </c>
      <c r="O2578" s="6" t="s">
        <v>23</v>
      </c>
    </row>
    <row r="2579" spans="1:15" x14ac:dyDescent="0.25">
      <c r="A2579" s="6" t="s">
        <v>2459</v>
      </c>
      <c r="B2579" s="6" t="s">
        <v>2458</v>
      </c>
      <c r="C2579" s="6" t="s">
        <v>31</v>
      </c>
      <c r="E2579" s="6" t="s">
        <v>2457</v>
      </c>
      <c r="F2579" s="6" t="s">
        <v>2456</v>
      </c>
      <c r="G2579" s="6" t="s">
        <v>16</v>
      </c>
      <c r="H2579" s="6" t="s">
        <v>28</v>
      </c>
      <c r="I2579" s="6" t="s">
        <v>60</v>
      </c>
      <c r="J2579" s="6" t="s">
        <v>1323</v>
      </c>
      <c r="K2579" s="7">
        <v>31.838235000000001</v>
      </c>
      <c r="L2579" s="7">
        <v>-98.380240999999998</v>
      </c>
      <c r="M2579" s="6" t="s">
        <v>1322</v>
      </c>
      <c r="N2579" s="6" t="s">
        <v>23</v>
      </c>
      <c r="O2579" s="6" t="s">
        <v>95</v>
      </c>
    </row>
    <row r="2580" spans="1:15" x14ac:dyDescent="0.25">
      <c r="A2580" s="6" t="s">
        <v>5763</v>
      </c>
      <c r="B2580" s="6" t="s">
        <v>5762</v>
      </c>
      <c r="C2580" s="6" t="s">
        <v>31</v>
      </c>
      <c r="E2580" s="6" t="s">
        <v>5761</v>
      </c>
      <c r="F2580" s="6" t="s">
        <v>5760</v>
      </c>
      <c r="G2580" s="6" t="s">
        <v>16</v>
      </c>
      <c r="H2580" s="6" t="s">
        <v>15</v>
      </c>
      <c r="I2580" s="6" t="s">
        <v>27</v>
      </c>
      <c r="J2580" s="6" t="s">
        <v>90</v>
      </c>
      <c r="K2580" s="7">
        <v>26.056263260000001</v>
      </c>
      <c r="L2580" s="7">
        <v>-97.563280520000006</v>
      </c>
      <c r="M2580" s="6" t="s">
        <v>770</v>
      </c>
      <c r="N2580" s="6" t="s">
        <v>11</v>
      </c>
      <c r="O2580" s="6" t="s">
        <v>22</v>
      </c>
    </row>
    <row r="2581" spans="1:15" x14ac:dyDescent="0.25">
      <c r="A2581" s="6" t="s">
        <v>10072</v>
      </c>
      <c r="B2581" s="6" t="s">
        <v>10071</v>
      </c>
      <c r="C2581" s="6" t="s">
        <v>31</v>
      </c>
      <c r="E2581" s="6" t="s">
        <v>10070</v>
      </c>
      <c r="F2581" s="6" t="s">
        <v>10069</v>
      </c>
      <c r="G2581" s="6" t="s">
        <v>16</v>
      </c>
      <c r="H2581" s="6" t="s">
        <v>15</v>
      </c>
      <c r="I2581" s="6" t="s">
        <v>14</v>
      </c>
      <c r="J2581" s="6" t="s">
        <v>215</v>
      </c>
      <c r="K2581" s="7">
        <v>29.470649340000001</v>
      </c>
      <c r="L2581" s="7">
        <v>-94.968408089999997</v>
      </c>
      <c r="M2581" s="6" t="s">
        <v>3066</v>
      </c>
      <c r="N2581" s="6" t="s">
        <v>160</v>
      </c>
      <c r="O2581" s="6" t="s">
        <v>23</v>
      </c>
    </row>
    <row r="2582" spans="1:15" x14ac:dyDescent="0.25">
      <c r="A2582" s="6" t="s">
        <v>8308</v>
      </c>
      <c r="B2582" s="6" t="s">
        <v>8307</v>
      </c>
      <c r="C2582" s="6" t="s">
        <v>31</v>
      </c>
      <c r="E2582" s="6" t="s">
        <v>8306</v>
      </c>
      <c r="F2582" s="6" t="s">
        <v>8305</v>
      </c>
      <c r="G2582" s="6" t="s">
        <v>16</v>
      </c>
      <c r="H2582" s="6" t="s">
        <v>28</v>
      </c>
      <c r="I2582" s="6" t="s">
        <v>27</v>
      </c>
      <c r="J2582" s="6" t="s">
        <v>1752</v>
      </c>
      <c r="K2582" s="7">
        <v>30.571283000000001</v>
      </c>
      <c r="L2582" s="7">
        <v>-95.118868000000006</v>
      </c>
      <c r="M2582" s="6" t="s">
        <v>2355</v>
      </c>
      <c r="N2582" s="6" t="s">
        <v>102</v>
      </c>
      <c r="O2582" s="6" t="s">
        <v>24</v>
      </c>
    </row>
    <row r="2583" spans="1:15" x14ac:dyDescent="0.25">
      <c r="A2583" s="6" t="s">
        <v>1438</v>
      </c>
      <c r="B2583" s="6" t="s">
        <v>1436</v>
      </c>
      <c r="C2583" s="6" t="s">
        <v>31</v>
      </c>
      <c r="E2583" s="6" t="s">
        <v>1435</v>
      </c>
      <c r="F2583" s="6" t="s">
        <v>1434</v>
      </c>
      <c r="G2583" s="6" t="s">
        <v>16</v>
      </c>
      <c r="H2583" s="6" t="s">
        <v>430</v>
      </c>
      <c r="I2583" s="6" t="s">
        <v>14</v>
      </c>
      <c r="J2583" s="6" t="s">
        <v>35</v>
      </c>
      <c r="K2583" s="7">
        <v>29.589384150000001</v>
      </c>
      <c r="L2583" s="7">
        <v>-95.404848270000002</v>
      </c>
      <c r="M2583" s="6" t="s">
        <v>542</v>
      </c>
      <c r="N2583" s="6" t="s">
        <v>160</v>
      </c>
      <c r="O2583" s="6" t="s">
        <v>23</v>
      </c>
    </row>
    <row r="2584" spans="1:15" x14ac:dyDescent="0.25">
      <c r="A2584" s="6" t="s">
        <v>1437</v>
      </c>
      <c r="B2584" s="6" t="s">
        <v>1436</v>
      </c>
      <c r="C2584" s="6" t="s">
        <v>19</v>
      </c>
      <c r="E2584" s="6" t="s">
        <v>1435</v>
      </c>
      <c r="F2584" s="6" t="s">
        <v>1434</v>
      </c>
      <c r="G2584" s="6" t="s">
        <v>16</v>
      </c>
      <c r="H2584" s="6" t="s">
        <v>430</v>
      </c>
      <c r="I2584" s="6" t="s">
        <v>14</v>
      </c>
      <c r="J2584" s="6" t="s">
        <v>35</v>
      </c>
      <c r="K2584" s="7">
        <v>29.58930046</v>
      </c>
      <c r="L2584" s="7">
        <v>-95.406450840000005</v>
      </c>
      <c r="M2584" s="6" t="s">
        <v>542</v>
      </c>
      <c r="N2584" s="6" t="s">
        <v>160</v>
      </c>
      <c r="O2584" s="6" t="s">
        <v>23</v>
      </c>
    </row>
    <row r="2585" spans="1:15" x14ac:dyDescent="0.25">
      <c r="A2585" s="6" t="s">
        <v>9628</v>
      </c>
      <c r="B2585" s="6" t="s">
        <v>9627</v>
      </c>
      <c r="C2585" s="6" t="s">
        <v>31</v>
      </c>
      <c r="E2585" s="6" t="s">
        <v>9626</v>
      </c>
      <c r="F2585" s="6" t="s">
        <v>9625</v>
      </c>
      <c r="G2585" s="6" t="s">
        <v>16</v>
      </c>
      <c r="H2585" s="6" t="s">
        <v>28</v>
      </c>
      <c r="I2585" s="6" t="s">
        <v>27</v>
      </c>
      <c r="J2585" s="6" t="s">
        <v>1611</v>
      </c>
      <c r="K2585" s="7">
        <v>32.414684459999997</v>
      </c>
      <c r="L2585" s="7">
        <v>-94.769399000000007</v>
      </c>
      <c r="M2585" s="6" t="s">
        <v>1218</v>
      </c>
      <c r="N2585" s="6" t="s">
        <v>65</v>
      </c>
      <c r="O2585" s="6" t="s">
        <v>65</v>
      </c>
    </row>
    <row r="2586" spans="1:15" x14ac:dyDescent="0.25">
      <c r="A2586" s="6" t="s">
        <v>8876</v>
      </c>
      <c r="B2586" s="6" t="s">
        <v>8875</v>
      </c>
      <c r="C2586" s="6" t="s">
        <v>31</v>
      </c>
      <c r="E2586" s="6" t="s">
        <v>8874</v>
      </c>
      <c r="F2586" s="6" t="s">
        <v>895</v>
      </c>
      <c r="G2586" s="6" t="s">
        <v>16</v>
      </c>
      <c r="H2586" s="6" t="s">
        <v>28</v>
      </c>
      <c r="I2586" s="6" t="s">
        <v>1200</v>
      </c>
      <c r="J2586" s="6" t="s">
        <v>26</v>
      </c>
      <c r="K2586" s="7">
        <v>30.099630000000001</v>
      </c>
      <c r="L2586" s="7">
        <v>-95.719528999999994</v>
      </c>
      <c r="M2586" s="6" t="s">
        <v>731</v>
      </c>
      <c r="N2586" s="6" t="s">
        <v>24</v>
      </c>
      <c r="O2586" s="6" t="s">
        <v>23</v>
      </c>
    </row>
    <row r="2587" spans="1:15" x14ac:dyDescent="0.25">
      <c r="A2587" s="6" t="s">
        <v>12227</v>
      </c>
      <c r="B2587" s="6" t="s">
        <v>12226</v>
      </c>
      <c r="C2587" s="6" t="s">
        <v>31</v>
      </c>
      <c r="E2587" s="6" t="s">
        <v>12225</v>
      </c>
      <c r="F2587" s="6" t="s">
        <v>12224</v>
      </c>
      <c r="G2587" s="6" t="s">
        <v>16</v>
      </c>
      <c r="H2587" s="6" t="s">
        <v>28</v>
      </c>
      <c r="I2587" s="6" t="s">
        <v>60</v>
      </c>
      <c r="J2587" s="6" t="s">
        <v>35</v>
      </c>
      <c r="K2587" s="7">
        <v>29.958334000000001</v>
      </c>
      <c r="L2587" s="7">
        <v>-95.687189000000004</v>
      </c>
      <c r="M2587" s="6" t="s">
        <v>279</v>
      </c>
      <c r="N2587" s="6" t="s">
        <v>24</v>
      </c>
      <c r="O2587" s="6" t="s">
        <v>23</v>
      </c>
    </row>
    <row r="2588" spans="1:15" x14ac:dyDescent="0.25">
      <c r="A2588" s="6" t="s">
        <v>9227</v>
      </c>
      <c r="B2588" s="6" t="s">
        <v>9226</v>
      </c>
      <c r="C2588" s="6" t="s">
        <v>31</v>
      </c>
      <c r="E2588" s="6" t="s">
        <v>9225</v>
      </c>
      <c r="F2588" s="6" t="s">
        <v>9224</v>
      </c>
      <c r="G2588" s="6" t="s">
        <v>16</v>
      </c>
      <c r="H2588" s="6" t="s">
        <v>28</v>
      </c>
      <c r="I2588" s="6" t="s">
        <v>46</v>
      </c>
      <c r="J2588" s="6" t="s">
        <v>424</v>
      </c>
      <c r="K2588" s="7">
        <v>32.877891529999999</v>
      </c>
      <c r="L2588" s="7">
        <v>-95.631489579999993</v>
      </c>
      <c r="M2588" s="6" t="s">
        <v>956</v>
      </c>
      <c r="N2588" s="6" t="s">
        <v>65</v>
      </c>
      <c r="O2588" s="6" t="s">
        <v>65</v>
      </c>
    </row>
    <row r="2589" spans="1:15" x14ac:dyDescent="0.25">
      <c r="A2589" s="6" t="s">
        <v>11139</v>
      </c>
      <c r="B2589" s="6" t="s">
        <v>11138</v>
      </c>
      <c r="C2589" s="6" t="s">
        <v>31</v>
      </c>
      <c r="E2589" s="6" t="s">
        <v>11137</v>
      </c>
      <c r="F2589" s="6" t="s">
        <v>11136</v>
      </c>
      <c r="G2589" s="6" t="s">
        <v>16</v>
      </c>
      <c r="H2589" s="6" t="s">
        <v>28</v>
      </c>
      <c r="I2589" s="6" t="s">
        <v>73</v>
      </c>
      <c r="J2589" s="6" t="s">
        <v>35</v>
      </c>
      <c r="K2589" s="7">
        <v>29.742877</v>
      </c>
      <c r="L2589" s="7">
        <v>-95.110083000000003</v>
      </c>
      <c r="M2589" s="6" t="s">
        <v>34</v>
      </c>
      <c r="N2589" s="6" t="s">
        <v>24</v>
      </c>
      <c r="O2589" s="6" t="s">
        <v>23</v>
      </c>
    </row>
    <row r="2590" spans="1:15" x14ac:dyDescent="0.25">
      <c r="A2590" s="6" t="s">
        <v>2404</v>
      </c>
      <c r="B2590" s="6" t="s">
        <v>2403</v>
      </c>
      <c r="C2590" s="6" t="s">
        <v>31</v>
      </c>
      <c r="E2590" s="6" t="s">
        <v>2402</v>
      </c>
      <c r="F2590" s="6" t="s">
        <v>2401</v>
      </c>
      <c r="G2590" s="6" t="s">
        <v>16</v>
      </c>
      <c r="H2590" s="6" t="s">
        <v>28</v>
      </c>
      <c r="I2590" s="6" t="s">
        <v>60</v>
      </c>
      <c r="J2590" s="6" t="s">
        <v>904</v>
      </c>
      <c r="K2590" s="7">
        <v>32.725026769999999</v>
      </c>
      <c r="L2590" s="7">
        <v>-97.615941469999996</v>
      </c>
      <c r="M2590" s="6" t="s">
        <v>2400</v>
      </c>
      <c r="N2590" s="6" t="s">
        <v>102</v>
      </c>
      <c r="O2590" s="6" t="s">
        <v>42</v>
      </c>
    </row>
    <row r="2591" spans="1:15" x14ac:dyDescent="0.25">
      <c r="A2591" s="6" t="s">
        <v>2960</v>
      </c>
      <c r="B2591" s="6" t="s">
        <v>2959</v>
      </c>
      <c r="C2591" s="6" t="s">
        <v>31</v>
      </c>
      <c r="E2591" s="6" t="s">
        <v>2958</v>
      </c>
      <c r="F2591" s="6" t="s">
        <v>2957</v>
      </c>
      <c r="G2591" s="6" t="s">
        <v>16</v>
      </c>
      <c r="H2591" s="6" t="s">
        <v>28</v>
      </c>
      <c r="I2591" s="6" t="s">
        <v>27</v>
      </c>
      <c r="J2591" s="6" t="s">
        <v>162</v>
      </c>
      <c r="K2591" s="7">
        <v>29.329073000000001</v>
      </c>
      <c r="L2591" s="7">
        <v>-95.264004999999997</v>
      </c>
      <c r="M2591" s="6" t="s">
        <v>161</v>
      </c>
      <c r="N2591" s="6" t="s">
        <v>160</v>
      </c>
      <c r="O2591" s="6" t="s">
        <v>23</v>
      </c>
    </row>
    <row r="2592" spans="1:15" x14ac:dyDescent="0.25">
      <c r="A2592" s="6" t="s">
        <v>5208</v>
      </c>
      <c r="B2592" s="6" t="s">
        <v>5207</v>
      </c>
      <c r="C2592" s="6" t="s">
        <v>31</v>
      </c>
      <c r="E2592" s="6" t="s">
        <v>5206</v>
      </c>
      <c r="F2592" s="6" t="s">
        <v>5205</v>
      </c>
      <c r="G2592" s="6" t="s">
        <v>16</v>
      </c>
      <c r="H2592" s="6" t="s">
        <v>15</v>
      </c>
      <c r="I2592" s="6" t="s">
        <v>36</v>
      </c>
      <c r="J2592" s="6" t="s">
        <v>122</v>
      </c>
      <c r="K2592" s="7">
        <v>31.52170911</v>
      </c>
      <c r="L2592" s="7">
        <v>-97.069681889999998</v>
      </c>
      <c r="M2592" s="6" t="s">
        <v>121</v>
      </c>
      <c r="N2592" s="6" t="s">
        <v>23</v>
      </c>
      <c r="O2592" s="6" t="s">
        <v>120</v>
      </c>
    </row>
    <row r="2593" spans="1:15" x14ac:dyDescent="0.25">
      <c r="A2593" s="6" t="s">
        <v>130</v>
      </c>
      <c r="B2593" s="6" t="s">
        <v>129</v>
      </c>
      <c r="C2593" s="6" t="s">
        <v>31</v>
      </c>
      <c r="E2593" s="6" t="s">
        <v>128</v>
      </c>
      <c r="F2593" s="6" t="s">
        <v>127</v>
      </c>
      <c r="G2593" s="6" t="s">
        <v>16</v>
      </c>
      <c r="H2593" s="6" t="s">
        <v>28</v>
      </c>
      <c r="I2593" s="6" t="s">
        <v>46</v>
      </c>
      <c r="J2593" s="6" t="s">
        <v>45</v>
      </c>
      <c r="K2593" s="7">
        <v>33.605145030000003</v>
      </c>
      <c r="L2593" s="7">
        <v>-95.919528549999995</v>
      </c>
      <c r="M2593" s="6" t="s">
        <v>44</v>
      </c>
      <c r="N2593" s="6" t="s">
        <v>43</v>
      </c>
      <c r="O2593" s="6" t="s">
        <v>42</v>
      </c>
    </row>
    <row r="2594" spans="1:15" x14ac:dyDescent="0.25">
      <c r="A2594" s="6" t="s">
        <v>10104</v>
      </c>
      <c r="B2594" s="6" t="s">
        <v>10103</v>
      </c>
      <c r="C2594" s="6" t="s">
        <v>31</v>
      </c>
      <c r="E2594" s="6" t="s">
        <v>10102</v>
      </c>
      <c r="F2594" s="6" t="s">
        <v>10101</v>
      </c>
      <c r="G2594" s="6" t="s">
        <v>16</v>
      </c>
      <c r="H2594" s="6" t="s">
        <v>15</v>
      </c>
      <c r="I2594" s="6" t="s">
        <v>14</v>
      </c>
      <c r="J2594" s="6" t="s">
        <v>385</v>
      </c>
      <c r="K2594" s="7">
        <v>29.940140840000002</v>
      </c>
      <c r="L2594" s="7">
        <v>-93.886497250000005</v>
      </c>
      <c r="M2594" s="6" t="s">
        <v>610</v>
      </c>
      <c r="N2594" s="6" t="s">
        <v>383</v>
      </c>
      <c r="O2594" s="6" t="s">
        <v>24</v>
      </c>
    </row>
    <row r="2595" spans="1:15" x14ac:dyDescent="0.25">
      <c r="A2595" s="6" t="s">
        <v>189</v>
      </c>
      <c r="B2595" s="6" t="s">
        <v>188</v>
      </c>
      <c r="C2595" s="6" t="s">
        <v>31</v>
      </c>
      <c r="E2595" s="6" t="s">
        <v>187</v>
      </c>
      <c r="F2595" s="6" t="s">
        <v>186</v>
      </c>
      <c r="G2595" s="6" t="s">
        <v>16</v>
      </c>
      <c r="H2595" s="6" t="s">
        <v>15</v>
      </c>
      <c r="I2595" s="6" t="s">
        <v>46</v>
      </c>
      <c r="J2595" s="6" t="s">
        <v>185</v>
      </c>
      <c r="K2595" s="7">
        <v>27.46722201</v>
      </c>
      <c r="L2595" s="7">
        <v>-97.830000350000006</v>
      </c>
      <c r="M2595" s="6" t="s">
        <v>184</v>
      </c>
      <c r="N2595" s="6" t="s">
        <v>11</v>
      </c>
      <c r="O2595" s="6" t="s">
        <v>10</v>
      </c>
    </row>
    <row r="2596" spans="1:15" x14ac:dyDescent="0.25">
      <c r="A2596" s="6" t="s">
        <v>8880</v>
      </c>
      <c r="B2596" s="6" t="s">
        <v>8879</v>
      </c>
      <c r="C2596" s="6" t="s">
        <v>31</v>
      </c>
      <c r="E2596" s="6" t="s">
        <v>8878</v>
      </c>
      <c r="F2596" s="6" t="s">
        <v>8877</v>
      </c>
      <c r="G2596" s="6" t="s">
        <v>16</v>
      </c>
      <c r="H2596" s="6" t="s">
        <v>28</v>
      </c>
      <c r="I2596" s="6" t="s">
        <v>73</v>
      </c>
      <c r="J2596" s="6" t="s">
        <v>2624</v>
      </c>
      <c r="K2596" s="7">
        <v>28.656404999999999</v>
      </c>
      <c r="L2596" s="7">
        <v>-99.834963999999999</v>
      </c>
      <c r="M2596" s="6" t="s">
        <v>5841</v>
      </c>
      <c r="N2596" s="6" t="s">
        <v>524</v>
      </c>
      <c r="O2596" s="6" t="s">
        <v>510</v>
      </c>
    </row>
    <row r="2597" spans="1:15" x14ac:dyDescent="0.25">
      <c r="A2597" s="6" t="s">
        <v>8705</v>
      </c>
      <c r="B2597" s="6" t="s">
        <v>8704</v>
      </c>
      <c r="C2597" s="6" t="s">
        <v>31</v>
      </c>
      <c r="E2597" s="6" t="s">
        <v>8703</v>
      </c>
      <c r="F2597" s="6" t="s">
        <v>8702</v>
      </c>
      <c r="G2597" s="6" t="s">
        <v>16</v>
      </c>
      <c r="H2597" s="6" t="s">
        <v>28</v>
      </c>
      <c r="I2597" s="6" t="s">
        <v>27</v>
      </c>
      <c r="J2597" s="6" t="s">
        <v>162</v>
      </c>
      <c r="K2597" s="7">
        <v>29.529717250000001</v>
      </c>
      <c r="L2597" s="7">
        <v>-95.420863879999999</v>
      </c>
      <c r="M2597" s="6" t="s">
        <v>706</v>
      </c>
      <c r="N2597" s="6" t="s">
        <v>160</v>
      </c>
      <c r="O2597" s="6" t="s">
        <v>23</v>
      </c>
    </row>
    <row r="2598" spans="1:15" x14ac:dyDescent="0.25">
      <c r="A2598" s="6" t="s">
        <v>8862</v>
      </c>
      <c r="B2598" s="6" t="s">
        <v>8861</v>
      </c>
      <c r="C2598" s="6" t="s">
        <v>31</v>
      </c>
      <c r="E2598" s="6" t="s">
        <v>8860</v>
      </c>
      <c r="F2598" s="6" t="s">
        <v>895</v>
      </c>
      <c r="G2598" s="6" t="s">
        <v>16</v>
      </c>
      <c r="H2598" s="6" t="s">
        <v>28</v>
      </c>
      <c r="I2598" s="6" t="s">
        <v>1200</v>
      </c>
      <c r="J2598" s="6" t="s">
        <v>26</v>
      </c>
      <c r="K2598" s="7">
        <v>30.216054</v>
      </c>
      <c r="L2598" s="7">
        <v>-95.551107999999999</v>
      </c>
      <c r="M2598" s="6" t="s">
        <v>731</v>
      </c>
      <c r="N2598" s="6" t="s">
        <v>24</v>
      </c>
      <c r="O2598" s="6" t="s">
        <v>23</v>
      </c>
    </row>
    <row r="2599" spans="1:15" x14ac:dyDescent="0.25">
      <c r="A2599" s="6" t="s">
        <v>8983</v>
      </c>
      <c r="B2599" s="6" t="s">
        <v>8982</v>
      </c>
      <c r="C2599" s="6" t="s">
        <v>31</v>
      </c>
      <c r="E2599" s="6" t="s">
        <v>8981</v>
      </c>
      <c r="F2599" s="6" t="s">
        <v>8980</v>
      </c>
      <c r="G2599" s="6" t="s">
        <v>16</v>
      </c>
      <c r="H2599" s="6" t="s">
        <v>28</v>
      </c>
      <c r="I2599" s="6" t="s">
        <v>27</v>
      </c>
      <c r="J2599" s="6" t="s">
        <v>548</v>
      </c>
      <c r="K2599" s="7">
        <v>33.517007999999997</v>
      </c>
      <c r="L2599" s="7">
        <v>-94.285644000000005</v>
      </c>
      <c r="M2599" s="6" t="s">
        <v>8979</v>
      </c>
      <c r="N2599" s="6" t="s">
        <v>43</v>
      </c>
      <c r="O2599" s="6" t="s">
        <v>65</v>
      </c>
    </row>
    <row r="2600" spans="1:15" x14ac:dyDescent="0.25">
      <c r="A2600" s="6" t="s">
        <v>9109</v>
      </c>
      <c r="B2600" s="6" t="s">
        <v>9108</v>
      </c>
      <c r="C2600" s="6" t="s">
        <v>31</v>
      </c>
      <c r="E2600" s="6" t="s">
        <v>9107</v>
      </c>
      <c r="F2600" s="6" t="s">
        <v>9106</v>
      </c>
      <c r="G2600" s="6" t="s">
        <v>16</v>
      </c>
      <c r="H2600" s="6" t="s">
        <v>28</v>
      </c>
      <c r="I2600" s="6" t="s">
        <v>14</v>
      </c>
      <c r="J2600" s="6" t="s">
        <v>9105</v>
      </c>
      <c r="K2600" s="7">
        <v>33.458230790000002</v>
      </c>
      <c r="L2600" s="7">
        <v>-101.09281743</v>
      </c>
      <c r="M2600" s="6" t="s">
        <v>4423</v>
      </c>
      <c r="N2600" s="6" t="s">
        <v>23</v>
      </c>
      <c r="O2600" s="6" t="s">
        <v>43</v>
      </c>
    </row>
    <row r="2601" spans="1:15" x14ac:dyDescent="0.25">
      <c r="A2601" s="6" t="s">
        <v>11330</v>
      </c>
      <c r="B2601" s="6" t="s">
        <v>11329</v>
      </c>
      <c r="C2601" s="6" t="s">
        <v>31</v>
      </c>
      <c r="E2601" s="6" t="s">
        <v>11328</v>
      </c>
      <c r="F2601" s="6" t="s">
        <v>11327</v>
      </c>
      <c r="G2601" s="6" t="s">
        <v>16</v>
      </c>
      <c r="H2601" s="6" t="s">
        <v>15</v>
      </c>
      <c r="I2601" s="6" t="s">
        <v>36</v>
      </c>
      <c r="J2601" s="6" t="s">
        <v>35</v>
      </c>
      <c r="K2601" s="7">
        <v>29.919775690000002</v>
      </c>
      <c r="L2601" s="7">
        <v>-95.52495854</v>
      </c>
      <c r="M2601" s="6" t="s">
        <v>77</v>
      </c>
      <c r="N2601" s="6" t="s">
        <v>24</v>
      </c>
      <c r="O2601" s="6" t="s">
        <v>23</v>
      </c>
    </row>
    <row r="2602" spans="1:15" x14ac:dyDescent="0.25">
      <c r="A2602" s="6" t="s">
        <v>8870</v>
      </c>
      <c r="B2602" s="6" t="s">
        <v>8869</v>
      </c>
      <c r="C2602" s="6" t="s">
        <v>31</v>
      </c>
      <c r="E2602" s="6" t="s">
        <v>8868</v>
      </c>
      <c r="F2602" s="6" t="s">
        <v>8867</v>
      </c>
      <c r="G2602" s="6" t="s">
        <v>16</v>
      </c>
      <c r="H2602" s="6" t="s">
        <v>28</v>
      </c>
      <c r="I2602" s="6" t="s">
        <v>27</v>
      </c>
      <c r="J2602" s="6" t="s">
        <v>132</v>
      </c>
      <c r="K2602" s="7">
        <v>29.753613000000001</v>
      </c>
      <c r="L2602" s="7">
        <v>-95.817344000000006</v>
      </c>
      <c r="M2602" s="6" t="s">
        <v>131</v>
      </c>
      <c r="N2602" s="6" t="s">
        <v>24</v>
      </c>
      <c r="O2602" s="6" t="s">
        <v>23</v>
      </c>
    </row>
    <row r="2603" spans="1:15" x14ac:dyDescent="0.25">
      <c r="A2603" s="6" t="s">
        <v>10250</v>
      </c>
      <c r="B2603" s="6" t="s">
        <v>10247</v>
      </c>
      <c r="C2603" s="6" t="s">
        <v>31</v>
      </c>
      <c r="E2603" s="6" t="s">
        <v>10246</v>
      </c>
      <c r="F2603" s="6" t="s">
        <v>10245</v>
      </c>
      <c r="G2603" s="6" t="s">
        <v>16</v>
      </c>
      <c r="H2603" s="6" t="s">
        <v>430</v>
      </c>
      <c r="I2603" s="6" t="s">
        <v>46</v>
      </c>
      <c r="J2603" s="6" t="s">
        <v>461</v>
      </c>
      <c r="K2603" s="7">
        <v>33.036992189999999</v>
      </c>
      <c r="L2603" s="7">
        <v>-96.196258700000001</v>
      </c>
      <c r="M2603" s="6" t="s">
        <v>109</v>
      </c>
      <c r="N2603" s="6" t="s">
        <v>65</v>
      </c>
      <c r="O2603" s="6" t="s">
        <v>42</v>
      </c>
    </row>
    <row r="2604" spans="1:15" x14ac:dyDescent="0.25">
      <c r="A2604" s="6" t="s">
        <v>10249</v>
      </c>
      <c r="B2604" s="6" t="s">
        <v>10247</v>
      </c>
      <c r="C2604" s="6" t="s">
        <v>19</v>
      </c>
      <c r="E2604" s="6" t="s">
        <v>10246</v>
      </c>
      <c r="F2604" s="6" t="s">
        <v>10245</v>
      </c>
      <c r="G2604" s="6" t="s">
        <v>16</v>
      </c>
      <c r="H2604" s="6" t="s">
        <v>430</v>
      </c>
      <c r="I2604" s="6" t="s">
        <v>46</v>
      </c>
      <c r="J2604" s="6" t="s">
        <v>461</v>
      </c>
      <c r="K2604" s="7">
        <v>33.034661010000001</v>
      </c>
      <c r="L2604" s="7">
        <v>-96.197419620000005</v>
      </c>
      <c r="M2604" s="6" t="s">
        <v>109</v>
      </c>
      <c r="N2604" s="6" t="s">
        <v>65</v>
      </c>
      <c r="O2604" s="6" t="s">
        <v>42</v>
      </c>
    </row>
    <row r="2605" spans="1:15" x14ac:dyDescent="0.25">
      <c r="A2605" s="6" t="s">
        <v>10248</v>
      </c>
      <c r="B2605" s="6" t="s">
        <v>10247</v>
      </c>
      <c r="C2605" s="6" t="s">
        <v>436</v>
      </c>
      <c r="E2605" s="6" t="s">
        <v>10246</v>
      </c>
      <c r="F2605" s="6" t="s">
        <v>10245</v>
      </c>
      <c r="G2605" s="6" t="s">
        <v>16</v>
      </c>
      <c r="H2605" s="6" t="s">
        <v>430</v>
      </c>
      <c r="I2605" s="6" t="s">
        <v>46</v>
      </c>
      <c r="J2605" s="6" t="s">
        <v>461</v>
      </c>
      <c r="K2605" s="7">
        <v>33.034677219999999</v>
      </c>
      <c r="L2605" s="7">
        <v>-96.198484919999999</v>
      </c>
      <c r="M2605" s="6" t="s">
        <v>109</v>
      </c>
      <c r="N2605" s="6" t="s">
        <v>65</v>
      </c>
      <c r="O2605" s="6" t="s">
        <v>42</v>
      </c>
    </row>
    <row r="2606" spans="1:15" x14ac:dyDescent="0.25">
      <c r="A2606" s="6" t="s">
        <v>6866</v>
      </c>
      <c r="B2606" s="6" t="s">
        <v>6865</v>
      </c>
      <c r="C2606" s="6" t="s">
        <v>31</v>
      </c>
      <c r="E2606" s="6" t="s">
        <v>6864</v>
      </c>
      <c r="F2606" s="6" t="s">
        <v>6863</v>
      </c>
      <c r="G2606" s="6" t="s">
        <v>16</v>
      </c>
      <c r="H2606" s="6" t="s">
        <v>28</v>
      </c>
      <c r="I2606" s="6" t="s">
        <v>73</v>
      </c>
      <c r="J2606" s="6" t="s">
        <v>6862</v>
      </c>
      <c r="K2606" s="7">
        <v>34.741427340000001</v>
      </c>
      <c r="L2606" s="7">
        <v>-101.83513664</v>
      </c>
      <c r="M2606" s="6" t="s">
        <v>536</v>
      </c>
      <c r="N2606" s="6" t="s">
        <v>43</v>
      </c>
      <c r="O2606" s="6" t="s">
        <v>535</v>
      </c>
    </row>
    <row r="2607" spans="1:15" x14ac:dyDescent="0.25">
      <c r="A2607" s="6" t="s">
        <v>3301</v>
      </c>
      <c r="B2607" s="6" t="s">
        <v>3298</v>
      </c>
      <c r="C2607" s="6" t="s">
        <v>19</v>
      </c>
      <c r="E2607" s="6" t="s">
        <v>3297</v>
      </c>
      <c r="F2607" s="6" t="s">
        <v>3296</v>
      </c>
      <c r="G2607" s="6" t="s">
        <v>16</v>
      </c>
      <c r="H2607" s="6" t="s">
        <v>15</v>
      </c>
      <c r="I2607" s="6" t="s">
        <v>36</v>
      </c>
      <c r="J2607" s="6" t="s">
        <v>35</v>
      </c>
      <c r="K2607" s="7">
        <v>29.739878780000002</v>
      </c>
      <c r="L2607" s="7">
        <v>-95.211799380000002</v>
      </c>
      <c r="M2607" s="6" t="s">
        <v>866</v>
      </c>
      <c r="N2607" s="6" t="s">
        <v>24</v>
      </c>
      <c r="O2607" s="6" t="s">
        <v>23</v>
      </c>
    </row>
    <row r="2608" spans="1:15" x14ac:dyDescent="0.25">
      <c r="A2608" s="6" t="s">
        <v>3300</v>
      </c>
      <c r="B2608" s="6" t="s">
        <v>3298</v>
      </c>
      <c r="C2608" s="6" t="s">
        <v>436</v>
      </c>
      <c r="E2608" s="6" t="s">
        <v>3297</v>
      </c>
      <c r="F2608" s="6" t="s">
        <v>3296</v>
      </c>
      <c r="G2608" s="6" t="s">
        <v>16</v>
      </c>
      <c r="H2608" s="6" t="s">
        <v>430</v>
      </c>
      <c r="I2608" s="6" t="s">
        <v>36</v>
      </c>
      <c r="J2608" s="6" t="s">
        <v>35</v>
      </c>
      <c r="K2608" s="7">
        <v>29.742045399999999</v>
      </c>
      <c r="L2608" s="7">
        <v>-95.206203840000001</v>
      </c>
      <c r="M2608" s="6" t="s">
        <v>866</v>
      </c>
      <c r="N2608" s="6" t="s">
        <v>24</v>
      </c>
      <c r="O2608" s="6" t="s">
        <v>23</v>
      </c>
    </row>
    <row r="2609" spans="1:15" x14ac:dyDescent="0.25">
      <c r="A2609" s="6" t="s">
        <v>3299</v>
      </c>
      <c r="B2609" s="6" t="s">
        <v>3298</v>
      </c>
      <c r="C2609" s="6" t="s">
        <v>597</v>
      </c>
      <c r="E2609" s="6" t="s">
        <v>3297</v>
      </c>
      <c r="F2609" s="6" t="s">
        <v>3296</v>
      </c>
      <c r="G2609" s="6" t="s">
        <v>16</v>
      </c>
      <c r="H2609" s="6" t="s">
        <v>430</v>
      </c>
      <c r="I2609" s="6" t="s">
        <v>36</v>
      </c>
      <c r="J2609" s="6" t="s">
        <v>35</v>
      </c>
      <c r="K2609" s="7">
        <v>29.739878780000002</v>
      </c>
      <c r="L2609" s="7">
        <v>-95.211799380000002</v>
      </c>
      <c r="M2609" s="6" t="s">
        <v>866</v>
      </c>
      <c r="N2609" s="6" t="s">
        <v>24</v>
      </c>
      <c r="O2609" s="6" t="s">
        <v>23</v>
      </c>
    </row>
    <row r="2610" spans="1:15" x14ac:dyDescent="0.25">
      <c r="A2610" s="6" t="s">
        <v>6624</v>
      </c>
      <c r="B2610" s="6" t="s">
        <v>6623</v>
      </c>
      <c r="C2610" s="6" t="s">
        <v>31</v>
      </c>
      <c r="E2610" s="6" t="s">
        <v>6622</v>
      </c>
      <c r="F2610" s="6" t="s">
        <v>6621</v>
      </c>
      <c r="G2610" s="6" t="s">
        <v>16</v>
      </c>
      <c r="H2610" s="6" t="s">
        <v>15</v>
      </c>
      <c r="I2610" s="6" t="s">
        <v>14</v>
      </c>
      <c r="J2610" s="6" t="s">
        <v>853</v>
      </c>
      <c r="K2610" s="7">
        <v>29.712726979999999</v>
      </c>
      <c r="L2610" s="7">
        <v>-94.932205830000001</v>
      </c>
      <c r="M2610" s="6" t="s">
        <v>1445</v>
      </c>
      <c r="N2610" s="6" t="s">
        <v>120</v>
      </c>
      <c r="O2610" s="6" t="s">
        <v>23</v>
      </c>
    </row>
    <row r="2611" spans="1:15" x14ac:dyDescent="0.25">
      <c r="A2611" s="6" t="s">
        <v>11878</v>
      </c>
      <c r="B2611" s="6" t="s">
        <v>11877</v>
      </c>
      <c r="C2611" s="6" t="s">
        <v>31</v>
      </c>
      <c r="E2611" s="6" t="s">
        <v>11876</v>
      </c>
      <c r="F2611" s="6" t="s">
        <v>11875</v>
      </c>
      <c r="G2611" s="6" t="s">
        <v>16</v>
      </c>
      <c r="H2611" s="6" t="s">
        <v>15</v>
      </c>
      <c r="I2611" s="6" t="s">
        <v>46</v>
      </c>
      <c r="J2611" s="6" t="s">
        <v>385</v>
      </c>
      <c r="K2611" s="7">
        <v>29.969019320000001</v>
      </c>
      <c r="L2611" s="7">
        <v>-93.860582590000007</v>
      </c>
      <c r="M2611" s="6" t="s">
        <v>429</v>
      </c>
      <c r="N2611" s="6" t="s">
        <v>52</v>
      </c>
      <c r="O2611" s="6" t="s">
        <v>24</v>
      </c>
    </row>
    <row r="2612" spans="1:15" x14ac:dyDescent="0.25">
      <c r="A2612" s="6" t="s">
        <v>9595</v>
      </c>
      <c r="B2612" s="6" t="s">
        <v>9594</v>
      </c>
      <c r="C2612" s="6" t="s">
        <v>31</v>
      </c>
      <c r="E2612" s="6" t="s">
        <v>9593</v>
      </c>
      <c r="F2612" s="6" t="s">
        <v>8028</v>
      </c>
      <c r="G2612" s="6" t="s">
        <v>16</v>
      </c>
      <c r="H2612" s="6" t="s">
        <v>28</v>
      </c>
      <c r="I2612" s="6" t="s">
        <v>27</v>
      </c>
      <c r="J2612" s="6" t="s">
        <v>221</v>
      </c>
      <c r="K2612" s="7">
        <v>30.506907000000002</v>
      </c>
      <c r="L2612" s="7">
        <v>-97.584560999999994</v>
      </c>
      <c r="M2612" s="6" t="s">
        <v>3908</v>
      </c>
      <c r="N2612" s="6" t="s">
        <v>23</v>
      </c>
      <c r="O2612" s="6" t="s">
        <v>160</v>
      </c>
    </row>
    <row r="2613" spans="1:15" x14ac:dyDescent="0.25">
      <c r="A2613" s="6" t="s">
        <v>76</v>
      </c>
      <c r="B2613" s="6" t="s">
        <v>75</v>
      </c>
      <c r="C2613" s="6" t="s">
        <v>31</v>
      </c>
      <c r="E2613" s="6" t="s">
        <v>74</v>
      </c>
      <c r="F2613" s="6" t="s">
        <v>68</v>
      </c>
      <c r="G2613" s="6" t="s">
        <v>16</v>
      </c>
      <c r="H2613" s="6" t="s">
        <v>28</v>
      </c>
      <c r="I2613" s="6" t="s">
        <v>73</v>
      </c>
      <c r="J2613" s="6" t="s">
        <v>72</v>
      </c>
      <c r="K2613" s="7">
        <v>32.103664000000002</v>
      </c>
      <c r="L2613" s="7">
        <v>-95.413970000000006</v>
      </c>
      <c r="M2613" s="6" t="s">
        <v>66</v>
      </c>
      <c r="N2613" s="6" t="s">
        <v>52</v>
      </c>
      <c r="O2613" s="6" t="s">
        <v>65</v>
      </c>
    </row>
    <row r="2614" spans="1:15" x14ac:dyDescent="0.25">
      <c r="A2614" s="6" t="s">
        <v>9036</v>
      </c>
      <c r="B2614" s="6" t="s">
        <v>9035</v>
      </c>
      <c r="C2614" s="6" t="s">
        <v>31</v>
      </c>
      <c r="E2614" s="6" t="s">
        <v>9034</v>
      </c>
      <c r="F2614" s="6" t="s">
        <v>9033</v>
      </c>
      <c r="G2614" s="6" t="s">
        <v>16</v>
      </c>
      <c r="H2614" s="6" t="s">
        <v>28</v>
      </c>
      <c r="I2614" s="6" t="s">
        <v>73</v>
      </c>
      <c r="J2614" s="6" t="s">
        <v>26</v>
      </c>
      <c r="K2614" s="7">
        <v>30.484971290000001</v>
      </c>
      <c r="L2614" s="7">
        <v>-95.493431790000002</v>
      </c>
      <c r="M2614" s="6" t="s">
        <v>340</v>
      </c>
      <c r="N2614" s="6" t="s">
        <v>24</v>
      </c>
      <c r="O2614" s="6" t="s">
        <v>23</v>
      </c>
    </row>
    <row r="2615" spans="1:15" x14ac:dyDescent="0.25">
      <c r="A2615" s="6" t="s">
        <v>64</v>
      </c>
      <c r="B2615" s="6" t="s">
        <v>63</v>
      </c>
      <c r="C2615" s="6" t="s">
        <v>31</v>
      </c>
      <c r="E2615" s="6" t="s">
        <v>62</v>
      </c>
      <c r="F2615" s="6" t="s">
        <v>61</v>
      </c>
      <c r="G2615" s="6" t="s">
        <v>16</v>
      </c>
      <c r="H2615" s="6" t="s">
        <v>28</v>
      </c>
      <c r="I2615" s="6" t="s">
        <v>60</v>
      </c>
      <c r="J2615" s="6" t="s">
        <v>26</v>
      </c>
      <c r="K2615" s="7">
        <v>30.13672248</v>
      </c>
      <c r="L2615" s="7">
        <v>-95.257269120000004</v>
      </c>
      <c r="M2615" s="6" t="s">
        <v>59</v>
      </c>
      <c r="N2615" s="6" t="s">
        <v>24</v>
      </c>
      <c r="O2615" s="6" t="s">
        <v>23</v>
      </c>
    </row>
    <row r="2616" spans="1:15" x14ac:dyDescent="0.25">
      <c r="A2616" s="6" t="s">
        <v>1239</v>
      </c>
      <c r="B2616" s="6" t="s">
        <v>1238</v>
      </c>
      <c r="C2616" s="6" t="s">
        <v>31</v>
      </c>
      <c r="E2616" s="6" t="s">
        <v>1237</v>
      </c>
      <c r="F2616" s="6" t="s">
        <v>1236</v>
      </c>
      <c r="G2616" s="6" t="s">
        <v>16</v>
      </c>
      <c r="H2616" s="6" t="s">
        <v>430</v>
      </c>
      <c r="I2616" s="6" t="s">
        <v>27</v>
      </c>
      <c r="J2616" s="6" t="s">
        <v>35</v>
      </c>
      <c r="K2616" s="7">
        <v>30.023872999999998</v>
      </c>
      <c r="L2616" s="7">
        <v>-95.865154000000004</v>
      </c>
      <c r="M2616" s="6" t="s">
        <v>279</v>
      </c>
      <c r="N2616" s="6" t="s">
        <v>24</v>
      </c>
      <c r="O2616" s="6" t="s">
        <v>23</v>
      </c>
    </row>
    <row r="2617" spans="1:15" x14ac:dyDescent="0.25">
      <c r="A2617" s="6" t="s">
        <v>7163</v>
      </c>
      <c r="B2617" s="6" t="s">
        <v>7162</v>
      </c>
      <c r="C2617" s="6" t="s">
        <v>31</v>
      </c>
      <c r="E2617" s="6" t="s">
        <v>7161</v>
      </c>
      <c r="F2617" s="6" t="s">
        <v>7160</v>
      </c>
      <c r="G2617" s="6" t="s">
        <v>16</v>
      </c>
      <c r="H2617" s="6" t="s">
        <v>15</v>
      </c>
      <c r="I2617" s="6" t="s">
        <v>14</v>
      </c>
      <c r="J2617" s="6" t="s">
        <v>5773</v>
      </c>
      <c r="K2617" s="7">
        <v>32.498325080000001</v>
      </c>
      <c r="L2617" s="7">
        <v>-100.34448341</v>
      </c>
      <c r="M2617" s="6" t="s">
        <v>5278</v>
      </c>
      <c r="N2617" s="6" t="s">
        <v>23</v>
      </c>
      <c r="O2617" s="6" t="s">
        <v>95</v>
      </c>
    </row>
    <row r="2618" spans="1:15" x14ac:dyDescent="0.25">
      <c r="A2618" s="6" t="s">
        <v>9446</v>
      </c>
      <c r="B2618" s="6" t="s">
        <v>9445</v>
      </c>
      <c r="C2618" s="6" t="s">
        <v>31</v>
      </c>
      <c r="E2618" s="6" t="s">
        <v>9444</v>
      </c>
      <c r="F2618" s="6" t="s">
        <v>9443</v>
      </c>
      <c r="G2618" s="6" t="s">
        <v>16</v>
      </c>
      <c r="H2618" s="6" t="s">
        <v>28</v>
      </c>
      <c r="I2618" s="6" t="s">
        <v>60</v>
      </c>
      <c r="J2618" s="6" t="s">
        <v>645</v>
      </c>
      <c r="K2618" s="7">
        <v>31.641158999999998</v>
      </c>
      <c r="L2618" s="7">
        <v>-94.416653999999994</v>
      </c>
      <c r="M2618" s="6" t="s">
        <v>2821</v>
      </c>
      <c r="N2618" s="6" t="s">
        <v>52</v>
      </c>
      <c r="O2618" s="6" t="s">
        <v>24</v>
      </c>
    </row>
    <row r="2619" spans="1:15" x14ac:dyDescent="0.25">
      <c r="A2619" s="6" t="s">
        <v>71</v>
      </c>
      <c r="B2619" s="6" t="s">
        <v>70</v>
      </c>
      <c r="C2619" s="6" t="s">
        <v>31</v>
      </c>
      <c r="E2619" s="6" t="s">
        <v>69</v>
      </c>
      <c r="F2619" s="6" t="s">
        <v>68</v>
      </c>
      <c r="G2619" s="6" t="s">
        <v>16</v>
      </c>
      <c r="H2619" s="6" t="s">
        <v>28</v>
      </c>
      <c r="I2619" s="6" t="s">
        <v>27</v>
      </c>
      <c r="J2619" s="6" t="s">
        <v>67</v>
      </c>
      <c r="K2619" s="7">
        <v>32.201807700000003</v>
      </c>
      <c r="L2619" s="7">
        <v>-95.377560189999997</v>
      </c>
      <c r="M2619" s="6" t="s">
        <v>66</v>
      </c>
      <c r="N2619" s="6" t="s">
        <v>52</v>
      </c>
      <c r="O2619" s="6" t="s">
        <v>65</v>
      </c>
    </row>
    <row r="2620" spans="1:15" x14ac:dyDescent="0.25">
      <c r="A2620" s="6" t="s">
        <v>12391</v>
      </c>
      <c r="B2620" s="6" t="s">
        <v>12390</v>
      </c>
      <c r="C2620" s="6" t="s">
        <v>31</v>
      </c>
      <c r="E2620" s="6" t="s">
        <v>12389</v>
      </c>
      <c r="F2620" s="6" t="s">
        <v>12388</v>
      </c>
      <c r="G2620" s="6" t="s">
        <v>16</v>
      </c>
      <c r="H2620" s="6" t="s">
        <v>15</v>
      </c>
      <c r="I2620" s="6" t="s">
        <v>36</v>
      </c>
      <c r="J2620" s="6" t="s">
        <v>35</v>
      </c>
      <c r="K2620" s="7">
        <v>30.029724519999998</v>
      </c>
      <c r="L2620" s="7">
        <v>-95.320264769999994</v>
      </c>
      <c r="M2620" s="6" t="s">
        <v>279</v>
      </c>
      <c r="N2620" s="6" t="s">
        <v>24</v>
      </c>
      <c r="O2620" s="6" t="s">
        <v>23</v>
      </c>
    </row>
    <row r="2621" spans="1:15" x14ac:dyDescent="0.25">
      <c r="A2621" s="6" t="s">
        <v>10068</v>
      </c>
      <c r="B2621" s="6" t="s">
        <v>10066</v>
      </c>
      <c r="C2621" s="6" t="s">
        <v>31</v>
      </c>
      <c r="E2621" s="6" t="s">
        <v>10065</v>
      </c>
      <c r="F2621" s="6" t="s">
        <v>1817</v>
      </c>
      <c r="G2621" s="6" t="s">
        <v>16</v>
      </c>
      <c r="H2621" s="6" t="s">
        <v>15</v>
      </c>
      <c r="I2621" s="6" t="s">
        <v>46</v>
      </c>
      <c r="J2621" s="6" t="s">
        <v>35</v>
      </c>
      <c r="K2621" s="7">
        <v>29.70825155</v>
      </c>
      <c r="L2621" s="7">
        <v>-95.055546960000001</v>
      </c>
      <c r="M2621" s="6" t="s">
        <v>599</v>
      </c>
      <c r="N2621" s="6" t="s">
        <v>160</v>
      </c>
      <c r="O2621" s="6" t="s">
        <v>23</v>
      </c>
    </row>
    <row r="2622" spans="1:15" x14ac:dyDescent="0.25">
      <c r="A2622" s="6" t="s">
        <v>10067</v>
      </c>
      <c r="B2622" s="6" t="s">
        <v>10066</v>
      </c>
      <c r="C2622" s="6" t="s">
        <v>19</v>
      </c>
      <c r="E2622" s="6" t="s">
        <v>10065</v>
      </c>
      <c r="F2622" s="6" t="s">
        <v>1817</v>
      </c>
      <c r="G2622" s="6" t="s">
        <v>16</v>
      </c>
      <c r="H2622" s="6" t="s">
        <v>430</v>
      </c>
      <c r="I2622" s="6" t="s">
        <v>46</v>
      </c>
      <c r="J2622" s="6" t="s">
        <v>35</v>
      </c>
      <c r="K2622" s="7">
        <v>29.70825155</v>
      </c>
      <c r="L2622" s="7">
        <v>-95.055546960000001</v>
      </c>
      <c r="M2622" s="6" t="s">
        <v>599</v>
      </c>
      <c r="N2622" s="6" t="s">
        <v>160</v>
      </c>
      <c r="O2622" s="6" t="s">
        <v>23</v>
      </c>
    </row>
    <row r="2623" spans="1:15" x14ac:dyDescent="0.25">
      <c r="A2623" s="6" t="s">
        <v>9577</v>
      </c>
      <c r="B2623" s="6" t="s">
        <v>9576</v>
      </c>
      <c r="C2623" s="6" t="s">
        <v>31</v>
      </c>
      <c r="E2623" s="6" t="s">
        <v>9575</v>
      </c>
      <c r="F2623" s="6" t="s">
        <v>9574</v>
      </c>
      <c r="G2623" s="6" t="s">
        <v>16</v>
      </c>
      <c r="H2623" s="6" t="s">
        <v>28</v>
      </c>
      <c r="I2623" s="6" t="s">
        <v>73</v>
      </c>
      <c r="J2623" s="6" t="s">
        <v>162</v>
      </c>
      <c r="K2623" s="7">
        <v>29.473579999999998</v>
      </c>
      <c r="L2623" s="7">
        <v>-95.367536000000001</v>
      </c>
      <c r="M2623" s="6" t="s">
        <v>161</v>
      </c>
      <c r="N2623" s="6" t="s">
        <v>160</v>
      </c>
      <c r="O2623" s="6" t="s">
        <v>23</v>
      </c>
    </row>
    <row r="2624" spans="1:15" x14ac:dyDescent="0.25">
      <c r="A2624" s="6" t="s">
        <v>4883</v>
      </c>
      <c r="B2624" s="6" t="s">
        <v>4882</v>
      </c>
      <c r="C2624" s="6" t="s">
        <v>31</v>
      </c>
      <c r="E2624" s="6" t="s">
        <v>4881</v>
      </c>
      <c r="F2624" s="6" t="s">
        <v>4880</v>
      </c>
      <c r="G2624" s="6" t="s">
        <v>16</v>
      </c>
      <c r="H2624" s="6" t="s">
        <v>15</v>
      </c>
      <c r="I2624" s="6" t="s">
        <v>14</v>
      </c>
      <c r="J2624" s="6" t="s">
        <v>853</v>
      </c>
      <c r="K2624" s="7">
        <v>29.85844591</v>
      </c>
      <c r="L2624" s="7">
        <v>-94.916677890000003</v>
      </c>
      <c r="M2624" s="6" t="s">
        <v>914</v>
      </c>
      <c r="N2624" s="6" t="s">
        <v>120</v>
      </c>
      <c r="O2624" s="6" t="s">
        <v>23</v>
      </c>
    </row>
    <row r="2625" spans="1:15" x14ac:dyDescent="0.25">
      <c r="A2625" s="6" t="s">
        <v>8211</v>
      </c>
      <c r="B2625" s="6" t="s">
        <v>8210</v>
      </c>
      <c r="C2625" s="6" t="s">
        <v>31</v>
      </c>
      <c r="E2625" s="6" t="s">
        <v>8209</v>
      </c>
      <c r="F2625" s="6" t="s">
        <v>8208</v>
      </c>
      <c r="G2625" s="6" t="s">
        <v>16</v>
      </c>
      <c r="H2625" s="6" t="s">
        <v>15</v>
      </c>
      <c r="I2625" s="6" t="s">
        <v>27</v>
      </c>
      <c r="J2625" s="6" t="s">
        <v>512</v>
      </c>
      <c r="K2625" s="7">
        <v>27.362539000000002</v>
      </c>
      <c r="L2625" s="7">
        <v>-99.503247000000002</v>
      </c>
      <c r="M2625" s="6" t="s">
        <v>511</v>
      </c>
      <c r="N2625" s="6" t="s">
        <v>373</v>
      </c>
      <c r="O2625" s="6" t="s">
        <v>510</v>
      </c>
    </row>
    <row r="2626" spans="1:15" x14ac:dyDescent="0.25">
      <c r="A2626" s="6" t="s">
        <v>9512</v>
      </c>
      <c r="B2626" s="6" t="s">
        <v>9511</v>
      </c>
      <c r="C2626" s="6" t="s">
        <v>31</v>
      </c>
      <c r="E2626" s="6" t="s">
        <v>9510</v>
      </c>
      <c r="F2626" s="6" t="s">
        <v>9509</v>
      </c>
      <c r="G2626" s="6" t="s">
        <v>16</v>
      </c>
      <c r="H2626" s="6" t="s">
        <v>28</v>
      </c>
      <c r="I2626" s="6" t="s">
        <v>60</v>
      </c>
      <c r="J2626" s="6" t="s">
        <v>663</v>
      </c>
      <c r="K2626" s="7">
        <v>32.805755269999999</v>
      </c>
      <c r="L2626" s="7">
        <v>-94.979243479999994</v>
      </c>
      <c r="M2626" s="6" t="s">
        <v>662</v>
      </c>
      <c r="N2626" s="6" t="s">
        <v>42</v>
      </c>
      <c r="O2626" s="6" t="s">
        <v>65</v>
      </c>
    </row>
    <row r="2627" spans="1:15" x14ac:dyDescent="0.25">
      <c r="A2627" s="6" t="s">
        <v>8508</v>
      </c>
      <c r="B2627" s="6" t="s">
        <v>8507</v>
      </c>
      <c r="C2627" s="6" t="s">
        <v>31</v>
      </c>
      <c r="E2627" s="6" t="s">
        <v>8506</v>
      </c>
      <c r="F2627" s="6" t="s">
        <v>8505</v>
      </c>
      <c r="G2627" s="6" t="s">
        <v>16</v>
      </c>
      <c r="H2627" s="6" t="s">
        <v>15</v>
      </c>
      <c r="I2627" s="6" t="s">
        <v>14</v>
      </c>
      <c r="J2627" s="6" t="s">
        <v>537</v>
      </c>
      <c r="K2627" s="7">
        <v>35.29575638</v>
      </c>
      <c r="L2627" s="7">
        <v>-101.72615395</v>
      </c>
      <c r="M2627" s="6" t="s">
        <v>4325</v>
      </c>
      <c r="N2627" s="6" t="s">
        <v>535</v>
      </c>
      <c r="O2627" s="6" t="s">
        <v>535</v>
      </c>
    </row>
    <row r="2628" spans="1:15" x14ac:dyDescent="0.25">
      <c r="A2628" s="6" t="s">
        <v>5865</v>
      </c>
      <c r="B2628" s="6" t="s">
        <v>5864</v>
      </c>
      <c r="C2628" s="6" t="s">
        <v>31</v>
      </c>
      <c r="E2628" s="6" t="s">
        <v>5863</v>
      </c>
      <c r="F2628" s="6" t="s">
        <v>5862</v>
      </c>
      <c r="G2628" s="6" t="s">
        <v>16</v>
      </c>
      <c r="H2628" s="6" t="s">
        <v>591</v>
      </c>
      <c r="I2628" s="6" t="s">
        <v>46</v>
      </c>
      <c r="J2628" s="6" t="s">
        <v>168</v>
      </c>
      <c r="K2628" s="7">
        <v>33.130263939999999</v>
      </c>
      <c r="L2628" s="7">
        <v>-97.068752970000006</v>
      </c>
      <c r="M2628" s="6" t="s">
        <v>167</v>
      </c>
      <c r="N2628" s="6" t="s">
        <v>102</v>
      </c>
      <c r="O2628" s="6" t="s">
        <v>42</v>
      </c>
    </row>
    <row r="2629" spans="1:15" x14ac:dyDescent="0.25">
      <c r="A2629" s="6" t="s">
        <v>10064</v>
      </c>
      <c r="B2629" s="6" t="s">
        <v>10063</v>
      </c>
      <c r="C2629" s="6" t="s">
        <v>31</v>
      </c>
      <c r="E2629" s="6" t="s">
        <v>10062</v>
      </c>
      <c r="F2629" s="6" t="s">
        <v>10061</v>
      </c>
      <c r="G2629" s="6" t="s">
        <v>16</v>
      </c>
      <c r="H2629" s="6" t="s">
        <v>15</v>
      </c>
      <c r="I2629" s="6" t="s">
        <v>27</v>
      </c>
      <c r="J2629" s="6" t="s">
        <v>1690</v>
      </c>
      <c r="K2629" s="7">
        <v>31.997689609999998</v>
      </c>
      <c r="L2629" s="7">
        <v>-94.12496462</v>
      </c>
      <c r="M2629" s="6" t="s">
        <v>2695</v>
      </c>
      <c r="N2629" s="6" t="s">
        <v>65</v>
      </c>
      <c r="O2629" s="6" t="s">
        <v>65</v>
      </c>
    </row>
    <row r="2630" spans="1:15" x14ac:dyDescent="0.25">
      <c r="A2630" s="6" t="s">
        <v>5869</v>
      </c>
      <c r="B2630" s="6" t="s">
        <v>5867</v>
      </c>
      <c r="C2630" s="6" t="s">
        <v>31</v>
      </c>
      <c r="E2630" s="6" t="s">
        <v>5866</v>
      </c>
      <c r="F2630" s="6" t="s">
        <v>5862</v>
      </c>
      <c r="G2630" s="6" t="s">
        <v>16</v>
      </c>
      <c r="H2630" s="6" t="s">
        <v>591</v>
      </c>
      <c r="I2630" s="6" t="s">
        <v>46</v>
      </c>
      <c r="J2630" s="6" t="s">
        <v>168</v>
      </c>
      <c r="K2630" s="7">
        <v>33.181844560000002</v>
      </c>
      <c r="L2630" s="7">
        <v>-97.137159890000007</v>
      </c>
      <c r="M2630" s="6" t="s">
        <v>167</v>
      </c>
      <c r="N2630" s="6" t="s">
        <v>102</v>
      </c>
      <c r="O2630" s="6" t="s">
        <v>42</v>
      </c>
    </row>
    <row r="2631" spans="1:15" x14ac:dyDescent="0.25">
      <c r="A2631" s="6" t="s">
        <v>5868</v>
      </c>
      <c r="B2631" s="6" t="s">
        <v>5867</v>
      </c>
      <c r="C2631" s="6" t="s">
        <v>19</v>
      </c>
      <c r="E2631" s="6" t="s">
        <v>5866</v>
      </c>
      <c r="F2631" s="6" t="s">
        <v>5862</v>
      </c>
      <c r="G2631" s="6" t="s">
        <v>16</v>
      </c>
      <c r="H2631" s="6" t="s">
        <v>591</v>
      </c>
      <c r="I2631" s="6" t="s">
        <v>46</v>
      </c>
      <c r="J2631" s="6" t="s">
        <v>168</v>
      </c>
      <c r="K2631" s="7">
        <v>33.182141889999997</v>
      </c>
      <c r="L2631" s="7">
        <v>-97.133311230000004</v>
      </c>
      <c r="M2631" s="6" t="s">
        <v>167</v>
      </c>
      <c r="N2631" s="6" t="s">
        <v>102</v>
      </c>
      <c r="O2631" s="6" t="s">
        <v>42</v>
      </c>
    </row>
    <row r="2632" spans="1:15" x14ac:dyDescent="0.25">
      <c r="A2632" s="6" t="s">
        <v>4763</v>
      </c>
      <c r="B2632" s="6" t="s">
        <v>4762</v>
      </c>
      <c r="C2632" s="6" t="s">
        <v>31</v>
      </c>
      <c r="E2632" s="6" t="s">
        <v>4761</v>
      </c>
      <c r="F2632" s="6" t="s">
        <v>4760</v>
      </c>
      <c r="G2632" s="6" t="s">
        <v>16</v>
      </c>
      <c r="H2632" s="6" t="s">
        <v>430</v>
      </c>
      <c r="I2632" s="6" t="s">
        <v>46</v>
      </c>
      <c r="J2632" s="6" t="s">
        <v>35</v>
      </c>
      <c r="K2632" s="7">
        <v>29.746431999999999</v>
      </c>
      <c r="L2632" s="7">
        <v>-95.313578000000007</v>
      </c>
      <c r="M2632" s="6" t="s">
        <v>866</v>
      </c>
      <c r="N2632" s="6" t="s">
        <v>24</v>
      </c>
      <c r="O2632" s="6" t="s">
        <v>23</v>
      </c>
    </row>
    <row r="2633" spans="1:15" x14ac:dyDescent="0.25">
      <c r="A2633" s="6" t="s">
        <v>8207</v>
      </c>
      <c r="B2633" s="6" t="s">
        <v>8206</v>
      </c>
      <c r="C2633" s="6" t="s">
        <v>31</v>
      </c>
      <c r="E2633" s="6" t="s">
        <v>8205</v>
      </c>
      <c r="F2633" s="6" t="s">
        <v>8204</v>
      </c>
      <c r="G2633" s="6" t="s">
        <v>16</v>
      </c>
      <c r="H2633" s="6" t="s">
        <v>28</v>
      </c>
      <c r="I2633" s="6" t="s">
        <v>1200</v>
      </c>
      <c r="J2633" s="6" t="s">
        <v>35</v>
      </c>
      <c r="K2633" s="7">
        <v>29.888199</v>
      </c>
      <c r="L2633" s="7">
        <v>-95.589409000000003</v>
      </c>
      <c r="M2633" s="6" t="s">
        <v>77</v>
      </c>
      <c r="N2633" s="6" t="s">
        <v>24</v>
      </c>
      <c r="O2633" s="6" t="s">
        <v>23</v>
      </c>
    </row>
    <row r="2634" spans="1:15" x14ac:dyDescent="0.25">
      <c r="A2634" s="6" t="s">
        <v>9486</v>
      </c>
      <c r="B2634" s="6" t="s">
        <v>9485</v>
      </c>
      <c r="C2634" s="6" t="s">
        <v>31</v>
      </c>
      <c r="E2634" s="6" t="s">
        <v>9484</v>
      </c>
      <c r="F2634" s="6" t="s">
        <v>9228</v>
      </c>
      <c r="G2634" s="6" t="s">
        <v>16</v>
      </c>
      <c r="H2634" s="6" t="s">
        <v>28</v>
      </c>
      <c r="I2634" s="6" t="s">
        <v>27</v>
      </c>
      <c r="J2634" s="6" t="s">
        <v>1787</v>
      </c>
      <c r="K2634" s="7">
        <v>32.50329713</v>
      </c>
      <c r="L2634" s="7">
        <v>-95.674433489999998</v>
      </c>
      <c r="M2634" s="6" t="s">
        <v>765</v>
      </c>
      <c r="N2634" s="6" t="s">
        <v>52</v>
      </c>
      <c r="O2634" s="6" t="s">
        <v>65</v>
      </c>
    </row>
    <row r="2635" spans="1:15" x14ac:dyDescent="0.25">
      <c r="A2635" s="6" t="s">
        <v>155</v>
      </c>
      <c r="B2635" s="6" t="s">
        <v>154</v>
      </c>
      <c r="C2635" s="6" t="s">
        <v>31</v>
      </c>
      <c r="E2635" s="6" t="s">
        <v>153</v>
      </c>
      <c r="F2635" s="6" t="s">
        <v>152</v>
      </c>
      <c r="G2635" s="6" t="s">
        <v>16</v>
      </c>
      <c r="H2635" s="6" t="s">
        <v>28</v>
      </c>
      <c r="I2635" s="6" t="s">
        <v>73</v>
      </c>
      <c r="J2635" s="6" t="s">
        <v>151</v>
      </c>
      <c r="K2635" s="7">
        <v>33.042973109999998</v>
      </c>
      <c r="L2635" s="7">
        <v>-97.486117730000004</v>
      </c>
      <c r="M2635" s="6" t="s">
        <v>150</v>
      </c>
      <c r="N2635" s="6" t="s">
        <v>102</v>
      </c>
      <c r="O2635" s="6" t="s">
        <v>42</v>
      </c>
    </row>
    <row r="2636" spans="1:15" x14ac:dyDescent="0.25">
      <c r="A2636" s="6" t="s">
        <v>6246</v>
      </c>
      <c r="B2636" s="6" t="s">
        <v>6245</v>
      </c>
      <c r="C2636" s="6" t="s">
        <v>31</v>
      </c>
      <c r="E2636" s="6" t="s">
        <v>6244</v>
      </c>
      <c r="F2636" s="6" t="s">
        <v>6243</v>
      </c>
      <c r="G2636" s="6" t="s">
        <v>16</v>
      </c>
      <c r="H2636" s="6" t="s">
        <v>28</v>
      </c>
      <c r="I2636" s="6" t="s">
        <v>60</v>
      </c>
      <c r="J2636" s="6" t="s">
        <v>576</v>
      </c>
      <c r="K2636" s="7">
        <v>30.242756</v>
      </c>
      <c r="L2636" s="7">
        <v>-95.957404999999994</v>
      </c>
      <c r="M2636" s="6" t="s">
        <v>355</v>
      </c>
      <c r="N2636" s="6" t="s">
        <v>23</v>
      </c>
      <c r="O2636" s="6" t="s">
        <v>120</v>
      </c>
    </row>
    <row r="2637" spans="1:15" x14ac:dyDescent="0.25">
      <c r="A2637" s="6" t="s">
        <v>9605</v>
      </c>
      <c r="B2637" s="6" t="s">
        <v>9604</v>
      </c>
      <c r="C2637" s="6" t="s">
        <v>31</v>
      </c>
      <c r="E2637" s="6" t="s">
        <v>9603</v>
      </c>
      <c r="F2637" s="6" t="s">
        <v>3673</v>
      </c>
      <c r="G2637" s="6" t="s">
        <v>16</v>
      </c>
      <c r="H2637" s="6" t="s">
        <v>28</v>
      </c>
      <c r="I2637" s="6" t="s">
        <v>60</v>
      </c>
      <c r="J2637" s="6" t="s">
        <v>1861</v>
      </c>
      <c r="K2637" s="7">
        <v>30.518221</v>
      </c>
      <c r="L2637" s="7">
        <v>-96.305463000000003</v>
      </c>
      <c r="M2637" s="6" t="s">
        <v>927</v>
      </c>
      <c r="N2637" s="6" t="s">
        <v>23</v>
      </c>
      <c r="O2637" s="6" t="s">
        <v>120</v>
      </c>
    </row>
    <row r="2638" spans="1:15" x14ac:dyDescent="0.25">
      <c r="A2638" s="6" t="s">
        <v>2186</v>
      </c>
      <c r="B2638" s="6" t="s">
        <v>2185</v>
      </c>
      <c r="C2638" s="6" t="s">
        <v>31</v>
      </c>
      <c r="E2638" s="6" t="s">
        <v>2184</v>
      </c>
      <c r="F2638" s="6" t="s">
        <v>2183</v>
      </c>
      <c r="G2638" s="6" t="s">
        <v>16</v>
      </c>
      <c r="H2638" s="6" t="s">
        <v>28</v>
      </c>
      <c r="I2638" s="6" t="s">
        <v>27</v>
      </c>
      <c r="J2638" s="6" t="s">
        <v>682</v>
      </c>
      <c r="K2638" s="7">
        <v>32.499547</v>
      </c>
      <c r="L2638" s="7">
        <v>-98.652765000000002</v>
      </c>
      <c r="M2638" s="6" t="s">
        <v>1509</v>
      </c>
      <c r="N2638" s="6" t="s">
        <v>23</v>
      </c>
      <c r="O2638" s="6" t="s">
        <v>95</v>
      </c>
    </row>
    <row r="2639" spans="1:15" x14ac:dyDescent="0.25">
      <c r="A2639" s="6" t="s">
        <v>5216</v>
      </c>
      <c r="B2639" s="6" t="s">
        <v>5215</v>
      </c>
      <c r="C2639" s="6" t="s">
        <v>31</v>
      </c>
      <c r="E2639" s="6" t="s">
        <v>5214</v>
      </c>
      <c r="F2639" s="6" t="s">
        <v>2474</v>
      </c>
      <c r="G2639" s="6" t="s">
        <v>16</v>
      </c>
      <c r="H2639" s="6" t="s">
        <v>15</v>
      </c>
      <c r="I2639" s="6" t="s">
        <v>14</v>
      </c>
      <c r="J2639" s="6" t="s">
        <v>385</v>
      </c>
      <c r="K2639" s="7">
        <v>30.066303019999999</v>
      </c>
      <c r="L2639" s="7">
        <v>-94.057810180000004</v>
      </c>
      <c r="M2639" s="6" t="s">
        <v>429</v>
      </c>
      <c r="N2639" s="6" t="s">
        <v>52</v>
      </c>
      <c r="O2639" s="6" t="s">
        <v>24</v>
      </c>
    </row>
    <row r="2640" spans="1:15" x14ac:dyDescent="0.25">
      <c r="A2640" s="6" t="s">
        <v>7313</v>
      </c>
      <c r="B2640" s="6" t="s">
        <v>5215</v>
      </c>
      <c r="C2640" s="6" t="s">
        <v>19</v>
      </c>
      <c r="E2640" s="6" t="s">
        <v>5214</v>
      </c>
      <c r="F2640" s="6" t="s">
        <v>2474</v>
      </c>
      <c r="G2640" s="6" t="s">
        <v>16</v>
      </c>
      <c r="H2640" s="6" t="s">
        <v>15</v>
      </c>
      <c r="I2640" s="6" t="s">
        <v>14</v>
      </c>
      <c r="J2640" s="6" t="s">
        <v>385</v>
      </c>
      <c r="K2640" s="7">
        <v>30.055598889999999</v>
      </c>
      <c r="L2640" s="7">
        <v>-94.051381390000003</v>
      </c>
      <c r="M2640" s="6" t="s">
        <v>429</v>
      </c>
      <c r="N2640" s="6" t="s">
        <v>52</v>
      </c>
      <c r="O2640" s="6" t="s">
        <v>24</v>
      </c>
    </row>
    <row r="2641" spans="1:15" x14ac:dyDescent="0.25">
      <c r="A2641" s="6" t="s">
        <v>6655</v>
      </c>
      <c r="B2641" s="6" t="s">
        <v>5215</v>
      </c>
      <c r="C2641" s="6" t="s">
        <v>436</v>
      </c>
      <c r="E2641" s="6" t="s">
        <v>5214</v>
      </c>
      <c r="F2641" s="6" t="s">
        <v>2474</v>
      </c>
      <c r="G2641" s="6" t="s">
        <v>284</v>
      </c>
      <c r="H2641" s="6" t="s">
        <v>430</v>
      </c>
      <c r="I2641" s="6" t="s">
        <v>14</v>
      </c>
      <c r="J2641" s="6" t="s">
        <v>385</v>
      </c>
      <c r="K2641" s="7">
        <v>30.05569844</v>
      </c>
      <c r="L2641" s="7">
        <v>-94.067344730000002</v>
      </c>
      <c r="M2641" s="6" t="s">
        <v>429</v>
      </c>
      <c r="N2641" s="6" t="s">
        <v>52</v>
      </c>
      <c r="O2641" s="6" t="s">
        <v>24</v>
      </c>
    </row>
    <row r="2642" spans="1:15" x14ac:dyDescent="0.25">
      <c r="A2642" s="6" t="s">
        <v>10060</v>
      </c>
      <c r="B2642" s="6" t="s">
        <v>10059</v>
      </c>
      <c r="C2642" s="6" t="s">
        <v>31</v>
      </c>
      <c r="E2642" s="6" t="s">
        <v>10058</v>
      </c>
      <c r="F2642" s="6" t="s">
        <v>10057</v>
      </c>
      <c r="G2642" s="6" t="s">
        <v>16</v>
      </c>
      <c r="H2642" s="6" t="s">
        <v>15</v>
      </c>
      <c r="I2642" s="6" t="s">
        <v>46</v>
      </c>
      <c r="J2642" s="6" t="s">
        <v>1288</v>
      </c>
      <c r="K2642" s="7">
        <v>32.438322999999997</v>
      </c>
      <c r="L2642" s="7">
        <v>-96.851404000000002</v>
      </c>
      <c r="M2642" s="6" t="s">
        <v>7130</v>
      </c>
      <c r="N2642" s="6" t="s">
        <v>102</v>
      </c>
      <c r="O2642" s="6" t="s">
        <v>42</v>
      </c>
    </row>
    <row r="2643" spans="1:15" x14ac:dyDescent="0.25">
      <c r="A2643" s="6" t="s">
        <v>9592</v>
      </c>
      <c r="B2643" s="6" t="s">
        <v>9591</v>
      </c>
      <c r="C2643" s="6" t="s">
        <v>31</v>
      </c>
      <c r="E2643" s="6" t="s">
        <v>9590</v>
      </c>
      <c r="F2643" s="6" t="s">
        <v>9589</v>
      </c>
      <c r="G2643" s="6" t="s">
        <v>16</v>
      </c>
      <c r="H2643" s="6" t="s">
        <v>28</v>
      </c>
      <c r="I2643" s="6" t="s">
        <v>73</v>
      </c>
      <c r="J2643" s="6" t="s">
        <v>2768</v>
      </c>
      <c r="K2643" s="7">
        <v>32.46557335</v>
      </c>
      <c r="L2643" s="7">
        <v>-97.227482129999999</v>
      </c>
      <c r="M2643" s="6" t="s">
        <v>1287</v>
      </c>
      <c r="N2643" s="6" t="s">
        <v>102</v>
      </c>
      <c r="O2643" s="6" t="s">
        <v>42</v>
      </c>
    </row>
    <row r="2644" spans="1:15" x14ac:dyDescent="0.25">
      <c r="A2644" s="6" t="s">
        <v>9247</v>
      </c>
      <c r="B2644" s="6" t="s">
        <v>9246</v>
      </c>
      <c r="C2644" s="6" t="s">
        <v>31</v>
      </c>
      <c r="E2644" s="6" t="s">
        <v>9245</v>
      </c>
      <c r="F2644" s="6" t="s">
        <v>9244</v>
      </c>
      <c r="G2644" s="6" t="s">
        <v>16</v>
      </c>
      <c r="H2644" s="6" t="s">
        <v>28</v>
      </c>
      <c r="I2644" s="6" t="s">
        <v>14</v>
      </c>
      <c r="J2644" s="6" t="s">
        <v>26</v>
      </c>
      <c r="K2644" s="7">
        <v>30.45862546</v>
      </c>
      <c r="L2644" s="7">
        <v>-95.545982449999997</v>
      </c>
      <c r="M2644" s="6" t="s">
        <v>340</v>
      </c>
      <c r="N2644" s="6" t="s">
        <v>24</v>
      </c>
      <c r="O2644" s="6" t="s">
        <v>23</v>
      </c>
    </row>
    <row r="2645" spans="1:15" x14ac:dyDescent="0.25">
      <c r="A2645" s="6" t="s">
        <v>9609</v>
      </c>
      <c r="B2645" s="6" t="s">
        <v>9608</v>
      </c>
      <c r="C2645" s="6" t="s">
        <v>31</v>
      </c>
      <c r="E2645" s="6" t="s">
        <v>9607</v>
      </c>
      <c r="F2645" s="6" t="s">
        <v>9606</v>
      </c>
      <c r="G2645" s="6" t="s">
        <v>16</v>
      </c>
      <c r="H2645" s="6" t="s">
        <v>28</v>
      </c>
      <c r="I2645" s="6" t="s">
        <v>46</v>
      </c>
      <c r="J2645" s="6" t="s">
        <v>1288</v>
      </c>
      <c r="K2645" s="7">
        <v>32.326398380000001</v>
      </c>
      <c r="L2645" s="7">
        <v>-96.973476779999999</v>
      </c>
      <c r="M2645" s="6" t="s">
        <v>2048</v>
      </c>
      <c r="N2645" s="6" t="s">
        <v>102</v>
      </c>
      <c r="O2645" s="6" t="s">
        <v>42</v>
      </c>
    </row>
    <row r="2646" spans="1:15" x14ac:dyDescent="0.25">
      <c r="A2646" s="6" t="s">
        <v>9253</v>
      </c>
      <c r="B2646" s="6" t="s">
        <v>9252</v>
      </c>
      <c r="C2646" s="6" t="s">
        <v>31</v>
      </c>
      <c r="E2646" s="6" t="s">
        <v>9251</v>
      </c>
      <c r="F2646" s="6" t="s">
        <v>4639</v>
      </c>
      <c r="G2646" s="6" t="s">
        <v>16</v>
      </c>
      <c r="H2646" s="6" t="s">
        <v>28</v>
      </c>
      <c r="I2646" s="6" t="s">
        <v>14</v>
      </c>
      <c r="J2646" s="6" t="s">
        <v>84</v>
      </c>
      <c r="K2646" s="7">
        <v>28.59883941</v>
      </c>
      <c r="L2646" s="7">
        <v>-96.701452360000005</v>
      </c>
      <c r="M2646" s="6" t="s">
        <v>1272</v>
      </c>
      <c r="N2646" s="6" t="s">
        <v>82</v>
      </c>
      <c r="O2646" s="6" t="s">
        <v>10</v>
      </c>
    </row>
    <row r="2647" spans="1:15" x14ac:dyDescent="0.25">
      <c r="A2647" s="6" t="s">
        <v>8199</v>
      </c>
      <c r="B2647" s="6" t="s">
        <v>8198</v>
      </c>
      <c r="C2647" s="6" t="s">
        <v>31</v>
      </c>
      <c r="E2647" s="6" t="s">
        <v>8197</v>
      </c>
      <c r="F2647" s="6" t="s">
        <v>6046</v>
      </c>
      <c r="G2647" s="6" t="s">
        <v>16</v>
      </c>
      <c r="H2647" s="6" t="s">
        <v>28</v>
      </c>
      <c r="I2647" s="6" t="s">
        <v>36</v>
      </c>
      <c r="J2647" s="6" t="s">
        <v>35</v>
      </c>
      <c r="K2647" s="7">
        <v>29.802646540000001</v>
      </c>
      <c r="L2647" s="7">
        <v>-95.208414820000002</v>
      </c>
      <c r="M2647" s="6" t="s">
        <v>34</v>
      </c>
      <c r="N2647" s="6" t="s">
        <v>24</v>
      </c>
      <c r="O2647" s="6" t="s">
        <v>23</v>
      </c>
    </row>
    <row r="2648" spans="1:15" x14ac:dyDescent="0.25">
      <c r="A2648" s="6" t="s">
        <v>12483</v>
      </c>
      <c r="B2648" s="6" t="s">
        <v>12482</v>
      </c>
      <c r="C2648" s="6" t="s">
        <v>31</v>
      </c>
      <c r="E2648" s="6" t="s">
        <v>12481</v>
      </c>
      <c r="F2648" s="6" t="s">
        <v>12480</v>
      </c>
      <c r="G2648" s="6" t="s">
        <v>16</v>
      </c>
      <c r="H2648" s="6" t="s">
        <v>15</v>
      </c>
      <c r="I2648" s="6" t="s">
        <v>14</v>
      </c>
      <c r="J2648" s="6" t="s">
        <v>132</v>
      </c>
      <c r="K2648" s="7">
        <v>29.474924739999999</v>
      </c>
      <c r="L2648" s="7">
        <v>-95.960737330000001</v>
      </c>
      <c r="M2648" s="6" t="s">
        <v>1063</v>
      </c>
      <c r="N2648" s="6" t="s">
        <v>231</v>
      </c>
      <c r="O2648" s="6" t="s">
        <v>23</v>
      </c>
    </row>
    <row r="2649" spans="1:15" x14ac:dyDescent="0.25">
      <c r="A2649" s="6" t="s">
        <v>58</v>
      </c>
      <c r="B2649" s="6" t="s">
        <v>57</v>
      </c>
      <c r="C2649" s="6" t="s">
        <v>31</v>
      </c>
      <c r="E2649" s="6" t="s">
        <v>56</v>
      </c>
      <c r="F2649" s="6" t="s">
        <v>55</v>
      </c>
      <c r="G2649" s="6" t="s">
        <v>16</v>
      </c>
      <c r="H2649" s="6" t="s">
        <v>28</v>
      </c>
      <c r="I2649" s="6" t="s">
        <v>27</v>
      </c>
      <c r="J2649" s="6" t="s">
        <v>54</v>
      </c>
      <c r="K2649" s="7">
        <v>31.225304999999999</v>
      </c>
      <c r="L2649" s="7">
        <v>-94.969560000000001</v>
      </c>
      <c r="M2649" s="6" t="s">
        <v>53</v>
      </c>
      <c r="N2649" s="6" t="s">
        <v>52</v>
      </c>
      <c r="O2649" s="6" t="s">
        <v>24</v>
      </c>
    </row>
    <row r="2650" spans="1:15" x14ac:dyDescent="0.25">
      <c r="A2650" s="6" t="s">
        <v>1668</v>
      </c>
      <c r="B2650" s="6" t="s">
        <v>1667</v>
      </c>
      <c r="C2650" s="6" t="s">
        <v>31</v>
      </c>
      <c r="E2650" s="6" t="s">
        <v>1666</v>
      </c>
      <c r="F2650" s="6" t="s">
        <v>1665</v>
      </c>
      <c r="G2650" s="6" t="s">
        <v>16</v>
      </c>
      <c r="H2650" s="6" t="s">
        <v>28</v>
      </c>
      <c r="I2650" s="6" t="s">
        <v>27</v>
      </c>
      <c r="J2650" s="6" t="s">
        <v>132</v>
      </c>
      <c r="K2650" s="7">
        <v>29.642848999999998</v>
      </c>
      <c r="L2650" s="7">
        <v>-95.780873999999997</v>
      </c>
      <c r="M2650" s="6" t="s">
        <v>355</v>
      </c>
      <c r="N2650" s="6" t="s">
        <v>23</v>
      </c>
      <c r="O2650" s="6" t="s">
        <v>23</v>
      </c>
    </row>
    <row r="2651" spans="1:15" x14ac:dyDescent="0.25">
      <c r="A2651" s="6" t="s">
        <v>9585</v>
      </c>
      <c r="B2651" s="6" t="s">
        <v>9584</v>
      </c>
      <c r="C2651" s="6" t="s">
        <v>31</v>
      </c>
      <c r="E2651" s="6" t="s">
        <v>9583</v>
      </c>
      <c r="F2651" s="6" t="s">
        <v>9582</v>
      </c>
      <c r="G2651" s="6" t="s">
        <v>16</v>
      </c>
      <c r="H2651" s="6" t="s">
        <v>28</v>
      </c>
      <c r="I2651" s="6" t="s">
        <v>27</v>
      </c>
      <c r="J2651" s="6" t="s">
        <v>1013</v>
      </c>
      <c r="K2651" s="7">
        <v>31.148074000000001</v>
      </c>
      <c r="L2651" s="7">
        <v>-94.433481999999998</v>
      </c>
      <c r="M2651" s="6" t="s">
        <v>53</v>
      </c>
      <c r="N2651" s="6" t="s">
        <v>52</v>
      </c>
      <c r="O2651" s="6" t="s">
        <v>24</v>
      </c>
    </row>
    <row r="2652" spans="1:15" x14ac:dyDescent="0.25">
      <c r="A2652" s="6" t="s">
        <v>8673</v>
      </c>
      <c r="B2652" s="6" t="s">
        <v>8672</v>
      </c>
      <c r="C2652" s="6" t="s">
        <v>31</v>
      </c>
      <c r="E2652" s="6" t="s">
        <v>8671</v>
      </c>
      <c r="F2652" s="6" t="s">
        <v>8670</v>
      </c>
      <c r="G2652" s="6" t="s">
        <v>16</v>
      </c>
      <c r="H2652" s="6" t="s">
        <v>28</v>
      </c>
      <c r="I2652" s="6" t="s">
        <v>27</v>
      </c>
      <c r="J2652" s="6" t="s">
        <v>8552</v>
      </c>
      <c r="K2652" s="7">
        <v>31.551279829999999</v>
      </c>
      <c r="L2652" s="7">
        <v>-98.664904289999996</v>
      </c>
      <c r="M2652" s="6" t="s">
        <v>6482</v>
      </c>
      <c r="N2652" s="6" t="s">
        <v>10</v>
      </c>
      <c r="O2652" s="6" t="s">
        <v>120</v>
      </c>
    </row>
    <row r="2653" spans="1:15" x14ac:dyDescent="0.25">
      <c r="A2653" s="6" t="s">
        <v>294</v>
      </c>
      <c r="B2653" s="6" t="s">
        <v>293</v>
      </c>
      <c r="C2653" s="6" t="s">
        <v>31</v>
      </c>
      <c r="E2653" s="6" t="s">
        <v>292</v>
      </c>
      <c r="F2653" s="6" t="s">
        <v>291</v>
      </c>
      <c r="G2653" s="6" t="s">
        <v>16</v>
      </c>
      <c r="H2653" s="6" t="s">
        <v>15</v>
      </c>
      <c r="I2653" s="6" t="s">
        <v>14</v>
      </c>
      <c r="J2653" s="6" t="s">
        <v>290</v>
      </c>
      <c r="K2653" s="7">
        <v>28.642100989999999</v>
      </c>
      <c r="L2653" s="7">
        <v>-96.322262050000006</v>
      </c>
      <c r="M2653" s="6" t="s">
        <v>289</v>
      </c>
      <c r="N2653" s="6" t="s">
        <v>22</v>
      </c>
      <c r="O2653" s="6" t="s">
        <v>23</v>
      </c>
    </row>
    <row r="2654" spans="1:15" x14ac:dyDescent="0.25">
      <c r="A2654" s="6" t="s">
        <v>968</v>
      </c>
      <c r="B2654" s="6" t="s">
        <v>293</v>
      </c>
      <c r="C2654" s="6" t="s">
        <v>19</v>
      </c>
      <c r="E2654" s="6" t="s">
        <v>292</v>
      </c>
      <c r="F2654" s="6" t="s">
        <v>291</v>
      </c>
      <c r="G2654" s="6" t="s">
        <v>16</v>
      </c>
      <c r="H2654" s="6" t="s">
        <v>15</v>
      </c>
      <c r="I2654" s="6" t="s">
        <v>14</v>
      </c>
      <c r="J2654" s="6" t="s">
        <v>290</v>
      </c>
      <c r="K2654" s="7">
        <v>28.642759160000001</v>
      </c>
      <c r="L2654" s="7">
        <v>-96.320379070000001</v>
      </c>
      <c r="M2654" s="6" t="s">
        <v>289</v>
      </c>
      <c r="N2654" s="6" t="s">
        <v>22</v>
      </c>
      <c r="O2654" s="6" t="s">
        <v>23</v>
      </c>
    </row>
    <row r="2655" spans="1:15" x14ac:dyDescent="0.25">
      <c r="A2655" s="6" t="s">
        <v>967</v>
      </c>
      <c r="B2655" s="6" t="s">
        <v>293</v>
      </c>
      <c r="C2655" s="6" t="s">
        <v>436</v>
      </c>
      <c r="E2655" s="6" t="s">
        <v>292</v>
      </c>
      <c r="F2655" s="6" t="s">
        <v>291</v>
      </c>
      <c r="G2655" s="6" t="s">
        <v>16</v>
      </c>
      <c r="H2655" s="6" t="s">
        <v>15</v>
      </c>
      <c r="I2655" s="6" t="s">
        <v>14</v>
      </c>
      <c r="J2655" s="6" t="s">
        <v>290</v>
      </c>
      <c r="K2655" s="7">
        <v>28.644418760000001</v>
      </c>
      <c r="L2655" s="7">
        <v>-96.313339549999995</v>
      </c>
      <c r="M2655" s="6" t="s">
        <v>289</v>
      </c>
      <c r="N2655" s="6" t="s">
        <v>22</v>
      </c>
      <c r="O2655" s="6" t="s">
        <v>23</v>
      </c>
    </row>
    <row r="2656" spans="1:15" x14ac:dyDescent="0.25">
      <c r="A2656" s="6" t="s">
        <v>966</v>
      </c>
      <c r="B2656" s="6" t="s">
        <v>293</v>
      </c>
      <c r="C2656" s="6" t="s">
        <v>597</v>
      </c>
      <c r="E2656" s="6" t="s">
        <v>292</v>
      </c>
      <c r="F2656" s="6" t="s">
        <v>291</v>
      </c>
      <c r="G2656" s="6" t="s">
        <v>16</v>
      </c>
      <c r="H2656" s="6" t="s">
        <v>15</v>
      </c>
      <c r="I2656" s="6" t="s">
        <v>14</v>
      </c>
      <c r="J2656" s="6" t="s">
        <v>290</v>
      </c>
      <c r="K2656" s="7">
        <v>28.64450531</v>
      </c>
      <c r="L2656" s="7">
        <v>-96.312946109999999</v>
      </c>
      <c r="M2656" s="6" t="s">
        <v>289</v>
      </c>
      <c r="N2656" s="6" t="s">
        <v>22</v>
      </c>
      <c r="O2656" s="6" t="s">
        <v>23</v>
      </c>
    </row>
    <row r="2657" spans="1:15" x14ac:dyDescent="0.25">
      <c r="A2657" s="6" t="s">
        <v>4888</v>
      </c>
      <c r="B2657" s="6" t="s">
        <v>293</v>
      </c>
      <c r="C2657" s="6" t="s">
        <v>557</v>
      </c>
      <c r="E2657" s="6" t="s">
        <v>292</v>
      </c>
      <c r="F2657" s="6" t="s">
        <v>291</v>
      </c>
      <c r="G2657" s="6" t="s">
        <v>16</v>
      </c>
      <c r="H2657" s="6" t="s">
        <v>15</v>
      </c>
      <c r="I2657" s="6" t="s">
        <v>14</v>
      </c>
      <c r="J2657" s="6" t="s">
        <v>290</v>
      </c>
      <c r="K2657" s="7">
        <v>28.645110509999999</v>
      </c>
      <c r="L2657" s="7">
        <v>-96.310198990000004</v>
      </c>
      <c r="M2657" s="6" t="s">
        <v>289</v>
      </c>
      <c r="N2657" s="6" t="s">
        <v>22</v>
      </c>
      <c r="O2657" s="6" t="s">
        <v>23</v>
      </c>
    </row>
    <row r="2658" spans="1:15" x14ac:dyDescent="0.25">
      <c r="A2658" s="6" t="s">
        <v>4887</v>
      </c>
      <c r="B2658" s="6" t="s">
        <v>293</v>
      </c>
      <c r="C2658" s="6" t="s">
        <v>433</v>
      </c>
      <c r="E2658" s="6" t="s">
        <v>292</v>
      </c>
      <c r="F2658" s="6" t="s">
        <v>291</v>
      </c>
      <c r="G2658" s="6" t="s">
        <v>16</v>
      </c>
      <c r="H2658" s="6" t="s">
        <v>15</v>
      </c>
      <c r="I2658" s="6" t="s">
        <v>14</v>
      </c>
      <c r="J2658" s="6" t="s">
        <v>290</v>
      </c>
      <c r="K2658" s="7">
        <v>28.645184329999999</v>
      </c>
      <c r="L2658" s="7">
        <v>-96.309741939999995</v>
      </c>
      <c r="M2658" s="6" t="s">
        <v>289</v>
      </c>
      <c r="N2658" s="6" t="s">
        <v>22</v>
      </c>
      <c r="O2658" s="6" t="s">
        <v>23</v>
      </c>
    </row>
    <row r="2659" spans="1:15" x14ac:dyDescent="0.25">
      <c r="A2659" s="6" t="s">
        <v>4886</v>
      </c>
      <c r="B2659" s="6" t="s">
        <v>293</v>
      </c>
      <c r="C2659" s="6" t="s">
        <v>1098</v>
      </c>
      <c r="E2659" s="6" t="s">
        <v>292</v>
      </c>
      <c r="F2659" s="6" t="s">
        <v>291</v>
      </c>
      <c r="G2659" s="6" t="s">
        <v>16</v>
      </c>
      <c r="H2659" s="6" t="s">
        <v>15</v>
      </c>
      <c r="I2659" s="6" t="s">
        <v>14</v>
      </c>
      <c r="J2659" s="6" t="s">
        <v>290</v>
      </c>
      <c r="K2659" s="7">
        <v>28.645705230000001</v>
      </c>
      <c r="L2659" s="7">
        <v>-96.307210850000004</v>
      </c>
      <c r="M2659" s="6" t="s">
        <v>289</v>
      </c>
      <c r="N2659" s="6" t="s">
        <v>22</v>
      </c>
      <c r="O2659" s="6" t="s">
        <v>23</v>
      </c>
    </row>
    <row r="2660" spans="1:15" x14ac:dyDescent="0.25">
      <c r="A2660" s="6" t="s">
        <v>4885</v>
      </c>
      <c r="B2660" s="6" t="s">
        <v>293</v>
      </c>
      <c r="C2660" s="6" t="s">
        <v>1096</v>
      </c>
      <c r="E2660" s="6" t="s">
        <v>292</v>
      </c>
      <c r="F2660" s="6" t="s">
        <v>291</v>
      </c>
      <c r="G2660" s="6" t="s">
        <v>16</v>
      </c>
      <c r="H2660" s="6" t="s">
        <v>15</v>
      </c>
      <c r="I2660" s="6" t="s">
        <v>14</v>
      </c>
      <c r="J2660" s="6" t="s">
        <v>290</v>
      </c>
      <c r="K2660" s="7">
        <v>28.645843299999999</v>
      </c>
      <c r="L2660" s="7">
        <v>-96.306646290000003</v>
      </c>
      <c r="M2660" s="6" t="s">
        <v>289</v>
      </c>
      <c r="N2660" s="6" t="s">
        <v>22</v>
      </c>
      <c r="O2660" s="6" t="s">
        <v>23</v>
      </c>
    </row>
    <row r="2661" spans="1:15" x14ac:dyDescent="0.25">
      <c r="A2661" s="6" t="s">
        <v>4884</v>
      </c>
      <c r="B2661" s="6" t="s">
        <v>293</v>
      </c>
      <c r="C2661" s="6" t="s">
        <v>638</v>
      </c>
      <c r="E2661" s="6" t="s">
        <v>292</v>
      </c>
      <c r="F2661" s="6" t="s">
        <v>291</v>
      </c>
      <c r="G2661" s="6" t="s">
        <v>16</v>
      </c>
      <c r="H2661" s="6" t="s">
        <v>15</v>
      </c>
      <c r="I2661" s="6" t="s">
        <v>14</v>
      </c>
      <c r="J2661" s="6" t="s">
        <v>290</v>
      </c>
      <c r="K2661" s="7">
        <v>28.6504397</v>
      </c>
      <c r="L2661" s="7">
        <v>-96.305576740000006</v>
      </c>
      <c r="M2661" s="6" t="s">
        <v>2478</v>
      </c>
      <c r="N2661" s="6" t="s">
        <v>22</v>
      </c>
      <c r="O2661" s="6" t="s">
        <v>23</v>
      </c>
    </row>
    <row r="2662" spans="1:15" x14ac:dyDescent="0.25">
      <c r="A2662" s="6" t="s">
        <v>8684</v>
      </c>
      <c r="B2662" s="6" t="s">
        <v>8683</v>
      </c>
      <c r="C2662" s="6" t="s">
        <v>31</v>
      </c>
      <c r="E2662" s="6" t="s">
        <v>8682</v>
      </c>
      <c r="F2662" s="6" t="s">
        <v>481</v>
      </c>
      <c r="G2662" s="6" t="s">
        <v>16</v>
      </c>
      <c r="H2662" s="6" t="s">
        <v>28</v>
      </c>
      <c r="I2662" s="6" t="s">
        <v>73</v>
      </c>
      <c r="J2662" s="6" t="s">
        <v>480</v>
      </c>
      <c r="K2662" s="7">
        <v>26.375444999999999</v>
      </c>
      <c r="L2662" s="7">
        <v>-97.988984000000002</v>
      </c>
      <c r="M2662" s="6" t="s">
        <v>89</v>
      </c>
      <c r="N2662" s="6" t="s">
        <v>11</v>
      </c>
      <c r="O2662" s="6" t="s">
        <v>22</v>
      </c>
    </row>
    <row r="2663" spans="1:15" x14ac:dyDescent="0.25">
      <c r="A2663" s="6" t="s">
        <v>3074</v>
      </c>
      <c r="B2663" s="6" t="s">
        <v>3073</v>
      </c>
      <c r="C2663" s="6" t="s">
        <v>31</v>
      </c>
      <c r="E2663" s="6" t="s">
        <v>3072</v>
      </c>
      <c r="F2663" s="6" t="s">
        <v>199</v>
      </c>
      <c r="G2663" s="6" t="s">
        <v>16</v>
      </c>
      <c r="H2663" s="6" t="s">
        <v>28</v>
      </c>
      <c r="I2663" s="6" t="s">
        <v>27</v>
      </c>
      <c r="J2663" s="6" t="s">
        <v>162</v>
      </c>
      <c r="K2663" s="7">
        <v>29.30698035</v>
      </c>
      <c r="L2663" s="7">
        <v>-95.26667037</v>
      </c>
      <c r="M2663" s="6" t="s">
        <v>3071</v>
      </c>
      <c r="N2663" s="6" t="s">
        <v>160</v>
      </c>
      <c r="O2663" s="6" t="s">
        <v>23</v>
      </c>
    </row>
    <row r="2664" spans="1:15" x14ac:dyDescent="0.25">
      <c r="A2664" s="6" t="s">
        <v>9588</v>
      </c>
      <c r="B2664" s="6" t="s">
        <v>9587</v>
      </c>
      <c r="C2664" s="6" t="s">
        <v>31</v>
      </c>
      <c r="E2664" s="6" t="s">
        <v>9586</v>
      </c>
      <c r="F2664" s="6" t="s">
        <v>895</v>
      </c>
      <c r="G2664" s="6" t="s">
        <v>16</v>
      </c>
      <c r="H2664" s="6" t="s">
        <v>28</v>
      </c>
      <c r="I2664" s="6" t="s">
        <v>27</v>
      </c>
      <c r="J2664" s="6" t="s">
        <v>35</v>
      </c>
      <c r="K2664" s="7">
        <v>29.953015000000001</v>
      </c>
      <c r="L2664" s="7">
        <v>-95.254456000000005</v>
      </c>
      <c r="M2664" s="6" t="s">
        <v>198</v>
      </c>
      <c r="N2664" s="6" t="s">
        <v>24</v>
      </c>
      <c r="O2664" s="6" t="s">
        <v>23</v>
      </c>
    </row>
    <row r="2665" spans="1:15" x14ac:dyDescent="0.25">
      <c r="A2665" s="6" t="s">
        <v>12479</v>
      </c>
      <c r="B2665" s="6" t="s">
        <v>12478</v>
      </c>
      <c r="C2665" s="6" t="s">
        <v>31</v>
      </c>
      <c r="E2665" s="6" t="s">
        <v>12477</v>
      </c>
      <c r="F2665" s="6" t="s">
        <v>12476</v>
      </c>
      <c r="G2665" s="6" t="s">
        <v>16</v>
      </c>
      <c r="H2665" s="6" t="s">
        <v>15</v>
      </c>
      <c r="I2665" s="6" t="s">
        <v>36</v>
      </c>
      <c r="J2665" s="6" t="s">
        <v>35</v>
      </c>
      <c r="K2665" s="7">
        <v>29.79985563</v>
      </c>
      <c r="L2665" s="7">
        <v>-95.25009824</v>
      </c>
      <c r="M2665" s="6" t="s">
        <v>866</v>
      </c>
      <c r="N2665" s="6" t="s">
        <v>24</v>
      </c>
      <c r="O2665" s="6" t="s">
        <v>23</v>
      </c>
    </row>
    <row r="2666" spans="1:15" x14ac:dyDescent="0.25">
      <c r="A2666" s="6" t="s">
        <v>2791</v>
      </c>
      <c r="B2666" s="6" t="s">
        <v>2790</v>
      </c>
      <c r="C2666" s="6" t="s">
        <v>31</v>
      </c>
      <c r="E2666" s="6" t="s">
        <v>2789</v>
      </c>
      <c r="F2666" s="6" t="s">
        <v>2788</v>
      </c>
      <c r="G2666" s="6" t="s">
        <v>16</v>
      </c>
      <c r="H2666" s="6" t="s">
        <v>28</v>
      </c>
      <c r="I2666" s="6" t="s">
        <v>14</v>
      </c>
      <c r="J2666" s="6" t="s">
        <v>576</v>
      </c>
      <c r="K2666" s="7">
        <v>30.33227758</v>
      </c>
      <c r="L2666" s="7">
        <v>-96.027816299999998</v>
      </c>
      <c r="M2666" s="6" t="s">
        <v>355</v>
      </c>
      <c r="N2666" s="6" t="s">
        <v>23</v>
      </c>
      <c r="O2666" s="6" t="s">
        <v>120</v>
      </c>
    </row>
    <row r="2667" spans="1:15" x14ac:dyDescent="0.25">
      <c r="A2667" s="6" t="s">
        <v>6986</v>
      </c>
      <c r="B2667" s="6" t="s">
        <v>6985</v>
      </c>
      <c r="C2667" s="6" t="s">
        <v>31</v>
      </c>
      <c r="E2667" s="6" t="s">
        <v>6984</v>
      </c>
      <c r="F2667" s="6" t="s">
        <v>6983</v>
      </c>
      <c r="G2667" s="6" t="s">
        <v>16</v>
      </c>
      <c r="H2667" s="6" t="s">
        <v>28</v>
      </c>
      <c r="I2667" s="6" t="s">
        <v>27</v>
      </c>
      <c r="J2667" s="6" t="s">
        <v>6982</v>
      </c>
      <c r="K2667" s="7">
        <v>33.409768</v>
      </c>
      <c r="L2667" s="7">
        <v>-99.558600999999996</v>
      </c>
      <c r="M2667" s="6" t="s">
        <v>6981</v>
      </c>
      <c r="N2667" s="6" t="s">
        <v>23</v>
      </c>
      <c r="O2667" s="6" t="s">
        <v>95</v>
      </c>
    </row>
    <row r="2668" spans="1:15" x14ac:dyDescent="0.25">
      <c r="A2668" s="6" t="s">
        <v>7738</v>
      </c>
      <c r="B2668" s="6" t="s">
        <v>7737</v>
      </c>
      <c r="C2668" s="6" t="s">
        <v>31</v>
      </c>
      <c r="E2668" s="6" t="s">
        <v>7736</v>
      </c>
      <c r="F2668" s="6" t="s">
        <v>7735</v>
      </c>
      <c r="G2668" s="6" t="s">
        <v>16</v>
      </c>
      <c r="H2668" s="6" t="s">
        <v>28</v>
      </c>
      <c r="I2668" s="6" t="s">
        <v>73</v>
      </c>
      <c r="J2668" s="6" t="s">
        <v>781</v>
      </c>
      <c r="K2668" s="7">
        <v>32.464191579999998</v>
      </c>
      <c r="L2668" s="7">
        <v>-94.626053249999998</v>
      </c>
      <c r="M2668" s="6" t="s">
        <v>1218</v>
      </c>
      <c r="N2668" s="6" t="s">
        <v>65</v>
      </c>
      <c r="O2668" s="6" t="s">
        <v>65</v>
      </c>
    </row>
    <row r="2669" spans="1:15" x14ac:dyDescent="0.25">
      <c r="A2669" s="6" t="s">
        <v>3371</v>
      </c>
      <c r="B2669" s="6" t="s">
        <v>3370</v>
      </c>
      <c r="C2669" s="6" t="s">
        <v>31</v>
      </c>
      <c r="E2669" s="6" t="s">
        <v>3369</v>
      </c>
      <c r="F2669" s="6" t="s">
        <v>3368</v>
      </c>
      <c r="G2669" s="6" t="s">
        <v>16</v>
      </c>
      <c r="H2669" s="6" t="s">
        <v>28</v>
      </c>
      <c r="I2669" s="6" t="s">
        <v>27</v>
      </c>
      <c r="J2669" s="6" t="s">
        <v>35</v>
      </c>
      <c r="K2669" s="7">
        <v>29.8169921</v>
      </c>
      <c r="L2669" s="7">
        <v>-95.806379550000003</v>
      </c>
      <c r="M2669" s="6" t="s">
        <v>131</v>
      </c>
      <c r="N2669" s="6" t="s">
        <v>24</v>
      </c>
      <c r="O2669" s="6" t="s">
        <v>23</v>
      </c>
    </row>
    <row r="2670" spans="1:15" x14ac:dyDescent="0.25">
      <c r="A2670" s="6" t="s">
        <v>9888</v>
      </c>
      <c r="B2670" s="6" t="s">
        <v>9887</v>
      </c>
      <c r="C2670" s="6" t="s">
        <v>31</v>
      </c>
      <c r="E2670" s="6" t="s">
        <v>9886</v>
      </c>
      <c r="F2670" s="6" t="s">
        <v>9885</v>
      </c>
      <c r="G2670" s="6" t="s">
        <v>16</v>
      </c>
      <c r="H2670" s="6" t="s">
        <v>28</v>
      </c>
      <c r="I2670" s="6" t="s">
        <v>27</v>
      </c>
      <c r="J2670" s="6" t="s">
        <v>221</v>
      </c>
      <c r="K2670" s="7">
        <v>30.702560999999999</v>
      </c>
      <c r="L2670" s="7">
        <v>-97.657821999999996</v>
      </c>
      <c r="M2670" s="6" t="s">
        <v>4688</v>
      </c>
      <c r="N2670" s="6" t="s">
        <v>23</v>
      </c>
      <c r="O2670" s="6" t="s">
        <v>160</v>
      </c>
    </row>
    <row r="2671" spans="1:15" x14ac:dyDescent="0.25">
      <c r="A2671" s="6" t="s">
        <v>3550</v>
      </c>
      <c r="B2671" s="6" t="s">
        <v>3549</v>
      </c>
      <c r="C2671" s="6" t="s">
        <v>31</v>
      </c>
      <c r="E2671" s="6" t="s">
        <v>3548</v>
      </c>
      <c r="F2671" s="6" t="s">
        <v>3547</v>
      </c>
      <c r="G2671" s="6" t="s">
        <v>16</v>
      </c>
      <c r="H2671" s="6" t="s">
        <v>28</v>
      </c>
      <c r="I2671" s="6" t="s">
        <v>27</v>
      </c>
      <c r="J2671" s="6" t="s">
        <v>35</v>
      </c>
      <c r="K2671" s="7">
        <v>30.104293999999999</v>
      </c>
      <c r="L2671" s="7">
        <v>-95.422882000000001</v>
      </c>
      <c r="M2671" s="6" t="s">
        <v>731</v>
      </c>
      <c r="N2671" s="6" t="s">
        <v>24</v>
      </c>
      <c r="O2671" s="6" t="s">
        <v>23</v>
      </c>
    </row>
    <row r="2672" spans="1:15" x14ac:dyDescent="0.25">
      <c r="A2672" s="6" t="s">
        <v>2780</v>
      </c>
      <c r="B2672" s="6" t="s">
        <v>2779</v>
      </c>
      <c r="C2672" s="6" t="s">
        <v>31</v>
      </c>
      <c r="E2672" s="6" t="s">
        <v>2778</v>
      </c>
      <c r="F2672" s="6" t="s">
        <v>2777</v>
      </c>
      <c r="G2672" s="6" t="s">
        <v>16</v>
      </c>
      <c r="H2672" s="6" t="s">
        <v>28</v>
      </c>
      <c r="I2672" s="6" t="s">
        <v>60</v>
      </c>
      <c r="J2672" s="6" t="s">
        <v>132</v>
      </c>
      <c r="K2672" s="7">
        <v>29.536957000000001</v>
      </c>
      <c r="L2672" s="7">
        <v>-95.551197000000002</v>
      </c>
      <c r="M2672" s="6" t="s">
        <v>616</v>
      </c>
      <c r="N2672" s="6" t="s">
        <v>23</v>
      </c>
      <c r="O2672" s="6" t="s">
        <v>23</v>
      </c>
    </row>
    <row r="2673" spans="1:15" x14ac:dyDescent="0.25">
      <c r="A2673" s="6" t="s">
        <v>9475</v>
      </c>
      <c r="B2673" s="6" t="s">
        <v>9474</v>
      </c>
      <c r="C2673" s="6" t="s">
        <v>31</v>
      </c>
      <c r="E2673" s="6" t="s">
        <v>9473</v>
      </c>
      <c r="F2673" s="6" t="s">
        <v>9472</v>
      </c>
      <c r="G2673" s="6" t="s">
        <v>16</v>
      </c>
      <c r="H2673" s="6" t="s">
        <v>28</v>
      </c>
      <c r="I2673" s="6" t="s">
        <v>27</v>
      </c>
      <c r="J2673" s="6" t="s">
        <v>168</v>
      </c>
      <c r="K2673" s="7">
        <v>33.054243</v>
      </c>
      <c r="L2673" s="7">
        <v>-97.241888000000003</v>
      </c>
      <c r="M2673" s="6" t="s">
        <v>156</v>
      </c>
      <c r="N2673" s="6" t="s">
        <v>102</v>
      </c>
      <c r="O2673" s="6" t="s">
        <v>42</v>
      </c>
    </row>
    <row r="2674" spans="1:15" x14ac:dyDescent="0.25">
      <c r="A2674" s="6" t="s">
        <v>10048</v>
      </c>
      <c r="B2674" s="6" t="s">
        <v>10047</v>
      </c>
      <c r="C2674" s="6" t="s">
        <v>31</v>
      </c>
      <c r="E2674" s="6" t="s">
        <v>10046</v>
      </c>
      <c r="F2674" s="6" t="s">
        <v>10045</v>
      </c>
      <c r="G2674" s="6" t="s">
        <v>16</v>
      </c>
      <c r="H2674" s="6" t="s">
        <v>430</v>
      </c>
      <c r="I2674" s="6" t="s">
        <v>60</v>
      </c>
      <c r="J2674" s="6" t="s">
        <v>35</v>
      </c>
      <c r="K2674" s="7">
        <v>29.680795</v>
      </c>
      <c r="L2674" s="7">
        <v>-95.318123999999997</v>
      </c>
      <c r="M2674" s="6" t="s">
        <v>866</v>
      </c>
      <c r="N2674" s="6" t="s">
        <v>24</v>
      </c>
      <c r="O2674" s="6" t="s">
        <v>23</v>
      </c>
    </row>
    <row r="2675" spans="1:15" x14ac:dyDescent="0.25">
      <c r="A2675" s="6" t="s">
        <v>2772</v>
      </c>
      <c r="B2675" s="6" t="s">
        <v>2771</v>
      </c>
      <c r="C2675" s="6" t="s">
        <v>31</v>
      </c>
      <c r="E2675" s="6" t="s">
        <v>2770</v>
      </c>
      <c r="F2675" s="6" t="s">
        <v>2769</v>
      </c>
      <c r="G2675" s="6" t="s">
        <v>16</v>
      </c>
      <c r="H2675" s="6" t="s">
        <v>28</v>
      </c>
      <c r="I2675" s="6" t="s">
        <v>60</v>
      </c>
      <c r="J2675" s="6" t="s">
        <v>2768</v>
      </c>
      <c r="K2675" s="7">
        <v>32.495772729999999</v>
      </c>
      <c r="L2675" s="7">
        <v>-97.193384899999998</v>
      </c>
      <c r="M2675" s="6" t="s">
        <v>1287</v>
      </c>
      <c r="N2675" s="6" t="s">
        <v>102</v>
      </c>
      <c r="O2675" s="6" t="s">
        <v>42</v>
      </c>
    </row>
    <row r="2676" spans="1:15" x14ac:dyDescent="0.25">
      <c r="A2676" s="6" t="s">
        <v>2767</v>
      </c>
      <c r="B2676" s="6" t="s">
        <v>2766</v>
      </c>
      <c r="C2676" s="6" t="s">
        <v>31</v>
      </c>
      <c r="E2676" s="6" t="s">
        <v>2765</v>
      </c>
      <c r="F2676" s="6" t="s">
        <v>2764</v>
      </c>
      <c r="G2676" s="6" t="s">
        <v>16</v>
      </c>
      <c r="H2676" s="6" t="s">
        <v>28</v>
      </c>
      <c r="I2676" s="6" t="s">
        <v>60</v>
      </c>
      <c r="J2676" s="6" t="s">
        <v>2137</v>
      </c>
      <c r="K2676" s="7">
        <v>30.030217</v>
      </c>
      <c r="L2676" s="7">
        <v>-97.680556999999993</v>
      </c>
      <c r="M2676" s="6" t="s">
        <v>455</v>
      </c>
      <c r="N2676" s="6" t="s">
        <v>10</v>
      </c>
      <c r="O2676" s="6" t="s">
        <v>160</v>
      </c>
    </row>
    <row r="2677" spans="1:15" x14ac:dyDescent="0.25">
      <c r="A2677" s="6" t="s">
        <v>1163</v>
      </c>
      <c r="B2677" s="6" t="s">
        <v>1162</v>
      </c>
      <c r="C2677" s="6" t="s">
        <v>31</v>
      </c>
      <c r="E2677" s="6" t="s">
        <v>1161</v>
      </c>
      <c r="F2677" s="6" t="s">
        <v>1160</v>
      </c>
      <c r="G2677" s="6" t="s">
        <v>16</v>
      </c>
      <c r="H2677" s="6" t="s">
        <v>15</v>
      </c>
      <c r="I2677" s="6" t="s">
        <v>27</v>
      </c>
      <c r="J2677" s="6" t="s">
        <v>537</v>
      </c>
      <c r="K2677" s="7">
        <v>35.203944249999999</v>
      </c>
      <c r="L2677" s="7">
        <v>-101.76091264999999</v>
      </c>
      <c r="M2677" s="6" t="s">
        <v>536</v>
      </c>
      <c r="N2677" s="6" t="s">
        <v>43</v>
      </c>
      <c r="O2677" s="6" t="s">
        <v>535</v>
      </c>
    </row>
    <row r="2678" spans="1:15" x14ac:dyDescent="0.25">
      <c r="A2678" s="6" t="s">
        <v>2763</v>
      </c>
      <c r="B2678" s="6" t="s">
        <v>2762</v>
      </c>
      <c r="C2678" s="6" t="s">
        <v>31</v>
      </c>
      <c r="E2678" s="6" t="s">
        <v>2761</v>
      </c>
      <c r="F2678" s="6" t="s">
        <v>895</v>
      </c>
      <c r="G2678" s="6" t="s">
        <v>16</v>
      </c>
      <c r="H2678" s="6" t="s">
        <v>28</v>
      </c>
      <c r="I2678" s="6" t="s">
        <v>60</v>
      </c>
      <c r="J2678" s="6" t="s">
        <v>35</v>
      </c>
      <c r="K2678" s="7">
        <v>30.012155</v>
      </c>
      <c r="L2678" s="7">
        <v>-95.409600999999995</v>
      </c>
      <c r="M2678" s="6" t="s">
        <v>279</v>
      </c>
      <c r="N2678" s="6" t="s">
        <v>24</v>
      </c>
      <c r="O2678" s="6" t="s">
        <v>23</v>
      </c>
    </row>
    <row r="2679" spans="1:15" x14ac:dyDescent="0.25">
      <c r="A2679" s="6" t="s">
        <v>10044</v>
      </c>
      <c r="B2679" s="6" t="s">
        <v>2118</v>
      </c>
      <c r="C2679" s="6" t="s">
        <v>31</v>
      </c>
      <c r="E2679" s="6" t="s">
        <v>2117</v>
      </c>
      <c r="F2679" s="6" t="s">
        <v>2116</v>
      </c>
      <c r="G2679" s="6" t="s">
        <v>16</v>
      </c>
      <c r="H2679" s="6" t="s">
        <v>15</v>
      </c>
      <c r="I2679" s="6" t="s">
        <v>36</v>
      </c>
      <c r="J2679" s="6" t="s">
        <v>97</v>
      </c>
      <c r="K2679" s="7">
        <v>33.635278839999998</v>
      </c>
      <c r="L2679" s="7">
        <v>-95.584726950000004</v>
      </c>
      <c r="M2679" s="6" t="s">
        <v>2115</v>
      </c>
      <c r="N2679" s="6" t="s">
        <v>95</v>
      </c>
      <c r="O2679" s="6" t="s">
        <v>65</v>
      </c>
    </row>
    <row r="2680" spans="1:15" x14ac:dyDescent="0.25">
      <c r="A2680" s="6" t="s">
        <v>2119</v>
      </c>
      <c r="B2680" s="6" t="s">
        <v>2118</v>
      </c>
      <c r="C2680" s="6" t="s">
        <v>19</v>
      </c>
      <c r="E2680" s="6" t="s">
        <v>2117</v>
      </c>
      <c r="F2680" s="6" t="s">
        <v>2116</v>
      </c>
      <c r="G2680" s="6" t="s">
        <v>16</v>
      </c>
      <c r="H2680" s="6" t="s">
        <v>15</v>
      </c>
      <c r="I2680" s="6" t="s">
        <v>36</v>
      </c>
      <c r="J2680" s="6" t="s">
        <v>97</v>
      </c>
      <c r="K2680" s="7">
        <v>33.632780990000001</v>
      </c>
      <c r="L2680" s="7">
        <v>-95.587221200000002</v>
      </c>
      <c r="M2680" s="6" t="s">
        <v>2115</v>
      </c>
      <c r="N2680" s="6" t="s">
        <v>95</v>
      </c>
      <c r="O2680" s="6" t="s">
        <v>65</v>
      </c>
    </row>
    <row r="2681" spans="1:15" x14ac:dyDescent="0.25">
      <c r="A2681" s="6" t="s">
        <v>10043</v>
      </c>
      <c r="B2681" s="6" t="s">
        <v>10042</v>
      </c>
      <c r="C2681" s="6" t="s">
        <v>31</v>
      </c>
      <c r="E2681" s="6" t="s">
        <v>10041</v>
      </c>
      <c r="F2681" s="6" t="s">
        <v>10040</v>
      </c>
      <c r="G2681" s="6" t="s">
        <v>16</v>
      </c>
      <c r="H2681" s="6" t="s">
        <v>3460</v>
      </c>
      <c r="I2681" s="6" t="s">
        <v>14</v>
      </c>
      <c r="J2681" s="6" t="s">
        <v>35</v>
      </c>
      <c r="K2681" s="7">
        <v>29.833632550000001</v>
      </c>
      <c r="L2681" s="7">
        <v>-95.230414499999995</v>
      </c>
      <c r="M2681" s="6" t="s">
        <v>34</v>
      </c>
      <c r="N2681" s="6" t="s">
        <v>24</v>
      </c>
      <c r="O2681" s="6" t="s">
        <v>23</v>
      </c>
    </row>
    <row r="2682" spans="1:15" x14ac:dyDescent="0.25">
      <c r="A2682" s="6" t="s">
        <v>10423</v>
      </c>
      <c r="B2682" s="6" t="s">
        <v>10042</v>
      </c>
      <c r="C2682" s="6" t="s">
        <v>19</v>
      </c>
      <c r="E2682" s="6" t="s">
        <v>10041</v>
      </c>
      <c r="F2682" s="6" t="s">
        <v>10040</v>
      </c>
      <c r="G2682" s="6" t="s">
        <v>16</v>
      </c>
      <c r="H2682" s="6" t="s">
        <v>3460</v>
      </c>
      <c r="I2682" s="6" t="s">
        <v>14</v>
      </c>
      <c r="J2682" s="6" t="s">
        <v>35</v>
      </c>
      <c r="K2682" s="7">
        <v>29.832973899999999</v>
      </c>
      <c r="L2682" s="7">
        <v>-95.230422489999995</v>
      </c>
      <c r="M2682" s="6" t="s">
        <v>34</v>
      </c>
      <c r="N2682" s="6" t="s">
        <v>24</v>
      </c>
      <c r="O2682" s="6" t="s">
        <v>23</v>
      </c>
    </row>
    <row r="2683" spans="1:15" x14ac:dyDescent="0.25">
      <c r="A2683" s="6" t="s">
        <v>4459</v>
      </c>
      <c r="B2683" s="6" t="s">
        <v>4458</v>
      </c>
      <c r="C2683" s="6" t="s">
        <v>31</v>
      </c>
      <c r="E2683" s="6" t="s">
        <v>4457</v>
      </c>
      <c r="F2683" s="6" t="s">
        <v>4456</v>
      </c>
      <c r="G2683" s="6" t="s">
        <v>16</v>
      </c>
      <c r="H2683" s="6" t="s">
        <v>28</v>
      </c>
      <c r="I2683" s="6" t="s">
        <v>27</v>
      </c>
      <c r="J2683" s="6" t="s">
        <v>4455</v>
      </c>
      <c r="K2683" s="7">
        <v>30.592701000000002</v>
      </c>
      <c r="L2683" s="7">
        <v>-96.966373000000004</v>
      </c>
      <c r="M2683" s="6" t="s">
        <v>589</v>
      </c>
      <c r="N2683" s="6" t="s">
        <v>23</v>
      </c>
      <c r="O2683" s="6" t="s">
        <v>120</v>
      </c>
    </row>
    <row r="2684" spans="1:15" x14ac:dyDescent="0.25">
      <c r="A2684" s="6" t="s">
        <v>10422</v>
      </c>
      <c r="B2684" s="6" t="s">
        <v>10420</v>
      </c>
      <c r="C2684" s="6" t="s">
        <v>31</v>
      </c>
      <c r="E2684" s="6" t="s">
        <v>10419</v>
      </c>
      <c r="F2684" s="6" t="s">
        <v>10418</v>
      </c>
      <c r="G2684" s="6" t="s">
        <v>16</v>
      </c>
      <c r="H2684" s="6" t="s">
        <v>430</v>
      </c>
      <c r="I2684" s="6" t="s">
        <v>14</v>
      </c>
      <c r="J2684" s="6" t="s">
        <v>385</v>
      </c>
      <c r="K2684" s="7">
        <v>29.954959469999999</v>
      </c>
      <c r="L2684" s="7">
        <v>-93.880890249999993</v>
      </c>
      <c r="M2684" s="6" t="s">
        <v>610</v>
      </c>
      <c r="N2684" s="6" t="s">
        <v>52</v>
      </c>
      <c r="O2684" s="6" t="s">
        <v>24</v>
      </c>
    </row>
    <row r="2685" spans="1:15" x14ac:dyDescent="0.25">
      <c r="A2685" s="6" t="s">
        <v>10421</v>
      </c>
      <c r="B2685" s="6" t="s">
        <v>10420</v>
      </c>
      <c r="C2685" s="6" t="s">
        <v>19</v>
      </c>
      <c r="E2685" s="6" t="s">
        <v>10419</v>
      </c>
      <c r="F2685" s="6" t="s">
        <v>10418</v>
      </c>
      <c r="G2685" s="6" t="s">
        <v>16</v>
      </c>
      <c r="H2685" s="6" t="s">
        <v>15</v>
      </c>
      <c r="I2685" s="6" t="s">
        <v>14</v>
      </c>
      <c r="J2685" s="6" t="s">
        <v>385</v>
      </c>
      <c r="K2685" s="7">
        <v>29.98022254</v>
      </c>
      <c r="L2685" s="7">
        <v>-93.879315090000006</v>
      </c>
      <c r="M2685" s="6" t="s">
        <v>429</v>
      </c>
      <c r="N2685" s="6" t="s">
        <v>52</v>
      </c>
      <c r="O2685" s="6" t="s">
        <v>24</v>
      </c>
    </row>
    <row r="2686" spans="1:15" x14ac:dyDescent="0.25">
      <c r="A2686" s="6" t="s">
        <v>4454</v>
      </c>
      <c r="B2686" s="6" t="s">
        <v>4453</v>
      </c>
      <c r="C2686" s="6" t="s">
        <v>31</v>
      </c>
      <c r="E2686" s="6" t="s">
        <v>4452</v>
      </c>
      <c r="F2686" s="6" t="s">
        <v>4451</v>
      </c>
      <c r="G2686" s="6" t="s">
        <v>16</v>
      </c>
      <c r="H2686" s="6" t="s">
        <v>28</v>
      </c>
      <c r="I2686" s="6" t="s">
        <v>73</v>
      </c>
      <c r="J2686" s="6" t="s">
        <v>4377</v>
      </c>
      <c r="K2686" s="7">
        <v>28.269739000000001</v>
      </c>
      <c r="L2686" s="7">
        <v>-97.677726000000007</v>
      </c>
      <c r="M2686" s="6" t="s">
        <v>4376</v>
      </c>
      <c r="N2686" s="6" t="s">
        <v>137</v>
      </c>
      <c r="O2686" s="6" t="s">
        <v>10</v>
      </c>
    </row>
    <row r="2687" spans="1:15" x14ac:dyDescent="0.25">
      <c r="A2687" s="6" t="s">
        <v>9838</v>
      </c>
      <c r="B2687" s="6" t="s">
        <v>9837</v>
      </c>
      <c r="C2687" s="6" t="s">
        <v>31</v>
      </c>
      <c r="E2687" s="6" t="s">
        <v>9836</v>
      </c>
      <c r="F2687" s="6" t="s">
        <v>9835</v>
      </c>
      <c r="G2687" s="6" t="s">
        <v>16</v>
      </c>
      <c r="H2687" s="6" t="s">
        <v>28</v>
      </c>
      <c r="I2687" s="6" t="s">
        <v>73</v>
      </c>
      <c r="J2687" s="6" t="s">
        <v>54</v>
      </c>
      <c r="K2687" s="7">
        <v>30.943911</v>
      </c>
      <c r="L2687" s="7">
        <v>-95.254786999999993</v>
      </c>
      <c r="M2687" s="6" t="s">
        <v>317</v>
      </c>
      <c r="N2687" s="6" t="s">
        <v>102</v>
      </c>
      <c r="O2687" s="6" t="s">
        <v>24</v>
      </c>
    </row>
    <row r="2688" spans="1:15" x14ac:dyDescent="0.25">
      <c r="A2688" s="6" t="s">
        <v>10417</v>
      </c>
      <c r="B2688" s="6" t="s">
        <v>10416</v>
      </c>
      <c r="C2688" s="6" t="s">
        <v>31</v>
      </c>
      <c r="E2688" s="6" t="s">
        <v>10415</v>
      </c>
      <c r="F2688" s="6" t="s">
        <v>10414</v>
      </c>
      <c r="G2688" s="6" t="s">
        <v>16</v>
      </c>
      <c r="H2688" s="6" t="s">
        <v>15</v>
      </c>
      <c r="I2688" s="6" t="s">
        <v>27</v>
      </c>
      <c r="J2688" s="6" t="s">
        <v>480</v>
      </c>
      <c r="K2688" s="7">
        <v>26.340879269999999</v>
      </c>
      <c r="L2688" s="7">
        <v>-98.183894330000001</v>
      </c>
      <c r="M2688" s="6" t="s">
        <v>89</v>
      </c>
      <c r="N2688" s="6" t="s">
        <v>11</v>
      </c>
      <c r="O2688" s="6" t="s">
        <v>22</v>
      </c>
    </row>
    <row r="2689" spans="1:15" x14ac:dyDescent="0.25">
      <c r="A2689" s="6" t="s">
        <v>2802</v>
      </c>
      <c r="B2689" s="6" t="s">
        <v>2801</v>
      </c>
      <c r="C2689" s="6" t="s">
        <v>31</v>
      </c>
      <c r="E2689" s="6" t="s">
        <v>2800</v>
      </c>
      <c r="F2689" s="6" t="s">
        <v>2799</v>
      </c>
      <c r="G2689" s="6" t="s">
        <v>16</v>
      </c>
      <c r="H2689" s="6" t="s">
        <v>28</v>
      </c>
      <c r="I2689" s="6" t="s">
        <v>36</v>
      </c>
      <c r="J2689" s="6" t="s">
        <v>35</v>
      </c>
      <c r="K2689" s="7">
        <v>29.905737269999999</v>
      </c>
      <c r="L2689" s="7">
        <v>-95.504034450000006</v>
      </c>
      <c r="M2689" s="6" t="s">
        <v>77</v>
      </c>
      <c r="N2689" s="6" t="s">
        <v>24</v>
      </c>
      <c r="O2689" s="6" t="s">
        <v>23</v>
      </c>
    </row>
    <row r="2690" spans="1:15" x14ac:dyDescent="0.25">
      <c r="A2690" s="6" t="s">
        <v>5220</v>
      </c>
      <c r="B2690" s="6" t="s">
        <v>5219</v>
      </c>
      <c r="C2690" s="6" t="s">
        <v>31</v>
      </c>
      <c r="E2690" s="6" t="s">
        <v>5218</v>
      </c>
      <c r="F2690" s="6" t="s">
        <v>5217</v>
      </c>
      <c r="G2690" s="6" t="s">
        <v>16</v>
      </c>
      <c r="H2690" s="6" t="s">
        <v>15</v>
      </c>
      <c r="I2690" s="6" t="s">
        <v>14</v>
      </c>
      <c r="J2690" s="6" t="s">
        <v>215</v>
      </c>
      <c r="K2690" s="7">
        <v>29.41756037</v>
      </c>
      <c r="L2690" s="7">
        <v>-95.194221729999995</v>
      </c>
      <c r="M2690" s="6" t="s">
        <v>3768</v>
      </c>
      <c r="N2690" s="6" t="s">
        <v>160</v>
      </c>
      <c r="O2690" s="6" t="s">
        <v>23</v>
      </c>
    </row>
    <row r="2691" spans="1:15" x14ac:dyDescent="0.25">
      <c r="A2691" s="6" t="s">
        <v>6071</v>
      </c>
      <c r="B2691" s="6" t="s">
        <v>6070</v>
      </c>
      <c r="C2691" s="6" t="s">
        <v>31</v>
      </c>
      <c r="E2691" s="6" t="s">
        <v>6069</v>
      </c>
      <c r="F2691" s="6" t="s">
        <v>6068</v>
      </c>
      <c r="G2691" s="6" t="s">
        <v>16</v>
      </c>
      <c r="H2691" s="6" t="s">
        <v>15</v>
      </c>
      <c r="I2691" s="6" t="s">
        <v>14</v>
      </c>
      <c r="J2691" s="6" t="s">
        <v>753</v>
      </c>
      <c r="K2691" s="7">
        <v>29.96816553</v>
      </c>
      <c r="L2691" s="7">
        <v>-97.833018620000004</v>
      </c>
      <c r="M2691" s="6" t="s">
        <v>752</v>
      </c>
      <c r="N2691" s="6" t="s">
        <v>559</v>
      </c>
      <c r="O2691" s="6" t="s">
        <v>160</v>
      </c>
    </row>
    <row r="2692" spans="1:15" x14ac:dyDescent="0.25">
      <c r="A2692" s="6" t="s">
        <v>4450</v>
      </c>
      <c r="B2692" s="6" t="s">
        <v>4449</v>
      </c>
      <c r="C2692" s="6" t="s">
        <v>31</v>
      </c>
      <c r="E2692" s="6" t="s">
        <v>4448</v>
      </c>
      <c r="F2692" s="6" t="s">
        <v>4447</v>
      </c>
      <c r="G2692" s="6" t="s">
        <v>16</v>
      </c>
      <c r="H2692" s="6" t="s">
        <v>28</v>
      </c>
      <c r="I2692" s="6" t="s">
        <v>60</v>
      </c>
      <c r="J2692" s="6" t="s">
        <v>215</v>
      </c>
      <c r="K2692" s="7">
        <v>29.319125</v>
      </c>
      <c r="L2692" s="7">
        <v>-94.795196000000004</v>
      </c>
      <c r="M2692" s="6" t="s">
        <v>496</v>
      </c>
      <c r="N2692" s="6" t="s">
        <v>160</v>
      </c>
      <c r="O2692" s="6" t="s">
        <v>23</v>
      </c>
    </row>
    <row r="2693" spans="1:15" x14ac:dyDescent="0.25">
      <c r="A2693" s="6" t="s">
        <v>4446</v>
      </c>
      <c r="B2693" s="6" t="s">
        <v>4445</v>
      </c>
      <c r="C2693" s="6" t="s">
        <v>31</v>
      </c>
      <c r="E2693" s="6" t="s">
        <v>4444</v>
      </c>
      <c r="F2693" s="6" t="s">
        <v>895</v>
      </c>
      <c r="G2693" s="6" t="s">
        <v>16</v>
      </c>
      <c r="H2693" s="6" t="s">
        <v>28</v>
      </c>
      <c r="I2693" s="6" t="s">
        <v>60</v>
      </c>
      <c r="J2693" s="6" t="s">
        <v>26</v>
      </c>
      <c r="K2693" s="7">
        <v>30.359787000000001</v>
      </c>
      <c r="L2693" s="7">
        <v>-95.545680000000004</v>
      </c>
      <c r="M2693" s="6" t="s">
        <v>1022</v>
      </c>
      <c r="N2693" s="6" t="s">
        <v>24</v>
      </c>
      <c r="O2693" s="6" t="s">
        <v>23</v>
      </c>
    </row>
    <row r="2694" spans="1:15" x14ac:dyDescent="0.25">
      <c r="A2694" s="6" t="s">
        <v>2784</v>
      </c>
      <c r="B2694" s="6" t="s">
        <v>2783</v>
      </c>
      <c r="C2694" s="6" t="s">
        <v>31</v>
      </c>
      <c r="E2694" s="6" t="s">
        <v>2782</v>
      </c>
      <c r="F2694" s="6" t="s">
        <v>2781</v>
      </c>
      <c r="G2694" s="6" t="s">
        <v>16</v>
      </c>
      <c r="H2694" s="6" t="s">
        <v>28</v>
      </c>
      <c r="I2694" s="6" t="s">
        <v>73</v>
      </c>
      <c r="J2694" s="6" t="s">
        <v>67</v>
      </c>
      <c r="K2694" s="7">
        <v>32.331763000000002</v>
      </c>
      <c r="L2694" s="7">
        <v>-95.243571000000003</v>
      </c>
      <c r="M2694" s="6" t="s">
        <v>423</v>
      </c>
      <c r="N2694" s="6" t="s">
        <v>65</v>
      </c>
      <c r="O2694" s="6" t="s">
        <v>65</v>
      </c>
    </row>
    <row r="2695" spans="1:15" x14ac:dyDescent="0.25">
      <c r="A2695" s="6" t="s">
        <v>4391</v>
      </c>
      <c r="B2695" s="6" t="s">
        <v>4390</v>
      </c>
      <c r="C2695" s="6" t="s">
        <v>31</v>
      </c>
      <c r="E2695" s="6" t="s">
        <v>4389</v>
      </c>
      <c r="F2695" s="6" t="s">
        <v>4388</v>
      </c>
      <c r="G2695" s="6" t="s">
        <v>16</v>
      </c>
      <c r="H2695" s="6" t="s">
        <v>15</v>
      </c>
      <c r="I2695" s="6" t="s">
        <v>14</v>
      </c>
      <c r="J2695" s="6" t="s">
        <v>132</v>
      </c>
      <c r="K2695" s="7">
        <v>29.48696807</v>
      </c>
      <c r="L2695" s="7">
        <v>-95.516151960000002</v>
      </c>
      <c r="M2695" s="6" t="s">
        <v>4387</v>
      </c>
      <c r="N2695" s="6" t="s">
        <v>23</v>
      </c>
      <c r="O2695" s="6" t="s">
        <v>23</v>
      </c>
    </row>
    <row r="2696" spans="1:15" x14ac:dyDescent="0.25">
      <c r="A2696" s="6" t="s">
        <v>9809</v>
      </c>
      <c r="B2696" s="6" t="s">
        <v>9808</v>
      </c>
      <c r="C2696" s="6" t="s">
        <v>31</v>
      </c>
      <c r="E2696" s="6" t="s">
        <v>9807</v>
      </c>
      <c r="F2696" s="6" t="s">
        <v>895</v>
      </c>
      <c r="G2696" s="6" t="s">
        <v>16</v>
      </c>
      <c r="H2696" s="6" t="s">
        <v>28</v>
      </c>
      <c r="I2696" s="6" t="s">
        <v>60</v>
      </c>
      <c r="J2696" s="6" t="s">
        <v>162</v>
      </c>
      <c r="K2696" s="7">
        <v>29.366531999999999</v>
      </c>
      <c r="L2696" s="7">
        <v>-95.424858999999998</v>
      </c>
      <c r="M2696" s="6" t="s">
        <v>161</v>
      </c>
      <c r="N2696" s="6" t="s">
        <v>160</v>
      </c>
      <c r="O2696" s="6" t="s">
        <v>23</v>
      </c>
    </row>
    <row r="2697" spans="1:15" x14ac:dyDescent="0.25">
      <c r="A2697" s="6" t="s">
        <v>4386</v>
      </c>
      <c r="B2697" s="6" t="s">
        <v>4385</v>
      </c>
      <c r="C2697" s="6" t="s">
        <v>31</v>
      </c>
      <c r="E2697" s="6" t="s">
        <v>4384</v>
      </c>
      <c r="F2697" s="6" t="s">
        <v>4383</v>
      </c>
      <c r="G2697" s="6" t="s">
        <v>16</v>
      </c>
      <c r="H2697" s="6" t="s">
        <v>28</v>
      </c>
      <c r="I2697" s="6" t="s">
        <v>73</v>
      </c>
      <c r="J2697" s="6" t="s">
        <v>139</v>
      </c>
      <c r="K2697" s="7">
        <v>28.088360179999999</v>
      </c>
      <c r="L2697" s="7">
        <v>-97.559869660000004</v>
      </c>
      <c r="M2697" s="6" t="s">
        <v>4382</v>
      </c>
      <c r="N2697" s="6" t="s">
        <v>137</v>
      </c>
      <c r="O2697" s="6" t="s">
        <v>10</v>
      </c>
    </row>
    <row r="2698" spans="1:15" x14ac:dyDescent="0.25">
      <c r="A2698" s="6" t="s">
        <v>4394</v>
      </c>
      <c r="B2698" s="6" t="s">
        <v>4393</v>
      </c>
      <c r="C2698" s="6" t="s">
        <v>31</v>
      </c>
      <c r="E2698" s="6" t="s">
        <v>4392</v>
      </c>
      <c r="F2698" s="6" t="s">
        <v>895</v>
      </c>
      <c r="G2698" s="6" t="s">
        <v>16</v>
      </c>
      <c r="H2698" s="6" t="s">
        <v>28</v>
      </c>
      <c r="I2698" s="6" t="s">
        <v>27</v>
      </c>
      <c r="J2698" s="6" t="s">
        <v>35</v>
      </c>
      <c r="K2698" s="7">
        <v>29.862392459999999</v>
      </c>
      <c r="L2698" s="7">
        <v>-95.578295740000002</v>
      </c>
      <c r="M2698" s="6" t="s">
        <v>131</v>
      </c>
      <c r="N2698" s="6" t="s">
        <v>24</v>
      </c>
      <c r="O2698" s="6" t="s">
        <v>23</v>
      </c>
    </row>
    <row r="2699" spans="1:15" x14ac:dyDescent="0.25">
      <c r="A2699" s="6" t="s">
        <v>10413</v>
      </c>
      <c r="B2699" s="6" t="s">
        <v>10412</v>
      </c>
      <c r="C2699" s="6" t="s">
        <v>31</v>
      </c>
      <c r="E2699" s="6" t="s">
        <v>10411</v>
      </c>
      <c r="F2699" s="6" t="s">
        <v>10410</v>
      </c>
      <c r="G2699" s="6" t="s">
        <v>16</v>
      </c>
      <c r="H2699" s="6" t="s">
        <v>15</v>
      </c>
      <c r="I2699" s="6" t="s">
        <v>14</v>
      </c>
      <c r="J2699" s="6" t="s">
        <v>2891</v>
      </c>
      <c r="K2699" s="7">
        <v>28.829416200000001</v>
      </c>
      <c r="L2699" s="7">
        <v>-100.55232669</v>
      </c>
      <c r="M2699" s="6" t="s">
        <v>511</v>
      </c>
      <c r="N2699" s="6" t="s">
        <v>373</v>
      </c>
      <c r="O2699" s="6" t="s">
        <v>510</v>
      </c>
    </row>
    <row r="2700" spans="1:15" x14ac:dyDescent="0.25">
      <c r="A2700" s="6" t="s">
        <v>4375</v>
      </c>
      <c r="B2700" s="6" t="s">
        <v>4374</v>
      </c>
      <c r="C2700" s="6" t="s">
        <v>31</v>
      </c>
      <c r="E2700" s="6" t="s">
        <v>4373</v>
      </c>
      <c r="F2700" s="6" t="s">
        <v>4372</v>
      </c>
      <c r="G2700" s="6" t="s">
        <v>16</v>
      </c>
      <c r="H2700" s="6" t="s">
        <v>28</v>
      </c>
      <c r="I2700" s="6" t="s">
        <v>1200</v>
      </c>
      <c r="J2700" s="6" t="s">
        <v>26</v>
      </c>
      <c r="K2700" s="7">
        <v>30.17361</v>
      </c>
      <c r="L2700" s="7">
        <v>-95.605655999999996</v>
      </c>
      <c r="M2700" s="6" t="s">
        <v>731</v>
      </c>
      <c r="N2700" s="6" t="s">
        <v>24</v>
      </c>
      <c r="O2700" s="6" t="s">
        <v>23</v>
      </c>
    </row>
    <row r="2701" spans="1:15" x14ac:dyDescent="0.25">
      <c r="A2701" s="6" t="s">
        <v>4381</v>
      </c>
      <c r="B2701" s="6" t="s">
        <v>4380</v>
      </c>
      <c r="C2701" s="6" t="s">
        <v>31</v>
      </c>
      <c r="E2701" s="6" t="s">
        <v>4379</v>
      </c>
      <c r="F2701" s="6" t="s">
        <v>4378</v>
      </c>
      <c r="G2701" s="6" t="s">
        <v>16</v>
      </c>
      <c r="H2701" s="6" t="s">
        <v>28</v>
      </c>
      <c r="I2701" s="6" t="s">
        <v>73</v>
      </c>
      <c r="J2701" s="6" t="s">
        <v>4377</v>
      </c>
      <c r="K2701" s="7">
        <v>28.172692999999999</v>
      </c>
      <c r="L2701" s="7">
        <v>-97.753040999999996</v>
      </c>
      <c r="M2701" s="6" t="s">
        <v>4376</v>
      </c>
      <c r="N2701" s="6" t="s">
        <v>137</v>
      </c>
      <c r="O2701" s="6" t="s">
        <v>10</v>
      </c>
    </row>
    <row r="2702" spans="1:15" x14ac:dyDescent="0.25">
      <c r="A2702" s="6" t="s">
        <v>11192</v>
      </c>
      <c r="B2702" s="6" t="s">
        <v>11191</v>
      </c>
      <c r="C2702" s="6" t="s">
        <v>31</v>
      </c>
      <c r="E2702" s="6" t="s">
        <v>11190</v>
      </c>
      <c r="F2702" s="6" t="s">
        <v>11189</v>
      </c>
      <c r="G2702" s="6" t="s">
        <v>16</v>
      </c>
      <c r="H2702" s="6" t="s">
        <v>28</v>
      </c>
      <c r="I2702" s="6" t="s">
        <v>27</v>
      </c>
      <c r="J2702" s="6" t="s">
        <v>35</v>
      </c>
      <c r="K2702" s="7">
        <v>29.89274</v>
      </c>
      <c r="L2702" s="7">
        <v>-95.394227000000001</v>
      </c>
      <c r="M2702" s="6" t="s">
        <v>34</v>
      </c>
      <c r="N2702" s="6" t="s">
        <v>24</v>
      </c>
      <c r="O2702" s="6" t="s">
        <v>23</v>
      </c>
    </row>
    <row r="2703" spans="1:15" x14ac:dyDescent="0.25">
      <c r="A2703" s="6" t="s">
        <v>7762</v>
      </c>
      <c r="B2703" s="6" t="s">
        <v>7761</v>
      </c>
      <c r="C2703" s="6" t="s">
        <v>31</v>
      </c>
      <c r="E2703" s="6" t="s">
        <v>7760</v>
      </c>
      <c r="F2703" s="6" t="s">
        <v>7759</v>
      </c>
      <c r="G2703" s="6" t="s">
        <v>16</v>
      </c>
      <c r="H2703" s="6" t="s">
        <v>28</v>
      </c>
      <c r="I2703" s="6" t="s">
        <v>14</v>
      </c>
      <c r="J2703" s="6" t="s">
        <v>35</v>
      </c>
      <c r="K2703" s="7">
        <v>30.131440229999999</v>
      </c>
      <c r="L2703" s="7">
        <v>-95.551283010000006</v>
      </c>
      <c r="M2703" s="6" t="s">
        <v>731</v>
      </c>
      <c r="N2703" s="6" t="s">
        <v>24</v>
      </c>
      <c r="O2703" s="6" t="s">
        <v>23</v>
      </c>
    </row>
    <row r="2704" spans="1:15" x14ac:dyDescent="0.25">
      <c r="A2704" s="6" t="s">
        <v>4371</v>
      </c>
      <c r="B2704" s="6" t="s">
        <v>4370</v>
      </c>
      <c r="C2704" s="6" t="s">
        <v>31</v>
      </c>
      <c r="E2704" s="6" t="s">
        <v>4369</v>
      </c>
      <c r="F2704" s="6" t="s">
        <v>4368</v>
      </c>
      <c r="G2704" s="6" t="s">
        <v>16</v>
      </c>
      <c r="H2704" s="6" t="s">
        <v>28</v>
      </c>
      <c r="I2704" s="6" t="s">
        <v>60</v>
      </c>
      <c r="J2704" s="6" t="s">
        <v>1013</v>
      </c>
      <c r="K2704" s="7">
        <v>31.263029</v>
      </c>
      <c r="L2704" s="7">
        <v>-94.636842999999999</v>
      </c>
      <c r="M2704" s="6" t="s">
        <v>53</v>
      </c>
      <c r="N2704" s="6" t="s">
        <v>52</v>
      </c>
      <c r="O2704" s="6" t="s">
        <v>24</v>
      </c>
    </row>
    <row r="2705" spans="1:15" x14ac:dyDescent="0.25">
      <c r="A2705" s="6" t="s">
        <v>3483</v>
      </c>
      <c r="B2705" s="6" t="s">
        <v>3482</v>
      </c>
      <c r="C2705" s="6" t="s">
        <v>31</v>
      </c>
      <c r="E2705" s="6" t="s">
        <v>3481</v>
      </c>
      <c r="F2705" s="6" t="s">
        <v>895</v>
      </c>
      <c r="G2705" s="6" t="s">
        <v>16</v>
      </c>
      <c r="H2705" s="6" t="s">
        <v>28</v>
      </c>
      <c r="I2705" s="6" t="s">
        <v>27</v>
      </c>
      <c r="J2705" s="6" t="s">
        <v>268</v>
      </c>
      <c r="K2705" s="7">
        <v>32.992505000000001</v>
      </c>
      <c r="L2705" s="7">
        <v>-97.438107000000002</v>
      </c>
      <c r="M2705" s="6" t="s">
        <v>267</v>
      </c>
      <c r="N2705" s="6" t="s">
        <v>102</v>
      </c>
      <c r="O2705" s="6" t="s">
        <v>42</v>
      </c>
    </row>
    <row r="2706" spans="1:15" x14ac:dyDescent="0.25">
      <c r="A2706" s="6" t="s">
        <v>379</v>
      </c>
      <c r="B2706" s="6" t="s">
        <v>378</v>
      </c>
      <c r="C2706" s="6" t="s">
        <v>31</v>
      </c>
      <c r="E2706" s="6" t="s">
        <v>377</v>
      </c>
      <c r="F2706" s="6" t="s">
        <v>376</v>
      </c>
      <c r="G2706" s="6" t="s">
        <v>16</v>
      </c>
      <c r="H2706" s="6" t="s">
        <v>28</v>
      </c>
      <c r="I2706" s="6" t="s">
        <v>73</v>
      </c>
      <c r="J2706" s="6" t="s">
        <v>375</v>
      </c>
      <c r="K2706" s="7">
        <v>26.404856160000001</v>
      </c>
      <c r="L2706" s="7">
        <v>-99.018144950000007</v>
      </c>
      <c r="M2706" s="6" t="s">
        <v>374</v>
      </c>
      <c r="N2706" s="6" t="s">
        <v>373</v>
      </c>
      <c r="O2706" s="6" t="s">
        <v>22</v>
      </c>
    </row>
    <row r="2707" spans="1:15" x14ac:dyDescent="0.25">
      <c r="A2707" s="6" t="s">
        <v>10409</v>
      </c>
      <c r="B2707" s="6" t="s">
        <v>10408</v>
      </c>
      <c r="C2707" s="6" t="s">
        <v>31</v>
      </c>
      <c r="E2707" s="6" t="s">
        <v>10407</v>
      </c>
      <c r="F2707" s="6" t="s">
        <v>10406</v>
      </c>
      <c r="G2707" s="6" t="s">
        <v>16</v>
      </c>
      <c r="H2707" s="6" t="s">
        <v>15</v>
      </c>
      <c r="I2707" s="6" t="s">
        <v>14</v>
      </c>
      <c r="J2707" s="6" t="s">
        <v>13</v>
      </c>
      <c r="K2707" s="7">
        <v>27.817603089999999</v>
      </c>
      <c r="L2707" s="7">
        <v>-97.428208249999997</v>
      </c>
      <c r="M2707" s="6" t="s">
        <v>12</v>
      </c>
      <c r="N2707" s="6" t="s">
        <v>11</v>
      </c>
      <c r="O2707" s="6" t="s">
        <v>10</v>
      </c>
    </row>
    <row r="2708" spans="1:15" x14ac:dyDescent="0.25">
      <c r="A2708" s="6" t="s">
        <v>7371</v>
      </c>
      <c r="B2708" s="6" t="s">
        <v>5911</v>
      </c>
      <c r="C2708" s="6" t="s">
        <v>31</v>
      </c>
      <c r="E2708" s="6" t="s">
        <v>5910</v>
      </c>
      <c r="F2708" s="6" t="s">
        <v>5909</v>
      </c>
      <c r="G2708" s="6" t="s">
        <v>16</v>
      </c>
      <c r="H2708" s="6" t="s">
        <v>28</v>
      </c>
      <c r="I2708" s="6" t="s">
        <v>14</v>
      </c>
      <c r="J2708" s="6" t="s">
        <v>5908</v>
      </c>
      <c r="K2708" s="7">
        <v>31.829870459999999</v>
      </c>
      <c r="L2708" s="7">
        <v>-99.441667519999996</v>
      </c>
      <c r="M2708" s="6" t="s">
        <v>625</v>
      </c>
      <c r="N2708" s="6" t="s">
        <v>10</v>
      </c>
      <c r="O2708" s="6" t="s">
        <v>95</v>
      </c>
    </row>
    <row r="2709" spans="1:15" x14ac:dyDescent="0.25">
      <c r="A2709" s="6" t="s">
        <v>5912</v>
      </c>
      <c r="B2709" s="6" t="s">
        <v>5911</v>
      </c>
      <c r="C2709" s="6" t="s">
        <v>19</v>
      </c>
      <c r="E2709" s="6" t="s">
        <v>5910</v>
      </c>
      <c r="F2709" s="6" t="s">
        <v>5909</v>
      </c>
      <c r="G2709" s="6" t="s">
        <v>16</v>
      </c>
      <c r="H2709" s="6" t="s">
        <v>28</v>
      </c>
      <c r="I2709" s="6" t="s">
        <v>14</v>
      </c>
      <c r="J2709" s="6" t="s">
        <v>5908</v>
      </c>
      <c r="K2709" s="7">
        <v>31.821854309999999</v>
      </c>
      <c r="L2709" s="7">
        <v>-99.442552210000002</v>
      </c>
      <c r="M2709" s="6" t="s">
        <v>625</v>
      </c>
      <c r="N2709" s="6" t="s">
        <v>10</v>
      </c>
      <c r="O2709" s="6" t="s">
        <v>95</v>
      </c>
    </row>
    <row r="2710" spans="1:15" x14ac:dyDescent="0.25">
      <c r="A2710" s="6" t="s">
        <v>5914</v>
      </c>
      <c r="B2710" s="6" t="s">
        <v>5911</v>
      </c>
      <c r="C2710" s="6" t="s">
        <v>436</v>
      </c>
      <c r="E2710" s="6" t="s">
        <v>5910</v>
      </c>
      <c r="F2710" s="6" t="s">
        <v>5909</v>
      </c>
      <c r="G2710" s="6" t="s">
        <v>16</v>
      </c>
      <c r="H2710" s="6" t="s">
        <v>28</v>
      </c>
      <c r="I2710" s="6" t="s">
        <v>14</v>
      </c>
      <c r="J2710" s="6" t="s">
        <v>5908</v>
      </c>
      <c r="K2710" s="7">
        <v>31.772769279999999</v>
      </c>
      <c r="L2710" s="7">
        <v>-99.454057359999993</v>
      </c>
      <c r="M2710" s="6" t="s">
        <v>5913</v>
      </c>
      <c r="N2710" s="6" t="s">
        <v>10</v>
      </c>
      <c r="O2710" s="6" t="s">
        <v>95</v>
      </c>
    </row>
    <row r="2711" spans="1:15" x14ac:dyDescent="0.25">
      <c r="A2711" s="6" t="s">
        <v>10405</v>
      </c>
      <c r="B2711" s="6" t="s">
        <v>10404</v>
      </c>
      <c r="C2711" s="6" t="s">
        <v>31</v>
      </c>
      <c r="E2711" s="6" t="s">
        <v>10403</v>
      </c>
      <c r="F2711" s="6" t="s">
        <v>10402</v>
      </c>
      <c r="G2711" s="6" t="s">
        <v>16</v>
      </c>
      <c r="H2711" s="6" t="s">
        <v>3460</v>
      </c>
      <c r="I2711" s="6" t="s">
        <v>46</v>
      </c>
      <c r="J2711" s="6" t="s">
        <v>471</v>
      </c>
      <c r="K2711" s="7">
        <v>32.779659000000002</v>
      </c>
      <c r="L2711" s="7">
        <v>-96.818892000000005</v>
      </c>
      <c r="M2711" s="6" t="s">
        <v>103</v>
      </c>
      <c r="N2711" s="6" t="s">
        <v>102</v>
      </c>
      <c r="O2711" s="6" t="s">
        <v>42</v>
      </c>
    </row>
    <row r="2712" spans="1:15" x14ac:dyDescent="0.25">
      <c r="A2712" s="6" t="s">
        <v>12467</v>
      </c>
      <c r="B2712" s="6" t="s">
        <v>1963</v>
      </c>
      <c r="C2712" s="6" t="s">
        <v>31</v>
      </c>
      <c r="E2712" s="6" t="s">
        <v>1962</v>
      </c>
      <c r="F2712" s="6" t="s">
        <v>1961</v>
      </c>
      <c r="G2712" s="6" t="s">
        <v>16</v>
      </c>
      <c r="H2712" s="6" t="s">
        <v>15</v>
      </c>
      <c r="I2712" s="6" t="s">
        <v>14</v>
      </c>
      <c r="J2712" s="6" t="s">
        <v>35</v>
      </c>
      <c r="K2712" s="7">
        <v>29.71184517</v>
      </c>
      <c r="L2712" s="7">
        <v>-95.069808100000003</v>
      </c>
      <c r="M2712" s="6" t="s">
        <v>599</v>
      </c>
      <c r="N2712" s="6" t="s">
        <v>24</v>
      </c>
      <c r="O2712" s="6" t="s">
        <v>23</v>
      </c>
    </row>
    <row r="2713" spans="1:15" x14ac:dyDescent="0.25">
      <c r="A2713" s="6" t="s">
        <v>12261</v>
      </c>
      <c r="B2713" s="6" t="s">
        <v>1963</v>
      </c>
      <c r="C2713" s="6" t="s">
        <v>436</v>
      </c>
      <c r="E2713" s="6" t="s">
        <v>1962</v>
      </c>
      <c r="F2713" s="6" t="s">
        <v>1961</v>
      </c>
      <c r="G2713" s="6" t="s">
        <v>16</v>
      </c>
      <c r="H2713" s="6" t="s">
        <v>15</v>
      </c>
      <c r="I2713" s="6" t="s">
        <v>14</v>
      </c>
      <c r="J2713" s="6" t="s">
        <v>35</v>
      </c>
      <c r="K2713" s="7">
        <v>29.710698069999999</v>
      </c>
      <c r="L2713" s="7">
        <v>-95.069881960000004</v>
      </c>
      <c r="M2713" s="6" t="s">
        <v>599</v>
      </c>
      <c r="N2713" s="6" t="s">
        <v>24</v>
      </c>
      <c r="O2713" s="6" t="s">
        <v>23</v>
      </c>
    </row>
    <row r="2714" spans="1:15" x14ac:dyDescent="0.25">
      <c r="A2714" s="6" t="s">
        <v>12260</v>
      </c>
      <c r="B2714" s="6" t="s">
        <v>1963</v>
      </c>
      <c r="C2714" s="6" t="s">
        <v>597</v>
      </c>
      <c r="E2714" s="6" t="s">
        <v>1962</v>
      </c>
      <c r="F2714" s="6" t="s">
        <v>1961</v>
      </c>
      <c r="G2714" s="6" t="s">
        <v>16</v>
      </c>
      <c r="H2714" s="6" t="s">
        <v>15</v>
      </c>
      <c r="I2714" s="6" t="s">
        <v>14</v>
      </c>
      <c r="J2714" s="6" t="s">
        <v>35</v>
      </c>
      <c r="K2714" s="7">
        <v>29.71166676</v>
      </c>
      <c r="L2714" s="7">
        <v>-95.062414619999998</v>
      </c>
      <c r="M2714" s="6" t="s">
        <v>599</v>
      </c>
      <c r="N2714" s="6" t="s">
        <v>24</v>
      </c>
      <c r="O2714" s="6" t="s">
        <v>23</v>
      </c>
    </row>
    <row r="2715" spans="1:15" x14ac:dyDescent="0.25">
      <c r="A2715" s="6" t="s">
        <v>12259</v>
      </c>
      <c r="B2715" s="6" t="s">
        <v>1963</v>
      </c>
      <c r="C2715" s="6" t="s">
        <v>557</v>
      </c>
      <c r="E2715" s="6" t="s">
        <v>1962</v>
      </c>
      <c r="F2715" s="6" t="s">
        <v>1961</v>
      </c>
      <c r="G2715" s="6" t="s">
        <v>16</v>
      </c>
      <c r="H2715" s="6" t="s">
        <v>15</v>
      </c>
      <c r="I2715" s="6" t="s">
        <v>14</v>
      </c>
      <c r="J2715" s="6" t="s">
        <v>35</v>
      </c>
      <c r="K2715" s="7">
        <v>29.711669279999999</v>
      </c>
      <c r="L2715" s="7">
        <v>-95.062579360000001</v>
      </c>
      <c r="M2715" s="6" t="s">
        <v>599</v>
      </c>
      <c r="N2715" s="6" t="s">
        <v>24</v>
      </c>
      <c r="O2715" s="6" t="s">
        <v>23</v>
      </c>
    </row>
    <row r="2716" spans="1:15" x14ac:dyDescent="0.25">
      <c r="A2716" s="6" t="s">
        <v>12258</v>
      </c>
      <c r="B2716" s="6" t="s">
        <v>1963</v>
      </c>
      <c r="C2716" s="6" t="s">
        <v>433</v>
      </c>
      <c r="E2716" s="6" t="s">
        <v>1962</v>
      </c>
      <c r="F2716" s="6" t="s">
        <v>1961</v>
      </c>
      <c r="G2716" s="6" t="s">
        <v>16</v>
      </c>
      <c r="H2716" s="6" t="s">
        <v>15</v>
      </c>
      <c r="I2716" s="6" t="s">
        <v>14</v>
      </c>
      <c r="J2716" s="6" t="s">
        <v>35</v>
      </c>
      <c r="K2716" s="7">
        <v>29.712244909999999</v>
      </c>
      <c r="L2716" s="7">
        <v>-95.058914259999995</v>
      </c>
      <c r="M2716" s="6" t="s">
        <v>599</v>
      </c>
      <c r="N2716" s="6" t="s">
        <v>24</v>
      </c>
      <c r="O2716" s="6" t="s">
        <v>23</v>
      </c>
    </row>
    <row r="2717" spans="1:15" x14ac:dyDescent="0.25">
      <c r="A2717" s="6" t="s">
        <v>1964</v>
      </c>
      <c r="B2717" s="6" t="s">
        <v>1963</v>
      </c>
      <c r="C2717" s="6" t="s">
        <v>1098</v>
      </c>
      <c r="E2717" s="6" t="s">
        <v>1962</v>
      </c>
      <c r="F2717" s="6" t="s">
        <v>1961</v>
      </c>
      <c r="G2717" s="6" t="s">
        <v>16</v>
      </c>
      <c r="H2717" s="6" t="s">
        <v>15</v>
      </c>
      <c r="I2717" s="6" t="s">
        <v>14</v>
      </c>
      <c r="J2717" s="6" t="s">
        <v>35</v>
      </c>
      <c r="K2717" s="7">
        <v>29.714065829999999</v>
      </c>
      <c r="L2717" s="7">
        <v>-95.064315910000005</v>
      </c>
      <c r="M2717" s="6" t="s">
        <v>599</v>
      </c>
      <c r="N2717" s="6" t="s">
        <v>24</v>
      </c>
      <c r="O2717" s="6" t="s">
        <v>23</v>
      </c>
    </row>
    <row r="2718" spans="1:15" x14ac:dyDescent="0.25">
      <c r="A2718" s="6" t="s">
        <v>3696</v>
      </c>
      <c r="B2718" s="6" t="s">
        <v>1963</v>
      </c>
      <c r="C2718" s="6" t="s">
        <v>1096</v>
      </c>
      <c r="E2718" s="6" t="s">
        <v>1962</v>
      </c>
      <c r="F2718" s="6" t="s">
        <v>1961</v>
      </c>
      <c r="G2718" s="6" t="s">
        <v>16</v>
      </c>
      <c r="H2718" s="6" t="s">
        <v>15</v>
      </c>
      <c r="I2718" s="6" t="s">
        <v>14</v>
      </c>
      <c r="J2718" s="6" t="s">
        <v>35</v>
      </c>
      <c r="K2718" s="7">
        <v>29.7155579</v>
      </c>
      <c r="L2718" s="7">
        <v>-95.063054109999996</v>
      </c>
      <c r="M2718" s="6" t="s">
        <v>599</v>
      </c>
      <c r="N2718" s="6" t="s">
        <v>24</v>
      </c>
      <c r="O2718" s="6" t="s">
        <v>23</v>
      </c>
    </row>
    <row r="2719" spans="1:15" x14ac:dyDescent="0.25">
      <c r="A2719" s="6" t="s">
        <v>2053</v>
      </c>
      <c r="B2719" s="6" t="s">
        <v>1963</v>
      </c>
      <c r="C2719" s="6" t="s">
        <v>638</v>
      </c>
      <c r="E2719" s="6" t="s">
        <v>1962</v>
      </c>
      <c r="F2719" s="6" t="s">
        <v>1961</v>
      </c>
      <c r="G2719" s="6" t="s">
        <v>284</v>
      </c>
      <c r="H2719" s="6" t="s">
        <v>15</v>
      </c>
      <c r="I2719" s="6" t="s">
        <v>14</v>
      </c>
      <c r="J2719" s="6" t="s">
        <v>35</v>
      </c>
      <c r="K2719" s="7">
        <v>29.71325087</v>
      </c>
      <c r="L2719" s="7">
        <v>-95.064918719999994</v>
      </c>
      <c r="M2719" s="6" t="s">
        <v>599</v>
      </c>
      <c r="N2719" s="6" t="s">
        <v>24</v>
      </c>
      <c r="O2719" s="6" t="s">
        <v>23</v>
      </c>
    </row>
    <row r="2720" spans="1:15" x14ac:dyDescent="0.25">
      <c r="A2720" s="6" t="s">
        <v>2054</v>
      </c>
      <c r="B2720" s="6" t="s">
        <v>1963</v>
      </c>
      <c r="C2720" s="6" t="s">
        <v>635</v>
      </c>
      <c r="E2720" s="6" t="s">
        <v>1962</v>
      </c>
      <c r="F2720" s="6" t="s">
        <v>1961</v>
      </c>
      <c r="G2720" s="6" t="s">
        <v>284</v>
      </c>
      <c r="H2720" s="6" t="s">
        <v>15</v>
      </c>
      <c r="I2720" s="6" t="s">
        <v>14</v>
      </c>
      <c r="J2720" s="6" t="s">
        <v>35</v>
      </c>
      <c r="K2720" s="7">
        <v>29.711975169999999</v>
      </c>
      <c r="L2720" s="7">
        <v>-95.056344780000003</v>
      </c>
      <c r="M2720" s="6" t="s">
        <v>599</v>
      </c>
      <c r="N2720" s="6" t="s">
        <v>24</v>
      </c>
      <c r="O2720" s="6" t="s">
        <v>23</v>
      </c>
    </row>
    <row r="2721" spans="1:15" x14ac:dyDescent="0.25">
      <c r="A2721" s="6" t="s">
        <v>8772</v>
      </c>
      <c r="B2721" s="6" t="s">
        <v>8771</v>
      </c>
      <c r="C2721" s="6" t="s">
        <v>31</v>
      </c>
      <c r="E2721" s="6" t="s">
        <v>8770</v>
      </c>
      <c r="F2721" s="6" t="s">
        <v>683</v>
      </c>
      <c r="G2721" s="6" t="s">
        <v>16</v>
      </c>
      <c r="H2721" s="6" t="s">
        <v>28</v>
      </c>
      <c r="I2721" s="6" t="s">
        <v>27</v>
      </c>
      <c r="J2721" s="6" t="s">
        <v>682</v>
      </c>
      <c r="K2721" s="7">
        <v>32.438465999999998</v>
      </c>
      <c r="L2721" s="7">
        <v>-98.981937000000002</v>
      </c>
      <c r="M2721" s="6" t="s">
        <v>681</v>
      </c>
      <c r="N2721" s="6" t="s">
        <v>23</v>
      </c>
      <c r="O2721" s="6" t="s">
        <v>95</v>
      </c>
    </row>
    <row r="2722" spans="1:15" x14ac:dyDescent="0.25">
      <c r="A2722" s="6" t="s">
        <v>11868</v>
      </c>
      <c r="B2722" s="6" t="s">
        <v>11867</v>
      </c>
      <c r="C2722" s="6" t="s">
        <v>31</v>
      </c>
      <c r="E2722" s="6" t="s">
        <v>11866</v>
      </c>
      <c r="F2722" s="6" t="s">
        <v>1366</v>
      </c>
      <c r="G2722" s="6" t="s">
        <v>16</v>
      </c>
      <c r="H2722" s="6" t="s">
        <v>28</v>
      </c>
      <c r="I2722" s="6" t="s">
        <v>46</v>
      </c>
      <c r="J2722" s="6" t="s">
        <v>168</v>
      </c>
      <c r="K2722" s="7">
        <v>33.144247640000003</v>
      </c>
      <c r="L2722" s="7">
        <v>-97.265474049999995</v>
      </c>
      <c r="M2722" s="6" t="s">
        <v>156</v>
      </c>
      <c r="N2722" s="6" t="s">
        <v>102</v>
      </c>
      <c r="O2722" s="6" t="s">
        <v>42</v>
      </c>
    </row>
    <row r="2723" spans="1:15" x14ac:dyDescent="0.25">
      <c r="A2723" s="6" t="s">
        <v>4367</v>
      </c>
      <c r="B2723" s="6" t="s">
        <v>4366</v>
      </c>
      <c r="C2723" s="6" t="s">
        <v>31</v>
      </c>
      <c r="E2723" s="6" t="s">
        <v>4365</v>
      </c>
      <c r="F2723" s="6" t="s">
        <v>4364</v>
      </c>
      <c r="G2723" s="6" t="s">
        <v>16</v>
      </c>
      <c r="H2723" s="6" t="s">
        <v>28</v>
      </c>
      <c r="I2723" s="6" t="s">
        <v>14</v>
      </c>
      <c r="J2723" s="6" t="s">
        <v>26</v>
      </c>
      <c r="K2723" s="7">
        <v>30.189927520000001</v>
      </c>
      <c r="L2723" s="7">
        <v>-95.799994089999998</v>
      </c>
      <c r="M2723" s="6" t="s">
        <v>731</v>
      </c>
      <c r="N2723" s="6" t="s">
        <v>24</v>
      </c>
      <c r="O2723" s="6" t="s">
        <v>23</v>
      </c>
    </row>
    <row r="2724" spans="1:15" x14ac:dyDescent="0.25">
      <c r="A2724" s="6" t="s">
        <v>4363</v>
      </c>
      <c r="B2724" s="6" t="s">
        <v>4362</v>
      </c>
      <c r="C2724" s="6" t="s">
        <v>31</v>
      </c>
      <c r="E2724" s="6" t="s">
        <v>4361</v>
      </c>
      <c r="F2724" s="6" t="s">
        <v>4360</v>
      </c>
      <c r="G2724" s="6" t="s">
        <v>16</v>
      </c>
      <c r="H2724" s="6" t="s">
        <v>28</v>
      </c>
      <c r="I2724" s="6" t="s">
        <v>73</v>
      </c>
      <c r="J2724" s="6" t="s">
        <v>132</v>
      </c>
      <c r="K2724" s="7">
        <v>29.75161383</v>
      </c>
      <c r="L2724" s="7">
        <v>-95.78750162</v>
      </c>
      <c r="M2724" s="6" t="s">
        <v>131</v>
      </c>
      <c r="N2724" s="6" t="s">
        <v>24</v>
      </c>
      <c r="O2724" s="6" t="s">
        <v>23</v>
      </c>
    </row>
    <row r="2725" spans="1:15" x14ac:dyDescent="0.25">
      <c r="A2725" s="6" t="s">
        <v>10401</v>
      </c>
      <c r="B2725" s="6" t="s">
        <v>10400</v>
      </c>
      <c r="C2725" s="6" t="s">
        <v>31</v>
      </c>
      <c r="E2725" s="6" t="s">
        <v>10399</v>
      </c>
      <c r="F2725" s="6" t="s">
        <v>10398</v>
      </c>
      <c r="G2725" s="6" t="s">
        <v>16</v>
      </c>
      <c r="H2725" s="6" t="s">
        <v>15</v>
      </c>
      <c r="I2725" s="6" t="s">
        <v>14</v>
      </c>
      <c r="J2725" s="6" t="s">
        <v>1209</v>
      </c>
      <c r="K2725" s="7">
        <v>31.860268000000001</v>
      </c>
      <c r="L2725" s="7">
        <v>-97.353533999999996</v>
      </c>
      <c r="M2725" s="6" t="s">
        <v>10397</v>
      </c>
      <c r="N2725" s="6" t="s">
        <v>23</v>
      </c>
      <c r="O2725" s="6" t="s">
        <v>120</v>
      </c>
    </row>
    <row r="2726" spans="1:15" x14ac:dyDescent="0.25">
      <c r="A2726" s="6" t="s">
        <v>2937</v>
      </c>
      <c r="B2726" s="6" t="s">
        <v>2936</v>
      </c>
      <c r="C2726" s="6" t="s">
        <v>31</v>
      </c>
      <c r="E2726" s="6" t="s">
        <v>2935</v>
      </c>
      <c r="F2726" s="6" t="s">
        <v>457</v>
      </c>
      <c r="G2726" s="6" t="s">
        <v>16</v>
      </c>
      <c r="H2726" s="6" t="s">
        <v>28</v>
      </c>
      <c r="I2726" s="6" t="s">
        <v>60</v>
      </c>
      <c r="J2726" s="6" t="s">
        <v>456</v>
      </c>
      <c r="K2726" s="7">
        <v>30.197714000000001</v>
      </c>
      <c r="L2726" s="7">
        <v>-97.306102999999993</v>
      </c>
      <c r="M2726" s="6" t="s">
        <v>455</v>
      </c>
      <c r="N2726" s="6" t="s">
        <v>10</v>
      </c>
      <c r="O2726" s="6" t="s">
        <v>160</v>
      </c>
    </row>
    <row r="2727" spans="1:15" x14ac:dyDescent="0.25">
      <c r="A2727" s="6" t="s">
        <v>2734</v>
      </c>
      <c r="B2727" s="6" t="s">
        <v>2733</v>
      </c>
      <c r="C2727" s="6" t="s">
        <v>31</v>
      </c>
      <c r="E2727" s="6" t="s">
        <v>2732</v>
      </c>
      <c r="F2727" s="6" t="s">
        <v>457</v>
      </c>
      <c r="G2727" s="6" t="s">
        <v>16</v>
      </c>
      <c r="H2727" s="6" t="s">
        <v>28</v>
      </c>
      <c r="I2727" s="6" t="s">
        <v>27</v>
      </c>
      <c r="J2727" s="6" t="s">
        <v>456</v>
      </c>
      <c r="K2727" s="7">
        <v>30.321996389999999</v>
      </c>
      <c r="L2727" s="7">
        <v>-97.313314899999995</v>
      </c>
      <c r="M2727" s="6" t="s">
        <v>455</v>
      </c>
      <c r="N2727" s="6" t="s">
        <v>10</v>
      </c>
      <c r="O2727" s="6" t="s">
        <v>160</v>
      </c>
    </row>
    <row r="2728" spans="1:15" x14ac:dyDescent="0.25">
      <c r="A2728" s="6" t="s">
        <v>2731</v>
      </c>
      <c r="B2728" s="6" t="s">
        <v>2730</v>
      </c>
      <c r="C2728" s="6" t="s">
        <v>31</v>
      </c>
      <c r="E2728" s="6" t="s">
        <v>2729</v>
      </c>
      <c r="F2728" s="6" t="s">
        <v>457</v>
      </c>
      <c r="G2728" s="6" t="s">
        <v>16</v>
      </c>
      <c r="H2728" s="6" t="s">
        <v>15</v>
      </c>
      <c r="I2728" s="6" t="s">
        <v>27</v>
      </c>
      <c r="J2728" s="6" t="s">
        <v>456</v>
      </c>
      <c r="K2728" s="7">
        <v>30.294143999999999</v>
      </c>
      <c r="L2728" s="7">
        <v>-97.343835999999996</v>
      </c>
      <c r="M2728" s="6" t="s">
        <v>455</v>
      </c>
      <c r="N2728" s="6" t="s">
        <v>10</v>
      </c>
      <c r="O2728" s="6" t="s">
        <v>160</v>
      </c>
    </row>
    <row r="2729" spans="1:15" x14ac:dyDescent="0.25">
      <c r="A2729" s="6" t="s">
        <v>6343</v>
      </c>
      <c r="B2729" s="6" t="s">
        <v>6342</v>
      </c>
      <c r="C2729" s="6" t="s">
        <v>31</v>
      </c>
      <c r="E2729" s="6" t="s">
        <v>6341</v>
      </c>
      <c r="F2729" s="6" t="s">
        <v>6340</v>
      </c>
      <c r="G2729" s="6" t="s">
        <v>16</v>
      </c>
      <c r="H2729" s="6" t="s">
        <v>28</v>
      </c>
      <c r="I2729" s="6" t="s">
        <v>27</v>
      </c>
      <c r="J2729" s="6" t="s">
        <v>1275</v>
      </c>
      <c r="K2729" s="7">
        <v>31.727402999999999</v>
      </c>
      <c r="L2729" s="7">
        <v>-96.119495999999998</v>
      </c>
      <c r="M2729" s="6" t="s">
        <v>1031</v>
      </c>
      <c r="N2729" s="6" t="s">
        <v>102</v>
      </c>
      <c r="O2729" s="6" t="s">
        <v>120</v>
      </c>
    </row>
    <row r="2730" spans="1:15" x14ac:dyDescent="0.25">
      <c r="A2730" s="6" t="s">
        <v>2560</v>
      </c>
      <c r="B2730" s="6" t="s">
        <v>2559</v>
      </c>
      <c r="C2730" s="6" t="s">
        <v>31</v>
      </c>
      <c r="E2730" s="6" t="s">
        <v>2558</v>
      </c>
      <c r="F2730" s="6" t="s">
        <v>2557</v>
      </c>
      <c r="G2730" s="6" t="s">
        <v>16</v>
      </c>
      <c r="H2730" s="6" t="s">
        <v>28</v>
      </c>
      <c r="I2730" s="6" t="s">
        <v>73</v>
      </c>
      <c r="J2730" s="6" t="s">
        <v>168</v>
      </c>
      <c r="K2730" s="7">
        <v>33.031770999999999</v>
      </c>
      <c r="L2730" s="7">
        <v>-97.250746000000007</v>
      </c>
      <c r="M2730" s="6" t="s">
        <v>156</v>
      </c>
      <c r="N2730" s="6" t="s">
        <v>102</v>
      </c>
      <c r="O2730" s="6" t="s">
        <v>42</v>
      </c>
    </row>
    <row r="2731" spans="1:15" x14ac:dyDescent="0.25">
      <c r="A2731" s="6" t="s">
        <v>4359</v>
      </c>
      <c r="B2731" s="6" t="s">
        <v>4358</v>
      </c>
      <c r="C2731" s="6" t="s">
        <v>31</v>
      </c>
      <c r="E2731" s="6" t="s">
        <v>4357</v>
      </c>
      <c r="F2731" s="6" t="s">
        <v>895</v>
      </c>
      <c r="G2731" s="6" t="s">
        <v>16</v>
      </c>
      <c r="H2731" s="6" t="s">
        <v>28</v>
      </c>
      <c r="I2731" s="6" t="s">
        <v>36</v>
      </c>
      <c r="J2731" s="6" t="s">
        <v>26</v>
      </c>
      <c r="K2731" s="7">
        <v>30.212308879999998</v>
      </c>
      <c r="L2731" s="7">
        <v>-95.566327360000002</v>
      </c>
      <c r="M2731" s="6" t="s">
        <v>731</v>
      </c>
      <c r="N2731" s="6" t="s">
        <v>24</v>
      </c>
      <c r="O2731" s="6" t="s">
        <v>23</v>
      </c>
    </row>
    <row r="2732" spans="1:15" x14ac:dyDescent="0.25">
      <c r="A2732" s="6" t="s">
        <v>4356</v>
      </c>
      <c r="B2732" s="6" t="s">
        <v>4355</v>
      </c>
      <c r="C2732" s="6" t="s">
        <v>31</v>
      </c>
      <c r="E2732" s="6" t="s">
        <v>4354</v>
      </c>
      <c r="F2732" s="6" t="s">
        <v>895</v>
      </c>
      <c r="G2732" s="6" t="s">
        <v>16</v>
      </c>
      <c r="H2732" s="6" t="s">
        <v>28</v>
      </c>
      <c r="I2732" s="6" t="s">
        <v>60</v>
      </c>
      <c r="J2732" s="6" t="s">
        <v>168</v>
      </c>
      <c r="K2732" s="7">
        <v>33.087991000000002</v>
      </c>
      <c r="L2732" s="7">
        <v>-97.342806999999993</v>
      </c>
      <c r="M2732" s="6" t="s">
        <v>156</v>
      </c>
      <c r="N2732" s="6" t="s">
        <v>102</v>
      </c>
      <c r="O2732" s="6" t="s">
        <v>42</v>
      </c>
    </row>
    <row r="2733" spans="1:15" x14ac:dyDescent="0.25">
      <c r="A2733" s="6" t="s">
        <v>1976</v>
      </c>
      <c r="B2733" s="6" t="s">
        <v>1975</v>
      </c>
      <c r="C2733" s="6" t="s">
        <v>31</v>
      </c>
      <c r="E2733" s="6" t="s">
        <v>1974</v>
      </c>
      <c r="F2733" s="6" t="s">
        <v>1973</v>
      </c>
      <c r="G2733" s="6" t="s">
        <v>16</v>
      </c>
      <c r="H2733" s="6" t="s">
        <v>15</v>
      </c>
      <c r="I2733" s="6" t="s">
        <v>14</v>
      </c>
      <c r="J2733" s="6" t="s">
        <v>576</v>
      </c>
      <c r="K2733" s="7">
        <v>30.624059200000001</v>
      </c>
      <c r="L2733" s="7">
        <v>-95.919916560000004</v>
      </c>
      <c r="M2733" s="6" t="s">
        <v>927</v>
      </c>
      <c r="N2733" s="6" t="s">
        <v>23</v>
      </c>
      <c r="O2733" s="6" t="s">
        <v>120</v>
      </c>
    </row>
    <row r="2734" spans="1:15" x14ac:dyDescent="0.25">
      <c r="A2734" s="6" t="s">
        <v>4353</v>
      </c>
      <c r="B2734" s="6" t="s">
        <v>4352</v>
      </c>
      <c r="C2734" s="6" t="s">
        <v>31</v>
      </c>
      <c r="E2734" s="6" t="s">
        <v>4351</v>
      </c>
      <c r="F2734" s="6" t="s">
        <v>4350</v>
      </c>
      <c r="G2734" s="6" t="s">
        <v>16</v>
      </c>
      <c r="H2734" s="6" t="s">
        <v>28</v>
      </c>
      <c r="I2734" s="6" t="s">
        <v>27</v>
      </c>
      <c r="J2734" s="6" t="s">
        <v>35</v>
      </c>
      <c r="K2734" s="7">
        <v>29.892695</v>
      </c>
      <c r="L2734" s="7">
        <v>-95.318781000000001</v>
      </c>
      <c r="M2734" s="6" t="s">
        <v>34</v>
      </c>
      <c r="N2734" s="6" t="s">
        <v>24</v>
      </c>
      <c r="O2734" s="6" t="s">
        <v>23</v>
      </c>
    </row>
    <row r="2735" spans="1:15" x14ac:dyDescent="0.25">
      <c r="A2735" s="6" t="s">
        <v>4349</v>
      </c>
      <c r="B2735" s="6" t="s">
        <v>4348</v>
      </c>
      <c r="C2735" s="6" t="s">
        <v>31</v>
      </c>
      <c r="E2735" s="6" t="s">
        <v>4347</v>
      </c>
      <c r="F2735" s="6" t="s">
        <v>895</v>
      </c>
      <c r="G2735" s="6" t="s">
        <v>16</v>
      </c>
      <c r="H2735" s="6" t="s">
        <v>28</v>
      </c>
      <c r="I2735" s="6" t="s">
        <v>27</v>
      </c>
      <c r="J2735" s="6" t="s">
        <v>312</v>
      </c>
      <c r="K2735" s="7">
        <v>32.368451999999998</v>
      </c>
      <c r="L2735" s="7">
        <v>-97.718416000000005</v>
      </c>
      <c r="M2735" s="6" t="s">
        <v>466</v>
      </c>
      <c r="N2735" s="6" t="s">
        <v>23</v>
      </c>
      <c r="O2735" s="6" t="s">
        <v>42</v>
      </c>
    </row>
    <row r="2736" spans="1:15" x14ac:dyDescent="0.25">
      <c r="A2736" s="6" t="s">
        <v>10388</v>
      </c>
      <c r="B2736" s="6" t="s">
        <v>10387</v>
      </c>
      <c r="C2736" s="6" t="s">
        <v>31</v>
      </c>
      <c r="E2736" s="6" t="s">
        <v>10386</v>
      </c>
      <c r="F2736" s="6" t="s">
        <v>10385</v>
      </c>
      <c r="G2736" s="6" t="s">
        <v>16</v>
      </c>
      <c r="H2736" s="6" t="s">
        <v>15</v>
      </c>
      <c r="I2736" s="6" t="s">
        <v>27</v>
      </c>
      <c r="J2736" s="6" t="s">
        <v>645</v>
      </c>
      <c r="K2736" s="7">
        <v>31.57409444</v>
      </c>
      <c r="L2736" s="7">
        <v>-94.654763340000002</v>
      </c>
      <c r="M2736" s="6" t="s">
        <v>203</v>
      </c>
      <c r="N2736" s="6" t="s">
        <v>52</v>
      </c>
      <c r="O2736" s="6" t="s">
        <v>24</v>
      </c>
    </row>
    <row r="2737" spans="1:15" x14ac:dyDescent="0.25">
      <c r="A2737" s="6" t="s">
        <v>5511</v>
      </c>
      <c r="B2737" s="6" t="s">
        <v>5510</v>
      </c>
      <c r="C2737" s="6" t="s">
        <v>31</v>
      </c>
      <c r="E2737" s="6" t="s">
        <v>5509</v>
      </c>
      <c r="F2737" s="6" t="s">
        <v>5508</v>
      </c>
      <c r="G2737" s="6" t="s">
        <v>16</v>
      </c>
      <c r="H2737" s="6" t="s">
        <v>28</v>
      </c>
      <c r="I2737" s="6" t="s">
        <v>73</v>
      </c>
      <c r="J2737" s="6" t="s">
        <v>424</v>
      </c>
      <c r="K2737" s="7">
        <v>32.835016609999997</v>
      </c>
      <c r="L2737" s="7">
        <v>-95.629436350000006</v>
      </c>
      <c r="M2737" s="6" t="s">
        <v>956</v>
      </c>
      <c r="N2737" s="6" t="s">
        <v>65</v>
      </c>
      <c r="O2737" s="6" t="s">
        <v>65</v>
      </c>
    </row>
    <row r="2738" spans="1:15" x14ac:dyDescent="0.25">
      <c r="A2738" s="6" t="s">
        <v>5507</v>
      </c>
      <c r="B2738" s="6" t="s">
        <v>5506</v>
      </c>
      <c r="C2738" s="6" t="s">
        <v>31</v>
      </c>
      <c r="E2738" s="6" t="s">
        <v>5505</v>
      </c>
      <c r="F2738" s="6" t="s">
        <v>3673</v>
      </c>
      <c r="G2738" s="6" t="s">
        <v>16</v>
      </c>
      <c r="H2738" s="6" t="s">
        <v>28</v>
      </c>
      <c r="I2738" s="6" t="s">
        <v>73</v>
      </c>
      <c r="J2738" s="6" t="s">
        <v>35</v>
      </c>
      <c r="K2738" s="7">
        <v>29.973835000000001</v>
      </c>
      <c r="L2738" s="7">
        <v>-95.688108</v>
      </c>
      <c r="M2738" s="6" t="s">
        <v>279</v>
      </c>
      <c r="N2738" s="6" t="s">
        <v>24</v>
      </c>
      <c r="O2738" s="6" t="s">
        <v>23</v>
      </c>
    </row>
    <row r="2739" spans="1:15" x14ac:dyDescent="0.25">
      <c r="A2739" s="6" t="s">
        <v>10380</v>
      </c>
      <c r="B2739" s="6" t="s">
        <v>10379</v>
      </c>
      <c r="C2739" s="6" t="s">
        <v>31</v>
      </c>
      <c r="E2739" s="6" t="s">
        <v>10378</v>
      </c>
      <c r="F2739" s="6" t="s">
        <v>10377</v>
      </c>
      <c r="G2739" s="6" t="s">
        <v>16</v>
      </c>
      <c r="H2739" s="6" t="s">
        <v>15</v>
      </c>
      <c r="I2739" s="6" t="s">
        <v>14</v>
      </c>
      <c r="J2739" s="6" t="s">
        <v>409</v>
      </c>
      <c r="K2739" s="7">
        <v>30.208103080000001</v>
      </c>
      <c r="L2739" s="7">
        <v>-97.501687360000005</v>
      </c>
      <c r="M2739" s="6" t="s">
        <v>408</v>
      </c>
      <c r="N2739" s="6" t="s">
        <v>10</v>
      </c>
      <c r="O2739" s="6" t="s">
        <v>160</v>
      </c>
    </row>
    <row r="2740" spans="1:15" x14ac:dyDescent="0.25">
      <c r="A2740" s="6" t="s">
        <v>5504</v>
      </c>
      <c r="B2740" s="6" t="s">
        <v>5503</v>
      </c>
      <c r="C2740" s="6" t="s">
        <v>31</v>
      </c>
      <c r="E2740" s="6" t="s">
        <v>5502</v>
      </c>
      <c r="F2740" s="6" t="s">
        <v>5501</v>
      </c>
      <c r="G2740" s="6" t="s">
        <v>16</v>
      </c>
      <c r="H2740" s="6" t="s">
        <v>28</v>
      </c>
      <c r="I2740" s="6" t="s">
        <v>36</v>
      </c>
      <c r="J2740" s="6" t="s">
        <v>776</v>
      </c>
      <c r="K2740" s="7">
        <v>32.8883042</v>
      </c>
      <c r="L2740" s="7">
        <v>-98.476756409999993</v>
      </c>
      <c r="M2740" s="6" t="s">
        <v>5071</v>
      </c>
      <c r="N2740" s="6" t="s">
        <v>23</v>
      </c>
      <c r="O2740" s="6" t="s">
        <v>42</v>
      </c>
    </row>
    <row r="2741" spans="1:15" x14ac:dyDescent="0.25">
      <c r="A2741" s="6" t="s">
        <v>5538</v>
      </c>
      <c r="B2741" s="6" t="s">
        <v>5537</v>
      </c>
      <c r="C2741" s="6" t="s">
        <v>31</v>
      </c>
      <c r="E2741" s="6" t="s">
        <v>5536</v>
      </c>
      <c r="F2741" s="6" t="s">
        <v>5535</v>
      </c>
      <c r="G2741" s="6" t="s">
        <v>16</v>
      </c>
      <c r="H2741" s="6" t="s">
        <v>28</v>
      </c>
      <c r="I2741" s="6" t="s">
        <v>73</v>
      </c>
      <c r="J2741" s="6" t="s">
        <v>67</v>
      </c>
      <c r="K2741" s="7">
        <v>32.441012000000001</v>
      </c>
      <c r="L2741" s="7">
        <v>-95.131354999999999</v>
      </c>
      <c r="M2741" s="6" t="s">
        <v>423</v>
      </c>
      <c r="N2741" s="6" t="s">
        <v>65</v>
      </c>
      <c r="O2741" s="6" t="s">
        <v>65</v>
      </c>
    </row>
    <row r="2742" spans="1:15" x14ac:dyDescent="0.25">
      <c r="A2742" s="6" t="s">
        <v>9798</v>
      </c>
      <c r="B2742" s="6" t="s">
        <v>9797</v>
      </c>
      <c r="C2742" s="6" t="s">
        <v>31</v>
      </c>
      <c r="E2742" s="6" t="s">
        <v>9796</v>
      </c>
      <c r="F2742" s="6" t="s">
        <v>9795</v>
      </c>
      <c r="G2742" s="6" t="s">
        <v>16</v>
      </c>
      <c r="H2742" s="6" t="s">
        <v>28</v>
      </c>
      <c r="I2742" s="6" t="s">
        <v>27</v>
      </c>
      <c r="J2742" s="6" t="s">
        <v>566</v>
      </c>
      <c r="K2742" s="7">
        <v>31.895019319999999</v>
      </c>
      <c r="L2742" s="7">
        <v>-94.686440210000001</v>
      </c>
      <c r="M2742" s="6" t="s">
        <v>203</v>
      </c>
      <c r="N2742" s="6" t="s">
        <v>52</v>
      </c>
      <c r="O2742" s="6" t="s">
        <v>65</v>
      </c>
    </row>
    <row r="2743" spans="1:15" x14ac:dyDescent="0.25">
      <c r="A2743" s="6" t="s">
        <v>5534</v>
      </c>
      <c r="B2743" s="6" t="s">
        <v>5533</v>
      </c>
      <c r="C2743" s="6" t="s">
        <v>31</v>
      </c>
      <c r="E2743" s="6" t="s">
        <v>5532</v>
      </c>
      <c r="F2743" s="6" t="s">
        <v>4738</v>
      </c>
      <c r="G2743" s="6" t="s">
        <v>16</v>
      </c>
      <c r="H2743" s="6" t="s">
        <v>28</v>
      </c>
      <c r="I2743" s="6" t="s">
        <v>60</v>
      </c>
      <c r="J2743" s="6" t="s">
        <v>1716</v>
      </c>
      <c r="K2743" s="7">
        <v>30.551392</v>
      </c>
      <c r="L2743" s="7">
        <v>-95.614446000000001</v>
      </c>
      <c r="M2743" s="6" t="s">
        <v>340</v>
      </c>
      <c r="N2743" s="6" t="s">
        <v>24</v>
      </c>
      <c r="O2743" s="6" t="s">
        <v>23</v>
      </c>
    </row>
    <row r="2744" spans="1:15" x14ac:dyDescent="0.25">
      <c r="A2744" s="6" t="s">
        <v>6198</v>
      </c>
      <c r="B2744" s="6" t="s">
        <v>6197</v>
      </c>
      <c r="C2744" s="6" t="s">
        <v>31</v>
      </c>
      <c r="E2744" s="6" t="s">
        <v>6196</v>
      </c>
      <c r="F2744" s="6" t="s">
        <v>6195</v>
      </c>
      <c r="G2744" s="6" t="s">
        <v>16</v>
      </c>
      <c r="H2744" s="6" t="s">
        <v>28</v>
      </c>
      <c r="I2744" s="6" t="s">
        <v>14</v>
      </c>
      <c r="J2744" s="6" t="s">
        <v>1323</v>
      </c>
      <c r="K2744" s="7">
        <v>31.961122880000001</v>
      </c>
      <c r="L2744" s="7">
        <v>-98.491185849999994</v>
      </c>
      <c r="M2744" s="6" t="s">
        <v>1322</v>
      </c>
      <c r="N2744" s="6" t="s">
        <v>23</v>
      </c>
      <c r="O2744" s="6" t="s">
        <v>95</v>
      </c>
    </row>
    <row r="2745" spans="1:15" x14ac:dyDescent="0.25">
      <c r="A2745" s="6" t="s">
        <v>9500</v>
      </c>
      <c r="B2745" s="6" t="s">
        <v>9499</v>
      </c>
      <c r="C2745" s="6" t="s">
        <v>31</v>
      </c>
      <c r="E2745" s="6" t="s">
        <v>9498</v>
      </c>
      <c r="F2745" s="6" t="s">
        <v>9497</v>
      </c>
      <c r="G2745" s="6" t="s">
        <v>16</v>
      </c>
      <c r="H2745" s="6" t="s">
        <v>28</v>
      </c>
      <c r="I2745" s="6" t="s">
        <v>36</v>
      </c>
      <c r="J2745" s="6" t="s">
        <v>35</v>
      </c>
      <c r="K2745" s="7">
        <v>30.036220660000001</v>
      </c>
      <c r="L2745" s="7">
        <v>-95.601438610000002</v>
      </c>
      <c r="M2745" s="6" t="s">
        <v>279</v>
      </c>
      <c r="N2745" s="6" t="s">
        <v>24</v>
      </c>
      <c r="O2745" s="6" t="s">
        <v>23</v>
      </c>
    </row>
    <row r="2746" spans="1:15" x14ac:dyDescent="0.25">
      <c r="A2746" s="6" t="s">
        <v>3036</v>
      </c>
      <c r="B2746" s="6" t="s">
        <v>3035</v>
      </c>
      <c r="C2746" s="6" t="s">
        <v>31</v>
      </c>
      <c r="E2746" s="6" t="s">
        <v>3034</v>
      </c>
      <c r="F2746" s="6" t="s">
        <v>3033</v>
      </c>
      <c r="G2746" s="6" t="s">
        <v>16</v>
      </c>
      <c r="H2746" s="6" t="s">
        <v>28</v>
      </c>
      <c r="I2746" s="6" t="s">
        <v>60</v>
      </c>
      <c r="J2746" s="6" t="s">
        <v>1240</v>
      </c>
      <c r="K2746" s="7">
        <v>28.653103959999999</v>
      </c>
      <c r="L2746" s="7">
        <v>-96.886467159999995</v>
      </c>
      <c r="M2746" s="6" t="s">
        <v>83</v>
      </c>
      <c r="N2746" s="6" t="s">
        <v>82</v>
      </c>
      <c r="O2746" s="6" t="s">
        <v>10</v>
      </c>
    </row>
    <row r="2747" spans="1:15" x14ac:dyDescent="0.25">
      <c r="A2747" s="6" t="s">
        <v>5527</v>
      </c>
      <c r="B2747" s="6" t="s">
        <v>5526</v>
      </c>
      <c r="C2747" s="6" t="s">
        <v>31</v>
      </c>
      <c r="E2747" s="6" t="s">
        <v>5525</v>
      </c>
      <c r="F2747" s="6" t="s">
        <v>5524</v>
      </c>
      <c r="G2747" s="6" t="s">
        <v>16</v>
      </c>
      <c r="H2747" s="6" t="s">
        <v>28</v>
      </c>
      <c r="I2747" s="6" t="s">
        <v>73</v>
      </c>
      <c r="J2747" s="6" t="s">
        <v>904</v>
      </c>
      <c r="K2747" s="7">
        <v>32.607672999999998</v>
      </c>
      <c r="L2747" s="7">
        <v>-97.926706999999993</v>
      </c>
      <c r="M2747" s="6" t="s">
        <v>775</v>
      </c>
      <c r="N2747" s="6" t="s">
        <v>23</v>
      </c>
      <c r="O2747" s="6" t="s">
        <v>42</v>
      </c>
    </row>
    <row r="2748" spans="1:15" x14ac:dyDescent="0.25">
      <c r="A2748" s="6" t="s">
        <v>10326</v>
      </c>
      <c r="B2748" s="6" t="s">
        <v>10325</v>
      </c>
      <c r="C2748" s="6" t="s">
        <v>31</v>
      </c>
      <c r="E2748" s="6" t="s">
        <v>10324</v>
      </c>
      <c r="F2748" s="6" t="s">
        <v>10323</v>
      </c>
      <c r="G2748" s="6" t="s">
        <v>16</v>
      </c>
      <c r="H2748" s="6" t="s">
        <v>15</v>
      </c>
      <c r="I2748" s="6" t="s">
        <v>36</v>
      </c>
      <c r="J2748" s="6" t="s">
        <v>776</v>
      </c>
      <c r="K2748" s="7">
        <v>32.873898750000002</v>
      </c>
      <c r="L2748" s="7">
        <v>-98.482817049999994</v>
      </c>
      <c r="M2748" s="6" t="s">
        <v>5071</v>
      </c>
      <c r="N2748" s="6" t="s">
        <v>23</v>
      </c>
      <c r="O2748" s="6" t="s">
        <v>42</v>
      </c>
    </row>
    <row r="2749" spans="1:15" x14ac:dyDescent="0.25">
      <c r="A2749" s="6" t="s">
        <v>5519</v>
      </c>
      <c r="B2749" s="6" t="s">
        <v>5518</v>
      </c>
      <c r="C2749" s="6" t="s">
        <v>31</v>
      </c>
      <c r="E2749" s="6" t="s">
        <v>5517</v>
      </c>
      <c r="F2749" s="6" t="s">
        <v>5516</v>
      </c>
      <c r="G2749" s="6" t="s">
        <v>16</v>
      </c>
      <c r="H2749" s="6" t="s">
        <v>28</v>
      </c>
      <c r="I2749" s="6" t="s">
        <v>36</v>
      </c>
      <c r="J2749" s="6" t="s">
        <v>26</v>
      </c>
      <c r="K2749" s="7">
        <v>30.25367876</v>
      </c>
      <c r="L2749" s="7">
        <v>-95.578956070000004</v>
      </c>
      <c r="M2749" s="6" t="s">
        <v>25</v>
      </c>
      <c r="N2749" s="6" t="s">
        <v>24</v>
      </c>
      <c r="O2749" s="6" t="s">
        <v>23</v>
      </c>
    </row>
    <row r="2750" spans="1:15" x14ac:dyDescent="0.25">
      <c r="A2750" s="6" t="s">
        <v>10384</v>
      </c>
      <c r="B2750" s="6" t="s">
        <v>10383</v>
      </c>
      <c r="C2750" s="6" t="s">
        <v>31</v>
      </c>
      <c r="E2750" s="6" t="s">
        <v>10382</v>
      </c>
      <c r="F2750" s="6" t="s">
        <v>10381</v>
      </c>
      <c r="G2750" s="6" t="s">
        <v>16</v>
      </c>
      <c r="H2750" s="6" t="s">
        <v>15</v>
      </c>
      <c r="I2750" s="6" t="s">
        <v>14</v>
      </c>
      <c r="J2750" s="6" t="s">
        <v>35</v>
      </c>
      <c r="K2750" s="7">
        <v>29.69445198</v>
      </c>
      <c r="L2750" s="7">
        <v>-95.026940370000005</v>
      </c>
      <c r="M2750" s="6" t="s">
        <v>599</v>
      </c>
      <c r="N2750" s="6" t="s">
        <v>24</v>
      </c>
      <c r="O2750" s="6" t="s">
        <v>23</v>
      </c>
    </row>
    <row r="2751" spans="1:15" x14ac:dyDescent="0.25">
      <c r="A2751" s="6" t="s">
        <v>7996</v>
      </c>
      <c r="B2751" s="6" t="s">
        <v>7995</v>
      </c>
      <c r="C2751" s="6" t="s">
        <v>31</v>
      </c>
      <c r="E2751" s="6" t="s">
        <v>7994</v>
      </c>
      <c r="F2751" s="6" t="s">
        <v>7993</v>
      </c>
      <c r="G2751" s="6" t="s">
        <v>16</v>
      </c>
      <c r="H2751" s="6" t="s">
        <v>28</v>
      </c>
      <c r="I2751" s="6" t="s">
        <v>73</v>
      </c>
      <c r="J2751" s="6" t="s">
        <v>810</v>
      </c>
      <c r="K2751" s="7">
        <v>31.510180999999999</v>
      </c>
      <c r="L2751" s="7">
        <v>-94.107139000000004</v>
      </c>
      <c r="M2751" s="6" t="s">
        <v>644</v>
      </c>
      <c r="N2751" s="6" t="s">
        <v>52</v>
      </c>
      <c r="O2751" s="6" t="s">
        <v>24</v>
      </c>
    </row>
    <row r="2752" spans="1:15" x14ac:dyDescent="0.25">
      <c r="A2752" s="6" t="s">
        <v>5515</v>
      </c>
      <c r="B2752" s="6" t="s">
        <v>5514</v>
      </c>
      <c r="C2752" s="6" t="s">
        <v>31</v>
      </c>
      <c r="E2752" s="6" t="s">
        <v>5513</v>
      </c>
      <c r="F2752" s="6" t="s">
        <v>5512</v>
      </c>
      <c r="G2752" s="6" t="s">
        <v>16</v>
      </c>
      <c r="H2752" s="6" t="s">
        <v>28</v>
      </c>
      <c r="I2752" s="6" t="s">
        <v>27</v>
      </c>
      <c r="J2752" s="6" t="s">
        <v>1209</v>
      </c>
      <c r="K2752" s="7">
        <v>31.774336999999999</v>
      </c>
      <c r="L2752" s="7">
        <v>-97.823414999999997</v>
      </c>
      <c r="M2752" s="6" t="s">
        <v>1208</v>
      </c>
      <c r="N2752" s="6" t="s">
        <v>23</v>
      </c>
      <c r="O2752" s="6" t="s">
        <v>120</v>
      </c>
    </row>
    <row r="2753" spans="1:15" x14ac:dyDescent="0.25">
      <c r="A2753" s="6" t="s">
        <v>7635</v>
      </c>
      <c r="B2753" s="6" t="s">
        <v>7634</v>
      </c>
      <c r="C2753" s="6" t="s">
        <v>31</v>
      </c>
      <c r="E2753" s="6" t="s">
        <v>7633</v>
      </c>
      <c r="F2753" s="6" t="s">
        <v>7632</v>
      </c>
      <c r="G2753" s="6" t="s">
        <v>16</v>
      </c>
      <c r="H2753" s="6" t="s">
        <v>28</v>
      </c>
      <c r="I2753" s="6" t="s">
        <v>1200</v>
      </c>
      <c r="J2753" s="6" t="s">
        <v>151</v>
      </c>
      <c r="K2753" s="7">
        <v>33.114317</v>
      </c>
      <c r="L2753" s="7">
        <v>-97.731047000000004</v>
      </c>
      <c r="M2753" s="6" t="s">
        <v>150</v>
      </c>
      <c r="N2753" s="6" t="s">
        <v>102</v>
      </c>
      <c r="O2753" s="6" t="s">
        <v>42</v>
      </c>
    </row>
    <row r="2754" spans="1:15" x14ac:dyDescent="0.25">
      <c r="A2754" s="6" t="s">
        <v>6242</v>
      </c>
      <c r="B2754" s="6" t="s">
        <v>6241</v>
      </c>
      <c r="C2754" s="6" t="s">
        <v>31</v>
      </c>
      <c r="E2754" s="6" t="s">
        <v>6240</v>
      </c>
      <c r="F2754" s="6" t="s">
        <v>895</v>
      </c>
      <c r="G2754" s="6" t="s">
        <v>16</v>
      </c>
      <c r="H2754" s="6" t="s">
        <v>28</v>
      </c>
      <c r="I2754" s="6" t="s">
        <v>27</v>
      </c>
      <c r="J2754" s="6" t="s">
        <v>132</v>
      </c>
      <c r="K2754" s="7">
        <v>29.388193999999999</v>
      </c>
      <c r="L2754" s="7">
        <v>-95.776904999999999</v>
      </c>
      <c r="M2754" s="6" t="s">
        <v>355</v>
      </c>
      <c r="N2754" s="6" t="s">
        <v>23</v>
      </c>
      <c r="O2754" s="6" t="s">
        <v>23</v>
      </c>
    </row>
    <row r="2755" spans="1:15" x14ac:dyDescent="0.25">
      <c r="A2755" s="6" t="s">
        <v>9261</v>
      </c>
      <c r="B2755" s="6" t="s">
        <v>9260</v>
      </c>
      <c r="C2755" s="6" t="s">
        <v>31</v>
      </c>
      <c r="E2755" s="6" t="s">
        <v>9259</v>
      </c>
      <c r="F2755" s="6" t="s">
        <v>9258</v>
      </c>
      <c r="G2755" s="6" t="s">
        <v>16</v>
      </c>
      <c r="H2755" s="6" t="s">
        <v>28</v>
      </c>
      <c r="I2755" s="6" t="s">
        <v>73</v>
      </c>
      <c r="J2755" s="6" t="s">
        <v>290</v>
      </c>
      <c r="K2755" s="7">
        <v>28.767614720000001</v>
      </c>
      <c r="L2755" s="7">
        <v>-95.625738780000006</v>
      </c>
      <c r="M2755" s="6" t="s">
        <v>4268</v>
      </c>
      <c r="N2755" s="6" t="s">
        <v>231</v>
      </c>
      <c r="O2755" s="6" t="s">
        <v>23</v>
      </c>
    </row>
    <row r="2756" spans="1:15" x14ac:dyDescent="0.25">
      <c r="A2756" s="6" t="s">
        <v>6239</v>
      </c>
      <c r="B2756" s="6" t="s">
        <v>6238</v>
      </c>
      <c r="C2756" s="6" t="s">
        <v>31</v>
      </c>
      <c r="E2756" s="6" t="s">
        <v>6237</v>
      </c>
      <c r="F2756" s="6" t="s">
        <v>3760</v>
      </c>
      <c r="G2756" s="6" t="s">
        <v>16</v>
      </c>
      <c r="H2756" s="6" t="s">
        <v>28</v>
      </c>
      <c r="I2756" s="6" t="s">
        <v>73</v>
      </c>
      <c r="J2756" s="6" t="s">
        <v>1752</v>
      </c>
      <c r="K2756" s="7">
        <v>30.78368094</v>
      </c>
      <c r="L2756" s="7">
        <v>-95.170977219999997</v>
      </c>
      <c r="M2756" s="6" t="s">
        <v>317</v>
      </c>
      <c r="N2756" s="6" t="s">
        <v>102</v>
      </c>
      <c r="O2756" s="6" t="s">
        <v>24</v>
      </c>
    </row>
    <row r="2757" spans="1:15" x14ac:dyDescent="0.25">
      <c r="A2757" s="6" t="s">
        <v>8681</v>
      </c>
      <c r="B2757" s="6" t="s">
        <v>8680</v>
      </c>
      <c r="C2757" s="6" t="s">
        <v>31</v>
      </c>
      <c r="E2757" s="6" t="s">
        <v>8679</v>
      </c>
      <c r="F2757" s="6" t="s">
        <v>8678</v>
      </c>
      <c r="G2757" s="6" t="s">
        <v>16</v>
      </c>
      <c r="H2757" s="6" t="s">
        <v>28</v>
      </c>
      <c r="I2757" s="6" t="s">
        <v>27</v>
      </c>
      <c r="J2757" s="6" t="s">
        <v>35</v>
      </c>
      <c r="K2757" s="7">
        <v>29.892130999999999</v>
      </c>
      <c r="L2757" s="7">
        <v>-95.398229999999998</v>
      </c>
      <c r="M2757" s="6" t="s">
        <v>34</v>
      </c>
      <c r="N2757" s="6" t="s">
        <v>24</v>
      </c>
      <c r="O2757" s="6" t="s">
        <v>23</v>
      </c>
    </row>
    <row r="2758" spans="1:15" x14ac:dyDescent="0.25">
      <c r="A2758" s="6" t="s">
        <v>6236</v>
      </c>
      <c r="B2758" s="6" t="s">
        <v>6235</v>
      </c>
      <c r="C2758" s="6" t="s">
        <v>31</v>
      </c>
      <c r="E2758" s="6" t="s">
        <v>6234</v>
      </c>
      <c r="F2758" s="6" t="s">
        <v>895</v>
      </c>
      <c r="G2758" s="6" t="s">
        <v>16</v>
      </c>
      <c r="H2758" s="6" t="s">
        <v>28</v>
      </c>
      <c r="I2758" s="6" t="s">
        <v>799</v>
      </c>
      <c r="J2758" s="6" t="s">
        <v>35</v>
      </c>
      <c r="K2758" s="7">
        <v>30.085718889999999</v>
      </c>
      <c r="L2758" s="7">
        <v>-95.586431289999993</v>
      </c>
      <c r="M2758" s="6" t="s">
        <v>731</v>
      </c>
      <c r="N2758" s="6" t="s">
        <v>24</v>
      </c>
      <c r="O2758" s="6" t="s">
        <v>23</v>
      </c>
    </row>
    <row r="2759" spans="1:15" x14ac:dyDescent="0.25">
      <c r="A2759" s="6" t="s">
        <v>6233</v>
      </c>
      <c r="B2759" s="6" t="s">
        <v>6232</v>
      </c>
      <c r="C2759" s="6" t="s">
        <v>31</v>
      </c>
      <c r="E2759" s="6" t="s">
        <v>6231</v>
      </c>
      <c r="F2759" s="6" t="s">
        <v>6230</v>
      </c>
      <c r="G2759" s="6" t="s">
        <v>16</v>
      </c>
      <c r="H2759" s="6" t="s">
        <v>28</v>
      </c>
      <c r="I2759" s="6" t="s">
        <v>799</v>
      </c>
      <c r="J2759" s="6" t="s">
        <v>132</v>
      </c>
      <c r="K2759" s="7">
        <v>29.701465760000001</v>
      </c>
      <c r="L2759" s="7">
        <v>-95.724338130000007</v>
      </c>
      <c r="M2759" s="6" t="s">
        <v>131</v>
      </c>
      <c r="N2759" s="6" t="s">
        <v>24</v>
      </c>
      <c r="O2759" s="6" t="s">
        <v>23</v>
      </c>
    </row>
    <row r="2760" spans="1:15" x14ac:dyDescent="0.25">
      <c r="A2760" s="6" t="s">
        <v>6229</v>
      </c>
      <c r="B2760" s="6" t="s">
        <v>6228</v>
      </c>
      <c r="C2760" s="6" t="s">
        <v>31</v>
      </c>
      <c r="E2760" s="6" t="s">
        <v>6227</v>
      </c>
      <c r="F2760" s="6" t="s">
        <v>6226</v>
      </c>
      <c r="G2760" s="6" t="s">
        <v>16</v>
      </c>
      <c r="H2760" s="6" t="s">
        <v>28</v>
      </c>
      <c r="I2760" s="6" t="s">
        <v>73</v>
      </c>
      <c r="J2760" s="6" t="s">
        <v>2287</v>
      </c>
      <c r="K2760" s="7">
        <v>30.341823999999999</v>
      </c>
      <c r="L2760" s="7">
        <v>-94.082999999999998</v>
      </c>
      <c r="M2760" s="6" t="s">
        <v>3287</v>
      </c>
      <c r="N2760" s="6" t="s">
        <v>52</v>
      </c>
      <c r="O2760" s="6" t="s">
        <v>24</v>
      </c>
    </row>
    <row r="2761" spans="1:15" x14ac:dyDescent="0.25">
      <c r="A2761" s="6" t="s">
        <v>8278</v>
      </c>
      <c r="B2761" s="6" t="s">
        <v>8277</v>
      </c>
      <c r="C2761" s="6" t="s">
        <v>31</v>
      </c>
      <c r="E2761" s="6" t="s">
        <v>8276</v>
      </c>
      <c r="F2761" s="6" t="s">
        <v>3669</v>
      </c>
      <c r="G2761" s="6" t="s">
        <v>16</v>
      </c>
      <c r="H2761" s="6" t="s">
        <v>28</v>
      </c>
      <c r="I2761" s="6" t="s">
        <v>73</v>
      </c>
      <c r="J2761" s="6" t="s">
        <v>185</v>
      </c>
      <c r="K2761" s="7">
        <v>27.421641000000001</v>
      </c>
      <c r="L2761" s="7">
        <v>-97.311278000000001</v>
      </c>
      <c r="M2761" s="6" t="s">
        <v>89</v>
      </c>
      <c r="N2761" s="6" t="s">
        <v>11</v>
      </c>
      <c r="O2761" s="6" t="s">
        <v>10</v>
      </c>
    </row>
    <row r="2762" spans="1:15" x14ac:dyDescent="0.25">
      <c r="A2762" s="6" t="s">
        <v>6225</v>
      </c>
      <c r="B2762" s="6" t="s">
        <v>6224</v>
      </c>
      <c r="C2762" s="6" t="s">
        <v>31</v>
      </c>
      <c r="E2762" s="6" t="s">
        <v>6223</v>
      </c>
      <c r="F2762" s="6" t="s">
        <v>895</v>
      </c>
      <c r="G2762" s="6" t="s">
        <v>16</v>
      </c>
      <c r="H2762" s="6" t="s">
        <v>28</v>
      </c>
      <c r="I2762" s="6" t="s">
        <v>27</v>
      </c>
      <c r="J2762" s="6" t="s">
        <v>168</v>
      </c>
      <c r="K2762" s="7">
        <v>33.041817999999999</v>
      </c>
      <c r="L2762" s="7">
        <v>-97.392397000000003</v>
      </c>
      <c r="M2762" s="6" t="s">
        <v>156</v>
      </c>
      <c r="N2762" s="6" t="s">
        <v>102</v>
      </c>
      <c r="O2762" s="6" t="s">
        <v>42</v>
      </c>
    </row>
    <row r="2763" spans="1:15" x14ac:dyDescent="0.25">
      <c r="A2763" s="6" t="s">
        <v>6222</v>
      </c>
      <c r="B2763" s="6" t="s">
        <v>6221</v>
      </c>
      <c r="C2763" s="6" t="s">
        <v>31</v>
      </c>
      <c r="E2763" s="6" t="s">
        <v>6220</v>
      </c>
      <c r="F2763" s="6" t="s">
        <v>6219</v>
      </c>
      <c r="G2763" s="6" t="s">
        <v>16</v>
      </c>
      <c r="H2763" s="6" t="s">
        <v>28</v>
      </c>
      <c r="I2763" s="6" t="s">
        <v>799</v>
      </c>
      <c r="J2763" s="6" t="s">
        <v>162</v>
      </c>
      <c r="K2763" s="7">
        <v>29.518044</v>
      </c>
      <c r="L2763" s="7">
        <v>-95.371905999999996</v>
      </c>
      <c r="M2763" s="6" t="s">
        <v>706</v>
      </c>
      <c r="N2763" s="6" t="s">
        <v>160</v>
      </c>
      <c r="O2763" s="6" t="s">
        <v>23</v>
      </c>
    </row>
    <row r="2764" spans="1:15" x14ac:dyDescent="0.25">
      <c r="A2764" s="6" t="s">
        <v>6218</v>
      </c>
      <c r="B2764" s="6" t="s">
        <v>6217</v>
      </c>
      <c r="C2764" s="6" t="s">
        <v>31</v>
      </c>
      <c r="E2764" s="6" t="s">
        <v>6216</v>
      </c>
      <c r="F2764" s="6" t="s">
        <v>6215</v>
      </c>
      <c r="G2764" s="6" t="s">
        <v>16</v>
      </c>
      <c r="H2764" s="6" t="s">
        <v>15</v>
      </c>
      <c r="I2764" s="6" t="s">
        <v>14</v>
      </c>
      <c r="J2764" s="6" t="s">
        <v>409</v>
      </c>
      <c r="K2764" s="7">
        <v>30.340809539999999</v>
      </c>
      <c r="L2764" s="7">
        <v>-97.539705119999994</v>
      </c>
      <c r="M2764" s="6" t="s">
        <v>455</v>
      </c>
      <c r="N2764" s="6" t="s">
        <v>10</v>
      </c>
      <c r="O2764" s="6" t="s">
        <v>160</v>
      </c>
    </row>
    <row r="2765" spans="1:15" x14ac:dyDescent="0.25">
      <c r="A2765" s="6" t="s">
        <v>6214</v>
      </c>
      <c r="B2765" s="6" t="s">
        <v>6213</v>
      </c>
      <c r="C2765" s="6" t="s">
        <v>31</v>
      </c>
      <c r="E2765" s="6" t="s">
        <v>6212</v>
      </c>
      <c r="F2765" s="6" t="s">
        <v>6211</v>
      </c>
      <c r="G2765" s="6" t="s">
        <v>16</v>
      </c>
      <c r="H2765" s="6" t="s">
        <v>28</v>
      </c>
      <c r="I2765" s="6" t="s">
        <v>60</v>
      </c>
      <c r="J2765" s="6" t="s">
        <v>35</v>
      </c>
      <c r="K2765" s="7">
        <v>30.009619000000001</v>
      </c>
      <c r="L2765" s="7">
        <v>-95.576072999999994</v>
      </c>
      <c r="M2765" s="6" t="s">
        <v>279</v>
      </c>
      <c r="N2765" s="6" t="s">
        <v>24</v>
      </c>
      <c r="O2765" s="6" t="s">
        <v>23</v>
      </c>
    </row>
    <row r="2766" spans="1:15" x14ac:dyDescent="0.25">
      <c r="A2766" s="6" t="s">
        <v>10376</v>
      </c>
      <c r="B2766" s="6" t="s">
        <v>10375</v>
      </c>
      <c r="C2766" s="6" t="s">
        <v>31</v>
      </c>
      <c r="E2766" s="6" t="s">
        <v>10374</v>
      </c>
      <c r="F2766" s="6" t="s">
        <v>10373</v>
      </c>
      <c r="G2766" s="6" t="s">
        <v>16</v>
      </c>
      <c r="H2766" s="6" t="s">
        <v>15</v>
      </c>
      <c r="I2766" s="6" t="s">
        <v>73</v>
      </c>
      <c r="J2766" s="6" t="s">
        <v>632</v>
      </c>
      <c r="K2766" s="7">
        <v>30.229374</v>
      </c>
      <c r="L2766" s="7">
        <v>-93.722943000000001</v>
      </c>
      <c r="M2766" s="6" t="s">
        <v>797</v>
      </c>
      <c r="N2766" s="6" t="s">
        <v>65</v>
      </c>
      <c r="O2766" s="6" t="s">
        <v>24</v>
      </c>
    </row>
    <row r="2767" spans="1:15" x14ac:dyDescent="0.25">
      <c r="A2767" s="6" t="s">
        <v>6210</v>
      </c>
      <c r="B2767" s="6" t="s">
        <v>6209</v>
      </c>
      <c r="C2767" s="6" t="s">
        <v>31</v>
      </c>
      <c r="E2767" s="6" t="s">
        <v>6208</v>
      </c>
      <c r="F2767" s="6" t="s">
        <v>895</v>
      </c>
      <c r="G2767" s="6" t="s">
        <v>16</v>
      </c>
      <c r="H2767" s="6" t="s">
        <v>28</v>
      </c>
      <c r="I2767" s="6" t="s">
        <v>36</v>
      </c>
      <c r="J2767" s="6" t="s">
        <v>132</v>
      </c>
      <c r="K2767" s="7">
        <v>29.655674550000001</v>
      </c>
      <c r="L2767" s="7">
        <v>-95.928094849999994</v>
      </c>
      <c r="M2767" s="6" t="s">
        <v>355</v>
      </c>
      <c r="N2767" s="6" t="s">
        <v>23</v>
      </c>
      <c r="O2767" s="6" t="s">
        <v>23</v>
      </c>
    </row>
    <row r="2768" spans="1:15" x14ac:dyDescent="0.25">
      <c r="A2768" s="6" t="s">
        <v>6207</v>
      </c>
      <c r="B2768" s="6" t="s">
        <v>6206</v>
      </c>
      <c r="C2768" s="6" t="s">
        <v>31</v>
      </c>
      <c r="E2768" s="6" t="s">
        <v>6205</v>
      </c>
      <c r="F2768" s="6" t="s">
        <v>6204</v>
      </c>
      <c r="G2768" s="6" t="s">
        <v>16</v>
      </c>
      <c r="H2768" s="6" t="s">
        <v>28</v>
      </c>
      <c r="I2768" s="6" t="s">
        <v>73</v>
      </c>
      <c r="J2768" s="6" t="s">
        <v>1288</v>
      </c>
      <c r="K2768" s="7">
        <v>32.173046999999997</v>
      </c>
      <c r="L2768" s="7">
        <v>-96.868823000000006</v>
      </c>
      <c r="M2768" s="6" t="s">
        <v>2048</v>
      </c>
      <c r="N2768" s="6" t="s">
        <v>102</v>
      </c>
      <c r="O2768" s="6" t="s">
        <v>42</v>
      </c>
    </row>
    <row r="2769" spans="1:15" x14ac:dyDescent="0.25">
      <c r="A2769" s="6" t="s">
        <v>6203</v>
      </c>
      <c r="B2769" s="6" t="s">
        <v>6202</v>
      </c>
      <c r="C2769" s="6" t="s">
        <v>31</v>
      </c>
      <c r="E2769" s="6" t="s">
        <v>6201</v>
      </c>
      <c r="F2769" s="6" t="s">
        <v>6200</v>
      </c>
      <c r="G2769" s="6" t="s">
        <v>16</v>
      </c>
      <c r="H2769" s="6" t="s">
        <v>28</v>
      </c>
      <c r="I2769" s="6" t="s">
        <v>14</v>
      </c>
      <c r="J2769" s="6" t="s">
        <v>132</v>
      </c>
      <c r="K2769" s="7">
        <v>29.459876550000001</v>
      </c>
      <c r="L2769" s="7">
        <v>-95.4696955</v>
      </c>
      <c r="M2769" s="6" t="s">
        <v>4387</v>
      </c>
      <c r="N2769" s="6" t="s">
        <v>23</v>
      </c>
      <c r="O2769" s="6" t="s">
        <v>23</v>
      </c>
    </row>
    <row r="2770" spans="1:15" x14ac:dyDescent="0.25">
      <c r="A2770" s="6" t="s">
        <v>6199</v>
      </c>
      <c r="B2770" s="6" t="s">
        <v>4015</v>
      </c>
      <c r="C2770" s="6" t="s">
        <v>31</v>
      </c>
      <c r="E2770" s="6" t="s">
        <v>4014</v>
      </c>
      <c r="F2770" s="6" t="s">
        <v>4013</v>
      </c>
      <c r="G2770" s="6" t="s">
        <v>16</v>
      </c>
      <c r="H2770" s="6" t="s">
        <v>15</v>
      </c>
      <c r="I2770" s="6" t="s">
        <v>46</v>
      </c>
      <c r="J2770" s="6" t="s">
        <v>904</v>
      </c>
      <c r="K2770" s="7">
        <v>32.767056099999998</v>
      </c>
      <c r="L2770" s="7">
        <v>-97.673695089999995</v>
      </c>
      <c r="M2770" s="6" t="s">
        <v>2400</v>
      </c>
      <c r="N2770" s="6" t="s">
        <v>102</v>
      </c>
      <c r="O2770" s="6" t="s">
        <v>42</v>
      </c>
    </row>
    <row r="2771" spans="1:15" x14ac:dyDescent="0.25">
      <c r="A2771" s="6" t="s">
        <v>4021</v>
      </c>
      <c r="B2771" s="6" t="s">
        <v>4015</v>
      </c>
      <c r="C2771" s="6" t="s">
        <v>19</v>
      </c>
      <c r="E2771" s="6" t="s">
        <v>4014</v>
      </c>
      <c r="F2771" s="6" t="s">
        <v>4013</v>
      </c>
      <c r="G2771" s="6" t="s">
        <v>16</v>
      </c>
      <c r="H2771" s="6" t="s">
        <v>15</v>
      </c>
      <c r="I2771" s="6" t="s">
        <v>46</v>
      </c>
      <c r="J2771" s="6" t="s">
        <v>904</v>
      </c>
      <c r="K2771" s="7">
        <v>32.77088079</v>
      </c>
      <c r="L2771" s="7">
        <v>-97.681250050000003</v>
      </c>
      <c r="M2771" s="6" t="s">
        <v>1514</v>
      </c>
      <c r="N2771" s="6" t="s">
        <v>102</v>
      </c>
      <c r="O2771" s="6" t="s">
        <v>42</v>
      </c>
    </row>
    <row r="2772" spans="1:15" x14ac:dyDescent="0.25">
      <c r="A2772" s="6" t="s">
        <v>4016</v>
      </c>
      <c r="B2772" s="6" t="s">
        <v>4015</v>
      </c>
      <c r="C2772" s="6" t="s">
        <v>436</v>
      </c>
      <c r="E2772" s="6" t="s">
        <v>4014</v>
      </c>
      <c r="F2772" s="6" t="s">
        <v>4013</v>
      </c>
      <c r="G2772" s="6" t="s">
        <v>16</v>
      </c>
      <c r="H2772" s="6" t="s">
        <v>15</v>
      </c>
      <c r="I2772" s="6" t="s">
        <v>46</v>
      </c>
      <c r="J2772" s="6" t="s">
        <v>904</v>
      </c>
      <c r="K2772" s="7">
        <v>32.763608679999997</v>
      </c>
      <c r="L2772" s="7">
        <v>-97.669160629999993</v>
      </c>
      <c r="M2772" s="6" t="s">
        <v>2400</v>
      </c>
      <c r="N2772" s="6" t="s">
        <v>102</v>
      </c>
      <c r="O2772" s="6" t="s">
        <v>42</v>
      </c>
    </row>
    <row r="2773" spans="1:15" x14ac:dyDescent="0.25">
      <c r="A2773" s="6" t="s">
        <v>10372</v>
      </c>
      <c r="B2773" s="6" t="s">
        <v>10371</v>
      </c>
      <c r="C2773" s="6" t="s">
        <v>31</v>
      </c>
      <c r="E2773" s="6" t="s">
        <v>10370</v>
      </c>
      <c r="F2773" s="6" t="s">
        <v>10369</v>
      </c>
      <c r="G2773" s="6" t="s">
        <v>16</v>
      </c>
      <c r="H2773" s="6" t="s">
        <v>15</v>
      </c>
      <c r="I2773" s="6" t="s">
        <v>60</v>
      </c>
      <c r="J2773" s="6" t="s">
        <v>798</v>
      </c>
      <c r="K2773" s="7">
        <v>30.784006290000001</v>
      </c>
      <c r="L2773" s="7">
        <v>-93.644886119999995</v>
      </c>
      <c r="M2773" s="6" t="s">
        <v>3491</v>
      </c>
      <c r="N2773" s="6" t="s">
        <v>65</v>
      </c>
      <c r="O2773" s="6" t="s">
        <v>24</v>
      </c>
    </row>
    <row r="2774" spans="1:15" x14ac:dyDescent="0.25">
      <c r="A2774" s="6" t="s">
        <v>9711</v>
      </c>
      <c r="B2774" s="6" t="s">
        <v>9710</v>
      </c>
      <c r="C2774" s="6" t="s">
        <v>31</v>
      </c>
      <c r="E2774" s="6" t="s">
        <v>9709</v>
      </c>
      <c r="F2774" s="6" t="s">
        <v>9708</v>
      </c>
      <c r="G2774" s="6" t="s">
        <v>16</v>
      </c>
      <c r="H2774" s="6" t="s">
        <v>28</v>
      </c>
      <c r="I2774" s="6" t="s">
        <v>27</v>
      </c>
      <c r="J2774" s="6" t="s">
        <v>9707</v>
      </c>
      <c r="K2774" s="7">
        <v>35.17268</v>
      </c>
      <c r="L2774" s="7">
        <v>-101.810687</v>
      </c>
      <c r="M2774" s="6" t="s">
        <v>536</v>
      </c>
      <c r="N2774" s="6" t="s">
        <v>43</v>
      </c>
      <c r="O2774" s="6" t="s">
        <v>535</v>
      </c>
    </row>
    <row r="2775" spans="1:15" x14ac:dyDescent="0.25">
      <c r="A2775" s="6" t="s">
        <v>6608</v>
      </c>
      <c r="B2775" s="6" t="s">
        <v>6607</v>
      </c>
      <c r="C2775" s="6" t="s">
        <v>31</v>
      </c>
      <c r="E2775" s="6" t="s">
        <v>6606</v>
      </c>
      <c r="F2775" s="6" t="s">
        <v>6605</v>
      </c>
      <c r="G2775" s="6" t="s">
        <v>16</v>
      </c>
      <c r="H2775" s="6" t="s">
        <v>28</v>
      </c>
      <c r="I2775" s="6" t="s">
        <v>73</v>
      </c>
      <c r="J2775" s="6" t="s">
        <v>512</v>
      </c>
      <c r="K2775" s="7">
        <v>27.452960749999999</v>
      </c>
      <c r="L2775" s="7">
        <v>-99.099424420000005</v>
      </c>
      <c r="M2775" s="6" t="s">
        <v>511</v>
      </c>
      <c r="N2775" s="6" t="s">
        <v>373</v>
      </c>
      <c r="O2775" s="6" t="s">
        <v>510</v>
      </c>
    </row>
    <row r="2776" spans="1:15" x14ac:dyDescent="0.25">
      <c r="A2776" s="6" t="s">
        <v>7972</v>
      </c>
      <c r="B2776" s="6" t="s">
        <v>7971</v>
      </c>
      <c r="C2776" s="6" t="s">
        <v>31</v>
      </c>
      <c r="E2776" s="6" t="s">
        <v>7970</v>
      </c>
      <c r="F2776" s="6" t="s">
        <v>7969</v>
      </c>
      <c r="G2776" s="6" t="s">
        <v>16</v>
      </c>
      <c r="H2776" s="6" t="s">
        <v>28</v>
      </c>
      <c r="I2776" s="6" t="s">
        <v>27</v>
      </c>
      <c r="J2776" s="6" t="s">
        <v>1120</v>
      </c>
      <c r="K2776" s="7">
        <v>32.708369830000002</v>
      </c>
      <c r="L2776" s="7">
        <v>-102.62337441</v>
      </c>
      <c r="M2776" s="6" t="s">
        <v>1801</v>
      </c>
      <c r="N2776" s="6" t="s">
        <v>10</v>
      </c>
      <c r="O2776" s="6" t="s">
        <v>383</v>
      </c>
    </row>
    <row r="2777" spans="1:15" x14ac:dyDescent="0.25">
      <c r="A2777" s="6" t="s">
        <v>5235</v>
      </c>
      <c r="B2777" s="6" t="s">
        <v>5234</v>
      </c>
      <c r="C2777" s="6" t="s">
        <v>31</v>
      </c>
      <c r="E2777" s="6" t="s">
        <v>5233</v>
      </c>
      <c r="F2777" s="6" t="s">
        <v>5232</v>
      </c>
      <c r="G2777" s="6" t="s">
        <v>16</v>
      </c>
      <c r="H2777" s="6" t="s">
        <v>591</v>
      </c>
      <c r="I2777" s="6" t="s">
        <v>27</v>
      </c>
      <c r="J2777" s="6" t="s">
        <v>3079</v>
      </c>
      <c r="K2777" s="7">
        <v>29.37619351</v>
      </c>
      <c r="L2777" s="7">
        <v>-97.427642539999994</v>
      </c>
      <c r="M2777" s="6" t="s">
        <v>1739</v>
      </c>
      <c r="N2777" s="6" t="s">
        <v>559</v>
      </c>
      <c r="O2777" s="6" t="s">
        <v>10</v>
      </c>
    </row>
    <row r="2778" spans="1:15" x14ac:dyDescent="0.25">
      <c r="A2778" s="6" t="s">
        <v>6604</v>
      </c>
      <c r="B2778" s="6" t="s">
        <v>6603</v>
      </c>
      <c r="C2778" s="6" t="s">
        <v>31</v>
      </c>
      <c r="E2778" s="6" t="s">
        <v>6602</v>
      </c>
      <c r="F2778" s="6" t="s">
        <v>6601</v>
      </c>
      <c r="G2778" s="6" t="s">
        <v>16</v>
      </c>
      <c r="H2778" s="6" t="s">
        <v>28</v>
      </c>
      <c r="I2778" s="6" t="s">
        <v>27</v>
      </c>
      <c r="J2778" s="6" t="s">
        <v>26</v>
      </c>
      <c r="K2778" s="7">
        <v>30.385439000000002</v>
      </c>
      <c r="L2778" s="7">
        <v>-95.672076000000004</v>
      </c>
      <c r="M2778" s="6" t="s">
        <v>340</v>
      </c>
      <c r="N2778" s="6" t="s">
        <v>24</v>
      </c>
      <c r="O2778" s="6" t="s">
        <v>23</v>
      </c>
    </row>
    <row r="2779" spans="1:15" x14ac:dyDescent="0.25">
      <c r="A2779" s="6" t="s">
        <v>10368</v>
      </c>
      <c r="B2779" s="6" t="s">
        <v>10367</v>
      </c>
      <c r="C2779" s="6" t="s">
        <v>31</v>
      </c>
      <c r="E2779" s="6" t="s">
        <v>10366</v>
      </c>
      <c r="F2779" s="6" t="s">
        <v>10365</v>
      </c>
      <c r="G2779" s="6" t="s">
        <v>16</v>
      </c>
      <c r="H2779" s="6" t="s">
        <v>15</v>
      </c>
      <c r="I2779" s="6" t="s">
        <v>36</v>
      </c>
      <c r="J2779" s="6" t="s">
        <v>1716</v>
      </c>
      <c r="K2779" s="7">
        <v>30.681135080000001</v>
      </c>
      <c r="L2779" s="7">
        <v>-95.495461910000003</v>
      </c>
      <c r="M2779" s="6" t="s">
        <v>301</v>
      </c>
      <c r="N2779" s="6" t="s">
        <v>24</v>
      </c>
      <c r="O2779" s="6" t="s">
        <v>23</v>
      </c>
    </row>
    <row r="2780" spans="1:15" x14ac:dyDescent="0.25">
      <c r="A2780" s="6" t="s">
        <v>7786</v>
      </c>
      <c r="B2780" s="6" t="s">
        <v>7785</v>
      </c>
      <c r="C2780" s="6" t="s">
        <v>31</v>
      </c>
      <c r="E2780" s="6" t="s">
        <v>7784</v>
      </c>
      <c r="F2780" s="6" t="s">
        <v>2923</v>
      </c>
      <c r="G2780" s="6" t="s">
        <v>16</v>
      </c>
      <c r="H2780" s="6" t="s">
        <v>28</v>
      </c>
      <c r="I2780" s="6" t="s">
        <v>27</v>
      </c>
      <c r="J2780" s="6" t="s">
        <v>90</v>
      </c>
      <c r="K2780" s="7">
        <v>26.072949000000001</v>
      </c>
      <c r="L2780" s="7">
        <v>-97.647260000000003</v>
      </c>
      <c r="M2780" s="6" t="s">
        <v>1254</v>
      </c>
      <c r="N2780" s="6" t="s">
        <v>11</v>
      </c>
      <c r="O2780" s="6" t="s">
        <v>22</v>
      </c>
    </row>
    <row r="2781" spans="1:15" x14ac:dyDescent="0.25">
      <c r="A2781" s="6" t="s">
        <v>10364</v>
      </c>
      <c r="B2781" s="6" t="s">
        <v>10363</v>
      </c>
      <c r="C2781" s="6" t="s">
        <v>31</v>
      </c>
      <c r="E2781" s="6" t="s">
        <v>10362</v>
      </c>
      <c r="F2781" s="6" t="s">
        <v>10361</v>
      </c>
      <c r="G2781" s="6" t="s">
        <v>16</v>
      </c>
      <c r="H2781" s="6" t="s">
        <v>15</v>
      </c>
      <c r="I2781" s="6" t="s">
        <v>14</v>
      </c>
      <c r="J2781" s="6" t="s">
        <v>132</v>
      </c>
      <c r="K2781" s="7">
        <v>29.48106134</v>
      </c>
      <c r="L2781" s="7">
        <v>-95.547707270000004</v>
      </c>
      <c r="M2781" s="6" t="s">
        <v>355</v>
      </c>
      <c r="N2781" s="6" t="s">
        <v>23</v>
      </c>
      <c r="O2781" s="6" t="s">
        <v>23</v>
      </c>
    </row>
    <row r="2782" spans="1:15" x14ac:dyDescent="0.25">
      <c r="A2782" s="6" t="s">
        <v>6582</v>
      </c>
      <c r="B2782" s="6" t="s">
        <v>6581</v>
      </c>
      <c r="C2782" s="6" t="s">
        <v>31</v>
      </c>
      <c r="E2782" s="6" t="s">
        <v>6580</v>
      </c>
      <c r="F2782" s="6" t="s">
        <v>6579</v>
      </c>
      <c r="G2782" s="6" t="s">
        <v>16</v>
      </c>
      <c r="H2782" s="6" t="s">
        <v>28</v>
      </c>
      <c r="I2782" s="6" t="s">
        <v>73</v>
      </c>
      <c r="J2782" s="6" t="s">
        <v>461</v>
      </c>
      <c r="K2782" s="7">
        <v>33.054834</v>
      </c>
      <c r="L2782" s="7">
        <v>-96.012136999999996</v>
      </c>
      <c r="M2782" s="6" t="s">
        <v>109</v>
      </c>
      <c r="N2782" s="6" t="s">
        <v>65</v>
      </c>
      <c r="O2782" s="6" t="s">
        <v>42</v>
      </c>
    </row>
    <row r="2783" spans="1:15" x14ac:dyDescent="0.25">
      <c r="A2783" s="6" t="s">
        <v>8709</v>
      </c>
      <c r="B2783" s="6" t="s">
        <v>8708</v>
      </c>
      <c r="C2783" s="6" t="s">
        <v>31</v>
      </c>
      <c r="E2783" s="6" t="s">
        <v>8707</v>
      </c>
      <c r="F2783" s="6" t="s">
        <v>8706</v>
      </c>
      <c r="G2783" s="6" t="s">
        <v>16</v>
      </c>
      <c r="H2783" s="6" t="s">
        <v>28</v>
      </c>
      <c r="I2783" s="6" t="s">
        <v>73</v>
      </c>
      <c r="J2783" s="6" t="s">
        <v>168</v>
      </c>
      <c r="K2783" s="7">
        <v>33.047329400000002</v>
      </c>
      <c r="L2783" s="7">
        <v>-97.134963760000005</v>
      </c>
      <c r="M2783" s="6" t="s">
        <v>156</v>
      </c>
      <c r="N2783" s="6" t="s">
        <v>102</v>
      </c>
      <c r="O2783" s="6" t="s">
        <v>42</v>
      </c>
    </row>
    <row r="2784" spans="1:15" x14ac:dyDescent="0.25">
      <c r="A2784" s="6" t="s">
        <v>6578</v>
      </c>
      <c r="B2784" s="6" t="s">
        <v>6577</v>
      </c>
      <c r="C2784" s="6" t="s">
        <v>31</v>
      </c>
      <c r="E2784" s="6" t="s">
        <v>6576</v>
      </c>
      <c r="F2784" s="6" t="s">
        <v>116</v>
      </c>
      <c r="G2784" s="6" t="s">
        <v>16</v>
      </c>
      <c r="H2784" s="6" t="s">
        <v>15</v>
      </c>
      <c r="I2784" s="6" t="s">
        <v>14</v>
      </c>
      <c r="J2784" s="6" t="s">
        <v>471</v>
      </c>
      <c r="K2784" s="7">
        <v>32.97138597</v>
      </c>
      <c r="L2784" s="7">
        <v>-96.551789560000003</v>
      </c>
      <c r="M2784" s="6" t="s">
        <v>5476</v>
      </c>
      <c r="N2784" s="6" t="s">
        <v>102</v>
      </c>
      <c r="O2784" s="6" t="s">
        <v>42</v>
      </c>
    </row>
    <row r="2785" spans="1:15" x14ac:dyDescent="0.25">
      <c r="A2785" s="6" t="s">
        <v>2952</v>
      </c>
      <c r="B2785" s="6" t="s">
        <v>2951</v>
      </c>
      <c r="C2785" s="6" t="s">
        <v>31</v>
      </c>
      <c r="E2785" s="6" t="s">
        <v>2950</v>
      </c>
      <c r="F2785" s="6" t="s">
        <v>2949</v>
      </c>
      <c r="G2785" s="6" t="s">
        <v>16</v>
      </c>
      <c r="H2785" s="6" t="s">
        <v>28</v>
      </c>
      <c r="I2785" s="6" t="s">
        <v>60</v>
      </c>
      <c r="J2785" s="6" t="s">
        <v>35</v>
      </c>
      <c r="K2785" s="7">
        <v>29.880561</v>
      </c>
      <c r="L2785" s="7">
        <v>-95.381371999999999</v>
      </c>
      <c r="M2785" s="6" t="s">
        <v>34</v>
      </c>
      <c r="N2785" s="6" t="s">
        <v>24</v>
      </c>
      <c r="O2785" s="6" t="s">
        <v>23</v>
      </c>
    </row>
    <row r="2786" spans="1:15" x14ac:dyDescent="0.25">
      <c r="A2786" s="6" t="s">
        <v>2948</v>
      </c>
      <c r="B2786" s="6" t="s">
        <v>2947</v>
      </c>
      <c r="C2786" s="6" t="s">
        <v>31</v>
      </c>
      <c r="E2786" s="6" t="s">
        <v>2946</v>
      </c>
      <c r="F2786" s="6" t="s">
        <v>2945</v>
      </c>
      <c r="G2786" s="6" t="s">
        <v>16</v>
      </c>
      <c r="H2786" s="6" t="s">
        <v>28</v>
      </c>
      <c r="I2786" s="6" t="s">
        <v>27</v>
      </c>
      <c r="J2786" s="6" t="s">
        <v>26</v>
      </c>
      <c r="K2786" s="7">
        <v>30.183841000000001</v>
      </c>
      <c r="L2786" s="7">
        <v>-95.653357999999997</v>
      </c>
      <c r="M2786" s="6" t="s">
        <v>731</v>
      </c>
      <c r="N2786" s="6" t="s">
        <v>24</v>
      </c>
      <c r="O2786" s="6" t="s">
        <v>23</v>
      </c>
    </row>
    <row r="2787" spans="1:15" x14ac:dyDescent="0.25">
      <c r="A2787" s="6" t="s">
        <v>2944</v>
      </c>
      <c r="B2787" s="6" t="s">
        <v>2943</v>
      </c>
      <c r="C2787" s="6" t="s">
        <v>31</v>
      </c>
      <c r="E2787" s="6" t="s">
        <v>2942</v>
      </c>
      <c r="F2787" s="6" t="s">
        <v>1665</v>
      </c>
      <c r="G2787" s="6" t="s">
        <v>16</v>
      </c>
      <c r="H2787" s="6" t="s">
        <v>28</v>
      </c>
      <c r="I2787" s="6" t="s">
        <v>27</v>
      </c>
      <c r="J2787" s="6" t="s">
        <v>132</v>
      </c>
      <c r="K2787" s="7">
        <v>29.420234000000001</v>
      </c>
      <c r="L2787" s="7">
        <v>-95.826026999999996</v>
      </c>
      <c r="M2787" s="6" t="s">
        <v>355</v>
      </c>
      <c r="N2787" s="6" t="s">
        <v>23</v>
      </c>
      <c r="O2787" s="6" t="s">
        <v>23</v>
      </c>
    </row>
    <row r="2788" spans="1:15" x14ac:dyDescent="0.25">
      <c r="A2788" s="6" t="s">
        <v>2941</v>
      </c>
      <c r="B2788" s="6" t="s">
        <v>2940</v>
      </c>
      <c r="C2788" s="6" t="s">
        <v>31</v>
      </c>
      <c r="E2788" s="6" t="s">
        <v>2939</v>
      </c>
      <c r="F2788" s="6" t="s">
        <v>2938</v>
      </c>
      <c r="G2788" s="6" t="s">
        <v>16</v>
      </c>
      <c r="H2788" s="6" t="s">
        <v>15</v>
      </c>
      <c r="I2788" s="6" t="s">
        <v>14</v>
      </c>
      <c r="J2788" s="6" t="s">
        <v>162</v>
      </c>
      <c r="K2788" s="7">
        <v>29.497313859999998</v>
      </c>
      <c r="L2788" s="7">
        <v>-95.432557599999996</v>
      </c>
      <c r="M2788" s="6" t="s">
        <v>161</v>
      </c>
      <c r="N2788" s="6" t="s">
        <v>160</v>
      </c>
      <c r="O2788" s="6" t="s">
        <v>23</v>
      </c>
    </row>
    <row r="2789" spans="1:15" x14ac:dyDescent="0.25">
      <c r="A2789" s="6" t="s">
        <v>2724</v>
      </c>
      <c r="B2789" s="6" t="s">
        <v>2723</v>
      </c>
      <c r="C2789" s="6" t="s">
        <v>31</v>
      </c>
      <c r="E2789" s="6" t="s">
        <v>2722</v>
      </c>
      <c r="F2789" s="6" t="s">
        <v>2721</v>
      </c>
      <c r="G2789" s="6" t="s">
        <v>16</v>
      </c>
      <c r="H2789" s="6" t="s">
        <v>28</v>
      </c>
      <c r="I2789" s="6" t="s">
        <v>27</v>
      </c>
      <c r="J2789" s="6" t="s">
        <v>13</v>
      </c>
      <c r="K2789" s="7">
        <v>27.715722</v>
      </c>
      <c r="L2789" s="7">
        <v>-97.510741999999993</v>
      </c>
      <c r="M2789" s="6" t="s">
        <v>1309</v>
      </c>
      <c r="N2789" s="6" t="s">
        <v>11</v>
      </c>
      <c r="O2789" s="6" t="s">
        <v>10</v>
      </c>
    </row>
    <row r="2790" spans="1:15" x14ac:dyDescent="0.25">
      <c r="A2790" s="6" t="s">
        <v>2720</v>
      </c>
      <c r="B2790" s="6" t="s">
        <v>2719</v>
      </c>
      <c r="C2790" s="6" t="s">
        <v>31</v>
      </c>
      <c r="E2790" s="6" t="s">
        <v>2718</v>
      </c>
      <c r="F2790" s="6" t="s">
        <v>2717</v>
      </c>
      <c r="G2790" s="6" t="s">
        <v>16</v>
      </c>
      <c r="H2790" s="6" t="s">
        <v>28</v>
      </c>
      <c r="I2790" s="6" t="s">
        <v>60</v>
      </c>
      <c r="J2790" s="6" t="s">
        <v>356</v>
      </c>
      <c r="K2790" s="7">
        <v>29.74806053</v>
      </c>
      <c r="L2790" s="7">
        <v>-95.948725150000001</v>
      </c>
      <c r="M2790" s="6" t="s">
        <v>355</v>
      </c>
      <c r="N2790" s="6" t="s">
        <v>23</v>
      </c>
      <c r="O2790" s="6" t="s">
        <v>23</v>
      </c>
    </row>
    <row r="2791" spans="1:15" x14ac:dyDescent="0.25">
      <c r="A2791" s="6" t="s">
        <v>11547</v>
      </c>
      <c r="B2791" s="6" t="s">
        <v>11546</v>
      </c>
      <c r="C2791" s="6" t="s">
        <v>31</v>
      </c>
      <c r="E2791" s="6" t="s">
        <v>11545</v>
      </c>
      <c r="F2791" s="6" t="s">
        <v>3152</v>
      </c>
      <c r="G2791" s="6" t="s">
        <v>16</v>
      </c>
      <c r="H2791" s="6" t="s">
        <v>28</v>
      </c>
      <c r="I2791" s="6" t="s">
        <v>73</v>
      </c>
      <c r="J2791" s="6" t="s">
        <v>110</v>
      </c>
      <c r="K2791" s="7">
        <v>32.914481039999998</v>
      </c>
      <c r="L2791" s="7">
        <v>-95.659646129999999</v>
      </c>
      <c r="M2791" s="6" t="s">
        <v>956</v>
      </c>
      <c r="N2791" s="6" t="s">
        <v>65</v>
      </c>
      <c r="O2791" s="6" t="s">
        <v>65</v>
      </c>
    </row>
    <row r="2792" spans="1:15" x14ac:dyDescent="0.25">
      <c r="A2792" s="6" t="s">
        <v>2716</v>
      </c>
      <c r="B2792" s="6" t="s">
        <v>2715</v>
      </c>
      <c r="C2792" s="6" t="s">
        <v>31</v>
      </c>
      <c r="E2792" s="6" t="s">
        <v>2714</v>
      </c>
      <c r="F2792" s="6" t="s">
        <v>2713</v>
      </c>
      <c r="G2792" s="6" t="s">
        <v>16</v>
      </c>
      <c r="H2792" s="6" t="s">
        <v>15</v>
      </c>
      <c r="I2792" s="6" t="s">
        <v>14</v>
      </c>
      <c r="J2792" s="6" t="s">
        <v>132</v>
      </c>
      <c r="K2792" s="7">
        <v>29.690721450000002</v>
      </c>
      <c r="L2792" s="7">
        <v>-95.7237717</v>
      </c>
      <c r="M2792" s="6" t="s">
        <v>131</v>
      </c>
      <c r="N2792" s="6" t="s">
        <v>24</v>
      </c>
      <c r="O2792" s="6" t="s">
        <v>23</v>
      </c>
    </row>
    <row r="2793" spans="1:15" x14ac:dyDescent="0.25">
      <c r="A2793" s="6" t="s">
        <v>175</v>
      </c>
      <c r="B2793" s="6" t="s">
        <v>174</v>
      </c>
      <c r="C2793" s="6" t="s">
        <v>31</v>
      </c>
      <c r="E2793" s="6" t="s">
        <v>173</v>
      </c>
      <c r="F2793" s="6" t="s">
        <v>169</v>
      </c>
      <c r="G2793" s="6" t="s">
        <v>16</v>
      </c>
      <c r="H2793" s="6" t="s">
        <v>15</v>
      </c>
      <c r="I2793" s="6" t="s">
        <v>27</v>
      </c>
      <c r="J2793" s="6" t="s">
        <v>168</v>
      </c>
      <c r="K2793" s="7">
        <v>33.230466</v>
      </c>
      <c r="L2793" s="7">
        <v>-96.93486</v>
      </c>
      <c r="M2793" s="6" t="s">
        <v>167</v>
      </c>
      <c r="N2793" s="6" t="s">
        <v>102</v>
      </c>
      <c r="O2793" s="6" t="s">
        <v>42</v>
      </c>
    </row>
    <row r="2794" spans="1:15" x14ac:dyDescent="0.25">
      <c r="A2794" s="6" t="s">
        <v>4333</v>
      </c>
      <c r="B2794" s="6" t="s">
        <v>174</v>
      </c>
      <c r="C2794" s="6" t="s">
        <v>19</v>
      </c>
      <c r="E2794" s="6" t="s">
        <v>173</v>
      </c>
      <c r="F2794" s="6" t="s">
        <v>169</v>
      </c>
      <c r="G2794" s="6" t="s">
        <v>16</v>
      </c>
      <c r="H2794" s="6" t="s">
        <v>15</v>
      </c>
      <c r="I2794" s="6" t="s">
        <v>27</v>
      </c>
      <c r="J2794" s="6" t="s">
        <v>168</v>
      </c>
      <c r="K2794" s="7">
        <v>33.228496999999997</v>
      </c>
      <c r="L2794" s="7">
        <v>-96.937361999999993</v>
      </c>
      <c r="M2794" s="6" t="s">
        <v>167</v>
      </c>
      <c r="N2794" s="6" t="s">
        <v>102</v>
      </c>
      <c r="O2794" s="6" t="s">
        <v>42</v>
      </c>
    </row>
    <row r="2795" spans="1:15" x14ac:dyDescent="0.25">
      <c r="A2795" s="6" t="s">
        <v>10350</v>
      </c>
      <c r="B2795" s="6" t="s">
        <v>10349</v>
      </c>
      <c r="C2795" s="6" t="s">
        <v>31</v>
      </c>
      <c r="E2795" s="6" t="s">
        <v>10348</v>
      </c>
      <c r="F2795" s="6" t="s">
        <v>10347</v>
      </c>
      <c r="G2795" s="6" t="s">
        <v>16</v>
      </c>
      <c r="H2795" s="6" t="s">
        <v>15</v>
      </c>
      <c r="I2795" s="6" t="s">
        <v>14</v>
      </c>
      <c r="J2795" s="6" t="s">
        <v>312</v>
      </c>
      <c r="K2795" s="7">
        <v>32.345819769999999</v>
      </c>
      <c r="L2795" s="7">
        <v>-97.707234700000001</v>
      </c>
      <c r="M2795" s="6" t="s">
        <v>466</v>
      </c>
      <c r="N2795" s="6" t="s">
        <v>23</v>
      </c>
      <c r="O2795" s="6" t="s">
        <v>42</v>
      </c>
    </row>
    <row r="2796" spans="1:15" x14ac:dyDescent="0.25">
      <c r="A2796" s="6" t="s">
        <v>1680</v>
      </c>
      <c r="B2796" s="6" t="s">
        <v>1679</v>
      </c>
      <c r="C2796" s="6" t="s">
        <v>31</v>
      </c>
      <c r="E2796" s="6" t="s">
        <v>1678</v>
      </c>
      <c r="F2796" s="6" t="s">
        <v>1677</v>
      </c>
      <c r="G2796" s="6" t="s">
        <v>16</v>
      </c>
      <c r="H2796" s="6" t="s">
        <v>28</v>
      </c>
      <c r="I2796" s="6" t="s">
        <v>27</v>
      </c>
      <c r="J2796" s="6" t="s">
        <v>1676</v>
      </c>
      <c r="K2796" s="7">
        <v>29.043982360000001</v>
      </c>
      <c r="L2796" s="7">
        <v>-99.002103050000002</v>
      </c>
      <c r="M2796" s="6" t="s">
        <v>1675</v>
      </c>
      <c r="N2796" s="6" t="s">
        <v>524</v>
      </c>
      <c r="O2796" s="6" t="s">
        <v>231</v>
      </c>
    </row>
    <row r="2797" spans="1:15" x14ac:dyDescent="0.25">
      <c r="A2797" s="6" t="s">
        <v>335</v>
      </c>
      <c r="B2797" s="6" t="s">
        <v>334</v>
      </c>
      <c r="C2797" s="6" t="s">
        <v>31</v>
      </c>
      <c r="E2797" s="6" t="s">
        <v>333</v>
      </c>
      <c r="F2797" s="6" t="s">
        <v>332</v>
      </c>
      <c r="G2797" s="6" t="s">
        <v>16</v>
      </c>
      <c r="H2797" s="6" t="s">
        <v>28</v>
      </c>
      <c r="I2797" s="6" t="s">
        <v>46</v>
      </c>
      <c r="J2797" s="6" t="s">
        <v>168</v>
      </c>
      <c r="K2797" s="7">
        <v>33.172470160000003</v>
      </c>
      <c r="L2797" s="7">
        <v>-97.287139449999998</v>
      </c>
      <c r="M2797" s="6" t="s">
        <v>156</v>
      </c>
      <c r="N2797" s="6" t="s">
        <v>102</v>
      </c>
      <c r="O2797" s="6" t="s">
        <v>42</v>
      </c>
    </row>
    <row r="2798" spans="1:15" x14ac:dyDescent="0.25">
      <c r="A2798" s="6" t="s">
        <v>10346</v>
      </c>
      <c r="B2798" s="6" t="s">
        <v>10345</v>
      </c>
      <c r="C2798" s="6" t="s">
        <v>31</v>
      </c>
      <c r="E2798" s="6" t="s">
        <v>10344</v>
      </c>
      <c r="F2798" s="6" t="s">
        <v>10343</v>
      </c>
      <c r="G2798" s="6" t="s">
        <v>16</v>
      </c>
      <c r="H2798" s="6" t="s">
        <v>15</v>
      </c>
      <c r="I2798" s="6" t="s">
        <v>14</v>
      </c>
      <c r="J2798" s="6" t="s">
        <v>951</v>
      </c>
      <c r="K2798" s="7">
        <v>28.158712850000001</v>
      </c>
      <c r="L2798" s="7">
        <v>-97.001292469999996</v>
      </c>
      <c r="M2798" s="6" t="s">
        <v>138</v>
      </c>
      <c r="N2798" s="6" t="s">
        <v>137</v>
      </c>
      <c r="O2798" s="6" t="s">
        <v>10</v>
      </c>
    </row>
    <row r="2799" spans="1:15" x14ac:dyDescent="0.25">
      <c r="A2799" s="6" t="s">
        <v>1664</v>
      </c>
      <c r="B2799" s="6" t="s">
        <v>1663</v>
      </c>
      <c r="C2799" s="6" t="s">
        <v>31</v>
      </c>
      <c r="E2799" s="6" t="s">
        <v>1662</v>
      </c>
      <c r="F2799" s="6" t="s">
        <v>116</v>
      </c>
      <c r="G2799" s="6" t="s">
        <v>16</v>
      </c>
      <c r="H2799" s="6" t="s">
        <v>15</v>
      </c>
      <c r="I2799" s="6" t="s">
        <v>14</v>
      </c>
      <c r="J2799" s="6" t="s">
        <v>168</v>
      </c>
      <c r="K2799" s="7">
        <v>33.205091969999998</v>
      </c>
      <c r="L2799" s="7">
        <v>-96.875227850000002</v>
      </c>
      <c r="M2799" s="6" t="s">
        <v>167</v>
      </c>
      <c r="N2799" s="6" t="s">
        <v>102</v>
      </c>
      <c r="O2799" s="6" t="s">
        <v>42</v>
      </c>
    </row>
    <row r="2800" spans="1:15" x14ac:dyDescent="0.25">
      <c r="A2800" s="6" t="s">
        <v>10342</v>
      </c>
      <c r="B2800" s="6" t="s">
        <v>10341</v>
      </c>
      <c r="C2800" s="6" t="s">
        <v>31</v>
      </c>
      <c r="E2800" s="6" t="s">
        <v>10340</v>
      </c>
      <c r="F2800" s="6" t="s">
        <v>10339</v>
      </c>
      <c r="G2800" s="6" t="s">
        <v>16</v>
      </c>
      <c r="H2800" s="6" t="s">
        <v>15</v>
      </c>
      <c r="I2800" s="6" t="s">
        <v>46</v>
      </c>
      <c r="J2800" s="6" t="s">
        <v>1275</v>
      </c>
      <c r="K2800" s="7">
        <v>31.8724484</v>
      </c>
      <c r="L2800" s="7">
        <v>-96.023916560000004</v>
      </c>
      <c r="M2800" s="6" t="s">
        <v>1031</v>
      </c>
      <c r="N2800" s="6" t="s">
        <v>102</v>
      </c>
      <c r="O2800" s="6" t="s">
        <v>120</v>
      </c>
    </row>
    <row r="2801" spans="1:15" x14ac:dyDescent="0.25">
      <c r="A2801" s="6" t="s">
        <v>10334</v>
      </c>
      <c r="B2801" s="6" t="s">
        <v>10333</v>
      </c>
      <c r="C2801" s="6" t="s">
        <v>31</v>
      </c>
      <c r="E2801" s="6" t="s">
        <v>10332</v>
      </c>
      <c r="F2801" s="6" t="s">
        <v>3946</v>
      </c>
      <c r="G2801" s="6" t="s">
        <v>16</v>
      </c>
      <c r="H2801" s="6" t="s">
        <v>15</v>
      </c>
      <c r="I2801" s="6" t="s">
        <v>14</v>
      </c>
      <c r="J2801" s="6" t="s">
        <v>35</v>
      </c>
      <c r="K2801" s="7">
        <v>29.734576570000002</v>
      </c>
      <c r="L2801" s="7">
        <v>-95.146769840000005</v>
      </c>
      <c r="M2801" s="6" t="s">
        <v>34</v>
      </c>
      <c r="N2801" s="6" t="s">
        <v>24</v>
      </c>
      <c r="O2801" s="6" t="s">
        <v>23</v>
      </c>
    </row>
    <row r="2802" spans="1:15" x14ac:dyDescent="0.25">
      <c r="A2802" s="6" t="s">
        <v>4346</v>
      </c>
      <c r="B2802" s="6" t="s">
        <v>4345</v>
      </c>
      <c r="C2802" s="6" t="s">
        <v>31</v>
      </c>
      <c r="E2802" s="6" t="s">
        <v>4344</v>
      </c>
      <c r="F2802" s="6" t="s">
        <v>4343</v>
      </c>
      <c r="G2802" s="6" t="s">
        <v>16</v>
      </c>
      <c r="H2802" s="6" t="s">
        <v>28</v>
      </c>
      <c r="I2802" s="6" t="s">
        <v>14</v>
      </c>
      <c r="J2802" s="6" t="s">
        <v>162</v>
      </c>
      <c r="K2802" s="7">
        <v>29.352956420000002</v>
      </c>
      <c r="L2802" s="7">
        <v>-95.310022770000003</v>
      </c>
      <c r="M2802" s="6" t="s">
        <v>161</v>
      </c>
      <c r="N2802" s="6" t="s">
        <v>160</v>
      </c>
      <c r="O2802" s="6" t="s">
        <v>23</v>
      </c>
    </row>
    <row r="2803" spans="1:15" x14ac:dyDescent="0.25">
      <c r="A2803" s="6" t="s">
        <v>9847</v>
      </c>
      <c r="B2803" s="6" t="s">
        <v>9846</v>
      </c>
      <c r="C2803" s="6" t="s">
        <v>31</v>
      </c>
      <c r="E2803" s="6" t="s">
        <v>9845</v>
      </c>
      <c r="F2803" s="6" t="s">
        <v>9844</v>
      </c>
      <c r="G2803" s="6" t="s">
        <v>16</v>
      </c>
      <c r="H2803" s="6" t="s">
        <v>28</v>
      </c>
      <c r="I2803" s="6" t="s">
        <v>60</v>
      </c>
      <c r="J2803" s="6" t="s">
        <v>162</v>
      </c>
      <c r="K2803" s="7">
        <v>29.494865999999998</v>
      </c>
      <c r="L2803" s="7">
        <v>-95.399039999999999</v>
      </c>
      <c r="M2803" s="6" t="s">
        <v>161</v>
      </c>
      <c r="N2803" s="6" t="s">
        <v>160</v>
      </c>
      <c r="O2803" s="6" t="s">
        <v>23</v>
      </c>
    </row>
    <row r="2804" spans="1:15" x14ac:dyDescent="0.25">
      <c r="A2804" s="6" t="s">
        <v>9834</v>
      </c>
      <c r="B2804" s="6" t="s">
        <v>9833</v>
      </c>
      <c r="C2804" s="6" t="s">
        <v>31</v>
      </c>
      <c r="E2804" s="6" t="s">
        <v>9832</v>
      </c>
      <c r="F2804" s="6" t="s">
        <v>895</v>
      </c>
      <c r="G2804" s="6" t="s">
        <v>16</v>
      </c>
      <c r="H2804" s="6" t="s">
        <v>28</v>
      </c>
      <c r="I2804" s="6" t="s">
        <v>60</v>
      </c>
      <c r="J2804" s="6" t="s">
        <v>168</v>
      </c>
      <c r="K2804" s="7">
        <v>33.030418609999998</v>
      </c>
      <c r="L2804" s="7">
        <v>-97.379780819999993</v>
      </c>
      <c r="M2804" s="6" t="s">
        <v>156</v>
      </c>
      <c r="N2804" s="6" t="s">
        <v>102</v>
      </c>
      <c r="O2804" s="6" t="s">
        <v>42</v>
      </c>
    </row>
    <row r="2805" spans="1:15" x14ac:dyDescent="0.25">
      <c r="A2805" s="6" t="s">
        <v>10330</v>
      </c>
      <c r="B2805" s="6" t="s">
        <v>10329</v>
      </c>
      <c r="C2805" s="6" t="s">
        <v>31</v>
      </c>
      <c r="E2805" s="6" t="s">
        <v>10328</v>
      </c>
      <c r="F2805" s="6" t="s">
        <v>10327</v>
      </c>
      <c r="G2805" s="6" t="s">
        <v>16</v>
      </c>
      <c r="H2805" s="6" t="s">
        <v>28</v>
      </c>
      <c r="I2805" s="6" t="s">
        <v>60</v>
      </c>
      <c r="J2805" s="6" t="s">
        <v>35</v>
      </c>
      <c r="K2805" s="7">
        <v>29.743698999999999</v>
      </c>
      <c r="L2805" s="7">
        <v>-95.077691000000002</v>
      </c>
      <c r="M2805" s="6" t="s">
        <v>701</v>
      </c>
      <c r="N2805" s="6" t="s">
        <v>24</v>
      </c>
      <c r="O2805" s="6" t="s">
        <v>23</v>
      </c>
    </row>
    <row r="2806" spans="1:15" x14ac:dyDescent="0.25">
      <c r="A2806" s="6" t="s">
        <v>9827</v>
      </c>
      <c r="B2806" s="6" t="s">
        <v>9826</v>
      </c>
      <c r="C2806" s="6" t="s">
        <v>31</v>
      </c>
      <c r="E2806" s="6" t="s">
        <v>9825</v>
      </c>
      <c r="F2806" s="6" t="s">
        <v>4160</v>
      </c>
      <c r="G2806" s="6" t="s">
        <v>16</v>
      </c>
      <c r="H2806" s="6" t="s">
        <v>28</v>
      </c>
      <c r="I2806" s="6" t="s">
        <v>60</v>
      </c>
      <c r="J2806" s="6" t="s">
        <v>781</v>
      </c>
      <c r="K2806" s="7">
        <v>32.678446999999998</v>
      </c>
      <c r="L2806" s="7">
        <v>-94.175230999999997</v>
      </c>
      <c r="M2806" s="6" t="s">
        <v>7771</v>
      </c>
      <c r="N2806" s="6" t="s">
        <v>42</v>
      </c>
      <c r="O2806" s="6" t="s">
        <v>65</v>
      </c>
    </row>
    <row r="2807" spans="1:15" x14ac:dyDescent="0.25">
      <c r="A2807" s="6" t="s">
        <v>9824</v>
      </c>
      <c r="B2807" s="6" t="s">
        <v>9823</v>
      </c>
      <c r="C2807" s="6" t="s">
        <v>31</v>
      </c>
      <c r="E2807" s="6" t="s">
        <v>9822</v>
      </c>
      <c r="F2807" s="6" t="s">
        <v>5125</v>
      </c>
      <c r="G2807" s="6" t="s">
        <v>16</v>
      </c>
      <c r="H2807" s="6" t="s">
        <v>28</v>
      </c>
      <c r="I2807" s="6" t="s">
        <v>60</v>
      </c>
      <c r="J2807" s="6" t="s">
        <v>2267</v>
      </c>
      <c r="K2807" s="7">
        <v>32.195596999999999</v>
      </c>
      <c r="L2807" s="7">
        <v>-96.054265000000001</v>
      </c>
      <c r="M2807" s="6" t="s">
        <v>193</v>
      </c>
      <c r="N2807" s="6" t="s">
        <v>102</v>
      </c>
      <c r="O2807" s="6" t="s">
        <v>65</v>
      </c>
    </row>
    <row r="2808" spans="1:15" x14ac:dyDescent="0.25">
      <c r="A2808" s="6" t="s">
        <v>6262</v>
      </c>
      <c r="B2808" s="6" t="s">
        <v>6261</v>
      </c>
      <c r="C2808" s="6" t="s">
        <v>31</v>
      </c>
      <c r="E2808" s="6" t="s">
        <v>6260</v>
      </c>
      <c r="F2808" s="6" t="s">
        <v>6259</v>
      </c>
      <c r="G2808" s="6" t="s">
        <v>16</v>
      </c>
      <c r="H2808" s="6" t="s">
        <v>28</v>
      </c>
      <c r="I2808" s="6" t="s">
        <v>73</v>
      </c>
      <c r="J2808" s="6" t="s">
        <v>1752</v>
      </c>
      <c r="K2808" s="7">
        <v>30.818477730000001</v>
      </c>
      <c r="L2808" s="7">
        <v>-95.234965029999998</v>
      </c>
      <c r="M2808" s="6" t="s">
        <v>317</v>
      </c>
      <c r="N2808" s="6" t="s">
        <v>102</v>
      </c>
      <c r="O2808" s="6" t="s">
        <v>24</v>
      </c>
    </row>
    <row r="2809" spans="1:15" x14ac:dyDescent="0.25">
      <c r="A2809" s="6" t="s">
        <v>9821</v>
      </c>
      <c r="B2809" s="6" t="s">
        <v>9820</v>
      </c>
      <c r="C2809" s="6" t="s">
        <v>31</v>
      </c>
      <c r="E2809" s="6" t="s">
        <v>9819</v>
      </c>
      <c r="F2809" s="6" t="s">
        <v>9818</v>
      </c>
      <c r="G2809" s="6" t="s">
        <v>16</v>
      </c>
      <c r="H2809" s="6" t="s">
        <v>28</v>
      </c>
      <c r="I2809" s="6" t="s">
        <v>73</v>
      </c>
      <c r="J2809" s="6" t="s">
        <v>2287</v>
      </c>
      <c r="K2809" s="7">
        <v>30.822756999999999</v>
      </c>
      <c r="L2809" s="7">
        <v>-93.975010999999995</v>
      </c>
      <c r="M2809" s="6" t="s">
        <v>2641</v>
      </c>
      <c r="N2809" s="6" t="s">
        <v>65</v>
      </c>
      <c r="O2809" s="6" t="s">
        <v>24</v>
      </c>
    </row>
    <row r="2810" spans="1:15" x14ac:dyDescent="0.25">
      <c r="A2810" s="6" t="s">
        <v>10322</v>
      </c>
      <c r="B2810" s="6" t="s">
        <v>10320</v>
      </c>
      <c r="C2810" s="6" t="s">
        <v>31</v>
      </c>
      <c r="E2810" s="6" t="s">
        <v>10319</v>
      </c>
      <c r="F2810" s="6" t="s">
        <v>915</v>
      </c>
      <c r="G2810" s="6" t="s">
        <v>16</v>
      </c>
      <c r="H2810" s="6" t="s">
        <v>15</v>
      </c>
      <c r="I2810" s="6" t="s">
        <v>14</v>
      </c>
      <c r="J2810" s="6" t="s">
        <v>385</v>
      </c>
      <c r="K2810" s="7">
        <v>29.838022890000001</v>
      </c>
      <c r="L2810" s="7">
        <v>-93.967100329999994</v>
      </c>
      <c r="M2810" s="6" t="s">
        <v>610</v>
      </c>
      <c r="N2810" s="6" t="s">
        <v>383</v>
      </c>
      <c r="O2810" s="6" t="s">
        <v>24</v>
      </c>
    </row>
    <row r="2811" spans="1:15" x14ac:dyDescent="0.25">
      <c r="A2811" s="6" t="s">
        <v>10321</v>
      </c>
      <c r="B2811" s="6" t="s">
        <v>10320</v>
      </c>
      <c r="C2811" s="6" t="s">
        <v>19</v>
      </c>
      <c r="E2811" s="6" t="s">
        <v>10319</v>
      </c>
      <c r="F2811" s="6" t="s">
        <v>915</v>
      </c>
      <c r="G2811" s="6" t="s">
        <v>16</v>
      </c>
      <c r="H2811" s="6" t="s">
        <v>15</v>
      </c>
      <c r="I2811" s="6" t="s">
        <v>14</v>
      </c>
      <c r="J2811" s="6" t="s">
        <v>385</v>
      </c>
      <c r="K2811" s="7">
        <v>29.835150169999999</v>
      </c>
      <c r="L2811" s="7">
        <v>-93.960564840000004</v>
      </c>
      <c r="M2811" s="6" t="s">
        <v>610</v>
      </c>
      <c r="N2811" s="6" t="s">
        <v>383</v>
      </c>
      <c r="O2811" s="6" t="s">
        <v>24</v>
      </c>
    </row>
    <row r="2812" spans="1:15" x14ac:dyDescent="0.25">
      <c r="A2812" s="6" t="s">
        <v>8645</v>
      </c>
      <c r="B2812" s="6" t="s">
        <v>8644</v>
      </c>
      <c r="C2812" s="6" t="s">
        <v>31</v>
      </c>
      <c r="E2812" s="6" t="s">
        <v>8643</v>
      </c>
      <c r="F2812" s="6" t="s">
        <v>8642</v>
      </c>
      <c r="G2812" s="6" t="s">
        <v>16</v>
      </c>
      <c r="H2812" s="6" t="s">
        <v>28</v>
      </c>
      <c r="I2812" s="6" t="s">
        <v>27</v>
      </c>
      <c r="J2812" s="6" t="s">
        <v>35</v>
      </c>
      <c r="K2812" s="7">
        <v>29.889400999999999</v>
      </c>
      <c r="L2812" s="7">
        <v>-95.443910000000002</v>
      </c>
      <c r="M2812" s="6" t="s">
        <v>34</v>
      </c>
      <c r="N2812" s="6" t="s">
        <v>24</v>
      </c>
      <c r="O2812" s="6" t="s">
        <v>23</v>
      </c>
    </row>
    <row r="2813" spans="1:15" x14ac:dyDescent="0.25">
      <c r="A2813" s="6" t="s">
        <v>9813</v>
      </c>
      <c r="B2813" s="6" t="s">
        <v>9812</v>
      </c>
      <c r="C2813" s="6" t="s">
        <v>31</v>
      </c>
      <c r="E2813" s="6" t="s">
        <v>9811</v>
      </c>
      <c r="F2813" s="6" t="s">
        <v>9810</v>
      </c>
      <c r="G2813" s="6" t="s">
        <v>16</v>
      </c>
      <c r="H2813" s="6" t="s">
        <v>28</v>
      </c>
      <c r="I2813" s="6" t="s">
        <v>27</v>
      </c>
      <c r="J2813" s="6" t="s">
        <v>35</v>
      </c>
      <c r="K2813" s="7">
        <v>29.885912000000001</v>
      </c>
      <c r="L2813" s="7">
        <v>-95.380015</v>
      </c>
      <c r="M2813" s="6" t="s">
        <v>34</v>
      </c>
      <c r="N2813" s="6" t="s">
        <v>24</v>
      </c>
      <c r="O2813" s="6" t="s">
        <v>23</v>
      </c>
    </row>
    <row r="2814" spans="1:15" x14ac:dyDescent="0.25">
      <c r="A2814" s="6" t="s">
        <v>9794</v>
      </c>
      <c r="B2814" s="6" t="s">
        <v>9793</v>
      </c>
      <c r="C2814" s="6" t="s">
        <v>31</v>
      </c>
      <c r="E2814" s="6" t="s">
        <v>9792</v>
      </c>
      <c r="F2814" s="6" t="s">
        <v>9791</v>
      </c>
      <c r="G2814" s="6" t="s">
        <v>16</v>
      </c>
      <c r="H2814" s="6" t="s">
        <v>28</v>
      </c>
      <c r="I2814" s="6" t="s">
        <v>27</v>
      </c>
      <c r="J2814" s="6" t="s">
        <v>26</v>
      </c>
      <c r="K2814" s="7">
        <v>30.325031370000001</v>
      </c>
      <c r="L2814" s="7">
        <v>-95.309159300000005</v>
      </c>
      <c r="M2814" s="6" t="s">
        <v>59</v>
      </c>
      <c r="N2814" s="6" t="s">
        <v>24</v>
      </c>
      <c r="O2814" s="6" t="s">
        <v>23</v>
      </c>
    </row>
    <row r="2815" spans="1:15" x14ac:dyDescent="0.25">
      <c r="A2815" s="6" t="s">
        <v>10943</v>
      </c>
      <c r="B2815" s="6" t="s">
        <v>10942</v>
      </c>
      <c r="C2815" s="6" t="s">
        <v>31</v>
      </c>
      <c r="E2815" s="6" t="s">
        <v>10941</v>
      </c>
      <c r="F2815" s="6" t="s">
        <v>10940</v>
      </c>
      <c r="G2815" s="6" t="s">
        <v>16</v>
      </c>
      <c r="H2815" s="6" t="s">
        <v>15</v>
      </c>
      <c r="I2815" s="6" t="s">
        <v>14</v>
      </c>
      <c r="J2815" s="6" t="s">
        <v>35</v>
      </c>
      <c r="K2815" s="7">
        <v>29.734019459999999</v>
      </c>
      <c r="L2815" s="7">
        <v>-95.140302550000001</v>
      </c>
      <c r="M2815" s="6" t="s">
        <v>34</v>
      </c>
      <c r="N2815" s="6" t="s">
        <v>24</v>
      </c>
      <c r="O2815" s="6" t="s">
        <v>23</v>
      </c>
    </row>
    <row r="2816" spans="1:15" x14ac:dyDescent="0.25">
      <c r="A2816" s="6" t="s">
        <v>10939</v>
      </c>
      <c r="B2816" s="6" t="s">
        <v>594</v>
      </c>
      <c r="C2816" s="6" t="s">
        <v>31</v>
      </c>
      <c r="E2816" s="6" t="s">
        <v>593</v>
      </c>
      <c r="F2816" s="6" t="s">
        <v>592</v>
      </c>
      <c r="G2816" s="6" t="s">
        <v>16</v>
      </c>
      <c r="H2816" s="6" t="s">
        <v>591</v>
      </c>
      <c r="I2816" s="6" t="s">
        <v>14</v>
      </c>
      <c r="J2816" s="6" t="s">
        <v>590</v>
      </c>
      <c r="K2816" s="7">
        <v>30.377444610000001</v>
      </c>
      <c r="L2816" s="7">
        <v>-97.221560960000005</v>
      </c>
      <c r="M2816" s="6" t="s">
        <v>589</v>
      </c>
      <c r="N2816" s="6" t="s">
        <v>23</v>
      </c>
      <c r="O2816" s="6" t="s">
        <v>160</v>
      </c>
    </row>
    <row r="2817" spans="1:15" x14ac:dyDescent="0.25">
      <c r="A2817" s="6" t="s">
        <v>10938</v>
      </c>
      <c r="B2817" s="6" t="s">
        <v>594</v>
      </c>
      <c r="C2817" s="6" t="s">
        <v>19</v>
      </c>
      <c r="E2817" s="6" t="s">
        <v>593</v>
      </c>
      <c r="F2817" s="6" t="s">
        <v>592</v>
      </c>
      <c r="G2817" s="6" t="s">
        <v>16</v>
      </c>
      <c r="H2817" s="6" t="s">
        <v>591</v>
      </c>
      <c r="I2817" s="6" t="s">
        <v>14</v>
      </c>
      <c r="J2817" s="6" t="s">
        <v>456</v>
      </c>
      <c r="K2817" s="7">
        <v>30.35286967</v>
      </c>
      <c r="L2817" s="7">
        <v>-97.278931220000004</v>
      </c>
      <c r="M2817" s="6" t="s">
        <v>455</v>
      </c>
      <c r="N2817" s="6" t="s">
        <v>10</v>
      </c>
      <c r="O2817" s="6" t="s">
        <v>160</v>
      </c>
    </row>
    <row r="2818" spans="1:15" x14ac:dyDescent="0.25">
      <c r="A2818" s="6" t="s">
        <v>598</v>
      </c>
      <c r="B2818" s="6" t="s">
        <v>594</v>
      </c>
      <c r="C2818" s="6" t="s">
        <v>597</v>
      </c>
      <c r="E2818" s="6" t="s">
        <v>593</v>
      </c>
      <c r="F2818" s="6" t="s">
        <v>592</v>
      </c>
      <c r="G2818" s="6" t="s">
        <v>16</v>
      </c>
      <c r="H2818" s="6" t="s">
        <v>591</v>
      </c>
      <c r="I2818" s="6" t="s">
        <v>14</v>
      </c>
      <c r="J2818" s="6" t="s">
        <v>456</v>
      </c>
      <c r="K2818" s="7">
        <v>30.318935710000002</v>
      </c>
      <c r="L2818" s="7">
        <v>-97.276478510000004</v>
      </c>
      <c r="M2818" s="6" t="s">
        <v>455</v>
      </c>
      <c r="N2818" s="6" t="s">
        <v>10</v>
      </c>
      <c r="O2818" s="6" t="s">
        <v>160</v>
      </c>
    </row>
    <row r="2819" spans="1:15" x14ac:dyDescent="0.25">
      <c r="A2819" s="6" t="s">
        <v>596</v>
      </c>
      <c r="B2819" s="6" t="s">
        <v>594</v>
      </c>
      <c r="C2819" s="6" t="s">
        <v>557</v>
      </c>
      <c r="E2819" s="6" t="s">
        <v>593</v>
      </c>
      <c r="F2819" s="6" t="s">
        <v>592</v>
      </c>
      <c r="G2819" s="6" t="s">
        <v>16</v>
      </c>
      <c r="H2819" s="6" t="s">
        <v>591</v>
      </c>
      <c r="I2819" s="6" t="s">
        <v>14</v>
      </c>
      <c r="J2819" s="6" t="s">
        <v>590</v>
      </c>
      <c r="K2819" s="7">
        <v>30.373084559999999</v>
      </c>
      <c r="L2819" s="7">
        <v>-97.226747090000003</v>
      </c>
      <c r="M2819" s="6" t="s">
        <v>589</v>
      </c>
      <c r="N2819" s="6" t="s">
        <v>23</v>
      </c>
      <c r="O2819" s="6" t="s">
        <v>160</v>
      </c>
    </row>
    <row r="2820" spans="1:15" x14ac:dyDescent="0.25">
      <c r="A2820" s="6" t="s">
        <v>595</v>
      </c>
      <c r="B2820" s="6" t="s">
        <v>594</v>
      </c>
      <c r="C2820" s="6" t="s">
        <v>433</v>
      </c>
      <c r="E2820" s="6" t="s">
        <v>593</v>
      </c>
      <c r="F2820" s="6" t="s">
        <v>592</v>
      </c>
      <c r="G2820" s="6" t="s">
        <v>16</v>
      </c>
      <c r="H2820" s="6" t="s">
        <v>591</v>
      </c>
      <c r="I2820" s="6" t="s">
        <v>14</v>
      </c>
      <c r="J2820" s="6" t="s">
        <v>590</v>
      </c>
      <c r="K2820" s="7">
        <v>30.357629159999998</v>
      </c>
      <c r="L2820" s="7">
        <v>-97.230495529999999</v>
      </c>
      <c r="M2820" s="6" t="s">
        <v>589</v>
      </c>
      <c r="N2820" s="6" t="s">
        <v>23</v>
      </c>
      <c r="O2820" s="6" t="s">
        <v>160</v>
      </c>
    </row>
    <row r="2821" spans="1:15" x14ac:dyDescent="0.25">
      <c r="A2821" s="6" t="s">
        <v>1471</v>
      </c>
      <c r="B2821" s="6" t="s">
        <v>1470</v>
      </c>
      <c r="C2821" s="6" t="s">
        <v>31</v>
      </c>
      <c r="E2821" s="6" t="s">
        <v>1469</v>
      </c>
      <c r="F2821" s="6" t="s">
        <v>410</v>
      </c>
      <c r="G2821" s="6" t="s">
        <v>16</v>
      </c>
      <c r="H2821" s="6" t="s">
        <v>15</v>
      </c>
      <c r="I2821" s="6" t="s">
        <v>14</v>
      </c>
      <c r="J2821" s="6" t="s">
        <v>409</v>
      </c>
      <c r="K2821" s="7">
        <v>30.213643820000001</v>
      </c>
      <c r="L2821" s="7">
        <v>-97.614270099999999</v>
      </c>
      <c r="M2821" s="6" t="s">
        <v>408</v>
      </c>
      <c r="N2821" s="6" t="s">
        <v>10</v>
      </c>
      <c r="O2821" s="6" t="s">
        <v>160</v>
      </c>
    </row>
    <row r="2822" spans="1:15" x14ac:dyDescent="0.25">
      <c r="A2822" s="6" t="s">
        <v>9790</v>
      </c>
      <c r="B2822" s="6" t="s">
        <v>9789</v>
      </c>
      <c r="C2822" s="6" t="s">
        <v>31</v>
      </c>
      <c r="E2822" s="6" t="s">
        <v>9788</v>
      </c>
      <c r="F2822" s="6" t="s">
        <v>9787</v>
      </c>
      <c r="G2822" s="6" t="s">
        <v>16</v>
      </c>
      <c r="H2822" s="6" t="s">
        <v>28</v>
      </c>
      <c r="I2822" s="6" t="s">
        <v>27</v>
      </c>
      <c r="J2822" s="6" t="s">
        <v>566</v>
      </c>
      <c r="K2822" s="7">
        <v>32.13128494</v>
      </c>
      <c r="L2822" s="7">
        <v>-94.944313030000004</v>
      </c>
      <c r="M2822" s="6" t="s">
        <v>203</v>
      </c>
      <c r="N2822" s="6" t="s">
        <v>52</v>
      </c>
      <c r="O2822" s="6" t="s">
        <v>65</v>
      </c>
    </row>
    <row r="2823" spans="1:15" x14ac:dyDescent="0.25">
      <c r="A2823" s="6" t="s">
        <v>9786</v>
      </c>
      <c r="B2823" s="6" t="s">
        <v>9785</v>
      </c>
      <c r="C2823" s="6" t="s">
        <v>31</v>
      </c>
      <c r="E2823" s="6" t="s">
        <v>9784</v>
      </c>
      <c r="F2823" s="6" t="s">
        <v>2607</v>
      </c>
      <c r="G2823" s="6" t="s">
        <v>16</v>
      </c>
      <c r="H2823" s="6" t="s">
        <v>28</v>
      </c>
      <c r="I2823" s="6" t="s">
        <v>27</v>
      </c>
      <c r="J2823" s="6" t="s">
        <v>7038</v>
      </c>
      <c r="K2823" s="7">
        <v>31.227466320000001</v>
      </c>
      <c r="L2823" s="7">
        <v>-98.417994730000004</v>
      </c>
      <c r="M2823" s="6" t="s">
        <v>9783</v>
      </c>
      <c r="N2823" s="6" t="s">
        <v>10</v>
      </c>
      <c r="O2823" s="6" t="s">
        <v>120</v>
      </c>
    </row>
    <row r="2824" spans="1:15" x14ac:dyDescent="0.25">
      <c r="A2824" s="6" t="s">
        <v>1820</v>
      </c>
      <c r="B2824" s="6" t="s">
        <v>1819</v>
      </c>
      <c r="C2824" s="6" t="s">
        <v>31</v>
      </c>
      <c r="E2824" s="6" t="s">
        <v>1818</v>
      </c>
      <c r="F2824" s="6" t="s">
        <v>1817</v>
      </c>
      <c r="G2824" s="6" t="s">
        <v>16</v>
      </c>
      <c r="H2824" s="6" t="s">
        <v>15</v>
      </c>
      <c r="I2824" s="6" t="s">
        <v>14</v>
      </c>
      <c r="J2824" s="6" t="s">
        <v>928</v>
      </c>
      <c r="K2824" s="7">
        <v>31.351805150000001</v>
      </c>
      <c r="L2824" s="7">
        <v>-96.168753219999999</v>
      </c>
      <c r="M2824" s="6" t="s">
        <v>927</v>
      </c>
      <c r="N2824" s="6" t="s">
        <v>23</v>
      </c>
      <c r="O2824" s="6" t="s">
        <v>120</v>
      </c>
    </row>
    <row r="2825" spans="1:15" x14ac:dyDescent="0.25">
      <c r="A2825" s="6" t="s">
        <v>10937</v>
      </c>
      <c r="B2825" s="6" t="s">
        <v>1859</v>
      </c>
      <c r="C2825" s="6" t="s">
        <v>31</v>
      </c>
      <c r="E2825" s="6" t="s">
        <v>1858</v>
      </c>
      <c r="F2825" s="6" t="s">
        <v>1857</v>
      </c>
      <c r="G2825" s="6" t="s">
        <v>16</v>
      </c>
      <c r="H2825" s="6" t="s">
        <v>15</v>
      </c>
      <c r="I2825" s="6" t="s">
        <v>46</v>
      </c>
      <c r="J2825" s="6" t="s">
        <v>104</v>
      </c>
      <c r="K2825" s="7">
        <v>32.777435519999997</v>
      </c>
      <c r="L2825" s="7">
        <v>-96.500010560000007</v>
      </c>
      <c r="M2825" s="6" t="s">
        <v>450</v>
      </c>
      <c r="N2825" s="6" t="s">
        <v>102</v>
      </c>
      <c r="O2825" s="6" t="s">
        <v>42</v>
      </c>
    </row>
    <row r="2826" spans="1:15" x14ac:dyDescent="0.25">
      <c r="A2826" s="6" t="s">
        <v>1860</v>
      </c>
      <c r="B2826" s="6" t="s">
        <v>1859</v>
      </c>
      <c r="C2826" s="6" t="s">
        <v>19</v>
      </c>
      <c r="E2826" s="6" t="s">
        <v>1858</v>
      </c>
      <c r="F2826" s="6" t="s">
        <v>1857</v>
      </c>
      <c r="G2826" s="6" t="s">
        <v>16</v>
      </c>
      <c r="H2826" s="6" t="s">
        <v>430</v>
      </c>
      <c r="I2826" s="6" t="s">
        <v>46</v>
      </c>
      <c r="J2826" s="6" t="s">
        <v>104</v>
      </c>
      <c r="K2826" s="7">
        <v>32.75469623</v>
      </c>
      <c r="L2826" s="7">
        <v>-96.492917829999996</v>
      </c>
      <c r="M2826" s="6" t="s">
        <v>450</v>
      </c>
      <c r="N2826" s="6" t="s">
        <v>102</v>
      </c>
      <c r="O2826" s="6" t="s">
        <v>42</v>
      </c>
    </row>
    <row r="2827" spans="1:15" x14ac:dyDescent="0.25">
      <c r="A2827" s="6" t="s">
        <v>10808</v>
      </c>
      <c r="B2827" s="6" t="s">
        <v>10807</v>
      </c>
      <c r="C2827" s="6" t="s">
        <v>31</v>
      </c>
      <c r="E2827" s="6" t="s">
        <v>10806</v>
      </c>
      <c r="F2827" s="6" t="s">
        <v>10805</v>
      </c>
      <c r="G2827" s="6" t="s">
        <v>16</v>
      </c>
      <c r="H2827" s="6" t="s">
        <v>15</v>
      </c>
      <c r="I2827" s="6" t="s">
        <v>14</v>
      </c>
      <c r="J2827" s="6" t="s">
        <v>162</v>
      </c>
      <c r="K2827" s="7">
        <v>28.988128339999999</v>
      </c>
      <c r="L2827" s="7">
        <v>-95.367098679999998</v>
      </c>
      <c r="M2827" s="6" t="s">
        <v>244</v>
      </c>
      <c r="N2827" s="6" t="s">
        <v>23</v>
      </c>
      <c r="O2827" s="6" t="s">
        <v>23</v>
      </c>
    </row>
    <row r="2828" spans="1:15" x14ac:dyDescent="0.25">
      <c r="A2828" s="6" t="s">
        <v>9782</v>
      </c>
      <c r="B2828" s="6" t="s">
        <v>9781</v>
      </c>
      <c r="C2828" s="6" t="s">
        <v>31</v>
      </c>
      <c r="E2828" s="6" t="s">
        <v>9780</v>
      </c>
      <c r="F2828" s="6" t="s">
        <v>9779</v>
      </c>
      <c r="G2828" s="6" t="s">
        <v>16</v>
      </c>
      <c r="H2828" s="6" t="s">
        <v>28</v>
      </c>
      <c r="I2828" s="6" t="s">
        <v>73</v>
      </c>
      <c r="J2828" s="6" t="s">
        <v>35</v>
      </c>
      <c r="K2828" s="7">
        <v>29.778945</v>
      </c>
      <c r="L2828" s="7">
        <v>-95.790384000000003</v>
      </c>
      <c r="M2828" s="6" t="s">
        <v>131</v>
      </c>
      <c r="N2828" s="6" t="s">
        <v>24</v>
      </c>
      <c r="O2828" s="6" t="s">
        <v>23</v>
      </c>
    </row>
    <row r="2829" spans="1:15" x14ac:dyDescent="0.25">
      <c r="A2829" s="6" t="s">
        <v>9778</v>
      </c>
      <c r="B2829" s="6" t="s">
        <v>9777</v>
      </c>
      <c r="C2829" s="6" t="s">
        <v>31</v>
      </c>
      <c r="E2829" s="6" t="s">
        <v>9776</v>
      </c>
      <c r="F2829" s="6" t="s">
        <v>2607</v>
      </c>
      <c r="G2829" s="6" t="s">
        <v>16</v>
      </c>
      <c r="H2829" s="6" t="s">
        <v>28</v>
      </c>
      <c r="I2829" s="6" t="s">
        <v>27</v>
      </c>
      <c r="J2829" s="6" t="s">
        <v>456</v>
      </c>
      <c r="K2829" s="7">
        <v>30.156882</v>
      </c>
      <c r="L2829" s="7">
        <v>-97.447773999999995</v>
      </c>
      <c r="M2829" s="6" t="s">
        <v>408</v>
      </c>
      <c r="N2829" s="6" t="s">
        <v>10</v>
      </c>
      <c r="O2829" s="6" t="s">
        <v>160</v>
      </c>
    </row>
    <row r="2830" spans="1:15" x14ac:dyDescent="0.25">
      <c r="A2830" s="6" t="s">
        <v>9775</v>
      </c>
      <c r="B2830" s="6" t="s">
        <v>9774</v>
      </c>
      <c r="C2830" s="6" t="s">
        <v>31</v>
      </c>
      <c r="E2830" s="6" t="s">
        <v>9773</v>
      </c>
      <c r="F2830" s="6" t="s">
        <v>9772</v>
      </c>
      <c r="G2830" s="6" t="s">
        <v>16</v>
      </c>
      <c r="H2830" s="6" t="s">
        <v>28</v>
      </c>
      <c r="I2830" s="6" t="s">
        <v>60</v>
      </c>
      <c r="J2830" s="6" t="s">
        <v>26</v>
      </c>
      <c r="K2830" s="7">
        <v>30.257937999999999</v>
      </c>
      <c r="L2830" s="7">
        <v>-95.644397999999995</v>
      </c>
      <c r="M2830" s="6" t="s">
        <v>25</v>
      </c>
      <c r="N2830" s="6" t="s">
        <v>24</v>
      </c>
      <c r="O2830" s="6" t="s">
        <v>23</v>
      </c>
    </row>
    <row r="2831" spans="1:15" x14ac:dyDescent="0.25">
      <c r="A2831" s="6" t="s">
        <v>9771</v>
      </c>
      <c r="B2831" s="6" t="s">
        <v>9770</v>
      </c>
      <c r="C2831" s="6" t="s">
        <v>31</v>
      </c>
      <c r="E2831" s="6" t="s">
        <v>9769</v>
      </c>
      <c r="F2831" s="6" t="s">
        <v>9768</v>
      </c>
      <c r="G2831" s="6" t="s">
        <v>16</v>
      </c>
      <c r="H2831" s="6" t="s">
        <v>28</v>
      </c>
      <c r="I2831" s="6" t="s">
        <v>27</v>
      </c>
      <c r="J2831" s="6" t="s">
        <v>151</v>
      </c>
      <c r="K2831" s="7">
        <v>33.364974529999998</v>
      </c>
      <c r="L2831" s="7">
        <v>-97.388702870000003</v>
      </c>
      <c r="M2831" s="6" t="s">
        <v>167</v>
      </c>
      <c r="N2831" s="6" t="s">
        <v>102</v>
      </c>
      <c r="O2831" s="6" t="s">
        <v>42</v>
      </c>
    </row>
    <row r="2832" spans="1:15" x14ac:dyDescent="0.25">
      <c r="A2832" s="6" t="s">
        <v>10804</v>
      </c>
      <c r="B2832" s="6" t="s">
        <v>1799</v>
      </c>
      <c r="C2832" s="6" t="s">
        <v>31</v>
      </c>
      <c r="E2832" s="6" t="s">
        <v>1798</v>
      </c>
      <c r="F2832" s="6" t="s">
        <v>1797</v>
      </c>
      <c r="G2832" s="6" t="s">
        <v>16</v>
      </c>
      <c r="H2832" s="6" t="s">
        <v>15</v>
      </c>
      <c r="I2832" s="6" t="s">
        <v>46</v>
      </c>
      <c r="J2832" s="6" t="s">
        <v>781</v>
      </c>
      <c r="K2832" s="7">
        <v>32.371205549999999</v>
      </c>
      <c r="L2832" s="7">
        <v>-94.451000160000007</v>
      </c>
      <c r="M2832" s="6" t="s">
        <v>1218</v>
      </c>
      <c r="N2832" s="6" t="s">
        <v>65</v>
      </c>
      <c r="O2832" s="6" t="s">
        <v>65</v>
      </c>
    </row>
    <row r="2833" spans="1:15" x14ac:dyDescent="0.25">
      <c r="A2833" s="6" t="s">
        <v>1800</v>
      </c>
      <c r="B2833" s="6" t="s">
        <v>1799</v>
      </c>
      <c r="C2833" s="6" t="s">
        <v>19</v>
      </c>
      <c r="E2833" s="6" t="s">
        <v>1798</v>
      </c>
      <c r="F2833" s="6" t="s">
        <v>1797</v>
      </c>
      <c r="G2833" s="6" t="s">
        <v>16</v>
      </c>
      <c r="H2833" s="6" t="s">
        <v>430</v>
      </c>
      <c r="I2833" s="6" t="s">
        <v>46</v>
      </c>
      <c r="J2833" s="6" t="s">
        <v>781</v>
      </c>
      <c r="K2833" s="7">
        <v>32.392423200000003</v>
      </c>
      <c r="L2833" s="7">
        <v>-94.434049450000003</v>
      </c>
      <c r="M2833" s="6" t="s">
        <v>1218</v>
      </c>
      <c r="N2833" s="6" t="s">
        <v>65</v>
      </c>
      <c r="O2833" s="6" t="s">
        <v>65</v>
      </c>
    </row>
    <row r="2834" spans="1:15" x14ac:dyDescent="0.25">
      <c r="A2834" s="6" t="s">
        <v>2525</v>
      </c>
      <c r="B2834" s="6" t="s">
        <v>2524</v>
      </c>
      <c r="C2834" s="6" t="s">
        <v>31</v>
      </c>
      <c r="E2834" s="6" t="s">
        <v>2523</v>
      </c>
      <c r="F2834" s="6" t="s">
        <v>1946</v>
      </c>
      <c r="G2834" s="6" t="s">
        <v>16</v>
      </c>
      <c r="H2834" s="6" t="s">
        <v>15</v>
      </c>
      <c r="I2834" s="6" t="s">
        <v>60</v>
      </c>
      <c r="J2834" s="6" t="s">
        <v>1716</v>
      </c>
      <c r="K2834" s="7">
        <v>30.745069000000001</v>
      </c>
      <c r="L2834" s="7">
        <v>-95.638900000000007</v>
      </c>
      <c r="M2834" s="6" t="s">
        <v>340</v>
      </c>
      <c r="N2834" s="6" t="s">
        <v>24</v>
      </c>
      <c r="O2834" s="6" t="s">
        <v>23</v>
      </c>
    </row>
    <row r="2835" spans="1:15" x14ac:dyDescent="0.25">
      <c r="A2835" s="6" t="s">
        <v>4402</v>
      </c>
      <c r="B2835" s="6" t="s">
        <v>4323</v>
      </c>
      <c r="C2835" s="6" t="s">
        <v>31</v>
      </c>
      <c r="E2835" s="6" t="s">
        <v>4322</v>
      </c>
      <c r="F2835" s="6" t="s">
        <v>4321</v>
      </c>
      <c r="G2835" s="6" t="s">
        <v>16</v>
      </c>
      <c r="H2835" s="6" t="s">
        <v>430</v>
      </c>
      <c r="I2835" s="6" t="s">
        <v>46</v>
      </c>
      <c r="J2835" s="6" t="s">
        <v>537</v>
      </c>
      <c r="K2835" s="7">
        <v>35.310451</v>
      </c>
      <c r="L2835" s="7">
        <v>-101.74145900000001</v>
      </c>
      <c r="M2835" s="6" t="s">
        <v>4325</v>
      </c>
      <c r="N2835" s="6" t="s">
        <v>535</v>
      </c>
      <c r="O2835" s="6" t="s">
        <v>535</v>
      </c>
    </row>
    <row r="2836" spans="1:15" x14ac:dyDescent="0.25">
      <c r="A2836" s="6" t="s">
        <v>4401</v>
      </c>
      <c r="B2836" s="6" t="s">
        <v>4323</v>
      </c>
      <c r="C2836" s="6" t="s">
        <v>436</v>
      </c>
      <c r="E2836" s="6" t="s">
        <v>4322</v>
      </c>
      <c r="F2836" s="6" t="s">
        <v>4321</v>
      </c>
      <c r="G2836" s="6" t="s">
        <v>16</v>
      </c>
      <c r="H2836" s="6" t="s">
        <v>15</v>
      </c>
      <c r="I2836" s="6" t="s">
        <v>46</v>
      </c>
      <c r="J2836" s="6" t="s">
        <v>537</v>
      </c>
      <c r="K2836" s="7">
        <v>35.311055400000001</v>
      </c>
      <c r="L2836" s="7">
        <v>-101.74090700000001</v>
      </c>
      <c r="M2836" s="6" t="s">
        <v>4325</v>
      </c>
      <c r="N2836" s="6" t="s">
        <v>535</v>
      </c>
      <c r="O2836" s="6" t="s">
        <v>535</v>
      </c>
    </row>
    <row r="2837" spans="1:15" x14ac:dyDescent="0.25">
      <c r="A2837" s="6" t="s">
        <v>4400</v>
      </c>
      <c r="B2837" s="6" t="s">
        <v>4323</v>
      </c>
      <c r="C2837" s="6" t="s">
        <v>597</v>
      </c>
      <c r="E2837" s="6" t="s">
        <v>4322</v>
      </c>
      <c r="F2837" s="6" t="s">
        <v>4321</v>
      </c>
      <c r="G2837" s="6" t="s">
        <v>16</v>
      </c>
      <c r="H2837" s="6" t="s">
        <v>15</v>
      </c>
      <c r="I2837" s="6" t="s">
        <v>46</v>
      </c>
      <c r="J2837" s="6" t="s">
        <v>537</v>
      </c>
      <c r="K2837" s="7">
        <v>35.321511659999999</v>
      </c>
      <c r="L2837" s="7">
        <v>-101.74178885000001</v>
      </c>
      <c r="M2837" s="6" t="s">
        <v>4325</v>
      </c>
      <c r="N2837" s="6" t="s">
        <v>535</v>
      </c>
      <c r="O2837" s="6" t="s">
        <v>535</v>
      </c>
    </row>
    <row r="2838" spans="1:15" x14ac:dyDescent="0.25">
      <c r="A2838" s="6" t="s">
        <v>4399</v>
      </c>
      <c r="B2838" s="6" t="s">
        <v>4323</v>
      </c>
      <c r="C2838" s="6" t="s">
        <v>557</v>
      </c>
      <c r="E2838" s="6" t="s">
        <v>4322</v>
      </c>
      <c r="F2838" s="6" t="s">
        <v>4321</v>
      </c>
      <c r="G2838" s="6" t="s">
        <v>16</v>
      </c>
      <c r="H2838" s="6" t="s">
        <v>15</v>
      </c>
      <c r="I2838" s="6" t="s">
        <v>46</v>
      </c>
      <c r="J2838" s="6" t="s">
        <v>537</v>
      </c>
      <c r="K2838" s="7">
        <v>35.308770850000002</v>
      </c>
      <c r="L2838" s="7">
        <v>-101.71955269</v>
      </c>
      <c r="M2838" s="6" t="s">
        <v>4325</v>
      </c>
      <c r="N2838" s="6" t="s">
        <v>535</v>
      </c>
      <c r="O2838" s="6" t="s">
        <v>535</v>
      </c>
    </row>
    <row r="2839" spans="1:15" x14ac:dyDescent="0.25">
      <c r="A2839" s="6" t="s">
        <v>4328</v>
      </c>
      <c r="B2839" s="6" t="s">
        <v>4323</v>
      </c>
      <c r="C2839" s="6" t="s">
        <v>433</v>
      </c>
      <c r="E2839" s="6" t="s">
        <v>4322</v>
      </c>
      <c r="F2839" s="6" t="s">
        <v>4321</v>
      </c>
      <c r="G2839" s="6" t="s">
        <v>16</v>
      </c>
      <c r="H2839" s="6" t="s">
        <v>15</v>
      </c>
      <c r="I2839" s="6" t="s">
        <v>46</v>
      </c>
      <c r="J2839" s="6" t="s">
        <v>537</v>
      </c>
      <c r="K2839" s="7">
        <v>35.323751000000001</v>
      </c>
      <c r="L2839" s="7">
        <v>-101.72345799999999</v>
      </c>
      <c r="M2839" s="6" t="s">
        <v>4325</v>
      </c>
      <c r="N2839" s="6" t="s">
        <v>535</v>
      </c>
      <c r="O2839" s="6" t="s">
        <v>535</v>
      </c>
    </row>
    <row r="2840" spans="1:15" x14ac:dyDescent="0.25">
      <c r="A2840" s="6" t="s">
        <v>4327</v>
      </c>
      <c r="B2840" s="6" t="s">
        <v>4323</v>
      </c>
      <c r="C2840" s="6" t="s">
        <v>1098</v>
      </c>
      <c r="E2840" s="6" t="s">
        <v>4322</v>
      </c>
      <c r="F2840" s="6" t="s">
        <v>4321</v>
      </c>
      <c r="G2840" s="6" t="s">
        <v>16</v>
      </c>
      <c r="H2840" s="6" t="s">
        <v>15</v>
      </c>
      <c r="I2840" s="6" t="s">
        <v>46</v>
      </c>
      <c r="J2840" s="6" t="s">
        <v>537</v>
      </c>
      <c r="K2840" s="7">
        <v>35.323751000000001</v>
      </c>
      <c r="L2840" s="7">
        <v>-101.710658</v>
      </c>
      <c r="M2840" s="6" t="s">
        <v>4325</v>
      </c>
      <c r="N2840" s="6" t="s">
        <v>535</v>
      </c>
      <c r="O2840" s="6" t="s">
        <v>535</v>
      </c>
    </row>
    <row r="2841" spans="1:15" x14ac:dyDescent="0.25">
      <c r="A2841" s="6" t="s">
        <v>4326</v>
      </c>
      <c r="B2841" s="6" t="s">
        <v>4323</v>
      </c>
      <c r="C2841" s="6" t="s">
        <v>1096</v>
      </c>
      <c r="E2841" s="6" t="s">
        <v>4322</v>
      </c>
      <c r="F2841" s="6" t="s">
        <v>4321</v>
      </c>
      <c r="G2841" s="6" t="s">
        <v>16</v>
      </c>
      <c r="H2841" s="6" t="s">
        <v>15</v>
      </c>
      <c r="I2841" s="6" t="s">
        <v>46</v>
      </c>
      <c r="J2841" s="6" t="s">
        <v>537</v>
      </c>
      <c r="K2841" s="7">
        <v>35.29197774</v>
      </c>
      <c r="L2841" s="7">
        <v>-101.75266126</v>
      </c>
      <c r="M2841" s="6" t="s">
        <v>4325</v>
      </c>
      <c r="N2841" s="6" t="s">
        <v>535</v>
      </c>
      <c r="O2841" s="6" t="s">
        <v>535</v>
      </c>
    </row>
    <row r="2842" spans="1:15" x14ac:dyDescent="0.25">
      <c r="A2842" s="6" t="s">
        <v>4324</v>
      </c>
      <c r="B2842" s="6" t="s">
        <v>4323</v>
      </c>
      <c r="C2842" s="6" t="s">
        <v>638</v>
      </c>
      <c r="E2842" s="6" t="s">
        <v>4322</v>
      </c>
      <c r="F2842" s="6" t="s">
        <v>4321</v>
      </c>
      <c r="G2842" s="6" t="s">
        <v>16</v>
      </c>
      <c r="H2842" s="6" t="s">
        <v>15</v>
      </c>
      <c r="I2842" s="6" t="s">
        <v>46</v>
      </c>
      <c r="J2842" s="6" t="s">
        <v>537</v>
      </c>
      <c r="K2842" s="7">
        <v>35.294522999999998</v>
      </c>
      <c r="L2842" s="7">
        <v>-101.67489399999999</v>
      </c>
      <c r="M2842" s="6" t="s">
        <v>1177</v>
      </c>
      <c r="N2842" s="6" t="s">
        <v>43</v>
      </c>
      <c r="O2842" s="6" t="s">
        <v>535</v>
      </c>
    </row>
    <row r="2843" spans="1:15" x14ac:dyDescent="0.25">
      <c r="A2843" s="6" t="s">
        <v>8252</v>
      </c>
      <c r="B2843" s="6" t="s">
        <v>4323</v>
      </c>
      <c r="C2843" s="6" t="s">
        <v>1092</v>
      </c>
      <c r="E2843" s="6" t="s">
        <v>4322</v>
      </c>
      <c r="F2843" s="6" t="s">
        <v>4321</v>
      </c>
      <c r="G2843" s="6" t="s">
        <v>16</v>
      </c>
      <c r="H2843" s="6" t="s">
        <v>15</v>
      </c>
      <c r="I2843" s="6" t="s">
        <v>46</v>
      </c>
      <c r="J2843" s="6" t="s">
        <v>537</v>
      </c>
      <c r="K2843" s="7">
        <v>35.300744999999999</v>
      </c>
      <c r="L2843" s="7">
        <v>-101.754858</v>
      </c>
      <c r="M2843" s="6" t="s">
        <v>4325</v>
      </c>
      <c r="N2843" s="6" t="s">
        <v>535</v>
      </c>
      <c r="O2843" s="6" t="s">
        <v>535</v>
      </c>
    </row>
    <row r="2844" spans="1:15" x14ac:dyDescent="0.25">
      <c r="A2844" s="6" t="s">
        <v>8251</v>
      </c>
      <c r="B2844" s="6" t="s">
        <v>4323</v>
      </c>
      <c r="C2844" s="6" t="s">
        <v>869</v>
      </c>
      <c r="E2844" s="6" t="s">
        <v>4322</v>
      </c>
      <c r="F2844" s="6" t="s">
        <v>4321</v>
      </c>
      <c r="G2844" s="6" t="s">
        <v>16</v>
      </c>
      <c r="H2844" s="6" t="s">
        <v>15</v>
      </c>
      <c r="I2844" s="6" t="s">
        <v>46</v>
      </c>
      <c r="J2844" s="6" t="s">
        <v>537</v>
      </c>
      <c r="K2844" s="7">
        <v>35.308069000000003</v>
      </c>
      <c r="L2844" s="7">
        <v>-101.75134</v>
      </c>
      <c r="M2844" s="6" t="s">
        <v>4325</v>
      </c>
      <c r="N2844" s="6" t="s">
        <v>535</v>
      </c>
      <c r="O2844" s="6" t="s">
        <v>535</v>
      </c>
    </row>
    <row r="2845" spans="1:15" x14ac:dyDescent="0.25">
      <c r="A2845" s="6" t="s">
        <v>8250</v>
      </c>
      <c r="B2845" s="6" t="s">
        <v>4323</v>
      </c>
      <c r="C2845" s="6" t="s">
        <v>1844</v>
      </c>
      <c r="E2845" s="6" t="s">
        <v>4322</v>
      </c>
      <c r="F2845" s="6" t="s">
        <v>4321</v>
      </c>
      <c r="G2845" s="6" t="s">
        <v>16</v>
      </c>
      <c r="H2845" s="6" t="s">
        <v>15</v>
      </c>
      <c r="I2845" s="6" t="s">
        <v>46</v>
      </c>
      <c r="J2845" s="6" t="s">
        <v>537</v>
      </c>
      <c r="K2845" s="7">
        <v>35.291620309999999</v>
      </c>
      <c r="L2845" s="7">
        <v>-101.75453521999999</v>
      </c>
      <c r="M2845" s="6" t="s">
        <v>4325</v>
      </c>
      <c r="N2845" s="6" t="s">
        <v>535</v>
      </c>
      <c r="O2845" s="6" t="s">
        <v>535</v>
      </c>
    </row>
    <row r="2846" spans="1:15" x14ac:dyDescent="0.25">
      <c r="A2846" s="6" t="s">
        <v>9767</v>
      </c>
      <c r="B2846" s="6" t="s">
        <v>9766</v>
      </c>
      <c r="C2846" s="6" t="s">
        <v>31</v>
      </c>
      <c r="E2846" s="6" t="s">
        <v>9765</v>
      </c>
      <c r="F2846" s="6" t="s">
        <v>9764</v>
      </c>
      <c r="G2846" s="6" t="s">
        <v>16</v>
      </c>
      <c r="H2846" s="6" t="s">
        <v>28</v>
      </c>
      <c r="I2846" s="6" t="s">
        <v>73</v>
      </c>
      <c r="J2846" s="6" t="s">
        <v>26</v>
      </c>
      <c r="K2846" s="7">
        <v>30.198215999999999</v>
      </c>
      <c r="L2846" s="7">
        <v>-95.201389000000006</v>
      </c>
      <c r="M2846" s="6" t="s">
        <v>4048</v>
      </c>
      <c r="N2846" s="6" t="s">
        <v>24</v>
      </c>
      <c r="O2846" s="6" t="s">
        <v>23</v>
      </c>
    </row>
    <row r="2847" spans="1:15" x14ac:dyDescent="0.25">
      <c r="A2847" s="6" t="s">
        <v>10800</v>
      </c>
      <c r="B2847" s="6" t="s">
        <v>10799</v>
      </c>
      <c r="C2847" s="6" t="s">
        <v>31</v>
      </c>
      <c r="E2847" s="6" t="s">
        <v>10798</v>
      </c>
      <c r="F2847" s="6" t="s">
        <v>8336</v>
      </c>
      <c r="G2847" s="6" t="s">
        <v>16</v>
      </c>
      <c r="H2847" s="6" t="s">
        <v>15</v>
      </c>
      <c r="I2847" s="6" t="s">
        <v>14</v>
      </c>
      <c r="J2847" s="6" t="s">
        <v>221</v>
      </c>
      <c r="K2847" s="7">
        <v>30.51005615</v>
      </c>
      <c r="L2847" s="7">
        <v>-97.850847709999996</v>
      </c>
      <c r="M2847" s="6" t="s">
        <v>3908</v>
      </c>
      <c r="N2847" s="6" t="s">
        <v>23</v>
      </c>
      <c r="O2847" s="6" t="s">
        <v>160</v>
      </c>
    </row>
    <row r="2848" spans="1:15" x14ac:dyDescent="0.25">
      <c r="A2848" s="6" t="s">
        <v>11352</v>
      </c>
      <c r="B2848" s="6" t="s">
        <v>11351</v>
      </c>
      <c r="C2848" s="6" t="s">
        <v>31</v>
      </c>
      <c r="E2848" s="6" t="s">
        <v>11350</v>
      </c>
      <c r="F2848" s="6" t="s">
        <v>11349</v>
      </c>
      <c r="G2848" s="6" t="s">
        <v>16</v>
      </c>
      <c r="H2848" s="6" t="s">
        <v>15</v>
      </c>
      <c r="I2848" s="6" t="s">
        <v>36</v>
      </c>
      <c r="J2848" s="6" t="s">
        <v>90</v>
      </c>
      <c r="K2848" s="7">
        <v>26.024548800000002</v>
      </c>
      <c r="L2848" s="7">
        <v>-97.498994359999998</v>
      </c>
      <c r="M2848" s="6" t="s">
        <v>770</v>
      </c>
      <c r="N2848" s="6" t="s">
        <v>11</v>
      </c>
      <c r="O2848" s="6" t="s">
        <v>22</v>
      </c>
    </row>
    <row r="2849" spans="1:15" x14ac:dyDescent="0.25">
      <c r="A2849" s="6" t="s">
        <v>1508</v>
      </c>
      <c r="B2849" s="6" t="s">
        <v>1507</v>
      </c>
      <c r="C2849" s="6" t="s">
        <v>31</v>
      </c>
      <c r="E2849" s="6" t="s">
        <v>1506</v>
      </c>
      <c r="F2849" s="6" t="s">
        <v>1505</v>
      </c>
      <c r="G2849" s="6" t="s">
        <v>16</v>
      </c>
      <c r="H2849" s="6" t="s">
        <v>28</v>
      </c>
      <c r="I2849" s="6" t="s">
        <v>73</v>
      </c>
      <c r="J2849" s="6" t="s">
        <v>67</v>
      </c>
      <c r="K2849" s="7">
        <v>32.56589142</v>
      </c>
      <c r="L2849" s="7">
        <v>-95.57924165</v>
      </c>
      <c r="M2849" s="6" t="s">
        <v>423</v>
      </c>
      <c r="N2849" s="6" t="s">
        <v>65</v>
      </c>
      <c r="O2849" s="6" t="s">
        <v>65</v>
      </c>
    </row>
    <row r="2850" spans="1:15" x14ac:dyDescent="0.25">
      <c r="A2850" s="6" t="s">
        <v>1504</v>
      </c>
      <c r="B2850" s="6" t="s">
        <v>1503</v>
      </c>
      <c r="C2850" s="6" t="s">
        <v>31</v>
      </c>
      <c r="E2850" s="6" t="s">
        <v>1502</v>
      </c>
      <c r="F2850" s="6" t="s">
        <v>1501</v>
      </c>
      <c r="G2850" s="6" t="s">
        <v>16</v>
      </c>
      <c r="H2850" s="6" t="s">
        <v>28</v>
      </c>
      <c r="I2850" s="6" t="s">
        <v>14</v>
      </c>
      <c r="J2850" s="6" t="s">
        <v>132</v>
      </c>
      <c r="K2850" s="7">
        <v>29.544142390000001</v>
      </c>
      <c r="L2850" s="7">
        <v>-95.647507419999997</v>
      </c>
      <c r="M2850" s="6" t="s">
        <v>355</v>
      </c>
      <c r="N2850" s="6" t="s">
        <v>23</v>
      </c>
      <c r="O2850" s="6" t="s">
        <v>23</v>
      </c>
    </row>
    <row r="2851" spans="1:15" x14ac:dyDescent="0.25">
      <c r="A2851" s="6" t="s">
        <v>1500</v>
      </c>
      <c r="B2851" s="6" t="s">
        <v>1499</v>
      </c>
      <c r="C2851" s="6" t="s">
        <v>31</v>
      </c>
      <c r="E2851" s="6" t="s">
        <v>1498</v>
      </c>
      <c r="F2851" s="6" t="s">
        <v>1497</v>
      </c>
      <c r="G2851" s="6" t="s">
        <v>16</v>
      </c>
      <c r="H2851" s="6" t="s">
        <v>28</v>
      </c>
      <c r="I2851" s="6" t="s">
        <v>1200</v>
      </c>
      <c r="J2851" s="6" t="s">
        <v>35</v>
      </c>
      <c r="K2851" s="7">
        <v>29.860263</v>
      </c>
      <c r="L2851" s="7">
        <v>-95.193861999999996</v>
      </c>
      <c r="M2851" s="6" t="s">
        <v>198</v>
      </c>
      <c r="N2851" s="6" t="s">
        <v>24</v>
      </c>
      <c r="O2851" s="6" t="s">
        <v>23</v>
      </c>
    </row>
    <row r="2852" spans="1:15" x14ac:dyDescent="0.25">
      <c r="A2852" s="6" t="s">
        <v>4073</v>
      </c>
      <c r="B2852" s="6" t="s">
        <v>4072</v>
      </c>
      <c r="C2852" s="6" t="s">
        <v>31</v>
      </c>
      <c r="E2852" s="6" t="s">
        <v>4071</v>
      </c>
      <c r="F2852" s="6" t="s">
        <v>4070</v>
      </c>
      <c r="G2852" s="6" t="s">
        <v>16</v>
      </c>
      <c r="H2852" s="6" t="s">
        <v>28</v>
      </c>
      <c r="I2852" s="6" t="s">
        <v>60</v>
      </c>
      <c r="J2852" s="6" t="s">
        <v>162</v>
      </c>
      <c r="K2852" s="7">
        <v>29.530204999999999</v>
      </c>
      <c r="L2852" s="7">
        <v>-95.388469999999998</v>
      </c>
      <c r="M2852" s="6" t="s">
        <v>4069</v>
      </c>
      <c r="N2852" s="6" t="s">
        <v>160</v>
      </c>
      <c r="O2852" s="6" t="s">
        <v>23</v>
      </c>
    </row>
    <row r="2853" spans="1:15" x14ac:dyDescent="0.25">
      <c r="A2853" s="6" t="s">
        <v>4068</v>
      </c>
      <c r="B2853" s="6" t="s">
        <v>4067</v>
      </c>
      <c r="C2853" s="6" t="s">
        <v>31</v>
      </c>
      <c r="E2853" s="6" t="s">
        <v>4066</v>
      </c>
      <c r="F2853" s="6" t="s">
        <v>169</v>
      </c>
      <c r="G2853" s="6" t="s">
        <v>16</v>
      </c>
      <c r="H2853" s="6" t="s">
        <v>15</v>
      </c>
      <c r="I2853" s="6" t="s">
        <v>46</v>
      </c>
      <c r="J2853" s="6" t="s">
        <v>168</v>
      </c>
      <c r="K2853" s="7">
        <v>33.208789950000003</v>
      </c>
      <c r="L2853" s="7">
        <v>-96.989551550000002</v>
      </c>
      <c r="M2853" s="6" t="s">
        <v>167</v>
      </c>
      <c r="N2853" s="6" t="s">
        <v>102</v>
      </c>
      <c r="O2853" s="6" t="s">
        <v>42</v>
      </c>
    </row>
    <row r="2854" spans="1:15" x14ac:dyDescent="0.25">
      <c r="A2854" s="6" t="s">
        <v>3070</v>
      </c>
      <c r="B2854" s="6" t="s">
        <v>3069</v>
      </c>
      <c r="C2854" s="6" t="s">
        <v>31</v>
      </c>
      <c r="E2854" s="6" t="s">
        <v>3068</v>
      </c>
      <c r="F2854" s="6" t="s">
        <v>3067</v>
      </c>
      <c r="G2854" s="6" t="s">
        <v>16</v>
      </c>
      <c r="H2854" s="6" t="s">
        <v>28</v>
      </c>
      <c r="I2854" s="6" t="s">
        <v>46</v>
      </c>
      <c r="J2854" s="6" t="s">
        <v>215</v>
      </c>
      <c r="K2854" s="7">
        <v>29.454054960000001</v>
      </c>
      <c r="L2854" s="7">
        <v>-94.984762579999995</v>
      </c>
      <c r="M2854" s="6" t="s">
        <v>3066</v>
      </c>
      <c r="N2854" s="6" t="s">
        <v>160</v>
      </c>
      <c r="O2854" s="6" t="s">
        <v>23</v>
      </c>
    </row>
    <row r="2855" spans="1:15" x14ac:dyDescent="0.25">
      <c r="A2855" s="6" t="s">
        <v>2860</v>
      </c>
      <c r="B2855" s="6" t="s">
        <v>2859</v>
      </c>
      <c r="C2855" s="6" t="s">
        <v>31</v>
      </c>
      <c r="E2855" s="6" t="s">
        <v>2858</v>
      </c>
      <c r="F2855" s="6" t="s">
        <v>2857</v>
      </c>
      <c r="G2855" s="6" t="s">
        <v>16</v>
      </c>
      <c r="H2855" s="6" t="s">
        <v>28</v>
      </c>
      <c r="I2855" s="6" t="s">
        <v>73</v>
      </c>
      <c r="J2855" s="6" t="s">
        <v>35</v>
      </c>
      <c r="K2855" s="7">
        <v>29.989281999999999</v>
      </c>
      <c r="L2855" s="7">
        <v>-95.719830999999999</v>
      </c>
      <c r="M2855" s="6" t="s">
        <v>279</v>
      </c>
      <c r="N2855" s="6" t="s">
        <v>24</v>
      </c>
      <c r="O2855" s="6" t="s">
        <v>23</v>
      </c>
    </row>
    <row r="2856" spans="1:15" x14ac:dyDescent="0.25">
      <c r="A2856" s="6" t="s">
        <v>11813</v>
      </c>
      <c r="B2856" s="6" t="s">
        <v>11812</v>
      </c>
      <c r="C2856" s="6" t="s">
        <v>31</v>
      </c>
      <c r="E2856" s="6" t="s">
        <v>11811</v>
      </c>
      <c r="F2856" s="6" t="s">
        <v>307</v>
      </c>
      <c r="G2856" s="6" t="s">
        <v>16</v>
      </c>
      <c r="H2856" s="6" t="s">
        <v>28</v>
      </c>
      <c r="I2856" s="6" t="s">
        <v>27</v>
      </c>
      <c r="J2856" s="6" t="s">
        <v>306</v>
      </c>
      <c r="K2856" s="7">
        <v>33.437105000000003</v>
      </c>
      <c r="L2856" s="7">
        <v>-98.781139999999994</v>
      </c>
      <c r="M2856" s="6" t="s">
        <v>305</v>
      </c>
      <c r="N2856" s="6" t="s">
        <v>43</v>
      </c>
      <c r="O2856" s="6" t="s">
        <v>95</v>
      </c>
    </row>
    <row r="2857" spans="1:15" x14ac:dyDescent="0.25">
      <c r="A2857" s="6" t="s">
        <v>5674</v>
      </c>
      <c r="B2857" s="6" t="s">
        <v>5673</v>
      </c>
      <c r="C2857" s="6" t="s">
        <v>31</v>
      </c>
      <c r="E2857" s="6" t="s">
        <v>5672</v>
      </c>
      <c r="F2857" s="6" t="s">
        <v>410</v>
      </c>
      <c r="G2857" s="6" t="s">
        <v>16</v>
      </c>
      <c r="H2857" s="6" t="s">
        <v>15</v>
      </c>
      <c r="I2857" s="6" t="s">
        <v>14</v>
      </c>
      <c r="J2857" s="6" t="s">
        <v>409</v>
      </c>
      <c r="K2857" s="7">
        <v>30.317120240000001</v>
      </c>
      <c r="L2857" s="7">
        <v>-97.569811329999993</v>
      </c>
      <c r="M2857" s="6" t="s">
        <v>408</v>
      </c>
      <c r="N2857" s="6" t="s">
        <v>10</v>
      </c>
      <c r="O2857" s="6" t="s">
        <v>160</v>
      </c>
    </row>
    <row r="2858" spans="1:15" x14ac:dyDescent="0.25">
      <c r="A2858" s="6" t="s">
        <v>10797</v>
      </c>
      <c r="B2858" s="6" t="s">
        <v>10796</v>
      </c>
      <c r="C2858" s="6" t="s">
        <v>31</v>
      </c>
      <c r="E2858" s="6" t="s">
        <v>10795</v>
      </c>
      <c r="F2858" s="6" t="s">
        <v>10794</v>
      </c>
      <c r="G2858" s="6" t="s">
        <v>16</v>
      </c>
      <c r="H2858" s="6" t="s">
        <v>15</v>
      </c>
      <c r="I2858" s="6" t="s">
        <v>46</v>
      </c>
      <c r="J2858" s="6" t="s">
        <v>645</v>
      </c>
      <c r="K2858" s="7">
        <v>31.824173389999999</v>
      </c>
      <c r="L2858" s="7">
        <v>-94.946393430000001</v>
      </c>
      <c r="M2858" s="6" t="s">
        <v>203</v>
      </c>
      <c r="N2858" s="6" t="s">
        <v>52</v>
      </c>
      <c r="O2858" s="6" t="s">
        <v>24</v>
      </c>
    </row>
    <row r="2859" spans="1:15" x14ac:dyDescent="0.25">
      <c r="A2859" s="6" t="s">
        <v>2847</v>
      </c>
      <c r="B2859" s="6" t="s">
        <v>2846</v>
      </c>
      <c r="C2859" s="6" t="s">
        <v>31</v>
      </c>
      <c r="E2859" s="6" t="s">
        <v>2845</v>
      </c>
      <c r="F2859" s="6" t="s">
        <v>2844</v>
      </c>
      <c r="G2859" s="6" t="s">
        <v>16</v>
      </c>
      <c r="H2859" s="6" t="s">
        <v>15</v>
      </c>
      <c r="I2859" s="6" t="s">
        <v>27</v>
      </c>
      <c r="J2859" s="6" t="s">
        <v>132</v>
      </c>
      <c r="K2859" s="7">
        <v>29.705564679999998</v>
      </c>
      <c r="L2859" s="7">
        <v>-95.812157720000002</v>
      </c>
      <c r="M2859" s="6" t="s">
        <v>131</v>
      </c>
      <c r="N2859" s="6" t="s">
        <v>24</v>
      </c>
      <c r="O2859" s="6" t="s">
        <v>23</v>
      </c>
    </row>
    <row r="2860" spans="1:15" x14ac:dyDescent="0.25">
      <c r="A2860" s="6" t="s">
        <v>5700</v>
      </c>
      <c r="B2860" s="6" t="s">
        <v>5699</v>
      </c>
      <c r="C2860" s="6" t="s">
        <v>31</v>
      </c>
      <c r="E2860" s="6" t="s">
        <v>5698</v>
      </c>
      <c r="F2860" s="6" t="s">
        <v>5697</v>
      </c>
      <c r="G2860" s="6" t="s">
        <v>16</v>
      </c>
      <c r="H2860" s="6" t="s">
        <v>28</v>
      </c>
      <c r="I2860" s="6" t="s">
        <v>60</v>
      </c>
      <c r="J2860" s="6" t="s">
        <v>1249</v>
      </c>
      <c r="K2860" s="7">
        <v>31.765989999999999</v>
      </c>
      <c r="L2860" s="7">
        <v>-95.686868000000004</v>
      </c>
      <c r="M2860" s="6" t="s">
        <v>1031</v>
      </c>
      <c r="N2860" s="6" t="s">
        <v>102</v>
      </c>
      <c r="O2860" s="6" t="s">
        <v>65</v>
      </c>
    </row>
    <row r="2861" spans="1:15" x14ac:dyDescent="0.25">
      <c r="A2861" s="6" t="s">
        <v>10793</v>
      </c>
      <c r="B2861" s="6" t="s">
        <v>10792</v>
      </c>
      <c r="C2861" s="6" t="s">
        <v>31</v>
      </c>
      <c r="E2861" s="6" t="s">
        <v>10791</v>
      </c>
      <c r="F2861" s="6" t="s">
        <v>3041</v>
      </c>
      <c r="G2861" s="6" t="s">
        <v>16</v>
      </c>
      <c r="H2861" s="6" t="s">
        <v>15</v>
      </c>
      <c r="I2861" s="6" t="s">
        <v>46</v>
      </c>
      <c r="J2861" s="6" t="s">
        <v>209</v>
      </c>
      <c r="K2861" s="7">
        <v>33.907220549999998</v>
      </c>
      <c r="L2861" s="7">
        <v>-98.577970179999994</v>
      </c>
      <c r="M2861" s="6" t="s">
        <v>208</v>
      </c>
      <c r="N2861" s="6" t="s">
        <v>43</v>
      </c>
      <c r="O2861" s="6" t="s">
        <v>95</v>
      </c>
    </row>
    <row r="2862" spans="1:15" x14ac:dyDescent="0.25">
      <c r="A2862" s="6" t="s">
        <v>2839</v>
      </c>
      <c r="B2862" s="6" t="s">
        <v>2838</v>
      </c>
      <c r="C2862" s="6" t="s">
        <v>31</v>
      </c>
      <c r="E2862" s="6" t="s">
        <v>2837</v>
      </c>
      <c r="F2862" s="6" t="s">
        <v>2836</v>
      </c>
      <c r="G2862" s="6" t="s">
        <v>16</v>
      </c>
      <c r="H2862" s="6" t="s">
        <v>15</v>
      </c>
      <c r="I2862" s="6" t="s">
        <v>36</v>
      </c>
      <c r="J2862" s="6" t="s">
        <v>35</v>
      </c>
      <c r="K2862" s="7">
        <v>30.139413999999999</v>
      </c>
      <c r="L2862" s="7">
        <v>-95.499229999999997</v>
      </c>
      <c r="M2862" s="6" t="s">
        <v>731</v>
      </c>
      <c r="N2862" s="6" t="s">
        <v>24</v>
      </c>
      <c r="O2862" s="6" t="s">
        <v>23</v>
      </c>
    </row>
    <row r="2863" spans="1:15" x14ac:dyDescent="0.25">
      <c r="A2863" s="6" t="s">
        <v>10790</v>
      </c>
      <c r="B2863" s="6" t="s">
        <v>10788</v>
      </c>
      <c r="C2863" s="6" t="s">
        <v>31</v>
      </c>
      <c r="E2863" s="6" t="s">
        <v>10787</v>
      </c>
      <c r="F2863" s="6" t="s">
        <v>3189</v>
      </c>
      <c r="G2863" s="6" t="s">
        <v>16</v>
      </c>
      <c r="H2863" s="6" t="s">
        <v>430</v>
      </c>
      <c r="I2863" s="6" t="s">
        <v>14</v>
      </c>
      <c r="J2863" s="6" t="s">
        <v>162</v>
      </c>
      <c r="K2863" s="7">
        <v>29.049897000000001</v>
      </c>
      <c r="L2863" s="7">
        <v>-95.355384999999998</v>
      </c>
      <c r="M2863" s="6" t="s">
        <v>3735</v>
      </c>
      <c r="N2863" s="6" t="s">
        <v>160</v>
      </c>
      <c r="O2863" s="6" t="s">
        <v>23</v>
      </c>
    </row>
    <row r="2864" spans="1:15" x14ac:dyDescent="0.25">
      <c r="A2864" s="6" t="s">
        <v>10789</v>
      </c>
      <c r="B2864" s="6" t="s">
        <v>10788</v>
      </c>
      <c r="C2864" s="6" t="s">
        <v>19</v>
      </c>
      <c r="E2864" s="6" t="s">
        <v>10787</v>
      </c>
      <c r="F2864" s="6" t="s">
        <v>3189</v>
      </c>
      <c r="G2864" s="6" t="s">
        <v>16</v>
      </c>
      <c r="H2864" s="6" t="s">
        <v>430</v>
      </c>
      <c r="I2864" s="6" t="s">
        <v>14</v>
      </c>
      <c r="J2864" s="6" t="s">
        <v>162</v>
      </c>
      <c r="K2864" s="7">
        <v>29.033477000000001</v>
      </c>
      <c r="L2864" s="7">
        <v>-95.374369000000002</v>
      </c>
      <c r="M2864" s="6" t="s">
        <v>3735</v>
      </c>
      <c r="N2864" s="6" t="s">
        <v>160</v>
      </c>
      <c r="O2864" s="6" t="s">
        <v>23</v>
      </c>
    </row>
    <row r="2865" spans="1:15" x14ac:dyDescent="0.25">
      <c r="A2865" s="6" t="s">
        <v>2830</v>
      </c>
      <c r="B2865" s="6" t="s">
        <v>2829</v>
      </c>
      <c r="C2865" s="6" t="s">
        <v>31</v>
      </c>
      <c r="E2865" s="6" t="s">
        <v>2828</v>
      </c>
      <c r="F2865" s="6" t="s">
        <v>2827</v>
      </c>
      <c r="G2865" s="6" t="s">
        <v>16</v>
      </c>
      <c r="H2865" s="6" t="s">
        <v>28</v>
      </c>
      <c r="I2865" s="6" t="s">
        <v>46</v>
      </c>
      <c r="J2865" s="6" t="s">
        <v>2768</v>
      </c>
      <c r="K2865" s="7">
        <v>32.495937269999999</v>
      </c>
      <c r="L2865" s="7">
        <v>-97.351845560000001</v>
      </c>
      <c r="M2865" s="6" t="s">
        <v>2826</v>
      </c>
      <c r="N2865" s="6" t="s">
        <v>102</v>
      </c>
      <c r="O2865" s="6" t="s">
        <v>42</v>
      </c>
    </row>
    <row r="2866" spans="1:15" x14ac:dyDescent="0.25">
      <c r="A2866" s="6" t="s">
        <v>2798</v>
      </c>
      <c r="B2866" s="6" t="s">
        <v>2797</v>
      </c>
      <c r="C2866" s="6" t="s">
        <v>31</v>
      </c>
      <c r="E2866" s="6" t="s">
        <v>2796</v>
      </c>
      <c r="F2866" s="6" t="s">
        <v>457</v>
      </c>
      <c r="G2866" s="6" t="s">
        <v>16</v>
      </c>
      <c r="H2866" s="6" t="s">
        <v>28</v>
      </c>
      <c r="I2866" s="6" t="s">
        <v>73</v>
      </c>
      <c r="J2866" s="6" t="s">
        <v>2137</v>
      </c>
      <c r="K2866" s="7">
        <v>29.841239420000001</v>
      </c>
      <c r="L2866" s="7">
        <v>-97.381618979999999</v>
      </c>
      <c r="M2866" s="6" t="s">
        <v>1739</v>
      </c>
      <c r="N2866" s="6" t="s">
        <v>559</v>
      </c>
      <c r="O2866" s="6" t="s">
        <v>160</v>
      </c>
    </row>
    <row r="2867" spans="1:15" x14ac:dyDescent="0.25">
      <c r="A2867" s="6" t="s">
        <v>114</v>
      </c>
      <c r="B2867" s="6" t="s">
        <v>113</v>
      </c>
      <c r="C2867" s="6" t="s">
        <v>31</v>
      </c>
      <c r="E2867" s="6" t="s">
        <v>112</v>
      </c>
      <c r="F2867" s="6" t="s">
        <v>111</v>
      </c>
      <c r="G2867" s="6" t="s">
        <v>16</v>
      </c>
      <c r="H2867" s="6" t="s">
        <v>28</v>
      </c>
      <c r="I2867" s="6" t="s">
        <v>73</v>
      </c>
      <c r="J2867" s="6" t="s">
        <v>110</v>
      </c>
      <c r="K2867" s="7">
        <v>32.87383543</v>
      </c>
      <c r="L2867" s="7">
        <v>-95.902238299999993</v>
      </c>
      <c r="M2867" s="6" t="s">
        <v>109</v>
      </c>
      <c r="N2867" s="6" t="s">
        <v>65</v>
      </c>
      <c r="O2867" s="6" t="s">
        <v>65</v>
      </c>
    </row>
    <row r="2868" spans="1:15" x14ac:dyDescent="0.25">
      <c r="A2868" s="6" t="s">
        <v>2820</v>
      </c>
      <c r="B2868" s="6" t="s">
        <v>2819</v>
      </c>
      <c r="C2868" s="6" t="s">
        <v>31</v>
      </c>
      <c r="E2868" s="6" t="s">
        <v>2818</v>
      </c>
      <c r="F2868" s="6" t="s">
        <v>2817</v>
      </c>
      <c r="G2868" s="6" t="s">
        <v>16</v>
      </c>
      <c r="H2868" s="6" t="s">
        <v>28</v>
      </c>
      <c r="I2868" s="6" t="s">
        <v>60</v>
      </c>
      <c r="J2868" s="6" t="s">
        <v>35</v>
      </c>
      <c r="K2868" s="7">
        <v>29.944542999999999</v>
      </c>
      <c r="L2868" s="7">
        <v>-95.698834000000005</v>
      </c>
      <c r="M2868" s="6" t="s">
        <v>279</v>
      </c>
      <c r="N2868" s="6" t="s">
        <v>24</v>
      </c>
      <c r="O2868" s="6" t="s">
        <v>23</v>
      </c>
    </row>
    <row r="2869" spans="1:15" x14ac:dyDescent="0.25">
      <c r="A2869" s="6" t="s">
        <v>10786</v>
      </c>
      <c r="B2869" s="6" t="s">
        <v>10785</v>
      </c>
      <c r="C2869" s="6" t="s">
        <v>31</v>
      </c>
      <c r="E2869" s="6" t="s">
        <v>10784</v>
      </c>
      <c r="F2869" s="6" t="s">
        <v>6631</v>
      </c>
      <c r="G2869" s="6" t="s">
        <v>16</v>
      </c>
      <c r="H2869" s="6" t="s">
        <v>15</v>
      </c>
      <c r="I2869" s="6" t="s">
        <v>14</v>
      </c>
      <c r="J2869" s="6" t="s">
        <v>873</v>
      </c>
      <c r="K2869" s="7">
        <v>29.320011659999999</v>
      </c>
      <c r="L2869" s="7">
        <v>-98.634407850000002</v>
      </c>
      <c r="M2869" s="6" t="s">
        <v>7412</v>
      </c>
      <c r="N2869" s="6" t="s">
        <v>232</v>
      </c>
      <c r="O2869" s="6" t="s">
        <v>231</v>
      </c>
    </row>
    <row r="2870" spans="1:15" x14ac:dyDescent="0.25">
      <c r="A2870" s="6" t="s">
        <v>3982</v>
      </c>
      <c r="B2870" s="6" t="s">
        <v>3981</v>
      </c>
      <c r="C2870" s="6" t="s">
        <v>31</v>
      </c>
      <c r="E2870" s="6" t="s">
        <v>3980</v>
      </c>
      <c r="F2870" s="6" t="s">
        <v>3979</v>
      </c>
      <c r="G2870" s="6" t="s">
        <v>16</v>
      </c>
      <c r="H2870" s="6" t="s">
        <v>28</v>
      </c>
      <c r="I2870" s="6" t="s">
        <v>350</v>
      </c>
      <c r="J2870" s="6" t="s">
        <v>318</v>
      </c>
      <c r="K2870" s="7">
        <v>30.839631000000001</v>
      </c>
      <c r="L2870" s="7">
        <v>-94.86112</v>
      </c>
      <c r="M2870" s="6" t="s">
        <v>2355</v>
      </c>
      <c r="N2870" s="6" t="s">
        <v>102</v>
      </c>
      <c r="O2870" s="6" t="s">
        <v>24</v>
      </c>
    </row>
    <row r="2871" spans="1:15" x14ac:dyDescent="0.25">
      <c r="A2871" s="6" t="s">
        <v>2813</v>
      </c>
      <c r="B2871" s="6" t="s">
        <v>2812</v>
      </c>
      <c r="C2871" s="6" t="s">
        <v>31</v>
      </c>
      <c r="E2871" s="6" t="s">
        <v>2811</v>
      </c>
      <c r="F2871" s="6" t="s">
        <v>895</v>
      </c>
      <c r="G2871" s="6" t="s">
        <v>16</v>
      </c>
      <c r="H2871" s="6" t="s">
        <v>28</v>
      </c>
      <c r="I2871" s="6" t="s">
        <v>60</v>
      </c>
      <c r="J2871" s="6" t="s">
        <v>26</v>
      </c>
      <c r="K2871" s="7">
        <v>30.360193169999999</v>
      </c>
      <c r="L2871" s="7">
        <v>-95.598545240000007</v>
      </c>
      <c r="M2871" s="6" t="s">
        <v>340</v>
      </c>
      <c r="N2871" s="6" t="s">
        <v>24</v>
      </c>
      <c r="O2871" s="6" t="s">
        <v>23</v>
      </c>
    </row>
    <row r="2872" spans="1:15" x14ac:dyDescent="0.25">
      <c r="A2872" s="6" t="s">
        <v>11856</v>
      </c>
      <c r="B2872" s="6" t="s">
        <v>11855</v>
      </c>
      <c r="C2872" s="6" t="s">
        <v>31</v>
      </c>
      <c r="E2872" s="6" t="s">
        <v>11854</v>
      </c>
      <c r="F2872" s="6" t="s">
        <v>11853</v>
      </c>
      <c r="G2872" s="6" t="s">
        <v>16</v>
      </c>
      <c r="H2872" s="6" t="s">
        <v>28</v>
      </c>
      <c r="I2872" s="6" t="s">
        <v>60</v>
      </c>
      <c r="J2872" s="6" t="s">
        <v>7376</v>
      </c>
      <c r="K2872" s="7">
        <v>32.39185217</v>
      </c>
      <c r="L2872" s="7">
        <v>-99.387610699999996</v>
      </c>
      <c r="M2872" s="6" t="s">
        <v>681</v>
      </c>
      <c r="N2872" s="6" t="s">
        <v>23</v>
      </c>
      <c r="O2872" s="6" t="s">
        <v>95</v>
      </c>
    </row>
    <row r="2873" spans="1:15" x14ac:dyDescent="0.25">
      <c r="A2873" s="6" t="s">
        <v>10779</v>
      </c>
      <c r="B2873" s="6" t="s">
        <v>10778</v>
      </c>
      <c r="C2873" s="6" t="s">
        <v>31</v>
      </c>
      <c r="E2873" s="6" t="s">
        <v>10777</v>
      </c>
      <c r="F2873" s="6" t="s">
        <v>481</v>
      </c>
      <c r="G2873" s="6" t="s">
        <v>16</v>
      </c>
      <c r="H2873" s="6" t="s">
        <v>15</v>
      </c>
      <c r="I2873" s="6" t="s">
        <v>46</v>
      </c>
      <c r="J2873" s="6" t="s">
        <v>390</v>
      </c>
      <c r="K2873" s="7">
        <v>26.478618229999999</v>
      </c>
      <c r="L2873" s="7">
        <v>-97.900036549999996</v>
      </c>
      <c r="M2873" s="6" t="s">
        <v>89</v>
      </c>
      <c r="N2873" s="6" t="s">
        <v>11</v>
      </c>
      <c r="O2873" s="6" t="s">
        <v>22</v>
      </c>
    </row>
    <row r="2874" spans="1:15" x14ac:dyDescent="0.25">
      <c r="A2874" s="6" t="s">
        <v>2591</v>
      </c>
      <c r="B2874" s="6" t="s">
        <v>2590</v>
      </c>
      <c r="C2874" s="6" t="s">
        <v>31</v>
      </c>
      <c r="E2874" s="6" t="s">
        <v>2589</v>
      </c>
      <c r="F2874" s="6" t="s">
        <v>2588</v>
      </c>
      <c r="G2874" s="6" t="s">
        <v>16</v>
      </c>
      <c r="H2874" s="6" t="s">
        <v>28</v>
      </c>
      <c r="I2874" s="6" t="s">
        <v>27</v>
      </c>
      <c r="J2874" s="6" t="s">
        <v>35</v>
      </c>
      <c r="K2874" s="7">
        <v>29.825127999999999</v>
      </c>
      <c r="L2874" s="7">
        <v>-95.757626999999999</v>
      </c>
      <c r="M2874" s="6" t="s">
        <v>131</v>
      </c>
      <c r="N2874" s="6" t="s">
        <v>24</v>
      </c>
      <c r="O2874" s="6" t="s">
        <v>23</v>
      </c>
    </row>
    <row r="2875" spans="1:15" x14ac:dyDescent="0.25">
      <c r="A2875" s="6" t="s">
        <v>172</v>
      </c>
      <c r="B2875" s="6" t="s">
        <v>171</v>
      </c>
      <c r="C2875" s="6" t="s">
        <v>31</v>
      </c>
      <c r="E2875" s="6" t="s">
        <v>170</v>
      </c>
      <c r="F2875" s="6" t="s">
        <v>169</v>
      </c>
      <c r="G2875" s="6" t="s">
        <v>16</v>
      </c>
      <c r="H2875" s="6" t="s">
        <v>15</v>
      </c>
      <c r="I2875" s="6" t="s">
        <v>14</v>
      </c>
      <c r="J2875" s="6" t="s">
        <v>168</v>
      </c>
      <c r="K2875" s="7">
        <v>33.215660020000001</v>
      </c>
      <c r="L2875" s="7">
        <v>-96.902120080000003</v>
      </c>
      <c r="M2875" s="6" t="s">
        <v>167</v>
      </c>
      <c r="N2875" s="6" t="s">
        <v>102</v>
      </c>
      <c r="O2875" s="6" t="s">
        <v>42</v>
      </c>
    </row>
    <row r="2876" spans="1:15" x14ac:dyDescent="0.25">
      <c r="A2876" s="6" t="s">
        <v>6334</v>
      </c>
      <c r="B2876" s="6" t="s">
        <v>6333</v>
      </c>
      <c r="C2876" s="6" t="s">
        <v>31</v>
      </c>
      <c r="E2876" s="6" t="s">
        <v>6332</v>
      </c>
      <c r="F2876" s="6" t="s">
        <v>6331</v>
      </c>
      <c r="G2876" s="6" t="s">
        <v>16</v>
      </c>
      <c r="H2876" s="6" t="s">
        <v>28</v>
      </c>
      <c r="I2876" s="6" t="s">
        <v>36</v>
      </c>
      <c r="J2876" s="6" t="s">
        <v>982</v>
      </c>
      <c r="K2876" s="7">
        <v>32.011696870000002</v>
      </c>
      <c r="L2876" s="7">
        <v>-96.430996769999993</v>
      </c>
      <c r="M2876" s="6" t="s">
        <v>981</v>
      </c>
      <c r="N2876" s="6" t="s">
        <v>102</v>
      </c>
      <c r="O2876" s="6" t="s">
        <v>42</v>
      </c>
    </row>
    <row r="2877" spans="1:15" x14ac:dyDescent="0.25">
      <c r="A2877" s="6" t="s">
        <v>3246</v>
      </c>
      <c r="B2877" s="6" t="s">
        <v>3245</v>
      </c>
      <c r="C2877" s="6" t="s">
        <v>31</v>
      </c>
      <c r="E2877" s="6" t="s">
        <v>3244</v>
      </c>
      <c r="F2877" s="6" t="s">
        <v>3243</v>
      </c>
      <c r="G2877" s="6" t="s">
        <v>16</v>
      </c>
      <c r="H2877" s="6" t="s">
        <v>28</v>
      </c>
      <c r="I2877" s="6" t="s">
        <v>73</v>
      </c>
      <c r="J2877" s="6" t="s">
        <v>1611</v>
      </c>
      <c r="K2877" s="7">
        <v>32.5845123</v>
      </c>
      <c r="L2877" s="7">
        <v>-94.769276730000001</v>
      </c>
      <c r="M2877" s="6" t="s">
        <v>1218</v>
      </c>
      <c r="N2877" s="6" t="s">
        <v>65</v>
      </c>
      <c r="O2877" s="6" t="s">
        <v>65</v>
      </c>
    </row>
    <row r="2878" spans="1:15" x14ac:dyDescent="0.25">
      <c r="A2878" s="6" t="s">
        <v>2868</v>
      </c>
      <c r="B2878" s="6" t="s">
        <v>2867</v>
      </c>
      <c r="C2878" s="6" t="s">
        <v>31</v>
      </c>
      <c r="E2878" s="6" t="s">
        <v>2866</v>
      </c>
      <c r="F2878" s="6" t="s">
        <v>777</v>
      </c>
      <c r="G2878" s="6" t="s">
        <v>16</v>
      </c>
      <c r="H2878" s="6" t="s">
        <v>28</v>
      </c>
      <c r="I2878" s="6" t="s">
        <v>60</v>
      </c>
      <c r="J2878" s="6" t="s">
        <v>2768</v>
      </c>
      <c r="K2878" s="7">
        <v>32.215103999999997</v>
      </c>
      <c r="L2878" s="7">
        <v>-97.513068000000004</v>
      </c>
      <c r="M2878" s="6" t="s">
        <v>1450</v>
      </c>
      <c r="N2878" s="6" t="s">
        <v>23</v>
      </c>
      <c r="O2878" s="6" t="s">
        <v>42</v>
      </c>
    </row>
    <row r="2879" spans="1:15" x14ac:dyDescent="0.25">
      <c r="A2879" s="6" t="s">
        <v>2662</v>
      </c>
      <c r="B2879" s="6" t="s">
        <v>2661</v>
      </c>
      <c r="C2879" s="6" t="s">
        <v>31</v>
      </c>
      <c r="E2879" s="6" t="s">
        <v>2660</v>
      </c>
      <c r="F2879" s="6" t="s">
        <v>2659</v>
      </c>
      <c r="G2879" s="6" t="s">
        <v>16</v>
      </c>
      <c r="H2879" s="6" t="s">
        <v>15</v>
      </c>
      <c r="I2879" s="6" t="s">
        <v>36</v>
      </c>
      <c r="J2879" s="6" t="s">
        <v>753</v>
      </c>
      <c r="K2879" s="7">
        <v>30.081742859999999</v>
      </c>
      <c r="L2879" s="7">
        <v>-97.797305420000001</v>
      </c>
      <c r="M2879" s="6" t="s">
        <v>752</v>
      </c>
      <c r="N2879" s="6" t="s">
        <v>559</v>
      </c>
      <c r="O2879" s="6" t="s">
        <v>160</v>
      </c>
    </row>
    <row r="2880" spans="1:15" x14ac:dyDescent="0.25">
      <c r="A2880" s="6" t="s">
        <v>5065</v>
      </c>
      <c r="B2880" s="6" t="s">
        <v>2661</v>
      </c>
      <c r="C2880" s="6" t="s">
        <v>19</v>
      </c>
      <c r="E2880" s="6" t="s">
        <v>2660</v>
      </c>
      <c r="F2880" s="6" t="s">
        <v>2659</v>
      </c>
      <c r="G2880" s="6" t="s">
        <v>16</v>
      </c>
      <c r="H2880" s="6" t="s">
        <v>15</v>
      </c>
      <c r="I2880" s="6" t="s">
        <v>14</v>
      </c>
      <c r="J2880" s="6" t="s">
        <v>753</v>
      </c>
      <c r="K2880" s="7">
        <v>30.081742859999999</v>
      </c>
      <c r="L2880" s="7">
        <v>-97.797305420000001</v>
      </c>
      <c r="M2880" s="6" t="s">
        <v>752</v>
      </c>
      <c r="N2880" s="6" t="s">
        <v>559</v>
      </c>
      <c r="O2880" s="6" t="s">
        <v>160</v>
      </c>
    </row>
    <row r="2881" spans="1:15" x14ac:dyDescent="0.25">
      <c r="A2881" s="6" t="s">
        <v>5064</v>
      </c>
      <c r="B2881" s="6" t="s">
        <v>2661</v>
      </c>
      <c r="C2881" s="6" t="s">
        <v>436</v>
      </c>
      <c r="E2881" s="6" t="s">
        <v>2660</v>
      </c>
      <c r="F2881" s="6" t="s">
        <v>2659</v>
      </c>
      <c r="G2881" s="6" t="s">
        <v>16</v>
      </c>
      <c r="H2881" s="6" t="s">
        <v>15</v>
      </c>
      <c r="I2881" s="6" t="s">
        <v>14</v>
      </c>
      <c r="J2881" s="6" t="s">
        <v>753</v>
      </c>
      <c r="K2881" s="7">
        <v>30.081742999999999</v>
      </c>
      <c r="L2881" s="7">
        <v>-97.797304999999994</v>
      </c>
      <c r="M2881" s="6" t="s">
        <v>752</v>
      </c>
      <c r="N2881" s="6" t="s">
        <v>559</v>
      </c>
      <c r="O2881" s="6" t="s">
        <v>160</v>
      </c>
    </row>
    <row r="2882" spans="1:15" x14ac:dyDescent="0.25">
      <c r="A2882" s="6" t="s">
        <v>2658</v>
      </c>
      <c r="B2882" s="6" t="s">
        <v>2657</v>
      </c>
      <c r="C2882" s="6" t="s">
        <v>31</v>
      </c>
      <c r="E2882" s="6" t="s">
        <v>2656</v>
      </c>
      <c r="F2882" s="6" t="s">
        <v>2655</v>
      </c>
      <c r="G2882" s="6" t="s">
        <v>16</v>
      </c>
      <c r="H2882" s="6" t="s">
        <v>28</v>
      </c>
      <c r="I2882" s="6" t="s">
        <v>36</v>
      </c>
      <c r="J2882" s="6" t="s">
        <v>26</v>
      </c>
      <c r="K2882" s="7">
        <v>30.176845</v>
      </c>
      <c r="L2882" s="7">
        <v>-95.251369999999994</v>
      </c>
      <c r="M2882" s="6" t="s">
        <v>59</v>
      </c>
      <c r="N2882" s="6" t="s">
        <v>24</v>
      </c>
      <c r="O2882" s="6" t="s">
        <v>23</v>
      </c>
    </row>
    <row r="2883" spans="1:15" x14ac:dyDescent="0.25">
      <c r="A2883" s="6" t="s">
        <v>2654</v>
      </c>
      <c r="B2883" s="6" t="s">
        <v>2653</v>
      </c>
      <c r="C2883" s="6" t="s">
        <v>31</v>
      </c>
      <c r="E2883" s="6" t="s">
        <v>2652</v>
      </c>
      <c r="F2883" s="6" t="s">
        <v>2651</v>
      </c>
      <c r="G2883" s="6" t="s">
        <v>16</v>
      </c>
      <c r="H2883" s="6" t="s">
        <v>28</v>
      </c>
      <c r="I2883" s="6" t="s">
        <v>27</v>
      </c>
      <c r="J2883" s="6" t="s">
        <v>35</v>
      </c>
      <c r="K2883" s="7">
        <v>29.894223</v>
      </c>
      <c r="L2883" s="7">
        <v>-95.206310000000002</v>
      </c>
      <c r="M2883" s="6" t="s">
        <v>198</v>
      </c>
      <c r="N2883" s="6" t="s">
        <v>24</v>
      </c>
      <c r="O2883" s="6" t="s">
        <v>23</v>
      </c>
    </row>
    <row r="2884" spans="1:15" x14ac:dyDescent="0.25">
      <c r="A2884" s="6" t="s">
        <v>7699</v>
      </c>
      <c r="B2884" s="6" t="s">
        <v>7698</v>
      </c>
      <c r="C2884" s="6" t="s">
        <v>19</v>
      </c>
      <c r="E2884" s="6" t="s">
        <v>7697</v>
      </c>
      <c r="F2884" s="6" t="s">
        <v>2607</v>
      </c>
      <c r="G2884" s="6" t="s">
        <v>16</v>
      </c>
      <c r="H2884" s="6" t="s">
        <v>28</v>
      </c>
      <c r="I2884" s="6" t="s">
        <v>73</v>
      </c>
      <c r="J2884" s="6" t="s">
        <v>456</v>
      </c>
      <c r="K2884" s="7">
        <v>30.164297999999999</v>
      </c>
      <c r="L2884" s="7">
        <v>-97.310962000000004</v>
      </c>
      <c r="M2884" s="6" t="s">
        <v>455</v>
      </c>
      <c r="N2884" s="6" t="s">
        <v>10</v>
      </c>
      <c r="O2884" s="6" t="s">
        <v>160</v>
      </c>
    </row>
    <row r="2885" spans="1:15" x14ac:dyDescent="0.25">
      <c r="A2885" s="6" t="s">
        <v>2650</v>
      </c>
      <c r="B2885" s="6" t="s">
        <v>2649</v>
      </c>
      <c r="C2885" s="6" t="s">
        <v>31</v>
      </c>
      <c r="E2885" s="6" t="s">
        <v>2648</v>
      </c>
      <c r="F2885" s="6" t="s">
        <v>2647</v>
      </c>
      <c r="G2885" s="6" t="s">
        <v>16</v>
      </c>
      <c r="H2885" s="6" t="s">
        <v>28</v>
      </c>
      <c r="I2885" s="6" t="s">
        <v>27</v>
      </c>
      <c r="J2885" s="6" t="s">
        <v>2646</v>
      </c>
      <c r="K2885" s="7">
        <v>31.120903999999999</v>
      </c>
      <c r="L2885" s="7">
        <v>-97.111075999999997</v>
      </c>
      <c r="M2885" s="6" t="s">
        <v>121</v>
      </c>
      <c r="N2885" s="6" t="s">
        <v>23</v>
      </c>
      <c r="O2885" s="6" t="s">
        <v>120</v>
      </c>
    </row>
    <row r="2886" spans="1:15" x14ac:dyDescent="0.25">
      <c r="A2886" s="6" t="s">
        <v>11348</v>
      </c>
      <c r="B2886" s="6" t="s">
        <v>5600</v>
      </c>
      <c r="C2886" s="6" t="s">
        <v>19</v>
      </c>
      <c r="E2886" s="6" t="s">
        <v>5599</v>
      </c>
      <c r="F2886" s="6" t="s">
        <v>5598</v>
      </c>
      <c r="G2886" s="6" t="s">
        <v>16</v>
      </c>
      <c r="H2886" s="6" t="s">
        <v>15</v>
      </c>
      <c r="I2886" s="6" t="s">
        <v>14</v>
      </c>
      <c r="J2886" s="6" t="s">
        <v>35</v>
      </c>
      <c r="K2886" s="7">
        <v>29.759446929999999</v>
      </c>
      <c r="L2886" s="7">
        <v>-95.139721429999994</v>
      </c>
      <c r="M2886" s="6" t="s">
        <v>34</v>
      </c>
      <c r="N2886" s="6" t="s">
        <v>24</v>
      </c>
      <c r="O2886" s="6" t="s">
        <v>23</v>
      </c>
    </row>
    <row r="2887" spans="1:15" x14ac:dyDescent="0.25">
      <c r="A2887" s="6" t="s">
        <v>5601</v>
      </c>
      <c r="B2887" s="6" t="s">
        <v>5600</v>
      </c>
      <c r="C2887" s="6" t="s">
        <v>436</v>
      </c>
      <c r="E2887" s="6" t="s">
        <v>5599</v>
      </c>
      <c r="F2887" s="6" t="s">
        <v>5598</v>
      </c>
      <c r="G2887" s="6" t="s">
        <v>16</v>
      </c>
      <c r="H2887" s="6" t="s">
        <v>430</v>
      </c>
      <c r="I2887" s="6" t="s">
        <v>14</v>
      </c>
      <c r="J2887" s="6" t="s">
        <v>35</v>
      </c>
      <c r="K2887" s="7">
        <v>29.75777703</v>
      </c>
      <c r="L2887" s="7">
        <v>-95.140277749999996</v>
      </c>
      <c r="M2887" s="6" t="s">
        <v>34</v>
      </c>
      <c r="N2887" s="6" t="s">
        <v>24</v>
      </c>
      <c r="O2887" s="6" t="s">
        <v>23</v>
      </c>
    </row>
    <row r="2888" spans="1:15" x14ac:dyDescent="0.25">
      <c r="A2888" s="6" t="s">
        <v>2640</v>
      </c>
      <c r="B2888" s="6" t="s">
        <v>2639</v>
      </c>
      <c r="C2888" s="6" t="s">
        <v>31</v>
      </c>
      <c r="E2888" s="6" t="s">
        <v>2638</v>
      </c>
      <c r="F2888" s="6" t="s">
        <v>2637</v>
      </c>
      <c r="G2888" s="6" t="s">
        <v>16</v>
      </c>
      <c r="H2888" s="6" t="s">
        <v>15</v>
      </c>
      <c r="I2888" s="6" t="s">
        <v>14</v>
      </c>
      <c r="J2888" s="6" t="s">
        <v>253</v>
      </c>
      <c r="K2888" s="7">
        <v>31.078496260000001</v>
      </c>
      <c r="L2888" s="7">
        <v>-97.62044032</v>
      </c>
      <c r="M2888" s="6" t="s">
        <v>1627</v>
      </c>
      <c r="N2888" s="6" t="s">
        <v>23</v>
      </c>
      <c r="O2888" s="6" t="s">
        <v>120</v>
      </c>
    </row>
    <row r="2889" spans="1:15" x14ac:dyDescent="0.25">
      <c r="A2889" s="6" t="s">
        <v>3643</v>
      </c>
      <c r="B2889" s="6" t="s">
        <v>2639</v>
      </c>
      <c r="C2889" s="6" t="s">
        <v>19</v>
      </c>
      <c r="E2889" s="6" t="s">
        <v>2638</v>
      </c>
      <c r="F2889" s="6" t="s">
        <v>2637</v>
      </c>
      <c r="G2889" s="6" t="s">
        <v>16</v>
      </c>
      <c r="H2889" s="6" t="s">
        <v>15</v>
      </c>
      <c r="I2889" s="6" t="s">
        <v>14</v>
      </c>
      <c r="J2889" s="6" t="s">
        <v>253</v>
      </c>
      <c r="K2889" s="7">
        <v>31.039524790000002</v>
      </c>
      <c r="L2889" s="7">
        <v>-97.668402439999994</v>
      </c>
      <c r="M2889" s="6" t="s">
        <v>2325</v>
      </c>
      <c r="N2889" s="6" t="s">
        <v>23</v>
      </c>
      <c r="O2889" s="6" t="s">
        <v>120</v>
      </c>
    </row>
    <row r="2890" spans="1:15" x14ac:dyDescent="0.25">
      <c r="A2890" s="6" t="s">
        <v>2628</v>
      </c>
      <c r="B2890" s="6" t="s">
        <v>2627</v>
      </c>
      <c r="C2890" s="6" t="s">
        <v>31</v>
      </c>
      <c r="E2890" s="6" t="s">
        <v>2626</v>
      </c>
      <c r="F2890" s="6" t="s">
        <v>2625</v>
      </c>
      <c r="G2890" s="6" t="s">
        <v>16</v>
      </c>
      <c r="H2890" s="6" t="s">
        <v>28</v>
      </c>
      <c r="I2890" s="6" t="s">
        <v>27</v>
      </c>
      <c r="J2890" s="6" t="s">
        <v>2624</v>
      </c>
      <c r="K2890" s="7">
        <v>28.951243609999999</v>
      </c>
      <c r="L2890" s="7">
        <v>-99.635354469999996</v>
      </c>
      <c r="M2890" s="6" t="s">
        <v>2394</v>
      </c>
      <c r="N2890" s="6" t="s">
        <v>524</v>
      </c>
      <c r="O2890" s="6" t="s">
        <v>510</v>
      </c>
    </row>
    <row r="2891" spans="1:15" x14ac:dyDescent="0.25">
      <c r="A2891" s="6" t="s">
        <v>7806</v>
      </c>
      <c r="B2891" s="6" t="s">
        <v>7805</v>
      </c>
      <c r="C2891" s="6" t="s">
        <v>31</v>
      </c>
      <c r="E2891" s="6" t="s">
        <v>7804</v>
      </c>
      <c r="F2891" s="6" t="s">
        <v>7803</v>
      </c>
      <c r="G2891" s="6" t="s">
        <v>16</v>
      </c>
      <c r="H2891" s="6" t="s">
        <v>28</v>
      </c>
      <c r="I2891" s="6" t="s">
        <v>73</v>
      </c>
      <c r="J2891" s="6" t="s">
        <v>7802</v>
      </c>
      <c r="K2891" s="7">
        <v>30.918664</v>
      </c>
      <c r="L2891" s="7">
        <v>-99.792113000000001</v>
      </c>
      <c r="M2891" s="6" t="s">
        <v>500</v>
      </c>
      <c r="N2891" s="6" t="s">
        <v>10</v>
      </c>
      <c r="O2891" s="6" t="s">
        <v>102</v>
      </c>
    </row>
    <row r="2892" spans="1:15" x14ac:dyDescent="0.25">
      <c r="A2892" s="6" t="s">
        <v>2614</v>
      </c>
      <c r="B2892" s="6" t="s">
        <v>2613</v>
      </c>
      <c r="C2892" s="6" t="s">
        <v>31</v>
      </c>
      <c r="E2892" s="6" t="s">
        <v>2612</v>
      </c>
      <c r="F2892" s="6" t="s">
        <v>2611</v>
      </c>
      <c r="G2892" s="6" t="s">
        <v>16</v>
      </c>
      <c r="H2892" s="6" t="s">
        <v>28</v>
      </c>
      <c r="I2892" s="6" t="s">
        <v>27</v>
      </c>
      <c r="J2892" s="6" t="s">
        <v>296</v>
      </c>
      <c r="K2892" s="7">
        <v>29.952977000000001</v>
      </c>
      <c r="L2892" s="7">
        <v>-97.026308</v>
      </c>
      <c r="M2892" s="6" t="s">
        <v>455</v>
      </c>
      <c r="N2892" s="6" t="s">
        <v>10</v>
      </c>
      <c r="O2892" s="6" t="s">
        <v>160</v>
      </c>
    </row>
    <row r="2893" spans="1:15" x14ac:dyDescent="0.25">
      <c r="A2893" s="6" t="s">
        <v>2987</v>
      </c>
      <c r="B2893" s="6" t="s">
        <v>2986</v>
      </c>
      <c r="C2893" s="6" t="s">
        <v>31</v>
      </c>
      <c r="E2893" s="6" t="s">
        <v>2985</v>
      </c>
      <c r="F2893" s="6" t="s">
        <v>2984</v>
      </c>
      <c r="G2893" s="6" t="s">
        <v>16</v>
      </c>
      <c r="H2893" s="6" t="s">
        <v>28</v>
      </c>
      <c r="I2893" s="6" t="s">
        <v>27</v>
      </c>
      <c r="J2893" s="6" t="s">
        <v>132</v>
      </c>
      <c r="K2893" s="7">
        <v>29.529495000000001</v>
      </c>
      <c r="L2893" s="7">
        <v>-95.856480000000005</v>
      </c>
      <c r="M2893" s="6" t="s">
        <v>355</v>
      </c>
      <c r="N2893" s="6" t="s">
        <v>23</v>
      </c>
      <c r="O2893" s="6" t="s">
        <v>23</v>
      </c>
    </row>
    <row r="2894" spans="1:15" x14ac:dyDescent="0.25">
      <c r="A2894" s="6" t="s">
        <v>2610</v>
      </c>
      <c r="B2894" s="6" t="s">
        <v>2609</v>
      </c>
      <c r="C2894" s="6" t="s">
        <v>31</v>
      </c>
      <c r="E2894" s="6" t="s">
        <v>2608</v>
      </c>
      <c r="F2894" s="6" t="s">
        <v>2607</v>
      </c>
      <c r="G2894" s="6" t="s">
        <v>16</v>
      </c>
      <c r="H2894" s="6" t="s">
        <v>28</v>
      </c>
      <c r="I2894" s="6" t="s">
        <v>73</v>
      </c>
      <c r="J2894" s="6" t="s">
        <v>290</v>
      </c>
      <c r="K2894" s="7">
        <v>28.601451999999998</v>
      </c>
      <c r="L2894" s="7">
        <v>-95.978341999999998</v>
      </c>
      <c r="M2894" s="6" t="s">
        <v>2606</v>
      </c>
      <c r="N2894" s="6" t="s">
        <v>10</v>
      </c>
      <c r="O2894" s="6" t="s">
        <v>23</v>
      </c>
    </row>
    <row r="2895" spans="1:15" x14ac:dyDescent="0.25">
      <c r="A2895" s="6" t="s">
        <v>2601</v>
      </c>
      <c r="B2895" s="6" t="s">
        <v>1564</v>
      </c>
      <c r="C2895" s="6" t="s">
        <v>31</v>
      </c>
      <c r="E2895" s="6" t="s">
        <v>1563</v>
      </c>
      <c r="F2895" s="6" t="s">
        <v>1562</v>
      </c>
      <c r="G2895" s="6" t="s">
        <v>16</v>
      </c>
      <c r="H2895" s="6" t="s">
        <v>15</v>
      </c>
      <c r="I2895" s="6" t="s">
        <v>14</v>
      </c>
      <c r="J2895" s="6" t="s">
        <v>132</v>
      </c>
      <c r="K2895" s="7">
        <v>29.693480619999999</v>
      </c>
      <c r="L2895" s="7">
        <v>-95.82675897</v>
      </c>
      <c r="M2895" s="6" t="s">
        <v>616</v>
      </c>
      <c r="N2895" s="6" t="s">
        <v>23</v>
      </c>
      <c r="O2895" s="6" t="s">
        <v>23</v>
      </c>
    </row>
    <row r="2896" spans="1:15" x14ac:dyDescent="0.25">
      <c r="A2896" s="6" t="s">
        <v>1565</v>
      </c>
      <c r="B2896" s="6" t="s">
        <v>1564</v>
      </c>
      <c r="C2896" s="6" t="s">
        <v>19</v>
      </c>
      <c r="E2896" s="6" t="s">
        <v>1563</v>
      </c>
      <c r="F2896" s="6" t="s">
        <v>1562</v>
      </c>
      <c r="G2896" s="6" t="s">
        <v>16</v>
      </c>
      <c r="H2896" s="6" t="s">
        <v>15</v>
      </c>
      <c r="I2896" s="6" t="s">
        <v>14</v>
      </c>
      <c r="J2896" s="6" t="s">
        <v>132</v>
      </c>
      <c r="K2896" s="7">
        <v>29.689491539999999</v>
      </c>
      <c r="L2896" s="7">
        <v>-95.826743100000002</v>
      </c>
      <c r="M2896" s="6" t="s">
        <v>616</v>
      </c>
      <c r="N2896" s="6" t="s">
        <v>23</v>
      </c>
      <c r="O2896" s="6" t="s">
        <v>23</v>
      </c>
    </row>
    <row r="2897" spans="1:15" x14ac:dyDescent="0.25">
      <c r="A2897" s="6" t="s">
        <v>8594</v>
      </c>
      <c r="B2897" s="6" t="s">
        <v>8593</v>
      </c>
      <c r="C2897" s="6" t="s">
        <v>31</v>
      </c>
      <c r="E2897" s="6" t="s">
        <v>8592</v>
      </c>
      <c r="F2897" s="6" t="s">
        <v>8591</v>
      </c>
      <c r="G2897" s="6" t="s">
        <v>16</v>
      </c>
      <c r="H2897" s="6" t="s">
        <v>28</v>
      </c>
      <c r="I2897" s="6" t="s">
        <v>73</v>
      </c>
      <c r="J2897" s="6" t="s">
        <v>1288</v>
      </c>
      <c r="K2897" s="7">
        <v>32.273501000000003</v>
      </c>
      <c r="L2897" s="7">
        <v>-96.642964000000006</v>
      </c>
      <c r="M2897" s="6" t="s">
        <v>7130</v>
      </c>
      <c r="N2897" s="6" t="s">
        <v>102</v>
      </c>
      <c r="O2897" s="6" t="s">
        <v>42</v>
      </c>
    </row>
    <row r="2898" spans="1:15" x14ac:dyDescent="0.25">
      <c r="A2898" s="6" t="s">
        <v>1557</v>
      </c>
      <c r="B2898" s="6" t="s">
        <v>1556</v>
      </c>
      <c r="C2898" s="6" t="s">
        <v>31</v>
      </c>
      <c r="E2898" s="6" t="s">
        <v>1555</v>
      </c>
      <c r="F2898" s="6" t="s">
        <v>1554</v>
      </c>
      <c r="G2898" s="6" t="s">
        <v>16</v>
      </c>
      <c r="H2898" s="6" t="s">
        <v>15</v>
      </c>
      <c r="I2898" s="6" t="s">
        <v>46</v>
      </c>
      <c r="J2898" s="6" t="s">
        <v>480</v>
      </c>
      <c r="K2898" s="7">
        <v>26.25325557</v>
      </c>
      <c r="L2898" s="7">
        <v>-98.579360390000005</v>
      </c>
      <c r="M2898" s="6" t="s">
        <v>374</v>
      </c>
      <c r="N2898" s="6" t="s">
        <v>373</v>
      </c>
      <c r="O2898" s="6" t="s">
        <v>22</v>
      </c>
    </row>
    <row r="2899" spans="1:15" x14ac:dyDescent="0.25">
      <c r="A2899" s="6" t="s">
        <v>1561</v>
      </c>
      <c r="B2899" s="6" t="s">
        <v>1560</v>
      </c>
      <c r="C2899" s="6" t="s">
        <v>31</v>
      </c>
      <c r="E2899" s="6" t="s">
        <v>1559</v>
      </c>
      <c r="F2899" s="6" t="s">
        <v>1558</v>
      </c>
      <c r="G2899" s="6" t="s">
        <v>16</v>
      </c>
      <c r="H2899" s="6" t="s">
        <v>28</v>
      </c>
      <c r="I2899" s="6" t="s">
        <v>60</v>
      </c>
      <c r="J2899" s="6" t="s">
        <v>26</v>
      </c>
      <c r="K2899" s="7">
        <v>30.198243999999999</v>
      </c>
      <c r="L2899" s="7">
        <v>-95.433454999999995</v>
      </c>
      <c r="M2899" s="6" t="s">
        <v>1022</v>
      </c>
      <c r="N2899" s="6" t="s">
        <v>24</v>
      </c>
      <c r="O2899" s="6" t="s">
        <v>23</v>
      </c>
    </row>
    <row r="2900" spans="1:15" x14ac:dyDescent="0.25">
      <c r="A2900" s="6" t="s">
        <v>3480</v>
      </c>
      <c r="B2900" s="6" t="s">
        <v>3479</v>
      </c>
      <c r="C2900" s="6" t="s">
        <v>31</v>
      </c>
      <c r="E2900" s="6" t="s">
        <v>3478</v>
      </c>
      <c r="F2900" s="6" t="s">
        <v>3477</v>
      </c>
      <c r="G2900" s="6" t="s">
        <v>16</v>
      </c>
      <c r="H2900" s="6" t="s">
        <v>28</v>
      </c>
      <c r="I2900" s="6" t="s">
        <v>46</v>
      </c>
      <c r="J2900" s="6" t="s">
        <v>253</v>
      </c>
      <c r="K2900" s="7">
        <v>30.937008580000001</v>
      </c>
      <c r="L2900" s="7">
        <v>-97.522558759999995</v>
      </c>
      <c r="M2900" s="6" t="s">
        <v>3476</v>
      </c>
      <c r="N2900" s="6" t="s">
        <v>23</v>
      </c>
      <c r="O2900" s="6" t="s">
        <v>120</v>
      </c>
    </row>
    <row r="2901" spans="1:15" x14ac:dyDescent="0.25">
      <c r="A2901" s="6" t="s">
        <v>1369</v>
      </c>
      <c r="B2901" s="6" t="s">
        <v>1368</v>
      </c>
      <c r="C2901" s="6" t="s">
        <v>31</v>
      </c>
      <c r="E2901" s="6" t="s">
        <v>1367</v>
      </c>
      <c r="F2901" s="6" t="s">
        <v>1366</v>
      </c>
      <c r="G2901" s="6" t="s">
        <v>16</v>
      </c>
      <c r="H2901" s="6" t="s">
        <v>28</v>
      </c>
      <c r="I2901" s="6" t="s">
        <v>27</v>
      </c>
      <c r="J2901" s="6" t="s">
        <v>168</v>
      </c>
      <c r="K2901" s="7">
        <v>33.279218</v>
      </c>
      <c r="L2901" s="7">
        <v>-97.067087999999998</v>
      </c>
      <c r="M2901" s="6" t="s">
        <v>167</v>
      </c>
      <c r="N2901" s="6" t="s">
        <v>102</v>
      </c>
      <c r="O2901" s="6" t="s">
        <v>42</v>
      </c>
    </row>
    <row r="2902" spans="1:15" x14ac:dyDescent="0.25">
      <c r="A2902" s="6" t="s">
        <v>11346</v>
      </c>
      <c r="B2902" s="6" t="s">
        <v>11345</v>
      </c>
      <c r="C2902" s="6" t="s">
        <v>31</v>
      </c>
      <c r="E2902" s="6" t="s">
        <v>11344</v>
      </c>
      <c r="F2902" s="6" t="s">
        <v>11343</v>
      </c>
      <c r="G2902" s="6" t="s">
        <v>16</v>
      </c>
      <c r="H2902" s="6" t="s">
        <v>430</v>
      </c>
      <c r="I2902" s="6" t="s">
        <v>14</v>
      </c>
      <c r="J2902" s="6" t="s">
        <v>35</v>
      </c>
      <c r="K2902" s="7">
        <v>29.612402670000002</v>
      </c>
      <c r="L2902" s="7">
        <v>-95.049578980000007</v>
      </c>
      <c r="M2902" s="6" t="s">
        <v>804</v>
      </c>
      <c r="N2902" s="6" t="s">
        <v>160</v>
      </c>
      <c r="O2902" s="6" t="s">
        <v>23</v>
      </c>
    </row>
    <row r="2903" spans="1:15" x14ac:dyDescent="0.25">
      <c r="A2903" s="6" t="s">
        <v>1361</v>
      </c>
      <c r="B2903" s="6" t="s">
        <v>1360</v>
      </c>
      <c r="C2903" s="6" t="s">
        <v>31</v>
      </c>
      <c r="E2903" s="6" t="s">
        <v>1359</v>
      </c>
      <c r="F2903" s="6" t="s">
        <v>1358</v>
      </c>
      <c r="G2903" s="6" t="s">
        <v>16</v>
      </c>
      <c r="H2903" s="6" t="s">
        <v>15</v>
      </c>
      <c r="I2903" s="6" t="s">
        <v>27</v>
      </c>
      <c r="J2903" s="6" t="s">
        <v>35</v>
      </c>
      <c r="K2903" s="7">
        <v>29.936622</v>
      </c>
      <c r="L2903" s="7">
        <v>-95.238011</v>
      </c>
      <c r="M2903" s="6" t="s">
        <v>198</v>
      </c>
      <c r="N2903" s="6" t="s">
        <v>24</v>
      </c>
      <c r="O2903" s="6" t="s">
        <v>23</v>
      </c>
    </row>
    <row r="2904" spans="1:15" x14ac:dyDescent="0.25">
      <c r="A2904" s="6" t="s">
        <v>11342</v>
      </c>
      <c r="B2904" s="6" t="s">
        <v>11341</v>
      </c>
      <c r="C2904" s="6" t="s">
        <v>31</v>
      </c>
      <c r="E2904" s="6" t="s">
        <v>11340</v>
      </c>
      <c r="F2904" s="6" t="s">
        <v>3199</v>
      </c>
      <c r="G2904" s="6" t="s">
        <v>16</v>
      </c>
      <c r="H2904" s="6" t="s">
        <v>3460</v>
      </c>
      <c r="I2904" s="6" t="s">
        <v>14</v>
      </c>
      <c r="J2904" s="6" t="s">
        <v>3198</v>
      </c>
      <c r="K2904" s="7">
        <v>33.618559009999998</v>
      </c>
      <c r="L2904" s="7">
        <v>-101.87811278</v>
      </c>
      <c r="M2904" s="6" t="s">
        <v>3197</v>
      </c>
      <c r="N2904" s="6" t="s">
        <v>23</v>
      </c>
      <c r="O2904" s="6" t="s">
        <v>43</v>
      </c>
    </row>
    <row r="2905" spans="1:15" x14ac:dyDescent="0.25">
      <c r="A2905" s="6" t="s">
        <v>1357</v>
      </c>
      <c r="B2905" s="6" t="s">
        <v>1356</v>
      </c>
      <c r="C2905" s="6" t="s">
        <v>31</v>
      </c>
      <c r="E2905" s="6" t="s">
        <v>1355</v>
      </c>
      <c r="F2905" s="6" t="s">
        <v>1354</v>
      </c>
      <c r="G2905" s="6" t="s">
        <v>16</v>
      </c>
      <c r="H2905" s="6" t="s">
        <v>28</v>
      </c>
      <c r="I2905" s="6" t="s">
        <v>60</v>
      </c>
      <c r="J2905" s="6" t="s">
        <v>35</v>
      </c>
      <c r="K2905" s="7">
        <v>30.074195</v>
      </c>
      <c r="L2905" s="7">
        <v>-95.570730999999995</v>
      </c>
      <c r="M2905" s="6" t="s">
        <v>731</v>
      </c>
      <c r="N2905" s="6" t="s">
        <v>24</v>
      </c>
      <c r="O2905" s="6" t="s">
        <v>23</v>
      </c>
    </row>
    <row r="2906" spans="1:15" x14ac:dyDescent="0.25">
      <c r="A2906" s="6" t="s">
        <v>1353</v>
      </c>
      <c r="B2906" s="6" t="s">
        <v>1352</v>
      </c>
      <c r="C2906" s="6" t="s">
        <v>31</v>
      </c>
      <c r="E2906" s="6" t="s">
        <v>1351</v>
      </c>
      <c r="F2906" s="6" t="s">
        <v>1350</v>
      </c>
      <c r="G2906" s="6" t="s">
        <v>16</v>
      </c>
      <c r="H2906" s="6" t="s">
        <v>28</v>
      </c>
      <c r="I2906" s="6" t="s">
        <v>60</v>
      </c>
      <c r="J2906" s="6" t="s">
        <v>1074</v>
      </c>
      <c r="K2906" s="7">
        <v>29.921479000000001</v>
      </c>
      <c r="L2906" s="7">
        <v>-96.202230999999998</v>
      </c>
      <c r="M2906" s="6" t="s">
        <v>355</v>
      </c>
      <c r="N2906" s="6" t="s">
        <v>23</v>
      </c>
      <c r="O2906" s="6" t="s">
        <v>23</v>
      </c>
    </row>
    <row r="2907" spans="1:15" x14ac:dyDescent="0.25">
      <c r="A2907" s="6" t="s">
        <v>10522</v>
      </c>
      <c r="B2907" s="6" t="s">
        <v>10521</v>
      </c>
      <c r="C2907" s="6" t="s">
        <v>31</v>
      </c>
      <c r="E2907" s="6" t="s">
        <v>10520</v>
      </c>
      <c r="F2907" s="6" t="s">
        <v>10519</v>
      </c>
      <c r="G2907" s="6" t="s">
        <v>16</v>
      </c>
      <c r="H2907" s="6" t="s">
        <v>28</v>
      </c>
      <c r="I2907" s="6" t="s">
        <v>60</v>
      </c>
      <c r="J2907" s="6" t="s">
        <v>456</v>
      </c>
      <c r="K2907" s="7">
        <v>30.127884999999999</v>
      </c>
      <c r="L2907" s="7">
        <v>-97.360759000000002</v>
      </c>
      <c r="M2907" s="6" t="s">
        <v>455</v>
      </c>
      <c r="N2907" s="6" t="s">
        <v>10</v>
      </c>
      <c r="O2907" s="6" t="s">
        <v>160</v>
      </c>
    </row>
    <row r="2908" spans="1:15" x14ac:dyDescent="0.25">
      <c r="A2908" s="6" t="s">
        <v>422</v>
      </c>
      <c r="B2908" s="6" t="s">
        <v>421</v>
      </c>
      <c r="C2908" s="6" t="s">
        <v>31</v>
      </c>
      <c r="E2908" s="6" t="s">
        <v>420</v>
      </c>
      <c r="F2908" s="6" t="s">
        <v>419</v>
      </c>
      <c r="G2908" s="6" t="s">
        <v>16</v>
      </c>
      <c r="H2908" s="6" t="s">
        <v>28</v>
      </c>
      <c r="I2908" s="6" t="s">
        <v>73</v>
      </c>
      <c r="J2908" s="6" t="s">
        <v>215</v>
      </c>
      <c r="K2908" s="7">
        <v>29.39167174</v>
      </c>
      <c r="L2908" s="7">
        <v>-94.759751690000002</v>
      </c>
      <c r="M2908" s="6" t="s">
        <v>418</v>
      </c>
      <c r="N2908" s="6" t="s">
        <v>383</v>
      </c>
      <c r="O2908" s="6" t="s">
        <v>23</v>
      </c>
    </row>
    <row r="2909" spans="1:15" x14ac:dyDescent="0.25">
      <c r="A2909" s="6" t="s">
        <v>1334</v>
      </c>
      <c r="B2909" s="6" t="s">
        <v>1333</v>
      </c>
      <c r="C2909" s="6" t="s">
        <v>31</v>
      </c>
      <c r="E2909" s="6" t="s">
        <v>1332</v>
      </c>
      <c r="F2909" s="6" t="s">
        <v>29</v>
      </c>
      <c r="G2909" s="6" t="s">
        <v>16</v>
      </c>
      <c r="H2909" s="6" t="s">
        <v>28</v>
      </c>
      <c r="I2909" s="6" t="s">
        <v>1200</v>
      </c>
      <c r="J2909" s="6" t="s">
        <v>35</v>
      </c>
      <c r="K2909" s="7">
        <v>30.026299999999999</v>
      </c>
      <c r="L2909" s="7">
        <v>-95.758142000000007</v>
      </c>
      <c r="M2909" s="6" t="s">
        <v>279</v>
      </c>
      <c r="N2909" s="6" t="s">
        <v>24</v>
      </c>
      <c r="O2909" s="6" t="s">
        <v>23</v>
      </c>
    </row>
    <row r="2910" spans="1:15" x14ac:dyDescent="0.25">
      <c r="A2910" s="6" t="s">
        <v>11339</v>
      </c>
      <c r="B2910" s="6" t="s">
        <v>11338</v>
      </c>
      <c r="C2910" s="6" t="s">
        <v>31</v>
      </c>
      <c r="E2910" s="6" t="s">
        <v>11337</v>
      </c>
      <c r="F2910" s="6" t="s">
        <v>4175</v>
      </c>
      <c r="G2910" s="6" t="s">
        <v>16</v>
      </c>
      <c r="H2910" s="6" t="s">
        <v>15</v>
      </c>
      <c r="I2910" s="6" t="s">
        <v>14</v>
      </c>
      <c r="J2910" s="6" t="s">
        <v>385</v>
      </c>
      <c r="K2910" s="7">
        <v>29.878444210000001</v>
      </c>
      <c r="L2910" s="7">
        <v>-93.978461539999998</v>
      </c>
      <c r="M2910" s="6" t="s">
        <v>418</v>
      </c>
      <c r="N2910" s="6" t="s">
        <v>383</v>
      </c>
      <c r="O2910" s="6" t="s">
        <v>24</v>
      </c>
    </row>
    <row r="2911" spans="1:15" x14ac:dyDescent="0.25">
      <c r="A2911" s="6" t="s">
        <v>11336</v>
      </c>
      <c r="B2911" s="6" t="s">
        <v>5929</v>
      </c>
      <c r="C2911" s="6" t="s">
        <v>436</v>
      </c>
      <c r="E2911" s="6" t="s">
        <v>5928</v>
      </c>
      <c r="F2911" s="6" t="s">
        <v>5927</v>
      </c>
      <c r="G2911" s="6" t="s">
        <v>16</v>
      </c>
      <c r="H2911" s="6" t="s">
        <v>15</v>
      </c>
      <c r="I2911" s="6" t="s">
        <v>46</v>
      </c>
      <c r="J2911" s="6" t="s">
        <v>139</v>
      </c>
      <c r="K2911" s="7">
        <v>27.911485670000001</v>
      </c>
      <c r="L2911" s="7">
        <v>-97.283126659999994</v>
      </c>
      <c r="M2911" s="6" t="s">
        <v>1168</v>
      </c>
      <c r="N2911" s="6" t="s">
        <v>137</v>
      </c>
      <c r="O2911" s="6" t="s">
        <v>10</v>
      </c>
    </row>
    <row r="2912" spans="1:15" x14ac:dyDescent="0.25">
      <c r="A2912" s="6" t="s">
        <v>11335</v>
      </c>
      <c r="B2912" s="6" t="s">
        <v>5929</v>
      </c>
      <c r="C2912" s="6" t="s">
        <v>557</v>
      </c>
      <c r="E2912" s="6" t="s">
        <v>5928</v>
      </c>
      <c r="F2912" s="6" t="s">
        <v>5927</v>
      </c>
      <c r="G2912" s="6" t="s">
        <v>16</v>
      </c>
      <c r="H2912" s="6" t="s">
        <v>15</v>
      </c>
      <c r="I2912" s="6" t="s">
        <v>46</v>
      </c>
      <c r="J2912" s="6" t="s">
        <v>139</v>
      </c>
      <c r="K2912" s="7">
        <v>27.892037850000001</v>
      </c>
      <c r="L2912" s="7">
        <v>-97.276077569999998</v>
      </c>
      <c r="M2912" s="6" t="s">
        <v>1168</v>
      </c>
      <c r="N2912" s="6" t="s">
        <v>137</v>
      </c>
      <c r="O2912" s="6" t="s">
        <v>10</v>
      </c>
    </row>
    <row r="2913" spans="1:15" x14ac:dyDescent="0.25">
      <c r="A2913" s="6" t="s">
        <v>11334</v>
      </c>
      <c r="B2913" s="6" t="s">
        <v>5929</v>
      </c>
      <c r="C2913" s="6" t="s">
        <v>433</v>
      </c>
      <c r="E2913" s="6" t="s">
        <v>5928</v>
      </c>
      <c r="F2913" s="6" t="s">
        <v>5927</v>
      </c>
      <c r="G2913" s="6" t="s">
        <v>16</v>
      </c>
      <c r="H2913" s="6" t="s">
        <v>15</v>
      </c>
      <c r="I2913" s="6" t="s">
        <v>46</v>
      </c>
      <c r="J2913" s="6" t="s">
        <v>139</v>
      </c>
      <c r="K2913" s="7">
        <v>27.880585830000001</v>
      </c>
      <c r="L2913" s="7">
        <v>-97.263133229999994</v>
      </c>
      <c r="M2913" s="6" t="s">
        <v>1168</v>
      </c>
      <c r="N2913" s="6" t="s">
        <v>137</v>
      </c>
      <c r="O2913" s="6" t="s">
        <v>10</v>
      </c>
    </row>
    <row r="2914" spans="1:15" x14ac:dyDescent="0.25">
      <c r="A2914" s="6" t="s">
        <v>5930</v>
      </c>
      <c r="B2914" s="6" t="s">
        <v>5929</v>
      </c>
      <c r="C2914" s="6" t="s">
        <v>1098</v>
      </c>
      <c r="E2914" s="6" t="s">
        <v>5928</v>
      </c>
      <c r="F2914" s="6" t="s">
        <v>5927</v>
      </c>
      <c r="G2914" s="6" t="s">
        <v>16</v>
      </c>
      <c r="H2914" s="6" t="s">
        <v>15</v>
      </c>
      <c r="I2914" s="6" t="s">
        <v>46</v>
      </c>
      <c r="J2914" s="6" t="s">
        <v>139</v>
      </c>
      <c r="K2914" s="7">
        <v>27.902140360000001</v>
      </c>
      <c r="L2914" s="7">
        <v>-97.27927905</v>
      </c>
      <c r="M2914" s="6" t="s">
        <v>1168</v>
      </c>
      <c r="N2914" s="6" t="s">
        <v>137</v>
      </c>
      <c r="O2914" s="6" t="s">
        <v>10</v>
      </c>
    </row>
    <row r="2915" spans="1:15" x14ac:dyDescent="0.25">
      <c r="A2915" s="6" t="s">
        <v>10518</v>
      </c>
      <c r="B2915" s="6" t="s">
        <v>10517</v>
      </c>
      <c r="C2915" s="6" t="s">
        <v>31</v>
      </c>
      <c r="E2915" s="6" t="s">
        <v>10516</v>
      </c>
      <c r="F2915" s="6" t="s">
        <v>1104</v>
      </c>
      <c r="G2915" s="6" t="s">
        <v>16</v>
      </c>
      <c r="H2915" s="6" t="s">
        <v>28</v>
      </c>
      <c r="I2915" s="6" t="s">
        <v>14</v>
      </c>
      <c r="J2915" s="6" t="s">
        <v>2137</v>
      </c>
      <c r="K2915" s="7">
        <v>29.940000770000001</v>
      </c>
      <c r="L2915" s="7">
        <v>-97.803889859999998</v>
      </c>
      <c r="M2915" s="6" t="s">
        <v>752</v>
      </c>
      <c r="N2915" s="6" t="s">
        <v>559</v>
      </c>
      <c r="O2915" s="6" t="s">
        <v>160</v>
      </c>
    </row>
    <row r="2916" spans="1:15" x14ac:dyDescent="0.25">
      <c r="A2916" s="6" t="s">
        <v>1331</v>
      </c>
      <c r="B2916" s="6" t="s">
        <v>1330</v>
      </c>
      <c r="C2916" s="6" t="s">
        <v>31</v>
      </c>
      <c r="E2916" s="6" t="s">
        <v>1329</v>
      </c>
      <c r="F2916" s="6" t="s">
        <v>1328</v>
      </c>
      <c r="G2916" s="6" t="s">
        <v>16</v>
      </c>
      <c r="H2916" s="6" t="s">
        <v>28</v>
      </c>
      <c r="I2916" s="6" t="s">
        <v>60</v>
      </c>
      <c r="J2916" s="6" t="s">
        <v>35</v>
      </c>
      <c r="K2916" s="7">
        <v>29.999726039999999</v>
      </c>
      <c r="L2916" s="7">
        <v>-95.662874459999998</v>
      </c>
      <c r="M2916" s="6" t="s">
        <v>279</v>
      </c>
      <c r="N2916" s="6" t="s">
        <v>24</v>
      </c>
      <c r="O2916" s="6" t="s">
        <v>23</v>
      </c>
    </row>
    <row r="2917" spans="1:15" x14ac:dyDescent="0.25">
      <c r="A2917" s="6" t="s">
        <v>11322</v>
      </c>
      <c r="B2917" s="6" t="s">
        <v>11321</v>
      </c>
      <c r="C2917" s="6" t="s">
        <v>31</v>
      </c>
      <c r="E2917" s="6" t="s">
        <v>11320</v>
      </c>
      <c r="F2917" s="6" t="s">
        <v>11319</v>
      </c>
      <c r="G2917" s="6" t="s">
        <v>16</v>
      </c>
      <c r="H2917" s="6" t="s">
        <v>15</v>
      </c>
      <c r="I2917" s="6" t="s">
        <v>14</v>
      </c>
      <c r="J2917" s="6" t="s">
        <v>35</v>
      </c>
      <c r="K2917" s="7">
        <v>29.790070109999998</v>
      </c>
      <c r="L2917" s="7">
        <v>-95.080204460000004</v>
      </c>
      <c r="M2917" s="6" t="s">
        <v>701</v>
      </c>
      <c r="N2917" s="6" t="s">
        <v>24</v>
      </c>
      <c r="O2917" s="6" t="s">
        <v>23</v>
      </c>
    </row>
    <row r="2918" spans="1:15" x14ac:dyDescent="0.25">
      <c r="A2918" s="6" t="s">
        <v>441</v>
      </c>
      <c r="B2918" s="6" t="s">
        <v>440</v>
      </c>
      <c r="C2918" s="6" t="s">
        <v>31</v>
      </c>
      <c r="E2918" s="6" t="s">
        <v>439</v>
      </c>
      <c r="F2918" s="6" t="s">
        <v>438</v>
      </c>
      <c r="G2918" s="6" t="s">
        <v>16</v>
      </c>
      <c r="H2918" s="6" t="s">
        <v>28</v>
      </c>
      <c r="I2918" s="6" t="s">
        <v>14</v>
      </c>
      <c r="J2918" s="6" t="s">
        <v>35</v>
      </c>
      <c r="K2918" s="7">
        <v>29.999069599999999</v>
      </c>
      <c r="L2918" s="7">
        <v>-95.844794309999997</v>
      </c>
      <c r="M2918" s="6" t="s">
        <v>279</v>
      </c>
      <c r="N2918" s="6" t="s">
        <v>24</v>
      </c>
      <c r="O2918" s="6" t="s">
        <v>23</v>
      </c>
    </row>
    <row r="2919" spans="1:15" x14ac:dyDescent="0.25">
      <c r="A2919" s="6" t="s">
        <v>11660</v>
      </c>
      <c r="B2919" s="6" t="s">
        <v>11659</v>
      </c>
      <c r="C2919" s="6" t="s">
        <v>31</v>
      </c>
      <c r="E2919" s="6" t="s">
        <v>11658</v>
      </c>
      <c r="F2919" s="6" t="s">
        <v>4160</v>
      </c>
      <c r="G2919" s="6" t="s">
        <v>16</v>
      </c>
      <c r="H2919" s="6" t="s">
        <v>28</v>
      </c>
      <c r="I2919" s="6" t="s">
        <v>73</v>
      </c>
      <c r="J2919" s="6" t="s">
        <v>67</v>
      </c>
      <c r="K2919" s="7">
        <v>32.475572</v>
      </c>
      <c r="L2919" s="7">
        <v>-95.300030000000007</v>
      </c>
      <c r="M2919" s="6" t="s">
        <v>423</v>
      </c>
      <c r="N2919" s="6" t="s">
        <v>65</v>
      </c>
      <c r="O2919" s="6" t="s">
        <v>65</v>
      </c>
    </row>
    <row r="2920" spans="1:15" x14ac:dyDescent="0.25">
      <c r="A2920" s="6" t="s">
        <v>11318</v>
      </c>
      <c r="B2920" s="6" t="s">
        <v>5792</v>
      </c>
      <c r="C2920" s="6" t="s">
        <v>31</v>
      </c>
      <c r="E2920" s="6" t="s">
        <v>5791</v>
      </c>
      <c r="F2920" s="6" t="s">
        <v>5790</v>
      </c>
      <c r="G2920" s="6" t="s">
        <v>16</v>
      </c>
      <c r="H2920" s="6" t="s">
        <v>15</v>
      </c>
      <c r="I2920" s="6" t="s">
        <v>36</v>
      </c>
      <c r="J2920" s="6" t="s">
        <v>139</v>
      </c>
      <c r="K2920" s="7">
        <v>27.87886524</v>
      </c>
      <c r="L2920" s="7">
        <v>-97.257396299999996</v>
      </c>
      <c r="M2920" s="6" t="s">
        <v>1168</v>
      </c>
      <c r="N2920" s="6" t="s">
        <v>137</v>
      </c>
      <c r="O2920" s="6" t="s">
        <v>10</v>
      </c>
    </row>
    <row r="2921" spans="1:15" x14ac:dyDescent="0.25">
      <c r="A2921" s="6" t="s">
        <v>5802</v>
      </c>
      <c r="B2921" s="6" t="s">
        <v>5792</v>
      </c>
      <c r="C2921" s="6" t="s">
        <v>19</v>
      </c>
      <c r="E2921" s="6" t="s">
        <v>5791</v>
      </c>
      <c r="F2921" s="6" t="s">
        <v>5790</v>
      </c>
      <c r="G2921" s="6" t="s">
        <v>16</v>
      </c>
      <c r="H2921" s="6" t="s">
        <v>15</v>
      </c>
      <c r="I2921" s="6" t="s">
        <v>36</v>
      </c>
      <c r="J2921" s="6" t="s">
        <v>139</v>
      </c>
      <c r="K2921" s="7">
        <v>27.88044842</v>
      </c>
      <c r="L2921" s="7">
        <v>-97.263076830000003</v>
      </c>
      <c r="M2921" s="6" t="s">
        <v>1168</v>
      </c>
      <c r="N2921" s="6" t="s">
        <v>137</v>
      </c>
      <c r="O2921" s="6" t="s">
        <v>10</v>
      </c>
    </row>
    <row r="2922" spans="1:15" x14ac:dyDescent="0.25">
      <c r="A2922" s="6" t="s">
        <v>5793</v>
      </c>
      <c r="B2922" s="6" t="s">
        <v>5792</v>
      </c>
      <c r="C2922" s="6" t="s">
        <v>436</v>
      </c>
      <c r="E2922" s="6" t="s">
        <v>5791</v>
      </c>
      <c r="F2922" s="6" t="s">
        <v>5790</v>
      </c>
      <c r="G2922" s="6" t="s">
        <v>16</v>
      </c>
      <c r="H2922" s="6" t="s">
        <v>430</v>
      </c>
      <c r="I2922" s="6" t="s">
        <v>36</v>
      </c>
      <c r="J2922" s="6" t="s">
        <v>139</v>
      </c>
      <c r="K2922" s="7">
        <v>27.879692290000001</v>
      </c>
      <c r="L2922" s="7">
        <v>-97.26078133</v>
      </c>
      <c r="M2922" s="6" t="s">
        <v>1168</v>
      </c>
      <c r="N2922" s="6" t="s">
        <v>137</v>
      </c>
      <c r="O2922" s="6" t="s">
        <v>10</v>
      </c>
    </row>
    <row r="2923" spans="1:15" x14ac:dyDescent="0.25">
      <c r="A2923" s="6" t="s">
        <v>417</v>
      </c>
      <c r="B2923" s="6" t="s">
        <v>416</v>
      </c>
      <c r="C2923" s="6" t="s">
        <v>31</v>
      </c>
      <c r="E2923" s="6" t="s">
        <v>415</v>
      </c>
      <c r="F2923" s="6" t="s">
        <v>414</v>
      </c>
      <c r="G2923" s="6" t="s">
        <v>16</v>
      </c>
      <c r="H2923" s="6" t="s">
        <v>28</v>
      </c>
      <c r="I2923" s="6" t="s">
        <v>46</v>
      </c>
      <c r="J2923" s="6" t="s">
        <v>132</v>
      </c>
      <c r="K2923" s="7">
        <v>29.67332858</v>
      </c>
      <c r="L2923" s="7">
        <v>-95.752712320000001</v>
      </c>
      <c r="M2923" s="6" t="s">
        <v>131</v>
      </c>
      <c r="N2923" s="6" t="s">
        <v>24</v>
      </c>
      <c r="O2923" s="6" t="s">
        <v>23</v>
      </c>
    </row>
    <row r="2924" spans="1:15" x14ac:dyDescent="0.25">
      <c r="A2924" s="6" t="s">
        <v>5624</v>
      </c>
      <c r="B2924" s="6" t="s">
        <v>5623</v>
      </c>
      <c r="C2924" s="6" t="s">
        <v>31</v>
      </c>
      <c r="E2924" s="6" t="s">
        <v>5622</v>
      </c>
      <c r="F2924" s="6" t="s">
        <v>5621</v>
      </c>
      <c r="G2924" s="6" t="s">
        <v>16</v>
      </c>
      <c r="H2924" s="6" t="s">
        <v>15</v>
      </c>
      <c r="I2924" s="6" t="s">
        <v>27</v>
      </c>
      <c r="J2924" s="6" t="s">
        <v>3079</v>
      </c>
      <c r="K2924" s="7">
        <v>29.347560000000001</v>
      </c>
      <c r="L2924" s="7">
        <v>-97.779702</v>
      </c>
      <c r="M2924" s="6" t="s">
        <v>1739</v>
      </c>
      <c r="N2924" s="6" t="s">
        <v>559</v>
      </c>
      <c r="O2924" s="6" t="s">
        <v>10</v>
      </c>
    </row>
    <row r="2925" spans="1:15" x14ac:dyDescent="0.25">
      <c r="A2925" s="6" t="s">
        <v>407</v>
      </c>
      <c r="B2925" s="6" t="s">
        <v>406</v>
      </c>
      <c r="C2925" s="6" t="s">
        <v>31</v>
      </c>
      <c r="E2925" s="6" t="s">
        <v>405</v>
      </c>
      <c r="F2925" s="6" t="s">
        <v>404</v>
      </c>
      <c r="G2925" s="6" t="s">
        <v>16</v>
      </c>
      <c r="H2925" s="6" t="s">
        <v>28</v>
      </c>
      <c r="I2925" s="6" t="s">
        <v>27</v>
      </c>
      <c r="J2925" s="6" t="s">
        <v>162</v>
      </c>
      <c r="K2925" s="7">
        <v>29.478829999999999</v>
      </c>
      <c r="L2925" s="7">
        <v>-95.389982000000003</v>
      </c>
      <c r="M2925" s="6" t="s">
        <v>161</v>
      </c>
      <c r="N2925" s="6" t="s">
        <v>160</v>
      </c>
      <c r="O2925" s="6" t="s">
        <v>23</v>
      </c>
    </row>
    <row r="2926" spans="1:15" x14ac:dyDescent="0.25">
      <c r="A2926" s="6" t="s">
        <v>11724</v>
      </c>
      <c r="B2926" s="6" t="s">
        <v>11722</v>
      </c>
      <c r="C2926" s="6" t="s">
        <v>31</v>
      </c>
      <c r="E2926" s="6" t="s">
        <v>11721</v>
      </c>
      <c r="F2926" s="6" t="s">
        <v>11720</v>
      </c>
      <c r="G2926" s="6" t="s">
        <v>16</v>
      </c>
      <c r="H2926" s="6" t="s">
        <v>430</v>
      </c>
      <c r="I2926" s="6" t="s">
        <v>46</v>
      </c>
      <c r="J2926" s="6" t="s">
        <v>471</v>
      </c>
      <c r="K2926" s="7">
        <v>32.759498000000001</v>
      </c>
      <c r="L2926" s="7">
        <v>-96.798286000000004</v>
      </c>
      <c r="M2926" s="6" t="s">
        <v>103</v>
      </c>
      <c r="N2926" s="6" t="s">
        <v>102</v>
      </c>
      <c r="O2926" s="6" t="s">
        <v>42</v>
      </c>
    </row>
    <row r="2927" spans="1:15" x14ac:dyDescent="0.25">
      <c r="A2927" s="6" t="s">
        <v>11723</v>
      </c>
      <c r="B2927" s="6" t="s">
        <v>11722</v>
      </c>
      <c r="C2927" s="6" t="s">
        <v>19</v>
      </c>
      <c r="E2927" s="6" t="s">
        <v>11721</v>
      </c>
      <c r="F2927" s="6" t="s">
        <v>11720</v>
      </c>
      <c r="G2927" s="6" t="s">
        <v>16</v>
      </c>
      <c r="H2927" s="6" t="s">
        <v>430</v>
      </c>
      <c r="I2927" s="6" t="s">
        <v>46</v>
      </c>
      <c r="J2927" s="6" t="s">
        <v>471</v>
      </c>
      <c r="K2927" s="7">
        <v>32.759498000000001</v>
      </c>
      <c r="L2927" s="7">
        <v>-96.798286000000004</v>
      </c>
      <c r="M2927" s="6" t="s">
        <v>103</v>
      </c>
      <c r="N2927" s="6" t="s">
        <v>102</v>
      </c>
      <c r="O2927" s="6" t="s">
        <v>42</v>
      </c>
    </row>
    <row r="2928" spans="1:15" x14ac:dyDescent="0.25">
      <c r="A2928" s="6" t="s">
        <v>11317</v>
      </c>
      <c r="B2928" s="6" t="s">
        <v>11316</v>
      </c>
      <c r="C2928" s="6" t="s">
        <v>31</v>
      </c>
      <c r="E2928" s="6" t="s">
        <v>11315</v>
      </c>
      <c r="F2928" s="6" t="s">
        <v>11314</v>
      </c>
      <c r="G2928" s="6" t="s">
        <v>16</v>
      </c>
      <c r="H2928" s="6" t="s">
        <v>15</v>
      </c>
      <c r="I2928" s="6" t="s">
        <v>36</v>
      </c>
      <c r="J2928" s="6" t="s">
        <v>548</v>
      </c>
      <c r="K2928" s="7">
        <v>33.42584428</v>
      </c>
      <c r="L2928" s="7">
        <v>-94.237775150000004</v>
      </c>
      <c r="M2928" s="6" t="s">
        <v>547</v>
      </c>
      <c r="N2928" s="6" t="s">
        <v>95</v>
      </c>
      <c r="O2928" s="6" t="s">
        <v>65</v>
      </c>
    </row>
    <row r="2929" spans="1:15" x14ac:dyDescent="0.25">
      <c r="A2929" s="6" t="s">
        <v>1262</v>
      </c>
      <c r="B2929" s="6" t="s">
        <v>1261</v>
      </c>
      <c r="C2929" s="6" t="s">
        <v>31</v>
      </c>
      <c r="E2929" s="6" t="s">
        <v>1260</v>
      </c>
      <c r="F2929" s="6" t="s">
        <v>1259</v>
      </c>
      <c r="G2929" s="6" t="s">
        <v>16</v>
      </c>
      <c r="H2929" s="6" t="s">
        <v>28</v>
      </c>
      <c r="I2929" s="6" t="s">
        <v>60</v>
      </c>
      <c r="J2929" s="6" t="s">
        <v>26</v>
      </c>
      <c r="K2929" s="7">
        <v>30.374987999999998</v>
      </c>
      <c r="L2929" s="7">
        <v>-95.645233000000005</v>
      </c>
      <c r="M2929" s="6" t="s">
        <v>340</v>
      </c>
      <c r="N2929" s="6" t="s">
        <v>24</v>
      </c>
      <c r="O2929" s="6" t="s">
        <v>23</v>
      </c>
    </row>
    <row r="2930" spans="1:15" x14ac:dyDescent="0.25">
      <c r="A2930" s="6" t="s">
        <v>119</v>
      </c>
      <c r="B2930" s="6" t="s">
        <v>118</v>
      </c>
      <c r="C2930" s="6" t="s">
        <v>31</v>
      </c>
      <c r="E2930" s="6" t="s">
        <v>117</v>
      </c>
      <c r="F2930" s="6" t="s">
        <v>116</v>
      </c>
      <c r="G2930" s="6" t="s">
        <v>16</v>
      </c>
      <c r="H2930" s="6" t="s">
        <v>15</v>
      </c>
      <c r="I2930" s="6" t="s">
        <v>46</v>
      </c>
      <c r="J2930" s="6" t="s">
        <v>115</v>
      </c>
      <c r="K2930" s="7">
        <v>32.917170400000003</v>
      </c>
      <c r="L2930" s="7">
        <v>-96.317668010000006</v>
      </c>
      <c r="M2930" s="6" t="s">
        <v>109</v>
      </c>
      <c r="N2930" s="6" t="s">
        <v>65</v>
      </c>
      <c r="O2930" s="6" t="s">
        <v>42</v>
      </c>
    </row>
    <row r="2931" spans="1:15" x14ac:dyDescent="0.25">
      <c r="A2931" s="6" t="s">
        <v>108</v>
      </c>
      <c r="B2931" s="6" t="s">
        <v>107</v>
      </c>
      <c r="C2931" s="6" t="s">
        <v>31</v>
      </c>
      <c r="E2931" s="6" t="s">
        <v>106</v>
      </c>
      <c r="F2931" s="6" t="s">
        <v>105</v>
      </c>
      <c r="G2931" s="6" t="s">
        <v>16</v>
      </c>
      <c r="H2931" s="6" t="s">
        <v>28</v>
      </c>
      <c r="I2931" s="6" t="s">
        <v>27</v>
      </c>
      <c r="J2931" s="6" t="s">
        <v>104</v>
      </c>
      <c r="K2931" s="7">
        <v>32.511913</v>
      </c>
      <c r="L2931" s="7">
        <v>-96.384168000000003</v>
      </c>
      <c r="M2931" s="6" t="s">
        <v>103</v>
      </c>
      <c r="N2931" s="6" t="s">
        <v>102</v>
      </c>
      <c r="O2931" s="6" t="s">
        <v>42</v>
      </c>
    </row>
    <row r="2932" spans="1:15" x14ac:dyDescent="0.25">
      <c r="A2932" s="6" t="s">
        <v>101</v>
      </c>
      <c r="B2932" s="6" t="s">
        <v>100</v>
      </c>
      <c r="C2932" s="6" t="s">
        <v>31</v>
      </c>
      <c r="E2932" s="6" t="s">
        <v>99</v>
      </c>
      <c r="F2932" s="6" t="s">
        <v>98</v>
      </c>
      <c r="G2932" s="6" t="s">
        <v>16</v>
      </c>
      <c r="H2932" s="6" t="s">
        <v>28</v>
      </c>
      <c r="I2932" s="6" t="s">
        <v>73</v>
      </c>
      <c r="J2932" s="6" t="s">
        <v>97</v>
      </c>
      <c r="K2932" s="7">
        <v>33.57518228</v>
      </c>
      <c r="L2932" s="7">
        <v>-95.392973040000001</v>
      </c>
      <c r="M2932" s="6" t="s">
        <v>96</v>
      </c>
      <c r="N2932" s="6" t="s">
        <v>95</v>
      </c>
      <c r="O2932" s="6" t="s">
        <v>65</v>
      </c>
    </row>
    <row r="2933" spans="1:15" x14ac:dyDescent="0.25">
      <c r="A2933" s="6" t="s">
        <v>2582</v>
      </c>
      <c r="B2933" s="6" t="s">
        <v>2581</v>
      </c>
      <c r="C2933" s="6" t="s">
        <v>31</v>
      </c>
      <c r="E2933" s="6" t="s">
        <v>2580</v>
      </c>
      <c r="F2933" s="6" t="s">
        <v>2579</v>
      </c>
      <c r="G2933" s="6" t="s">
        <v>16</v>
      </c>
      <c r="H2933" s="6" t="s">
        <v>28</v>
      </c>
      <c r="I2933" s="6" t="s">
        <v>60</v>
      </c>
      <c r="J2933" s="6" t="s">
        <v>35</v>
      </c>
      <c r="K2933" s="7">
        <v>30.113669999999999</v>
      </c>
      <c r="L2933" s="7">
        <v>-95.544724000000002</v>
      </c>
      <c r="M2933" s="6" t="s">
        <v>731</v>
      </c>
      <c r="N2933" s="6" t="s">
        <v>24</v>
      </c>
      <c r="O2933" s="6" t="s">
        <v>23</v>
      </c>
    </row>
    <row r="2934" spans="1:15" x14ac:dyDescent="0.25">
      <c r="A2934" s="6" t="s">
        <v>2578</v>
      </c>
      <c r="B2934" s="6" t="s">
        <v>2577</v>
      </c>
      <c r="C2934" s="6" t="s">
        <v>31</v>
      </c>
      <c r="E2934" s="6" t="s">
        <v>2576</v>
      </c>
      <c r="F2934" s="6" t="s">
        <v>2575</v>
      </c>
      <c r="G2934" s="6" t="s">
        <v>16</v>
      </c>
      <c r="H2934" s="6" t="s">
        <v>15</v>
      </c>
      <c r="I2934" s="6" t="s">
        <v>36</v>
      </c>
      <c r="J2934" s="6" t="s">
        <v>35</v>
      </c>
      <c r="K2934" s="7">
        <v>29.959449710000001</v>
      </c>
      <c r="L2934" s="7">
        <v>-95.718296289999998</v>
      </c>
      <c r="M2934" s="6" t="s">
        <v>279</v>
      </c>
      <c r="N2934" s="6" t="s">
        <v>24</v>
      </c>
      <c r="O2934" s="6" t="s">
        <v>23</v>
      </c>
    </row>
    <row r="2935" spans="1:15" x14ac:dyDescent="0.25">
      <c r="A2935" s="6" t="s">
        <v>5562</v>
      </c>
      <c r="B2935" s="6" t="s">
        <v>5561</v>
      </c>
      <c r="C2935" s="6" t="s">
        <v>31</v>
      </c>
      <c r="E2935" s="6" t="s">
        <v>5560</v>
      </c>
      <c r="F2935" s="6" t="s">
        <v>5559</v>
      </c>
      <c r="G2935" s="6" t="s">
        <v>16</v>
      </c>
      <c r="H2935" s="6" t="s">
        <v>28</v>
      </c>
      <c r="I2935" s="6" t="s">
        <v>60</v>
      </c>
      <c r="J2935" s="6" t="s">
        <v>2768</v>
      </c>
      <c r="K2935" s="7">
        <v>32.392265999999999</v>
      </c>
      <c r="L2935" s="7">
        <v>-97.217388</v>
      </c>
      <c r="M2935" s="6" t="s">
        <v>2048</v>
      </c>
      <c r="N2935" s="6" t="s">
        <v>102</v>
      </c>
      <c r="O2935" s="6" t="s">
        <v>42</v>
      </c>
    </row>
    <row r="2936" spans="1:15" x14ac:dyDescent="0.25">
      <c r="A2936" s="6" t="s">
        <v>2569</v>
      </c>
      <c r="B2936" s="6" t="s">
        <v>2568</v>
      </c>
      <c r="C2936" s="6" t="s">
        <v>31</v>
      </c>
      <c r="E2936" s="6" t="s">
        <v>2567</v>
      </c>
      <c r="F2936" s="6" t="s">
        <v>2566</v>
      </c>
      <c r="G2936" s="6" t="s">
        <v>16</v>
      </c>
      <c r="H2936" s="6" t="s">
        <v>28</v>
      </c>
      <c r="I2936" s="6" t="s">
        <v>27</v>
      </c>
      <c r="J2936" s="6" t="s">
        <v>35</v>
      </c>
      <c r="K2936" s="7">
        <v>29.813029449999998</v>
      </c>
      <c r="L2936" s="7">
        <v>-94.990917859999996</v>
      </c>
      <c r="M2936" s="6" t="s">
        <v>2565</v>
      </c>
      <c r="N2936" s="6" t="s">
        <v>120</v>
      </c>
      <c r="O2936" s="6" t="s">
        <v>23</v>
      </c>
    </row>
    <row r="2937" spans="1:15" x14ac:dyDescent="0.25">
      <c r="A2937" s="6" t="s">
        <v>2574</v>
      </c>
      <c r="B2937" s="6" t="s">
        <v>2573</v>
      </c>
      <c r="C2937" s="6" t="s">
        <v>31</v>
      </c>
      <c r="E2937" s="6" t="s">
        <v>2572</v>
      </c>
      <c r="F2937" s="6" t="s">
        <v>2571</v>
      </c>
      <c r="G2937" s="6" t="s">
        <v>16</v>
      </c>
      <c r="H2937" s="6" t="s">
        <v>15</v>
      </c>
      <c r="I2937" s="6" t="s">
        <v>14</v>
      </c>
      <c r="J2937" s="6" t="s">
        <v>221</v>
      </c>
      <c r="K2937" s="7">
        <v>30.617378689999999</v>
      </c>
      <c r="L2937" s="7">
        <v>-97.847764249999997</v>
      </c>
      <c r="M2937" s="6" t="s">
        <v>2570</v>
      </c>
      <c r="N2937" s="6" t="s">
        <v>23</v>
      </c>
      <c r="O2937" s="6" t="s">
        <v>160</v>
      </c>
    </row>
    <row r="2938" spans="1:15" x14ac:dyDescent="0.25">
      <c r="A2938" s="6" t="s">
        <v>2564</v>
      </c>
      <c r="B2938" s="6" t="s">
        <v>2563</v>
      </c>
      <c r="C2938" s="6" t="s">
        <v>31</v>
      </c>
      <c r="E2938" s="6" t="s">
        <v>2562</v>
      </c>
      <c r="F2938" s="6" t="s">
        <v>2561</v>
      </c>
      <c r="G2938" s="6" t="s">
        <v>16</v>
      </c>
      <c r="H2938" s="6" t="s">
        <v>28</v>
      </c>
      <c r="I2938" s="6" t="s">
        <v>60</v>
      </c>
      <c r="J2938" s="6" t="s">
        <v>26</v>
      </c>
      <c r="K2938" s="7">
        <v>30.071715000000001</v>
      </c>
      <c r="L2938" s="7">
        <v>-95.263037999999995</v>
      </c>
      <c r="M2938" s="6" t="s">
        <v>1022</v>
      </c>
      <c r="N2938" s="6" t="s">
        <v>24</v>
      </c>
      <c r="O2938" s="6" t="s">
        <v>23</v>
      </c>
    </row>
    <row r="2939" spans="1:15" x14ac:dyDescent="0.25">
      <c r="A2939" s="6" t="s">
        <v>126</v>
      </c>
      <c r="B2939" s="6" t="s">
        <v>125</v>
      </c>
      <c r="C2939" s="6" t="s">
        <v>31</v>
      </c>
      <c r="E2939" s="6" t="s">
        <v>124</v>
      </c>
      <c r="F2939" s="6" t="s">
        <v>123</v>
      </c>
      <c r="G2939" s="6" t="s">
        <v>16</v>
      </c>
      <c r="H2939" s="6" t="s">
        <v>28</v>
      </c>
      <c r="I2939" s="6" t="s">
        <v>27</v>
      </c>
      <c r="J2939" s="6" t="s">
        <v>122</v>
      </c>
      <c r="K2939" s="7">
        <v>31.585446000000001</v>
      </c>
      <c r="L2939" s="7">
        <v>-97.036190000000005</v>
      </c>
      <c r="M2939" s="6" t="s">
        <v>121</v>
      </c>
      <c r="N2939" s="6" t="s">
        <v>23</v>
      </c>
      <c r="O2939" s="6" t="s">
        <v>120</v>
      </c>
    </row>
    <row r="2940" spans="1:15" x14ac:dyDescent="0.25">
      <c r="A2940" s="6" t="s">
        <v>11670</v>
      </c>
      <c r="B2940" s="6" t="s">
        <v>11669</v>
      </c>
      <c r="C2940" s="6" t="s">
        <v>31</v>
      </c>
      <c r="E2940" s="6" t="s">
        <v>11668</v>
      </c>
      <c r="F2940" s="6" t="s">
        <v>592</v>
      </c>
      <c r="G2940" s="6" t="s">
        <v>16</v>
      </c>
      <c r="H2940" s="6" t="s">
        <v>591</v>
      </c>
      <c r="I2940" s="6" t="s">
        <v>36</v>
      </c>
      <c r="J2940" s="6" t="s">
        <v>6919</v>
      </c>
      <c r="K2940" s="7">
        <v>32.980741000000002</v>
      </c>
      <c r="L2940" s="7">
        <v>-95.051088370000002</v>
      </c>
      <c r="M2940" s="6" t="s">
        <v>662</v>
      </c>
      <c r="N2940" s="6" t="s">
        <v>42</v>
      </c>
      <c r="O2940" s="6" t="s">
        <v>65</v>
      </c>
    </row>
    <row r="2941" spans="1:15" x14ac:dyDescent="0.25">
      <c r="A2941" s="6" t="s">
        <v>2556</v>
      </c>
      <c r="B2941" s="6" t="s">
        <v>2555</v>
      </c>
      <c r="C2941" s="6" t="s">
        <v>31</v>
      </c>
      <c r="E2941" s="6" t="s">
        <v>2554</v>
      </c>
      <c r="F2941" s="6" t="s">
        <v>2553</v>
      </c>
      <c r="G2941" s="6" t="s">
        <v>16</v>
      </c>
      <c r="H2941" s="6" t="s">
        <v>28</v>
      </c>
      <c r="I2941" s="6" t="s">
        <v>60</v>
      </c>
      <c r="J2941" s="6" t="s">
        <v>239</v>
      </c>
      <c r="K2941" s="7">
        <v>33.373832470000004</v>
      </c>
      <c r="L2941" s="7">
        <v>-96.471084480000002</v>
      </c>
      <c r="M2941" s="6" t="s">
        <v>349</v>
      </c>
      <c r="N2941" s="6" t="s">
        <v>102</v>
      </c>
      <c r="O2941" s="6" t="s">
        <v>42</v>
      </c>
    </row>
    <row r="2942" spans="1:15" x14ac:dyDescent="0.25">
      <c r="A2942" s="6" t="s">
        <v>2910</v>
      </c>
      <c r="B2942" s="6" t="s">
        <v>2909</v>
      </c>
      <c r="C2942" s="6" t="s">
        <v>31</v>
      </c>
      <c r="E2942" s="6" t="s">
        <v>2908</v>
      </c>
      <c r="F2942" s="6" t="s">
        <v>2907</v>
      </c>
      <c r="G2942" s="6" t="s">
        <v>16</v>
      </c>
      <c r="H2942" s="6" t="s">
        <v>28</v>
      </c>
      <c r="I2942" s="6" t="s">
        <v>46</v>
      </c>
      <c r="J2942" s="6" t="s">
        <v>2101</v>
      </c>
      <c r="K2942" s="7">
        <v>33.837455290000001</v>
      </c>
      <c r="L2942" s="7">
        <v>-96.619330390000002</v>
      </c>
      <c r="M2942" s="6" t="s">
        <v>2906</v>
      </c>
      <c r="N2942" s="6" t="s">
        <v>43</v>
      </c>
      <c r="O2942" s="6" t="s">
        <v>42</v>
      </c>
    </row>
    <row r="2943" spans="1:15" x14ac:dyDescent="0.25">
      <c r="A2943" s="6" t="s">
        <v>10839</v>
      </c>
      <c r="B2943" s="6" t="s">
        <v>474</v>
      </c>
      <c r="C2943" s="6" t="s">
        <v>31</v>
      </c>
      <c r="E2943" s="6" t="s">
        <v>473</v>
      </c>
      <c r="F2943" s="6" t="s">
        <v>472</v>
      </c>
      <c r="G2943" s="6" t="s">
        <v>16</v>
      </c>
      <c r="H2943" s="6" t="s">
        <v>430</v>
      </c>
      <c r="I2943" s="6" t="s">
        <v>46</v>
      </c>
      <c r="J2943" s="6" t="s">
        <v>471</v>
      </c>
      <c r="K2943" s="7">
        <v>32.701518880000002</v>
      </c>
      <c r="L2943" s="7">
        <v>-96.917993050000007</v>
      </c>
      <c r="M2943" s="6" t="s">
        <v>103</v>
      </c>
      <c r="N2943" s="6" t="s">
        <v>102</v>
      </c>
      <c r="O2943" s="6" t="s">
        <v>42</v>
      </c>
    </row>
    <row r="2944" spans="1:15" x14ac:dyDescent="0.25">
      <c r="A2944" s="6" t="s">
        <v>475</v>
      </c>
      <c r="B2944" s="6" t="s">
        <v>474</v>
      </c>
      <c r="C2944" s="6" t="s">
        <v>19</v>
      </c>
      <c r="E2944" s="6" t="s">
        <v>473</v>
      </c>
      <c r="F2944" s="6" t="s">
        <v>472</v>
      </c>
      <c r="G2944" s="6" t="s">
        <v>16</v>
      </c>
      <c r="H2944" s="6" t="s">
        <v>430</v>
      </c>
      <c r="I2944" s="6" t="s">
        <v>46</v>
      </c>
      <c r="J2944" s="6" t="s">
        <v>471</v>
      </c>
      <c r="K2944" s="7">
        <v>32.701159740000001</v>
      </c>
      <c r="L2944" s="7">
        <v>-96.917851929999998</v>
      </c>
      <c r="M2944" s="6" t="s">
        <v>103</v>
      </c>
      <c r="N2944" s="6" t="s">
        <v>102</v>
      </c>
      <c r="O2944" s="6" t="s">
        <v>42</v>
      </c>
    </row>
    <row r="2945" spans="1:15" x14ac:dyDescent="0.25">
      <c r="A2945" s="6" t="s">
        <v>2552</v>
      </c>
      <c r="B2945" s="6" t="s">
        <v>2551</v>
      </c>
      <c r="C2945" s="6" t="s">
        <v>31</v>
      </c>
      <c r="E2945" s="6" t="s">
        <v>2550</v>
      </c>
      <c r="F2945" s="6" t="s">
        <v>2549</v>
      </c>
      <c r="G2945" s="6" t="s">
        <v>16</v>
      </c>
      <c r="H2945" s="6" t="s">
        <v>28</v>
      </c>
      <c r="I2945" s="6" t="s">
        <v>60</v>
      </c>
      <c r="J2945" s="6" t="s">
        <v>132</v>
      </c>
      <c r="K2945" s="7">
        <v>29.624137999999999</v>
      </c>
      <c r="L2945" s="7">
        <v>-95.718391999999994</v>
      </c>
      <c r="M2945" s="6" t="s">
        <v>355</v>
      </c>
      <c r="N2945" s="6" t="s">
        <v>23</v>
      </c>
      <c r="O2945" s="6" t="s">
        <v>23</v>
      </c>
    </row>
    <row r="2946" spans="1:15" x14ac:dyDescent="0.25">
      <c r="A2946" s="6" t="s">
        <v>10831</v>
      </c>
      <c r="B2946" s="6" t="s">
        <v>10830</v>
      </c>
      <c r="C2946" s="6" t="s">
        <v>436</v>
      </c>
      <c r="E2946" s="6" t="s">
        <v>10829</v>
      </c>
      <c r="F2946" s="6" t="s">
        <v>10828</v>
      </c>
      <c r="G2946" s="6" t="s">
        <v>16</v>
      </c>
      <c r="H2946" s="6" t="s">
        <v>15</v>
      </c>
      <c r="I2946" s="6" t="s">
        <v>36</v>
      </c>
      <c r="J2946" s="6" t="s">
        <v>35</v>
      </c>
      <c r="K2946" s="7">
        <v>29.886172200000001</v>
      </c>
      <c r="L2946" s="7">
        <v>-95.246067620000005</v>
      </c>
      <c r="M2946" s="6" t="s">
        <v>198</v>
      </c>
      <c r="N2946" s="6" t="s">
        <v>24</v>
      </c>
      <c r="O2946" s="6" t="s">
        <v>23</v>
      </c>
    </row>
    <row r="2947" spans="1:15" x14ac:dyDescent="0.25">
      <c r="A2947" s="6" t="s">
        <v>2548</v>
      </c>
      <c r="B2947" s="6" t="s">
        <v>2547</v>
      </c>
      <c r="C2947" s="6" t="s">
        <v>31</v>
      </c>
      <c r="E2947" s="6" t="s">
        <v>2546</v>
      </c>
      <c r="F2947" s="6" t="s">
        <v>2545</v>
      </c>
      <c r="G2947" s="6" t="s">
        <v>16</v>
      </c>
      <c r="H2947" s="6" t="s">
        <v>28</v>
      </c>
      <c r="I2947" s="6" t="s">
        <v>60</v>
      </c>
      <c r="J2947" s="6" t="s">
        <v>26</v>
      </c>
      <c r="K2947" s="7">
        <v>30.157447000000001</v>
      </c>
      <c r="L2947" s="7">
        <v>-95.606461999999993</v>
      </c>
      <c r="M2947" s="6" t="s">
        <v>731</v>
      </c>
      <c r="N2947" s="6" t="s">
        <v>24</v>
      </c>
      <c r="O2947" s="6" t="s">
        <v>23</v>
      </c>
    </row>
    <row r="2948" spans="1:15" x14ac:dyDescent="0.25">
      <c r="A2948" s="6" t="s">
        <v>10652</v>
      </c>
      <c r="B2948" s="6" t="s">
        <v>8116</v>
      </c>
      <c r="C2948" s="6" t="s">
        <v>597</v>
      </c>
      <c r="E2948" s="6" t="s">
        <v>8115</v>
      </c>
      <c r="F2948" s="6" t="s">
        <v>8114</v>
      </c>
      <c r="G2948" s="6" t="s">
        <v>16</v>
      </c>
      <c r="H2948" s="6" t="s">
        <v>15</v>
      </c>
      <c r="I2948" s="6" t="s">
        <v>14</v>
      </c>
      <c r="J2948" s="6" t="s">
        <v>162</v>
      </c>
      <c r="K2948" s="7">
        <v>28.90148744</v>
      </c>
      <c r="L2948" s="7">
        <v>-95.381005400000006</v>
      </c>
      <c r="M2948" s="6" t="s">
        <v>244</v>
      </c>
      <c r="N2948" s="6" t="s">
        <v>23</v>
      </c>
      <c r="O2948" s="6" t="s">
        <v>23</v>
      </c>
    </row>
    <row r="2949" spans="1:15" x14ac:dyDescent="0.25">
      <c r="A2949" s="6" t="s">
        <v>8117</v>
      </c>
      <c r="B2949" s="6" t="s">
        <v>8116</v>
      </c>
      <c r="C2949" s="6" t="s">
        <v>557</v>
      </c>
      <c r="E2949" s="6" t="s">
        <v>8115</v>
      </c>
      <c r="F2949" s="6" t="s">
        <v>8114</v>
      </c>
      <c r="G2949" s="6" t="s">
        <v>16</v>
      </c>
      <c r="H2949" s="6" t="s">
        <v>15</v>
      </c>
      <c r="I2949" s="6" t="s">
        <v>14</v>
      </c>
      <c r="J2949" s="6" t="s">
        <v>162</v>
      </c>
      <c r="K2949" s="7">
        <v>28.90068376</v>
      </c>
      <c r="L2949" s="7">
        <v>-95.38188753</v>
      </c>
      <c r="M2949" s="6" t="s">
        <v>244</v>
      </c>
      <c r="N2949" s="6" t="s">
        <v>23</v>
      </c>
      <c r="O2949" s="6" t="s">
        <v>23</v>
      </c>
    </row>
    <row r="2950" spans="1:15" x14ac:dyDescent="0.25">
      <c r="A2950" s="6" t="s">
        <v>10827</v>
      </c>
      <c r="B2950" s="6" t="s">
        <v>10826</v>
      </c>
      <c r="C2950" s="6" t="s">
        <v>31</v>
      </c>
      <c r="E2950" s="6" t="s">
        <v>10825</v>
      </c>
      <c r="F2950" s="6" t="s">
        <v>10824</v>
      </c>
      <c r="G2950" s="6" t="s">
        <v>16</v>
      </c>
      <c r="H2950" s="6" t="s">
        <v>15</v>
      </c>
      <c r="I2950" s="6" t="s">
        <v>36</v>
      </c>
      <c r="J2950" s="6" t="s">
        <v>1064</v>
      </c>
      <c r="K2950" s="7">
        <v>29.17445803</v>
      </c>
      <c r="L2950" s="7">
        <v>-96.334093269999997</v>
      </c>
      <c r="M2950" s="6" t="s">
        <v>2429</v>
      </c>
      <c r="N2950" s="6" t="s">
        <v>510</v>
      </c>
      <c r="O2950" s="6" t="s">
        <v>23</v>
      </c>
    </row>
    <row r="2951" spans="1:15" x14ac:dyDescent="0.25">
      <c r="A2951" s="6" t="s">
        <v>4337</v>
      </c>
      <c r="B2951" s="6" t="s">
        <v>4336</v>
      </c>
      <c r="C2951" s="6" t="s">
        <v>31</v>
      </c>
      <c r="E2951" s="6" t="s">
        <v>4335</v>
      </c>
      <c r="F2951" s="6" t="s">
        <v>4334</v>
      </c>
      <c r="G2951" s="6" t="s">
        <v>16</v>
      </c>
      <c r="H2951" s="6" t="s">
        <v>28</v>
      </c>
      <c r="I2951" s="6" t="s">
        <v>27</v>
      </c>
      <c r="J2951" s="6" t="s">
        <v>162</v>
      </c>
      <c r="K2951" s="7">
        <v>29.465012999999999</v>
      </c>
      <c r="L2951" s="7">
        <v>-95.406499999999994</v>
      </c>
      <c r="M2951" s="6" t="s">
        <v>161</v>
      </c>
      <c r="N2951" s="6" t="s">
        <v>160</v>
      </c>
      <c r="O2951" s="6" t="s">
        <v>23</v>
      </c>
    </row>
    <row r="2952" spans="1:15" x14ac:dyDescent="0.25">
      <c r="A2952" s="6" t="s">
        <v>6194</v>
      </c>
      <c r="B2952" s="6" t="s">
        <v>6193</v>
      </c>
      <c r="C2952" s="6" t="s">
        <v>31</v>
      </c>
      <c r="E2952" s="6" t="s">
        <v>6192</v>
      </c>
      <c r="F2952" s="6" t="s">
        <v>6191</v>
      </c>
      <c r="G2952" s="6" t="s">
        <v>16</v>
      </c>
      <c r="H2952" s="6" t="s">
        <v>28</v>
      </c>
      <c r="I2952" s="6" t="s">
        <v>60</v>
      </c>
      <c r="J2952" s="6" t="s">
        <v>35</v>
      </c>
      <c r="K2952" s="7">
        <v>29.882821</v>
      </c>
      <c r="L2952" s="7">
        <v>-95.035945999999996</v>
      </c>
      <c r="M2952" s="6" t="s">
        <v>914</v>
      </c>
      <c r="N2952" s="6" t="s">
        <v>120</v>
      </c>
      <c r="O2952" s="6" t="s">
        <v>23</v>
      </c>
    </row>
    <row r="2953" spans="1:15" x14ac:dyDescent="0.25">
      <c r="A2953" s="6" t="s">
        <v>6190</v>
      </c>
      <c r="B2953" s="6" t="s">
        <v>6189</v>
      </c>
      <c r="C2953" s="6" t="s">
        <v>31</v>
      </c>
      <c r="E2953" s="6" t="s">
        <v>6188</v>
      </c>
      <c r="F2953" s="6" t="s">
        <v>5708</v>
      </c>
      <c r="G2953" s="6" t="s">
        <v>16</v>
      </c>
      <c r="H2953" s="6" t="s">
        <v>28</v>
      </c>
      <c r="I2953" s="6" t="s">
        <v>27</v>
      </c>
      <c r="J2953" s="6" t="s">
        <v>35</v>
      </c>
      <c r="K2953" s="7">
        <v>29.746122159999999</v>
      </c>
      <c r="L2953" s="7">
        <v>-95.225569539999995</v>
      </c>
      <c r="M2953" s="6" t="s">
        <v>866</v>
      </c>
      <c r="N2953" s="6" t="s">
        <v>24</v>
      </c>
      <c r="O2953" s="6" t="s">
        <v>23</v>
      </c>
    </row>
    <row r="2954" spans="1:15" x14ac:dyDescent="0.25">
      <c r="A2954" s="6" t="s">
        <v>6052</v>
      </c>
      <c r="B2954" s="6" t="s">
        <v>6051</v>
      </c>
      <c r="C2954" s="6" t="s">
        <v>31</v>
      </c>
      <c r="E2954" s="6" t="s">
        <v>6050</v>
      </c>
      <c r="F2954" s="6" t="s">
        <v>6017</v>
      </c>
      <c r="G2954" s="6" t="s">
        <v>16</v>
      </c>
      <c r="H2954" s="6" t="s">
        <v>28</v>
      </c>
      <c r="I2954" s="6" t="s">
        <v>60</v>
      </c>
      <c r="J2954" s="6" t="s">
        <v>4455</v>
      </c>
      <c r="K2954" s="7">
        <v>30.691585</v>
      </c>
      <c r="L2954" s="7">
        <v>-96.900276000000005</v>
      </c>
      <c r="M2954" s="6" t="s">
        <v>252</v>
      </c>
      <c r="N2954" s="6" t="s">
        <v>23</v>
      </c>
      <c r="O2954" s="6" t="s">
        <v>120</v>
      </c>
    </row>
    <row r="2955" spans="1:15" x14ac:dyDescent="0.25">
      <c r="A2955" s="6" t="s">
        <v>6040</v>
      </c>
      <c r="B2955" s="6" t="s">
        <v>6039</v>
      </c>
      <c r="C2955" s="6" t="s">
        <v>31</v>
      </c>
      <c r="E2955" s="6" t="s">
        <v>6038</v>
      </c>
      <c r="F2955" s="6" t="s">
        <v>6037</v>
      </c>
      <c r="G2955" s="6" t="s">
        <v>16</v>
      </c>
      <c r="H2955" s="6" t="s">
        <v>28</v>
      </c>
      <c r="I2955" s="6" t="s">
        <v>60</v>
      </c>
      <c r="J2955" s="6" t="s">
        <v>132</v>
      </c>
      <c r="K2955" s="7">
        <v>29.721630000000001</v>
      </c>
      <c r="L2955" s="7">
        <v>-95.829958000000005</v>
      </c>
      <c r="M2955" s="6" t="s">
        <v>131</v>
      </c>
      <c r="N2955" s="6" t="s">
        <v>24</v>
      </c>
      <c r="O2955" s="6" t="s">
        <v>23</v>
      </c>
    </row>
    <row r="2956" spans="1:15" x14ac:dyDescent="0.25">
      <c r="A2956" s="6" t="s">
        <v>9694</v>
      </c>
      <c r="B2956" s="6" t="s">
        <v>9693</v>
      </c>
      <c r="C2956" s="6" t="s">
        <v>31</v>
      </c>
      <c r="E2956" s="6" t="s">
        <v>9692</v>
      </c>
      <c r="F2956" s="6" t="s">
        <v>9691</v>
      </c>
      <c r="G2956" s="6" t="s">
        <v>16</v>
      </c>
      <c r="H2956" s="6" t="s">
        <v>15</v>
      </c>
      <c r="I2956" s="6" t="s">
        <v>14</v>
      </c>
      <c r="J2956" s="6" t="s">
        <v>35</v>
      </c>
      <c r="K2956" s="7">
        <v>29.803254559999999</v>
      </c>
      <c r="L2956" s="7">
        <v>-94.921708769999995</v>
      </c>
      <c r="M2956" s="6" t="s">
        <v>1445</v>
      </c>
      <c r="N2956" s="6" t="s">
        <v>120</v>
      </c>
      <c r="O2956" s="6" t="s">
        <v>23</v>
      </c>
    </row>
    <row r="2957" spans="1:15" x14ac:dyDescent="0.25">
      <c r="A2957" s="6" t="s">
        <v>11991</v>
      </c>
      <c r="B2957" s="6" t="s">
        <v>11990</v>
      </c>
      <c r="C2957" s="6" t="s">
        <v>31</v>
      </c>
      <c r="E2957" s="6" t="s">
        <v>11989</v>
      </c>
      <c r="F2957" s="6" t="s">
        <v>11988</v>
      </c>
      <c r="G2957" s="6" t="s">
        <v>16</v>
      </c>
      <c r="H2957" s="6" t="s">
        <v>28</v>
      </c>
      <c r="I2957" s="6" t="s">
        <v>27</v>
      </c>
      <c r="J2957" s="6" t="s">
        <v>253</v>
      </c>
      <c r="K2957" s="7">
        <v>31.147318120000001</v>
      </c>
      <c r="L2957" s="7">
        <v>-97.473584000000002</v>
      </c>
      <c r="M2957" s="6" t="s">
        <v>2272</v>
      </c>
      <c r="N2957" s="6" t="s">
        <v>23</v>
      </c>
      <c r="O2957" s="6" t="s">
        <v>120</v>
      </c>
    </row>
    <row r="2958" spans="1:15" x14ac:dyDescent="0.25">
      <c r="A2958" s="6" t="s">
        <v>10823</v>
      </c>
      <c r="B2958" s="6" t="s">
        <v>10822</v>
      </c>
      <c r="C2958" s="6" t="s">
        <v>31</v>
      </c>
      <c r="E2958" s="6" t="s">
        <v>10821</v>
      </c>
      <c r="F2958" s="6" t="s">
        <v>10820</v>
      </c>
      <c r="G2958" s="6" t="s">
        <v>16</v>
      </c>
      <c r="H2958" s="6" t="s">
        <v>15</v>
      </c>
      <c r="I2958" s="6" t="s">
        <v>14</v>
      </c>
      <c r="J2958" s="6" t="s">
        <v>385</v>
      </c>
      <c r="K2958" s="7">
        <v>29.838891390000001</v>
      </c>
      <c r="L2958" s="7">
        <v>-93.965641759999997</v>
      </c>
      <c r="M2958" s="6" t="s">
        <v>610</v>
      </c>
      <c r="N2958" s="6" t="s">
        <v>383</v>
      </c>
      <c r="O2958" s="6" t="s">
        <v>24</v>
      </c>
    </row>
    <row r="2959" spans="1:15" x14ac:dyDescent="0.25">
      <c r="A2959" s="6" t="s">
        <v>6049</v>
      </c>
      <c r="B2959" s="6" t="s">
        <v>6048</v>
      </c>
      <c r="C2959" s="6" t="s">
        <v>31</v>
      </c>
      <c r="E2959" s="6" t="s">
        <v>6047</v>
      </c>
      <c r="F2959" s="6" t="s">
        <v>6046</v>
      </c>
      <c r="G2959" s="6" t="s">
        <v>16</v>
      </c>
      <c r="H2959" s="6" t="s">
        <v>28</v>
      </c>
      <c r="I2959" s="6" t="s">
        <v>60</v>
      </c>
      <c r="J2959" s="6" t="s">
        <v>35</v>
      </c>
      <c r="K2959" s="7">
        <v>29.883140000000001</v>
      </c>
      <c r="L2959" s="7">
        <v>-95.202387999999999</v>
      </c>
      <c r="M2959" s="6" t="s">
        <v>198</v>
      </c>
      <c r="N2959" s="6" t="s">
        <v>24</v>
      </c>
      <c r="O2959" s="6" t="s">
        <v>23</v>
      </c>
    </row>
    <row r="2960" spans="1:15" x14ac:dyDescent="0.25">
      <c r="A2960" s="6" t="s">
        <v>6466</v>
      </c>
      <c r="B2960" s="6" t="s">
        <v>6465</v>
      </c>
      <c r="C2960" s="6" t="s">
        <v>31</v>
      </c>
      <c r="E2960" s="6" t="s">
        <v>6464</v>
      </c>
      <c r="F2960" s="6" t="s">
        <v>6463</v>
      </c>
      <c r="G2960" s="6" t="s">
        <v>16</v>
      </c>
      <c r="H2960" s="6" t="s">
        <v>28</v>
      </c>
      <c r="I2960" s="6" t="s">
        <v>60</v>
      </c>
      <c r="J2960" s="6" t="s">
        <v>1288</v>
      </c>
      <c r="K2960" s="7">
        <v>32.395482999999999</v>
      </c>
      <c r="L2960" s="7">
        <v>-97.000761999999995</v>
      </c>
      <c r="M2960" s="6" t="s">
        <v>2048</v>
      </c>
      <c r="N2960" s="6" t="s">
        <v>102</v>
      </c>
      <c r="O2960" s="6" t="s">
        <v>42</v>
      </c>
    </row>
    <row r="2961" spans="1:15" x14ac:dyDescent="0.25">
      <c r="A2961" s="6" t="s">
        <v>2905</v>
      </c>
      <c r="B2961" s="6" t="s">
        <v>2904</v>
      </c>
      <c r="C2961" s="6" t="s">
        <v>31</v>
      </c>
      <c r="E2961" s="6" t="s">
        <v>2903</v>
      </c>
      <c r="F2961" s="6" t="s">
        <v>2902</v>
      </c>
      <c r="G2961" s="6" t="s">
        <v>16</v>
      </c>
      <c r="H2961" s="6" t="s">
        <v>15</v>
      </c>
      <c r="I2961" s="6" t="s">
        <v>36</v>
      </c>
      <c r="J2961" s="6" t="s">
        <v>132</v>
      </c>
      <c r="K2961" s="7">
        <v>29.68475042</v>
      </c>
      <c r="L2961" s="7">
        <v>-95.779626019999995</v>
      </c>
      <c r="M2961" s="6" t="s">
        <v>131</v>
      </c>
      <c r="N2961" s="6" t="s">
        <v>24</v>
      </c>
      <c r="O2961" s="6" t="s">
        <v>23</v>
      </c>
    </row>
    <row r="2962" spans="1:15" x14ac:dyDescent="0.25">
      <c r="A2962" s="6" t="s">
        <v>6955</v>
      </c>
      <c r="B2962" s="6" t="s">
        <v>6954</v>
      </c>
      <c r="C2962" s="6" t="s">
        <v>31</v>
      </c>
      <c r="E2962" s="6" t="s">
        <v>6953</v>
      </c>
      <c r="F2962" s="6" t="s">
        <v>6952</v>
      </c>
      <c r="G2962" s="6" t="s">
        <v>16</v>
      </c>
      <c r="H2962" s="6" t="s">
        <v>28</v>
      </c>
      <c r="I2962" s="6" t="s">
        <v>14</v>
      </c>
      <c r="J2962" s="6" t="s">
        <v>139</v>
      </c>
      <c r="K2962" s="7">
        <v>27.92201146</v>
      </c>
      <c r="L2962" s="7">
        <v>-97.574675389999996</v>
      </c>
      <c r="M2962" s="6" t="s">
        <v>4722</v>
      </c>
      <c r="N2962" s="6" t="s">
        <v>137</v>
      </c>
      <c r="O2962" s="6" t="s">
        <v>10</v>
      </c>
    </row>
    <row r="2963" spans="1:15" x14ac:dyDescent="0.25">
      <c r="A2963" s="6" t="s">
        <v>8556</v>
      </c>
      <c r="B2963" s="6" t="s">
        <v>8555</v>
      </c>
      <c r="C2963" s="6" t="s">
        <v>31</v>
      </c>
      <c r="E2963" s="6" t="s">
        <v>8554</v>
      </c>
      <c r="F2963" s="6" t="s">
        <v>8553</v>
      </c>
      <c r="G2963" s="6" t="s">
        <v>16</v>
      </c>
      <c r="H2963" s="6" t="s">
        <v>28</v>
      </c>
      <c r="I2963" s="6" t="s">
        <v>27</v>
      </c>
      <c r="J2963" s="6" t="s">
        <v>8552</v>
      </c>
      <c r="K2963" s="7">
        <v>31.439672999999999</v>
      </c>
      <c r="L2963" s="7">
        <v>-98.589428999999996</v>
      </c>
      <c r="M2963" s="6" t="s">
        <v>5913</v>
      </c>
      <c r="N2963" s="6" t="s">
        <v>10</v>
      </c>
      <c r="O2963" s="6" t="s">
        <v>120</v>
      </c>
    </row>
    <row r="2964" spans="1:15" x14ac:dyDescent="0.25">
      <c r="A2964" s="6" t="s">
        <v>6036</v>
      </c>
      <c r="B2964" s="6" t="s">
        <v>6035</v>
      </c>
      <c r="C2964" s="6" t="s">
        <v>31</v>
      </c>
      <c r="E2964" s="6" t="s">
        <v>6034</v>
      </c>
      <c r="F2964" s="6" t="s">
        <v>6033</v>
      </c>
      <c r="G2964" s="6" t="s">
        <v>16</v>
      </c>
      <c r="H2964" s="6" t="s">
        <v>28</v>
      </c>
      <c r="I2964" s="6" t="s">
        <v>36</v>
      </c>
      <c r="J2964" s="6" t="s">
        <v>132</v>
      </c>
      <c r="K2964" s="7">
        <v>29.738892880000002</v>
      </c>
      <c r="L2964" s="7">
        <v>-95.828988640000006</v>
      </c>
      <c r="M2964" s="6" t="s">
        <v>131</v>
      </c>
      <c r="N2964" s="6" t="s">
        <v>24</v>
      </c>
      <c r="O2964" s="6" t="s">
        <v>23</v>
      </c>
    </row>
    <row r="2965" spans="1:15" x14ac:dyDescent="0.25">
      <c r="A2965" s="6" t="s">
        <v>6032</v>
      </c>
      <c r="B2965" s="6" t="s">
        <v>6031</v>
      </c>
      <c r="C2965" s="6" t="s">
        <v>31</v>
      </c>
      <c r="E2965" s="6" t="s">
        <v>6030</v>
      </c>
      <c r="F2965" s="6" t="s">
        <v>6029</v>
      </c>
      <c r="G2965" s="6" t="s">
        <v>16</v>
      </c>
      <c r="H2965" s="6" t="s">
        <v>28</v>
      </c>
      <c r="I2965" s="6" t="s">
        <v>60</v>
      </c>
      <c r="J2965" s="6" t="s">
        <v>461</v>
      </c>
      <c r="K2965" s="7">
        <v>32.879657999999999</v>
      </c>
      <c r="L2965" s="7">
        <v>-96.076796999999999</v>
      </c>
      <c r="M2965" s="6" t="s">
        <v>109</v>
      </c>
      <c r="N2965" s="6" t="s">
        <v>65</v>
      </c>
      <c r="O2965" s="6" t="s">
        <v>42</v>
      </c>
    </row>
    <row r="2966" spans="1:15" x14ac:dyDescent="0.25">
      <c r="A2966" s="6" t="s">
        <v>5450</v>
      </c>
      <c r="B2966" s="6" t="s">
        <v>5449</v>
      </c>
      <c r="C2966" s="6" t="s">
        <v>31</v>
      </c>
      <c r="E2966" s="6" t="s">
        <v>5448</v>
      </c>
      <c r="F2966" s="6" t="s">
        <v>5447</v>
      </c>
      <c r="G2966" s="6" t="s">
        <v>16</v>
      </c>
      <c r="H2966" s="6" t="s">
        <v>15</v>
      </c>
      <c r="I2966" s="6" t="s">
        <v>14</v>
      </c>
      <c r="J2966" s="6" t="s">
        <v>456</v>
      </c>
      <c r="K2966" s="7">
        <v>30.089556470000002</v>
      </c>
      <c r="L2966" s="7">
        <v>-97.349788259999997</v>
      </c>
      <c r="M2966" s="6" t="s">
        <v>455</v>
      </c>
      <c r="N2966" s="6" t="s">
        <v>10</v>
      </c>
      <c r="O2966" s="6" t="s">
        <v>160</v>
      </c>
    </row>
    <row r="2967" spans="1:15" x14ac:dyDescent="0.25">
      <c r="A2967" s="6" t="s">
        <v>6024</v>
      </c>
      <c r="B2967" s="6" t="s">
        <v>6023</v>
      </c>
      <c r="C2967" s="6" t="s">
        <v>31</v>
      </c>
      <c r="E2967" s="6" t="s">
        <v>6022</v>
      </c>
      <c r="F2967" s="6" t="s">
        <v>6021</v>
      </c>
      <c r="G2967" s="6" t="s">
        <v>16</v>
      </c>
      <c r="H2967" s="6" t="s">
        <v>28</v>
      </c>
      <c r="I2967" s="6" t="s">
        <v>60</v>
      </c>
      <c r="J2967" s="6" t="s">
        <v>26</v>
      </c>
      <c r="K2967" s="7">
        <v>30.126987</v>
      </c>
      <c r="L2967" s="7">
        <v>-95.372490999999997</v>
      </c>
      <c r="M2967" s="6" t="s">
        <v>1022</v>
      </c>
      <c r="N2967" s="6" t="s">
        <v>24</v>
      </c>
      <c r="O2967" s="6" t="s">
        <v>23</v>
      </c>
    </row>
    <row r="2968" spans="1:15" x14ac:dyDescent="0.25">
      <c r="A2968" s="6" t="s">
        <v>6020</v>
      </c>
      <c r="B2968" s="6" t="s">
        <v>6019</v>
      </c>
      <c r="C2968" s="6" t="s">
        <v>31</v>
      </c>
      <c r="E2968" s="6" t="s">
        <v>6018</v>
      </c>
      <c r="F2968" s="6" t="s">
        <v>6017</v>
      </c>
      <c r="G2968" s="6" t="s">
        <v>16</v>
      </c>
      <c r="H2968" s="6" t="s">
        <v>28</v>
      </c>
      <c r="I2968" s="6" t="s">
        <v>60</v>
      </c>
      <c r="J2968" s="6" t="s">
        <v>4455</v>
      </c>
      <c r="K2968" s="7">
        <v>30.642264000000001</v>
      </c>
      <c r="L2968" s="7">
        <v>-96.926882000000006</v>
      </c>
      <c r="M2968" s="6" t="s">
        <v>589</v>
      </c>
      <c r="N2968" s="6" t="s">
        <v>23</v>
      </c>
      <c r="O2968" s="6" t="s">
        <v>120</v>
      </c>
    </row>
    <row r="2969" spans="1:15" x14ac:dyDescent="0.25">
      <c r="A2969" s="6" t="s">
        <v>6016</v>
      </c>
      <c r="B2969" s="6" t="s">
        <v>6015</v>
      </c>
      <c r="C2969" s="6" t="s">
        <v>31</v>
      </c>
      <c r="E2969" s="6" t="s">
        <v>6014</v>
      </c>
      <c r="F2969" s="6" t="s">
        <v>6013</v>
      </c>
      <c r="G2969" s="6" t="s">
        <v>16</v>
      </c>
      <c r="H2969" s="6" t="s">
        <v>15</v>
      </c>
      <c r="I2969" s="6" t="s">
        <v>27</v>
      </c>
      <c r="J2969" s="6" t="s">
        <v>853</v>
      </c>
      <c r="K2969" s="7">
        <v>29.832941999999999</v>
      </c>
      <c r="L2969" s="7">
        <v>-94.415470999999997</v>
      </c>
      <c r="M2969" s="6" t="s">
        <v>418</v>
      </c>
      <c r="N2969" s="6" t="s">
        <v>383</v>
      </c>
      <c r="O2969" s="6" t="s">
        <v>23</v>
      </c>
    </row>
    <row r="2970" spans="1:15" x14ac:dyDescent="0.25">
      <c r="A2970" s="6" t="s">
        <v>2890</v>
      </c>
      <c r="B2970" s="6" t="s">
        <v>2889</v>
      </c>
      <c r="C2970" s="6" t="s">
        <v>31</v>
      </c>
      <c r="E2970" s="6" t="s">
        <v>2888</v>
      </c>
      <c r="F2970" s="6" t="s">
        <v>2887</v>
      </c>
      <c r="G2970" s="6" t="s">
        <v>16</v>
      </c>
      <c r="H2970" s="6" t="s">
        <v>15</v>
      </c>
      <c r="I2970" s="6" t="s">
        <v>36</v>
      </c>
      <c r="J2970" s="6" t="s">
        <v>35</v>
      </c>
      <c r="K2970" s="7">
        <v>29.955886419999999</v>
      </c>
      <c r="L2970" s="7">
        <v>-95.21345135</v>
      </c>
      <c r="M2970" s="6" t="s">
        <v>198</v>
      </c>
      <c r="N2970" s="6" t="s">
        <v>24</v>
      </c>
      <c r="O2970" s="6" t="s">
        <v>23</v>
      </c>
    </row>
    <row r="2971" spans="1:15" x14ac:dyDescent="0.25">
      <c r="A2971" s="6" t="s">
        <v>2886</v>
      </c>
      <c r="B2971" s="6" t="s">
        <v>2885</v>
      </c>
      <c r="C2971" s="6" t="s">
        <v>31</v>
      </c>
      <c r="E2971" s="6" t="s">
        <v>2884</v>
      </c>
      <c r="F2971" s="6" t="s">
        <v>2883</v>
      </c>
      <c r="G2971" s="6" t="s">
        <v>16</v>
      </c>
      <c r="H2971" s="6" t="s">
        <v>15</v>
      </c>
      <c r="I2971" s="6" t="s">
        <v>46</v>
      </c>
      <c r="J2971" s="6" t="s">
        <v>132</v>
      </c>
      <c r="K2971" s="7">
        <v>29.760618139999998</v>
      </c>
      <c r="L2971" s="7">
        <v>-95.864216769999999</v>
      </c>
      <c r="M2971" s="6" t="s">
        <v>131</v>
      </c>
      <c r="N2971" s="6" t="s">
        <v>24</v>
      </c>
      <c r="O2971" s="6" t="s">
        <v>23</v>
      </c>
    </row>
    <row r="2972" spans="1:15" x14ac:dyDescent="0.25">
      <c r="A2972" s="6" t="s">
        <v>6012</v>
      </c>
      <c r="B2972" s="6" t="s">
        <v>6011</v>
      </c>
      <c r="C2972" s="6" t="s">
        <v>31</v>
      </c>
      <c r="E2972" s="6" t="s">
        <v>6010</v>
      </c>
      <c r="F2972" s="6" t="s">
        <v>6009</v>
      </c>
      <c r="G2972" s="6" t="s">
        <v>16</v>
      </c>
      <c r="H2972" s="6" t="s">
        <v>28</v>
      </c>
      <c r="I2972" s="6" t="s">
        <v>60</v>
      </c>
      <c r="J2972" s="6" t="s">
        <v>2178</v>
      </c>
      <c r="K2972" s="7">
        <v>31.433565000000002</v>
      </c>
      <c r="L2972" s="7">
        <v>-106.106038</v>
      </c>
      <c r="M2972" s="6" t="s">
        <v>945</v>
      </c>
      <c r="N2972" s="6" t="s">
        <v>373</v>
      </c>
      <c r="O2972" s="6" t="s">
        <v>52</v>
      </c>
    </row>
    <row r="2973" spans="1:15" x14ac:dyDescent="0.25">
      <c r="A2973" s="6" t="s">
        <v>6008</v>
      </c>
      <c r="B2973" s="6" t="s">
        <v>6007</v>
      </c>
      <c r="C2973" s="6" t="s">
        <v>31</v>
      </c>
      <c r="E2973" s="6" t="s">
        <v>6006</v>
      </c>
      <c r="F2973" s="6" t="s">
        <v>29</v>
      </c>
      <c r="G2973" s="6" t="s">
        <v>16</v>
      </c>
      <c r="H2973" s="6" t="s">
        <v>28</v>
      </c>
      <c r="I2973" s="6" t="s">
        <v>27</v>
      </c>
      <c r="J2973" s="6" t="s">
        <v>26</v>
      </c>
      <c r="K2973" s="7">
        <v>30.130400999999999</v>
      </c>
      <c r="L2973" s="7">
        <v>-95.378595000000004</v>
      </c>
      <c r="M2973" s="6" t="s">
        <v>1022</v>
      </c>
      <c r="N2973" s="6" t="s">
        <v>24</v>
      </c>
      <c r="O2973" s="6" t="s">
        <v>23</v>
      </c>
    </row>
    <row r="2974" spans="1:15" x14ac:dyDescent="0.25">
      <c r="A2974" s="6" t="s">
        <v>5356</v>
      </c>
      <c r="B2974" s="6" t="s">
        <v>5355</v>
      </c>
      <c r="C2974" s="6" t="s">
        <v>31</v>
      </c>
      <c r="E2974" s="6" t="s">
        <v>5354</v>
      </c>
      <c r="F2974" s="6" t="s">
        <v>5353</v>
      </c>
      <c r="G2974" s="6" t="s">
        <v>16</v>
      </c>
      <c r="H2974" s="6" t="s">
        <v>28</v>
      </c>
      <c r="I2974" s="6" t="s">
        <v>60</v>
      </c>
      <c r="J2974" s="6" t="s">
        <v>132</v>
      </c>
      <c r="K2974" s="7">
        <v>29.512198000000001</v>
      </c>
      <c r="L2974" s="7">
        <v>-95.746564000000006</v>
      </c>
      <c r="M2974" s="6" t="s">
        <v>355</v>
      </c>
      <c r="N2974" s="6" t="s">
        <v>23</v>
      </c>
      <c r="O2974" s="6" t="s">
        <v>23</v>
      </c>
    </row>
    <row r="2975" spans="1:15" x14ac:dyDescent="0.25">
      <c r="A2975" s="6" t="s">
        <v>2914</v>
      </c>
      <c r="B2975" s="6" t="s">
        <v>2913</v>
      </c>
      <c r="C2975" s="6" t="s">
        <v>31</v>
      </c>
      <c r="E2975" s="6" t="s">
        <v>2912</v>
      </c>
      <c r="F2975" s="6" t="s">
        <v>2911</v>
      </c>
      <c r="G2975" s="6" t="s">
        <v>16</v>
      </c>
      <c r="H2975" s="6" t="s">
        <v>28</v>
      </c>
      <c r="I2975" s="6" t="s">
        <v>27</v>
      </c>
      <c r="J2975" s="6" t="s">
        <v>1519</v>
      </c>
      <c r="K2975" s="7">
        <v>30.117965470000001</v>
      </c>
      <c r="L2975" s="7">
        <v>-94.630944839999998</v>
      </c>
      <c r="M2975" s="6" t="s">
        <v>144</v>
      </c>
      <c r="N2975" s="6" t="s">
        <v>52</v>
      </c>
      <c r="O2975" s="6" t="s">
        <v>23</v>
      </c>
    </row>
    <row r="2976" spans="1:15" x14ac:dyDescent="0.25">
      <c r="A2976" s="6" t="s">
        <v>5352</v>
      </c>
      <c r="B2976" s="6" t="s">
        <v>5351</v>
      </c>
      <c r="C2976" s="6" t="s">
        <v>31</v>
      </c>
      <c r="E2976" s="6" t="s">
        <v>5350</v>
      </c>
      <c r="F2976" s="6" t="s">
        <v>5349</v>
      </c>
      <c r="G2976" s="6" t="s">
        <v>16</v>
      </c>
      <c r="H2976" s="6" t="s">
        <v>28</v>
      </c>
      <c r="I2976" s="6" t="s">
        <v>1200</v>
      </c>
      <c r="J2976" s="6" t="s">
        <v>26</v>
      </c>
      <c r="K2976" s="7">
        <v>30.198687</v>
      </c>
      <c r="L2976" s="7">
        <v>-95.202720999999997</v>
      </c>
      <c r="M2976" s="6" t="s">
        <v>4048</v>
      </c>
      <c r="N2976" s="6" t="s">
        <v>24</v>
      </c>
      <c r="O2976" s="6" t="s">
        <v>23</v>
      </c>
    </row>
    <row r="2977" spans="1:15" x14ac:dyDescent="0.25">
      <c r="A2977" s="6" t="s">
        <v>5273</v>
      </c>
      <c r="B2977" s="6" t="s">
        <v>5272</v>
      </c>
      <c r="C2977" s="6" t="s">
        <v>31</v>
      </c>
      <c r="E2977" s="6" t="s">
        <v>5271</v>
      </c>
      <c r="F2977" s="6" t="s">
        <v>5270</v>
      </c>
      <c r="G2977" s="6" t="s">
        <v>16</v>
      </c>
      <c r="H2977" s="6" t="s">
        <v>28</v>
      </c>
      <c r="I2977" s="6" t="s">
        <v>60</v>
      </c>
      <c r="J2977" s="6" t="s">
        <v>296</v>
      </c>
      <c r="K2977" s="7">
        <v>29.810974550000001</v>
      </c>
      <c r="L2977" s="7">
        <v>-96.918548529999995</v>
      </c>
      <c r="M2977" s="6" t="s">
        <v>295</v>
      </c>
      <c r="N2977" s="6" t="s">
        <v>10</v>
      </c>
      <c r="O2977" s="6" t="s">
        <v>160</v>
      </c>
    </row>
    <row r="2978" spans="1:15" x14ac:dyDescent="0.25">
      <c r="A2978" s="6" t="s">
        <v>1566</v>
      </c>
      <c r="B2978" s="6" t="s">
        <v>518</v>
      </c>
      <c r="C2978" s="6" t="s">
        <v>31</v>
      </c>
      <c r="E2978" s="6" t="s">
        <v>517</v>
      </c>
      <c r="F2978" s="6" t="s">
        <v>513</v>
      </c>
      <c r="G2978" s="6" t="s">
        <v>16</v>
      </c>
      <c r="H2978" s="6" t="s">
        <v>15</v>
      </c>
      <c r="I2978" s="6" t="s">
        <v>14</v>
      </c>
      <c r="J2978" s="6" t="s">
        <v>512</v>
      </c>
      <c r="K2978" s="7">
        <v>27.699778240000001</v>
      </c>
      <c r="L2978" s="7">
        <v>-99.444861459999998</v>
      </c>
      <c r="M2978" s="6" t="s">
        <v>511</v>
      </c>
      <c r="N2978" s="6" t="s">
        <v>373</v>
      </c>
      <c r="O2978" s="6" t="s">
        <v>510</v>
      </c>
    </row>
    <row r="2979" spans="1:15" x14ac:dyDescent="0.25">
      <c r="A2979" s="6" t="s">
        <v>519</v>
      </c>
      <c r="B2979" s="6" t="s">
        <v>518</v>
      </c>
      <c r="C2979" s="6" t="s">
        <v>19</v>
      </c>
      <c r="E2979" s="6" t="s">
        <v>517</v>
      </c>
      <c r="F2979" s="6" t="s">
        <v>513</v>
      </c>
      <c r="G2979" s="6" t="s">
        <v>16</v>
      </c>
      <c r="H2979" s="6" t="s">
        <v>15</v>
      </c>
      <c r="I2979" s="6" t="s">
        <v>14</v>
      </c>
      <c r="J2979" s="6" t="s">
        <v>512</v>
      </c>
      <c r="K2979" s="7">
        <v>27.68455836</v>
      </c>
      <c r="L2979" s="7">
        <v>-99.466920450000003</v>
      </c>
      <c r="M2979" s="6" t="s">
        <v>511</v>
      </c>
      <c r="N2979" s="6" t="s">
        <v>373</v>
      </c>
      <c r="O2979" s="6" t="s">
        <v>510</v>
      </c>
    </row>
    <row r="2980" spans="1:15" x14ac:dyDescent="0.25">
      <c r="A2980" s="6" t="s">
        <v>2393</v>
      </c>
      <c r="B2980" s="6" t="s">
        <v>2392</v>
      </c>
      <c r="C2980" s="6" t="s">
        <v>31</v>
      </c>
      <c r="E2980" s="6" t="s">
        <v>2391</v>
      </c>
      <c r="F2980" s="6" t="s">
        <v>29</v>
      </c>
      <c r="G2980" s="6" t="s">
        <v>16</v>
      </c>
      <c r="H2980" s="6" t="s">
        <v>28</v>
      </c>
      <c r="I2980" s="6" t="s">
        <v>60</v>
      </c>
      <c r="J2980" s="6" t="s">
        <v>26</v>
      </c>
      <c r="K2980" s="7">
        <v>30.188849999999999</v>
      </c>
      <c r="L2980" s="7">
        <v>-95.732363000000007</v>
      </c>
      <c r="M2980" s="6" t="s">
        <v>731</v>
      </c>
      <c r="N2980" s="6" t="s">
        <v>24</v>
      </c>
      <c r="O2980" s="6" t="s">
        <v>23</v>
      </c>
    </row>
    <row r="2981" spans="1:15" x14ac:dyDescent="0.25">
      <c r="A2981" s="6" t="s">
        <v>6549</v>
      </c>
      <c r="B2981" s="6" t="s">
        <v>6548</v>
      </c>
      <c r="C2981" s="6" t="s">
        <v>31</v>
      </c>
      <c r="E2981" s="6" t="s">
        <v>6547</v>
      </c>
      <c r="F2981" s="6" t="s">
        <v>6546</v>
      </c>
      <c r="G2981" s="6" t="s">
        <v>16</v>
      </c>
      <c r="H2981" s="6" t="s">
        <v>15</v>
      </c>
      <c r="I2981" s="6" t="s">
        <v>14</v>
      </c>
      <c r="J2981" s="6" t="s">
        <v>162</v>
      </c>
      <c r="K2981" s="7">
        <v>29.455635789999999</v>
      </c>
      <c r="L2981" s="7">
        <v>-95.43864671</v>
      </c>
      <c r="M2981" s="6" t="s">
        <v>161</v>
      </c>
      <c r="N2981" s="6" t="s">
        <v>160</v>
      </c>
      <c r="O2981" s="6" t="s">
        <v>23</v>
      </c>
    </row>
    <row r="2982" spans="1:15" x14ac:dyDescent="0.25">
      <c r="A2982" s="6" t="s">
        <v>5391</v>
      </c>
      <c r="B2982" s="6" t="s">
        <v>5390</v>
      </c>
      <c r="C2982" s="6" t="s">
        <v>31</v>
      </c>
      <c r="E2982" s="6" t="s">
        <v>5389</v>
      </c>
      <c r="F2982" s="6" t="s">
        <v>5388</v>
      </c>
      <c r="G2982" s="6" t="s">
        <v>16</v>
      </c>
      <c r="H2982" s="6" t="s">
        <v>28</v>
      </c>
      <c r="I2982" s="6" t="s">
        <v>14</v>
      </c>
      <c r="J2982" s="6" t="s">
        <v>873</v>
      </c>
      <c r="K2982" s="7">
        <v>29.27750064</v>
      </c>
      <c r="L2982" s="7">
        <v>-98.332222180000002</v>
      </c>
      <c r="M2982" s="6" t="s">
        <v>1792</v>
      </c>
      <c r="N2982" s="6" t="s">
        <v>232</v>
      </c>
      <c r="O2982" s="6" t="s">
        <v>231</v>
      </c>
    </row>
    <row r="2983" spans="1:15" x14ac:dyDescent="0.25">
      <c r="A2983" s="6" t="s">
        <v>12034</v>
      </c>
      <c r="B2983" s="6" t="s">
        <v>12033</v>
      </c>
      <c r="C2983" s="6" t="s">
        <v>31</v>
      </c>
      <c r="E2983" s="6" t="s">
        <v>12032</v>
      </c>
      <c r="F2983" s="6" t="s">
        <v>489</v>
      </c>
      <c r="G2983" s="6" t="s">
        <v>16</v>
      </c>
      <c r="H2983" s="6" t="s">
        <v>28</v>
      </c>
      <c r="I2983" s="6" t="s">
        <v>60</v>
      </c>
      <c r="J2983" s="6" t="s">
        <v>215</v>
      </c>
      <c r="K2983" s="7">
        <v>29.221627999999999</v>
      </c>
      <c r="L2983" s="7">
        <v>-94.937516000000002</v>
      </c>
      <c r="M2983" s="6" t="s">
        <v>214</v>
      </c>
      <c r="N2983" s="6" t="s">
        <v>160</v>
      </c>
      <c r="O2983" s="6" t="s">
        <v>23</v>
      </c>
    </row>
    <row r="2984" spans="1:15" x14ac:dyDescent="0.25">
      <c r="A2984" s="6" t="s">
        <v>6542</v>
      </c>
      <c r="B2984" s="6" t="s">
        <v>6541</v>
      </c>
      <c r="C2984" s="6" t="s">
        <v>31</v>
      </c>
      <c r="E2984" s="6" t="s">
        <v>6540</v>
      </c>
      <c r="F2984" s="6" t="s">
        <v>6539</v>
      </c>
      <c r="G2984" s="6" t="s">
        <v>16</v>
      </c>
      <c r="H2984" s="6" t="s">
        <v>28</v>
      </c>
      <c r="I2984" s="6" t="s">
        <v>60</v>
      </c>
      <c r="J2984" s="6" t="s">
        <v>306</v>
      </c>
      <c r="K2984" s="7">
        <v>33.587941999999998</v>
      </c>
      <c r="L2984" s="7">
        <v>-98.639077</v>
      </c>
      <c r="M2984" s="6" t="s">
        <v>305</v>
      </c>
      <c r="N2984" s="6" t="s">
        <v>43</v>
      </c>
      <c r="O2984" s="6" t="s">
        <v>95</v>
      </c>
    </row>
    <row r="2985" spans="1:15" x14ac:dyDescent="0.25">
      <c r="A2985" s="6" t="s">
        <v>696</v>
      </c>
      <c r="B2985" s="6" t="s">
        <v>695</v>
      </c>
      <c r="C2985" s="6" t="s">
        <v>31</v>
      </c>
      <c r="E2985" s="6" t="s">
        <v>694</v>
      </c>
      <c r="F2985" s="6" t="s">
        <v>693</v>
      </c>
      <c r="G2985" s="6" t="s">
        <v>16</v>
      </c>
      <c r="H2985" s="6" t="s">
        <v>28</v>
      </c>
      <c r="I2985" s="6" t="s">
        <v>27</v>
      </c>
      <c r="J2985" s="6" t="s">
        <v>692</v>
      </c>
      <c r="K2985" s="7">
        <v>35.665758920000002</v>
      </c>
      <c r="L2985" s="7">
        <v>-101.42240750000001</v>
      </c>
      <c r="M2985" s="6" t="s">
        <v>691</v>
      </c>
      <c r="N2985" s="6" t="s">
        <v>535</v>
      </c>
      <c r="O2985" s="6" t="s">
        <v>535</v>
      </c>
    </row>
    <row r="2986" spans="1:15" x14ac:dyDescent="0.25">
      <c r="A2986" s="6" t="s">
        <v>6529</v>
      </c>
      <c r="B2986" s="6" t="s">
        <v>6528</v>
      </c>
      <c r="C2986" s="6" t="s">
        <v>31</v>
      </c>
      <c r="E2986" s="6" t="s">
        <v>6527</v>
      </c>
      <c r="F2986" s="6" t="s">
        <v>6526</v>
      </c>
      <c r="G2986" s="6" t="s">
        <v>16</v>
      </c>
      <c r="H2986" s="6" t="s">
        <v>28</v>
      </c>
      <c r="I2986" s="6" t="s">
        <v>46</v>
      </c>
      <c r="J2986" s="6" t="s">
        <v>90</v>
      </c>
      <c r="K2986" s="7">
        <v>26.211009000000001</v>
      </c>
      <c r="L2986" s="7">
        <v>-97.531801000000002</v>
      </c>
      <c r="M2986" s="6" t="s">
        <v>1254</v>
      </c>
      <c r="N2986" s="6" t="s">
        <v>11</v>
      </c>
      <c r="O2986" s="6" t="s">
        <v>22</v>
      </c>
    </row>
    <row r="2987" spans="1:15" x14ac:dyDescent="0.25">
      <c r="A2987" s="6" t="s">
        <v>7949</v>
      </c>
      <c r="B2987" s="6" t="s">
        <v>7948</v>
      </c>
      <c r="C2987" s="6" t="s">
        <v>31</v>
      </c>
      <c r="E2987" s="6" t="s">
        <v>7947</v>
      </c>
      <c r="F2987" s="6" t="s">
        <v>7946</v>
      </c>
      <c r="G2987" s="6" t="s">
        <v>16</v>
      </c>
      <c r="H2987" s="6" t="s">
        <v>15</v>
      </c>
      <c r="I2987" s="6" t="s">
        <v>36</v>
      </c>
      <c r="J2987" s="6" t="s">
        <v>35</v>
      </c>
      <c r="K2987" s="7">
        <v>29.96202967</v>
      </c>
      <c r="L2987" s="7">
        <v>-95.250091620000006</v>
      </c>
      <c r="M2987" s="6" t="s">
        <v>198</v>
      </c>
      <c r="N2987" s="6" t="s">
        <v>24</v>
      </c>
      <c r="O2987" s="6" t="s">
        <v>23</v>
      </c>
    </row>
    <row r="2988" spans="1:15" x14ac:dyDescent="0.25">
      <c r="A2988" s="6" t="s">
        <v>2882</v>
      </c>
      <c r="B2988" s="6" t="s">
        <v>2881</v>
      </c>
      <c r="C2988" s="6" t="s">
        <v>31</v>
      </c>
      <c r="E2988" s="6" t="s">
        <v>2880</v>
      </c>
      <c r="F2988" s="6" t="s">
        <v>457</v>
      </c>
      <c r="G2988" s="6" t="s">
        <v>16</v>
      </c>
      <c r="H2988" s="6" t="s">
        <v>28</v>
      </c>
      <c r="I2988" s="6" t="s">
        <v>60</v>
      </c>
      <c r="J2988" s="6" t="s">
        <v>456</v>
      </c>
      <c r="K2988" s="7">
        <v>30.235621160000001</v>
      </c>
      <c r="L2988" s="7">
        <v>-97.210187379999994</v>
      </c>
      <c r="M2988" s="6" t="s">
        <v>455</v>
      </c>
      <c r="N2988" s="6" t="s">
        <v>10</v>
      </c>
      <c r="O2988" s="6" t="s">
        <v>160</v>
      </c>
    </row>
    <row r="2989" spans="1:15" x14ac:dyDescent="0.25">
      <c r="A2989" s="6" t="s">
        <v>1468</v>
      </c>
      <c r="B2989" s="6" t="s">
        <v>1467</v>
      </c>
      <c r="C2989" s="6" t="s">
        <v>31</v>
      </c>
      <c r="E2989" s="6" t="s">
        <v>1466</v>
      </c>
      <c r="F2989" s="6" t="s">
        <v>1465</v>
      </c>
      <c r="G2989" s="6" t="s">
        <v>16</v>
      </c>
      <c r="H2989" s="6" t="s">
        <v>28</v>
      </c>
      <c r="I2989" s="6" t="s">
        <v>73</v>
      </c>
      <c r="J2989" s="6" t="s">
        <v>1464</v>
      </c>
      <c r="K2989" s="7">
        <v>27.442769999999999</v>
      </c>
      <c r="L2989" s="7">
        <v>-98.529610000000005</v>
      </c>
      <c r="M2989" s="6" t="s">
        <v>184</v>
      </c>
      <c r="N2989" s="6" t="s">
        <v>11</v>
      </c>
      <c r="O2989" s="6" t="s">
        <v>510</v>
      </c>
    </row>
    <row r="2990" spans="1:15" x14ac:dyDescent="0.25">
      <c r="A2990" s="6" t="s">
        <v>11219</v>
      </c>
      <c r="B2990" s="6" t="s">
        <v>11218</v>
      </c>
      <c r="C2990" s="6" t="s">
        <v>31</v>
      </c>
      <c r="E2990" s="6" t="s">
        <v>11217</v>
      </c>
      <c r="F2990" s="6" t="s">
        <v>11083</v>
      </c>
      <c r="G2990" s="6" t="s">
        <v>16</v>
      </c>
      <c r="H2990" s="6" t="s">
        <v>15</v>
      </c>
      <c r="I2990" s="6" t="s">
        <v>36</v>
      </c>
      <c r="J2990" s="6" t="s">
        <v>209</v>
      </c>
      <c r="K2990" s="7">
        <v>34.088627510000002</v>
      </c>
      <c r="L2990" s="7">
        <v>-98.520213249999998</v>
      </c>
      <c r="M2990" s="6" t="s">
        <v>11082</v>
      </c>
      <c r="N2990" s="6" t="s">
        <v>43</v>
      </c>
      <c r="O2990" s="6" t="s">
        <v>95</v>
      </c>
    </row>
    <row r="2991" spans="1:15" x14ac:dyDescent="0.25">
      <c r="A2991" s="6" t="s">
        <v>6525</v>
      </c>
      <c r="B2991" s="6" t="s">
        <v>6524</v>
      </c>
      <c r="C2991" s="6" t="s">
        <v>31</v>
      </c>
      <c r="E2991" s="6" t="s">
        <v>6523</v>
      </c>
      <c r="F2991" s="6" t="s">
        <v>6522</v>
      </c>
      <c r="G2991" s="6" t="s">
        <v>16</v>
      </c>
      <c r="H2991" s="6" t="s">
        <v>28</v>
      </c>
      <c r="I2991" s="6" t="s">
        <v>14</v>
      </c>
      <c r="J2991" s="6" t="s">
        <v>132</v>
      </c>
      <c r="K2991" s="7">
        <v>29.503302940000001</v>
      </c>
      <c r="L2991" s="7">
        <v>-95.761032970000002</v>
      </c>
      <c r="M2991" s="6" t="s">
        <v>355</v>
      </c>
      <c r="N2991" s="6" t="s">
        <v>23</v>
      </c>
      <c r="O2991" s="6" t="s">
        <v>23</v>
      </c>
    </row>
    <row r="2992" spans="1:15" x14ac:dyDescent="0.25">
      <c r="A2992" s="6" t="s">
        <v>12454</v>
      </c>
      <c r="B2992" s="6" t="s">
        <v>12453</v>
      </c>
      <c r="C2992" s="6" t="s">
        <v>31</v>
      </c>
      <c r="E2992" s="6" t="s">
        <v>12452</v>
      </c>
      <c r="F2992" s="6" t="s">
        <v>1465</v>
      </c>
      <c r="G2992" s="6" t="s">
        <v>16</v>
      </c>
      <c r="H2992" s="6" t="s">
        <v>28</v>
      </c>
      <c r="I2992" s="6" t="s">
        <v>73</v>
      </c>
      <c r="J2992" s="6" t="s">
        <v>1464</v>
      </c>
      <c r="K2992" s="7">
        <v>27.594262000000001</v>
      </c>
      <c r="L2992" s="7">
        <v>-98.385160999999997</v>
      </c>
      <c r="M2992" s="6" t="s">
        <v>184</v>
      </c>
      <c r="N2992" s="6" t="s">
        <v>11</v>
      </c>
      <c r="O2992" s="6" t="s">
        <v>510</v>
      </c>
    </row>
    <row r="2993" spans="1:15" x14ac:dyDescent="0.25">
      <c r="A2993" s="6" t="s">
        <v>2926</v>
      </c>
      <c r="B2993" s="6" t="s">
        <v>2925</v>
      </c>
      <c r="C2993" s="6" t="s">
        <v>31</v>
      </c>
      <c r="E2993" s="6" t="s">
        <v>2924</v>
      </c>
      <c r="F2993" s="6" t="s">
        <v>2923</v>
      </c>
      <c r="G2993" s="6" t="s">
        <v>16</v>
      </c>
      <c r="H2993" s="6" t="s">
        <v>15</v>
      </c>
      <c r="I2993" s="6" t="s">
        <v>14</v>
      </c>
      <c r="J2993" s="6" t="s">
        <v>480</v>
      </c>
      <c r="K2993" s="7">
        <v>26.097653430000001</v>
      </c>
      <c r="L2993" s="7">
        <v>-97.966116400000004</v>
      </c>
      <c r="M2993" s="6" t="s">
        <v>179</v>
      </c>
      <c r="N2993" s="6" t="s">
        <v>11</v>
      </c>
      <c r="O2993" s="6" t="s">
        <v>22</v>
      </c>
    </row>
    <row r="2994" spans="1:15" x14ac:dyDescent="0.25">
      <c r="A2994" s="6" t="s">
        <v>9349</v>
      </c>
      <c r="B2994" s="6" t="s">
        <v>9348</v>
      </c>
      <c r="C2994" s="6" t="s">
        <v>31</v>
      </c>
      <c r="E2994" s="6" t="s">
        <v>9347</v>
      </c>
      <c r="F2994" s="6" t="s">
        <v>9346</v>
      </c>
      <c r="G2994" s="6" t="s">
        <v>16</v>
      </c>
      <c r="H2994" s="6" t="s">
        <v>28</v>
      </c>
      <c r="I2994" s="6" t="s">
        <v>60</v>
      </c>
      <c r="J2994" s="6" t="s">
        <v>215</v>
      </c>
      <c r="K2994" s="7">
        <v>29.470662000000001</v>
      </c>
      <c r="L2994" s="7">
        <v>-95.013733000000002</v>
      </c>
      <c r="M2994" s="6" t="s">
        <v>3066</v>
      </c>
      <c r="N2994" s="6" t="s">
        <v>160</v>
      </c>
      <c r="O2994" s="6" t="s">
        <v>23</v>
      </c>
    </row>
    <row r="2995" spans="1:15" x14ac:dyDescent="0.25">
      <c r="A2995" s="6" t="s">
        <v>11216</v>
      </c>
      <c r="B2995" s="6" t="s">
        <v>11215</v>
      </c>
      <c r="C2995" s="6" t="s">
        <v>31</v>
      </c>
      <c r="E2995" s="6" t="s">
        <v>11214</v>
      </c>
      <c r="F2995" s="6" t="s">
        <v>11213</v>
      </c>
      <c r="G2995" s="6" t="s">
        <v>16</v>
      </c>
      <c r="H2995" s="6" t="s">
        <v>15</v>
      </c>
      <c r="I2995" s="6" t="s">
        <v>14</v>
      </c>
      <c r="J2995" s="6" t="s">
        <v>122</v>
      </c>
      <c r="K2995" s="7">
        <v>31.451039130000002</v>
      </c>
      <c r="L2995" s="7">
        <v>-97.00048185</v>
      </c>
      <c r="M2995" s="6" t="s">
        <v>121</v>
      </c>
      <c r="N2995" s="6" t="s">
        <v>23</v>
      </c>
      <c r="O2995" s="6" t="s">
        <v>120</v>
      </c>
    </row>
    <row r="2996" spans="1:15" x14ac:dyDescent="0.25">
      <c r="A2996" s="6" t="s">
        <v>10534</v>
      </c>
      <c r="B2996" s="6" t="s">
        <v>10533</v>
      </c>
      <c r="C2996" s="6" t="s">
        <v>31</v>
      </c>
      <c r="E2996" s="6" t="s">
        <v>10532</v>
      </c>
      <c r="F2996" s="6" t="s">
        <v>10531</v>
      </c>
      <c r="G2996" s="6" t="s">
        <v>16</v>
      </c>
      <c r="H2996" s="6" t="s">
        <v>28</v>
      </c>
      <c r="I2996" s="6" t="s">
        <v>27</v>
      </c>
      <c r="J2996" s="6" t="s">
        <v>356</v>
      </c>
      <c r="K2996" s="7">
        <v>29.775521000000001</v>
      </c>
      <c r="L2996" s="7">
        <v>-95.892138000000003</v>
      </c>
      <c r="M2996" s="6" t="s">
        <v>131</v>
      </c>
      <c r="N2996" s="6" t="s">
        <v>24</v>
      </c>
      <c r="O2996" s="6" t="s">
        <v>23</v>
      </c>
    </row>
    <row r="2997" spans="1:15" x14ac:dyDescent="0.25">
      <c r="A2997" s="6" t="s">
        <v>10538</v>
      </c>
      <c r="B2997" s="6" t="s">
        <v>10537</v>
      </c>
      <c r="C2997" s="6" t="s">
        <v>31</v>
      </c>
      <c r="E2997" s="6" t="s">
        <v>10536</v>
      </c>
      <c r="F2997" s="6" t="s">
        <v>10535</v>
      </c>
      <c r="G2997" s="6" t="s">
        <v>16</v>
      </c>
      <c r="H2997" s="6" t="s">
        <v>28</v>
      </c>
      <c r="I2997" s="6" t="s">
        <v>73</v>
      </c>
      <c r="J2997" s="6" t="s">
        <v>1611</v>
      </c>
      <c r="K2997" s="7">
        <v>32.517485999999998</v>
      </c>
      <c r="L2997" s="7">
        <v>-94.902753000000004</v>
      </c>
      <c r="M2997" s="6" t="s">
        <v>1218</v>
      </c>
      <c r="N2997" s="6" t="s">
        <v>65</v>
      </c>
      <c r="O2997" s="6" t="s">
        <v>65</v>
      </c>
    </row>
    <row r="2998" spans="1:15" x14ac:dyDescent="0.25">
      <c r="A2998" s="6" t="s">
        <v>3871</v>
      </c>
      <c r="B2998" s="6" t="s">
        <v>3870</v>
      </c>
      <c r="C2998" s="6" t="s">
        <v>31</v>
      </c>
      <c r="E2998" s="6" t="s">
        <v>3869</v>
      </c>
      <c r="F2998" s="6" t="s">
        <v>3868</v>
      </c>
      <c r="G2998" s="6" t="s">
        <v>16</v>
      </c>
      <c r="H2998" s="6" t="s">
        <v>15</v>
      </c>
      <c r="I2998" s="6" t="s">
        <v>46</v>
      </c>
      <c r="J2998" s="6" t="s">
        <v>90</v>
      </c>
      <c r="K2998" s="7">
        <v>26.248701570000001</v>
      </c>
      <c r="L2998" s="7">
        <v>-97.782565869999999</v>
      </c>
      <c r="M2998" s="6" t="s">
        <v>89</v>
      </c>
      <c r="N2998" s="6" t="s">
        <v>11</v>
      </c>
      <c r="O2998" s="6" t="s">
        <v>22</v>
      </c>
    </row>
    <row r="2999" spans="1:15" x14ac:dyDescent="0.25">
      <c r="A2999" s="6" t="s">
        <v>5861</v>
      </c>
      <c r="B2999" s="6" t="s">
        <v>5860</v>
      </c>
      <c r="C2999" s="6" t="s">
        <v>31</v>
      </c>
      <c r="E2999" s="6" t="s">
        <v>5859</v>
      </c>
      <c r="F2999" s="6" t="s">
        <v>5858</v>
      </c>
      <c r="G2999" s="6" t="s">
        <v>16</v>
      </c>
      <c r="H2999" s="6" t="s">
        <v>28</v>
      </c>
      <c r="I2999" s="6" t="s">
        <v>46</v>
      </c>
      <c r="J2999" s="6" t="s">
        <v>35</v>
      </c>
      <c r="K2999" s="7">
        <v>29.995984530000001</v>
      </c>
      <c r="L2999" s="7">
        <v>-95.783753759999996</v>
      </c>
      <c r="M2999" s="6" t="s">
        <v>279</v>
      </c>
      <c r="N2999" s="6" t="s">
        <v>24</v>
      </c>
      <c r="O2999" s="6" t="s">
        <v>23</v>
      </c>
    </row>
    <row r="3000" spans="1:15" x14ac:dyDescent="0.25">
      <c r="A3000" s="6" t="s">
        <v>10027</v>
      </c>
      <c r="B3000" s="6" t="s">
        <v>10026</v>
      </c>
      <c r="C3000" s="6" t="s">
        <v>31</v>
      </c>
      <c r="E3000" s="6" t="s">
        <v>10025</v>
      </c>
      <c r="F3000" s="6" t="s">
        <v>10024</v>
      </c>
      <c r="G3000" s="6" t="s">
        <v>16</v>
      </c>
      <c r="H3000" s="6" t="s">
        <v>15</v>
      </c>
      <c r="I3000" s="6" t="s">
        <v>46</v>
      </c>
      <c r="J3000" s="6" t="s">
        <v>480</v>
      </c>
      <c r="K3000" s="7">
        <v>26.213615950000001</v>
      </c>
      <c r="L3000" s="7">
        <v>-98.489521319999994</v>
      </c>
      <c r="M3000" s="6" t="s">
        <v>374</v>
      </c>
      <c r="N3000" s="6" t="s">
        <v>373</v>
      </c>
      <c r="O3000" s="6" t="s">
        <v>22</v>
      </c>
    </row>
    <row r="3001" spans="1:15" x14ac:dyDescent="0.25">
      <c r="A3001" s="6" t="s">
        <v>5480</v>
      </c>
      <c r="B3001" s="6" t="s">
        <v>5479</v>
      </c>
      <c r="C3001" s="6" t="s">
        <v>31</v>
      </c>
      <c r="E3001" s="6" t="s">
        <v>5478</v>
      </c>
      <c r="F3001" s="6" t="s">
        <v>5477</v>
      </c>
      <c r="G3001" s="6" t="s">
        <v>16</v>
      </c>
      <c r="H3001" s="6" t="s">
        <v>28</v>
      </c>
      <c r="I3001" s="6" t="s">
        <v>36</v>
      </c>
      <c r="J3001" s="6" t="s">
        <v>239</v>
      </c>
      <c r="K3001" s="7">
        <v>33.01153953</v>
      </c>
      <c r="L3001" s="7">
        <v>-96.448942500000001</v>
      </c>
      <c r="M3001" s="6" t="s">
        <v>5476</v>
      </c>
      <c r="N3001" s="6" t="s">
        <v>102</v>
      </c>
      <c r="O3001" s="6" t="s">
        <v>42</v>
      </c>
    </row>
    <row r="3002" spans="1:15" x14ac:dyDescent="0.25">
      <c r="A3002" s="6" t="s">
        <v>2918</v>
      </c>
      <c r="B3002" s="6" t="s">
        <v>2917</v>
      </c>
      <c r="C3002" s="6" t="s">
        <v>31</v>
      </c>
      <c r="E3002" s="6" t="s">
        <v>2916</v>
      </c>
      <c r="F3002" s="6" t="s">
        <v>2915</v>
      </c>
      <c r="G3002" s="6" t="s">
        <v>16</v>
      </c>
      <c r="H3002" s="6" t="s">
        <v>28</v>
      </c>
      <c r="I3002" s="6" t="s">
        <v>60</v>
      </c>
      <c r="J3002" s="6" t="s">
        <v>1240</v>
      </c>
      <c r="K3002" s="7">
        <v>28.673398800000001</v>
      </c>
      <c r="L3002" s="7">
        <v>-96.853198800000001</v>
      </c>
      <c r="M3002" s="6" t="s">
        <v>1272</v>
      </c>
      <c r="N3002" s="6" t="s">
        <v>82</v>
      </c>
      <c r="O3002" s="6" t="s">
        <v>10</v>
      </c>
    </row>
    <row r="3003" spans="1:15" x14ac:dyDescent="0.25">
      <c r="A3003" s="6" t="s">
        <v>2486</v>
      </c>
      <c r="B3003" s="6" t="s">
        <v>2485</v>
      </c>
      <c r="C3003" s="6" t="s">
        <v>31</v>
      </c>
      <c r="E3003" s="6" t="s">
        <v>2484</v>
      </c>
      <c r="F3003" s="6" t="s">
        <v>2483</v>
      </c>
      <c r="G3003" s="6" t="s">
        <v>16</v>
      </c>
      <c r="H3003" s="6" t="s">
        <v>28</v>
      </c>
      <c r="I3003" s="6" t="s">
        <v>73</v>
      </c>
      <c r="J3003" s="6" t="s">
        <v>1716</v>
      </c>
      <c r="K3003" s="7">
        <v>30.841134</v>
      </c>
      <c r="L3003" s="7">
        <v>-95.339662000000004</v>
      </c>
      <c r="M3003" s="6" t="s">
        <v>317</v>
      </c>
      <c r="N3003" s="6" t="s">
        <v>102</v>
      </c>
      <c r="O3003" s="6" t="s">
        <v>23</v>
      </c>
    </row>
    <row r="3004" spans="1:15" x14ac:dyDescent="0.25">
      <c r="A3004" s="6" t="s">
        <v>5457</v>
      </c>
      <c r="B3004" s="6" t="s">
        <v>5456</v>
      </c>
      <c r="C3004" s="6" t="s">
        <v>31</v>
      </c>
      <c r="E3004" s="6" t="s">
        <v>5455</v>
      </c>
      <c r="F3004" s="6" t="s">
        <v>5454</v>
      </c>
      <c r="G3004" s="6" t="s">
        <v>16</v>
      </c>
      <c r="H3004" s="6" t="s">
        <v>15</v>
      </c>
      <c r="I3004" s="6" t="s">
        <v>799</v>
      </c>
      <c r="J3004" s="6" t="s">
        <v>35</v>
      </c>
      <c r="K3004" s="7">
        <v>29.903289990000001</v>
      </c>
      <c r="L3004" s="7">
        <v>-95.704787249999995</v>
      </c>
      <c r="M3004" s="6" t="s">
        <v>131</v>
      </c>
      <c r="N3004" s="6" t="s">
        <v>24</v>
      </c>
      <c r="O3004" s="6" t="s">
        <v>23</v>
      </c>
    </row>
    <row r="3005" spans="1:15" x14ac:dyDescent="0.25">
      <c r="A3005" s="6" t="s">
        <v>2922</v>
      </c>
      <c r="B3005" s="6" t="s">
        <v>2921</v>
      </c>
      <c r="C3005" s="6" t="s">
        <v>31</v>
      </c>
      <c r="E3005" s="6" t="s">
        <v>2920</v>
      </c>
      <c r="F3005" s="6" t="s">
        <v>2919</v>
      </c>
      <c r="G3005" s="6" t="s">
        <v>16</v>
      </c>
      <c r="H3005" s="6" t="s">
        <v>28</v>
      </c>
      <c r="I3005" s="6" t="s">
        <v>27</v>
      </c>
      <c r="J3005" s="6" t="s">
        <v>26</v>
      </c>
      <c r="K3005" s="7">
        <v>30.103597300000001</v>
      </c>
      <c r="L3005" s="7">
        <v>-95.344317759999996</v>
      </c>
      <c r="M3005" s="6" t="s">
        <v>1022</v>
      </c>
      <c r="N3005" s="6" t="s">
        <v>24</v>
      </c>
      <c r="O3005" s="6" t="s">
        <v>23</v>
      </c>
    </row>
    <row r="3006" spans="1:15" x14ac:dyDescent="0.25">
      <c r="A3006" s="6" t="s">
        <v>470</v>
      </c>
      <c r="B3006" s="6" t="s">
        <v>469</v>
      </c>
      <c r="C3006" s="6" t="s">
        <v>31</v>
      </c>
      <c r="E3006" s="6" t="s">
        <v>468</v>
      </c>
      <c r="F3006" s="6" t="s">
        <v>467</v>
      </c>
      <c r="G3006" s="6" t="s">
        <v>16</v>
      </c>
      <c r="H3006" s="6" t="s">
        <v>28</v>
      </c>
      <c r="I3006" s="6" t="s">
        <v>73</v>
      </c>
      <c r="J3006" s="6" t="s">
        <v>312</v>
      </c>
      <c r="K3006" s="7">
        <v>32.388198000000003</v>
      </c>
      <c r="L3006" s="7">
        <v>-97.681191999999996</v>
      </c>
      <c r="M3006" s="6" t="s">
        <v>466</v>
      </c>
      <c r="N3006" s="6" t="s">
        <v>23</v>
      </c>
      <c r="O3006" s="6" t="s">
        <v>42</v>
      </c>
    </row>
    <row r="3007" spans="1:15" x14ac:dyDescent="0.25">
      <c r="A3007" s="6" t="s">
        <v>10838</v>
      </c>
      <c r="B3007" s="6" t="s">
        <v>10837</v>
      </c>
      <c r="C3007" s="6" t="s">
        <v>31</v>
      </c>
      <c r="E3007" s="6" t="s">
        <v>10836</v>
      </c>
      <c r="F3007" s="6" t="s">
        <v>10835</v>
      </c>
      <c r="G3007" s="6" t="s">
        <v>16</v>
      </c>
      <c r="H3007" s="6" t="s">
        <v>28</v>
      </c>
      <c r="I3007" s="6" t="s">
        <v>73</v>
      </c>
      <c r="J3007" s="6" t="s">
        <v>35</v>
      </c>
      <c r="K3007" s="7">
        <v>29.823483</v>
      </c>
      <c r="L3007" s="7">
        <v>-95.789385999999993</v>
      </c>
      <c r="M3007" s="6" t="s">
        <v>131</v>
      </c>
      <c r="N3007" s="6" t="s">
        <v>24</v>
      </c>
      <c r="O3007" s="6" t="s">
        <v>23</v>
      </c>
    </row>
    <row r="3008" spans="1:15" x14ac:dyDescent="0.25">
      <c r="A3008" s="6" t="s">
        <v>9345</v>
      </c>
      <c r="B3008" s="6" t="s">
        <v>9344</v>
      </c>
      <c r="C3008" s="6" t="s">
        <v>31</v>
      </c>
      <c r="E3008" s="6" t="s">
        <v>9343</v>
      </c>
      <c r="F3008" s="6" t="s">
        <v>2072</v>
      </c>
      <c r="G3008" s="6" t="s">
        <v>16</v>
      </c>
      <c r="H3008" s="6" t="s">
        <v>28</v>
      </c>
      <c r="I3008" s="6" t="s">
        <v>73</v>
      </c>
      <c r="J3008" s="6" t="s">
        <v>26</v>
      </c>
      <c r="K3008" s="7">
        <v>30.16868024</v>
      </c>
      <c r="L3008" s="7">
        <v>-95.686161119999994</v>
      </c>
      <c r="M3008" s="6" t="s">
        <v>731</v>
      </c>
      <c r="N3008" s="6" t="s">
        <v>24</v>
      </c>
      <c r="O3008" s="6" t="s">
        <v>23</v>
      </c>
    </row>
    <row r="3009" spans="1:15" x14ac:dyDescent="0.25">
      <c r="A3009" s="6" t="s">
        <v>6128</v>
      </c>
      <c r="B3009" s="6" t="s">
        <v>6127</v>
      </c>
      <c r="C3009" s="6" t="s">
        <v>31</v>
      </c>
      <c r="E3009" s="6" t="s">
        <v>6126</v>
      </c>
      <c r="F3009" s="6" t="s">
        <v>6125</v>
      </c>
      <c r="G3009" s="6" t="s">
        <v>16</v>
      </c>
      <c r="H3009" s="6" t="s">
        <v>15</v>
      </c>
      <c r="I3009" s="6" t="s">
        <v>14</v>
      </c>
      <c r="J3009" s="6" t="s">
        <v>221</v>
      </c>
      <c r="K3009" s="7">
        <v>30.824155690000001</v>
      </c>
      <c r="L3009" s="7">
        <v>-97.545614130000004</v>
      </c>
      <c r="M3009" s="6" t="s">
        <v>252</v>
      </c>
      <c r="N3009" s="6" t="s">
        <v>23</v>
      </c>
      <c r="O3009" s="6" t="s">
        <v>160</v>
      </c>
    </row>
    <row r="3010" spans="1:15" x14ac:dyDescent="0.25">
      <c r="A3010" s="6" t="s">
        <v>11501</v>
      </c>
      <c r="B3010" s="6" t="s">
        <v>11500</v>
      </c>
      <c r="C3010" s="6" t="s">
        <v>31</v>
      </c>
      <c r="E3010" s="6" t="s">
        <v>11499</v>
      </c>
      <c r="F3010" s="6" t="s">
        <v>11498</v>
      </c>
      <c r="G3010" s="6" t="s">
        <v>16</v>
      </c>
      <c r="H3010" s="6" t="s">
        <v>28</v>
      </c>
      <c r="I3010" s="6" t="s">
        <v>73</v>
      </c>
      <c r="J3010" s="6" t="s">
        <v>26</v>
      </c>
      <c r="K3010" s="7">
        <v>30.126362</v>
      </c>
      <c r="L3010" s="7">
        <v>-95.245148</v>
      </c>
      <c r="M3010" s="6" t="s">
        <v>59</v>
      </c>
      <c r="N3010" s="6" t="s">
        <v>24</v>
      </c>
      <c r="O3010" s="6" t="s">
        <v>23</v>
      </c>
    </row>
    <row r="3011" spans="1:15" x14ac:dyDescent="0.25">
      <c r="A3011" s="6" t="s">
        <v>10096</v>
      </c>
      <c r="B3011" s="6" t="s">
        <v>10095</v>
      </c>
      <c r="C3011" s="6" t="s">
        <v>31</v>
      </c>
      <c r="E3011" s="6" t="s">
        <v>10094</v>
      </c>
      <c r="F3011" s="6" t="s">
        <v>10093</v>
      </c>
      <c r="G3011" s="6" t="s">
        <v>16</v>
      </c>
      <c r="H3011" s="6" t="s">
        <v>28</v>
      </c>
      <c r="I3011" s="6" t="s">
        <v>60</v>
      </c>
      <c r="J3011" s="6" t="s">
        <v>35</v>
      </c>
      <c r="K3011" s="7">
        <v>29.79861</v>
      </c>
      <c r="L3011" s="7">
        <v>-95.051426000000006</v>
      </c>
      <c r="M3011" s="6" t="s">
        <v>716</v>
      </c>
      <c r="N3011" s="6" t="s">
        <v>24</v>
      </c>
      <c r="O3011" s="6" t="s">
        <v>23</v>
      </c>
    </row>
    <row r="3012" spans="1:15" x14ac:dyDescent="0.25">
      <c r="A3012" s="6" t="s">
        <v>5484</v>
      </c>
      <c r="B3012" s="6" t="s">
        <v>5483</v>
      </c>
      <c r="C3012" s="6" t="s">
        <v>31</v>
      </c>
      <c r="E3012" s="6" t="s">
        <v>5482</v>
      </c>
      <c r="F3012" s="6" t="s">
        <v>5481</v>
      </c>
      <c r="G3012" s="6" t="s">
        <v>16</v>
      </c>
      <c r="H3012" s="6" t="s">
        <v>15</v>
      </c>
      <c r="I3012" s="6" t="s">
        <v>14</v>
      </c>
      <c r="J3012" s="6" t="s">
        <v>26</v>
      </c>
      <c r="K3012" s="7">
        <v>30.15254625</v>
      </c>
      <c r="L3012" s="7">
        <v>-95.395985179999997</v>
      </c>
      <c r="M3012" s="6" t="s">
        <v>1022</v>
      </c>
      <c r="N3012" s="6" t="s">
        <v>24</v>
      </c>
      <c r="O3012" s="6" t="s">
        <v>23</v>
      </c>
    </row>
    <row r="3013" spans="1:15" x14ac:dyDescent="0.25">
      <c r="A3013" s="6" t="s">
        <v>5231</v>
      </c>
      <c r="B3013" s="6" t="s">
        <v>5230</v>
      </c>
      <c r="C3013" s="6" t="s">
        <v>31</v>
      </c>
      <c r="E3013" s="6" t="s">
        <v>5229</v>
      </c>
      <c r="F3013" s="6" t="s">
        <v>5228</v>
      </c>
      <c r="G3013" s="6" t="s">
        <v>16</v>
      </c>
      <c r="H3013" s="6" t="s">
        <v>15</v>
      </c>
      <c r="I3013" s="6" t="s">
        <v>46</v>
      </c>
      <c r="J3013" s="6" t="s">
        <v>471</v>
      </c>
      <c r="K3013" s="7">
        <v>32.779874499999998</v>
      </c>
      <c r="L3013" s="7">
        <v>-96.819015870000001</v>
      </c>
      <c r="M3013" s="6" t="s">
        <v>103</v>
      </c>
      <c r="N3013" s="6" t="s">
        <v>102</v>
      </c>
      <c r="O3013" s="6" t="s">
        <v>42</v>
      </c>
    </row>
    <row r="3014" spans="1:15" x14ac:dyDescent="0.25">
      <c r="A3014" s="6" t="s">
        <v>12052</v>
      </c>
      <c r="B3014" s="6" t="s">
        <v>12051</v>
      </c>
      <c r="C3014" s="6" t="s">
        <v>31</v>
      </c>
      <c r="E3014" s="6" t="s">
        <v>12050</v>
      </c>
      <c r="F3014" s="6" t="s">
        <v>12049</v>
      </c>
      <c r="G3014" s="6" t="s">
        <v>16</v>
      </c>
      <c r="H3014" s="6" t="s">
        <v>15</v>
      </c>
      <c r="I3014" s="6" t="s">
        <v>60</v>
      </c>
      <c r="J3014" s="6" t="s">
        <v>2178</v>
      </c>
      <c r="K3014" s="7">
        <v>31.986588000000001</v>
      </c>
      <c r="L3014" s="7">
        <v>-106.37427099999999</v>
      </c>
      <c r="M3014" s="6" t="s">
        <v>8434</v>
      </c>
      <c r="N3014" s="6" t="s">
        <v>373</v>
      </c>
      <c r="O3014" s="6" t="s">
        <v>52</v>
      </c>
    </row>
    <row r="3015" spans="1:15" x14ac:dyDescent="0.25">
      <c r="A3015" s="6" t="s">
        <v>8351</v>
      </c>
      <c r="B3015" s="6" t="s">
        <v>8350</v>
      </c>
      <c r="C3015" s="6" t="s">
        <v>31</v>
      </c>
      <c r="E3015" s="6" t="s">
        <v>8349</v>
      </c>
      <c r="F3015" s="6" t="s">
        <v>8348</v>
      </c>
      <c r="G3015" s="6" t="s">
        <v>16</v>
      </c>
      <c r="H3015" s="6" t="s">
        <v>28</v>
      </c>
      <c r="I3015" s="6" t="s">
        <v>27</v>
      </c>
      <c r="J3015" s="6" t="s">
        <v>35</v>
      </c>
      <c r="K3015" s="7">
        <v>30.102288000000001</v>
      </c>
      <c r="L3015" s="7">
        <v>-95.571128000000002</v>
      </c>
      <c r="M3015" s="6" t="s">
        <v>731</v>
      </c>
      <c r="N3015" s="6" t="s">
        <v>24</v>
      </c>
      <c r="O3015" s="6" t="s">
        <v>23</v>
      </c>
    </row>
    <row r="3016" spans="1:15" x14ac:dyDescent="0.25">
      <c r="A3016" s="6" t="s">
        <v>460</v>
      </c>
      <c r="B3016" s="6" t="s">
        <v>459</v>
      </c>
      <c r="C3016" s="6" t="s">
        <v>31</v>
      </c>
      <c r="E3016" s="6" t="s">
        <v>458</v>
      </c>
      <c r="F3016" s="6" t="s">
        <v>457</v>
      </c>
      <c r="G3016" s="6" t="s">
        <v>16</v>
      </c>
      <c r="H3016" s="6" t="s">
        <v>28</v>
      </c>
      <c r="I3016" s="6" t="s">
        <v>60</v>
      </c>
      <c r="J3016" s="6" t="s">
        <v>456</v>
      </c>
      <c r="K3016" s="7">
        <v>30.12926599</v>
      </c>
      <c r="L3016" s="7">
        <v>-97.571288139999993</v>
      </c>
      <c r="M3016" s="6" t="s">
        <v>455</v>
      </c>
      <c r="N3016" s="6" t="s">
        <v>10</v>
      </c>
      <c r="O3016" s="6" t="s">
        <v>160</v>
      </c>
    </row>
    <row r="3017" spans="1:15" x14ac:dyDescent="0.25">
      <c r="A3017" s="6" t="s">
        <v>2039</v>
      </c>
      <c r="B3017" s="6" t="s">
        <v>2038</v>
      </c>
      <c r="C3017" s="6" t="s">
        <v>31</v>
      </c>
      <c r="E3017" s="6" t="s">
        <v>2037</v>
      </c>
      <c r="F3017" s="6" t="s">
        <v>1899</v>
      </c>
      <c r="G3017" s="6" t="s">
        <v>16</v>
      </c>
      <c r="H3017" s="6" t="s">
        <v>28</v>
      </c>
      <c r="I3017" s="6" t="s">
        <v>73</v>
      </c>
      <c r="J3017" s="6" t="s">
        <v>226</v>
      </c>
      <c r="K3017" s="7">
        <v>33.829554340000001</v>
      </c>
      <c r="L3017" s="7">
        <v>-98.193858109999994</v>
      </c>
      <c r="M3017" s="6" t="s">
        <v>1898</v>
      </c>
      <c r="N3017" s="6" t="s">
        <v>43</v>
      </c>
      <c r="O3017" s="6" t="s">
        <v>95</v>
      </c>
    </row>
    <row r="3018" spans="1:15" x14ac:dyDescent="0.25">
      <c r="A3018" s="6" t="s">
        <v>5372</v>
      </c>
      <c r="B3018" s="6" t="s">
        <v>5371</v>
      </c>
      <c r="C3018" s="6" t="s">
        <v>31</v>
      </c>
      <c r="E3018" s="6" t="s">
        <v>5370</v>
      </c>
      <c r="F3018" s="6" t="s">
        <v>5369</v>
      </c>
      <c r="G3018" s="6" t="s">
        <v>16</v>
      </c>
      <c r="H3018" s="6" t="s">
        <v>28</v>
      </c>
      <c r="I3018" s="6" t="s">
        <v>73</v>
      </c>
      <c r="J3018" s="6" t="s">
        <v>90</v>
      </c>
      <c r="K3018" s="7">
        <v>26.045928610000001</v>
      </c>
      <c r="L3018" s="7">
        <v>-97.552031700000001</v>
      </c>
      <c r="M3018" s="6" t="s">
        <v>770</v>
      </c>
      <c r="N3018" s="6" t="s">
        <v>11</v>
      </c>
      <c r="O3018" s="6" t="s">
        <v>22</v>
      </c>
    </row>
    <row r="3019" spans="1:15" x14ac:dyDescent="0.25">
      <c r="A3019" s="6" t="s">
        <v>11491</v>
      </c>
      <c r="B3019" s="6" t="s">
        <v>11490</v>
      </c>
      <c r="C3019" s="6" t="s">
        <v>31</v>
      </c>
      <c r="E3019" s="6" t="s">
        <v>11489</v>
      </c>
      <c r="F3019" s="6" t="s">
        <v>11488</v>
      </c>
      <c r="G3019" s="6" t="s">
        <v>16</v>
      </c>
      <c r="H3019" s="6" t="s">
        <v>28</v>
      </c>
      <c r="I3019" s="6" t="s">
        <v>73</v>
      </c>
      <c r="J3019" s="6" t="s">
        <v>35</v>
      </c>
      <c r="K3019" s="7">
        <v>30.055281000000001</v>
      </c>
      <c r="L3019" s="7">
        <v>-95.640670999999998</v>
      </c>
      <c r="M3019" s="6" t="s">
        <v>731</v>
      </c>
      <c r="N3019" s="6" t="s">
        <v>24</v>
      </c>
      <c r="O3019" s="6" t="s">
        <v>23</v>
      </c>
    </row>
    <row r="3020" spans="1:15" x14ac:dyDescent="0.25">
      <c r="A3020" s="6" t="s">
        <v>2386</v>
      </c>
      <c r="B3020" s="6" t="s">
        <v>2385</v>
      </c>
      <c r="C3020" s="6" t="s">
        <v>31</v>
      </c>
      <c r="E3020" s="6" t="s">
        <v>2384</v>
      </c>
      <c r="F3020" s="6" t="s">
        <v>2383</v>
      </c>
      <c r="G3020" s="6" t="s">
        <v>16</v>
      </c>
      <c r="H3020" s="6" t="s">
        <v>28</v>
      </c>
      <c r="I3020" s="6" t="s">
        <v>60</v>
      </c>
      <c r="J3020" s="6" t="s">
        <v>132</v>
      </c>
      <c r="K3020" s="7">
        <v>29.47459924</v>
      </c>
      <c r="L3020" s="7">
        <v>-95.527490450000002</v>
      </c>
      <c r="M3020" s="6" t="s">
        <v>355</v>
      </c>
      <c r="N3020" s="6" t="s">
        <v>23</v>
      </c>
      <c r="O3020" s="6" t="s">
        <v>23</v>
      </c>
    </row>
    <row r="3021" spans="1:15" x14ac:dyDescent="0.25">
      <c r="A3021" s="6" t="s">
        <v>10682</v>
      </c>
      <c r="B3021" s="6" t="s">
        <v>10681</v>
      </c>
      <c r="C3021" s="6" t="s">
        <v>31</v>
      </c>
      <c r="E3021" s="6" t="s">
        <v>10680</v>
      </c>
      <c r="F3021" s="6" t="s">
        <v>4388</v>
      </c>
      <c r="G3021" s="6" t="s">
        <v>16</v>
      </c>
      <c r="H3021" s="6" t="s">
        <v>15</v>
      </c>
      <c r="I3021" s="6" t="s">
        <v>14</v>
      </c>
      <c r="J3021" s="6" t="s">
        <v>132</v>
      </c>
      <c r="K3021" s="7">
        <v>29.466953929999999</v>
      </c>
      <c r="L3021" s="7">
        <v>-95.507073219999995</v>
      </c>
      <c r="M3021" s="6" t="s">
        <v>4387</v>
      </c>
      <c r="N3021" s="6" t="s">
        <v>23</v>
      </c>
      <c r="O3021" s="6" t="s">
        <v>23</v>
      </c>
    </row>
    <row r="3022" spans="1:15" x14ac:dyDescent="0.25">
      <c r="A3022" s="6" t="s">
        <v>11487</v>
      </c>
      <c r="B3022" s="6" t="s">
        <v>11486</v>
      </c>
      <c r="C3022" s="6" t="s">
        <v>31</v>
      </c>
      <c r="E3022" s="6" t="s">
        <v>11485</v>
      </c>
      <c r="F3022" s="6" t="s">
        <v>11484</v>
      </c>
      <c r="G3022" s="6" t="s">
        <v>16</v>
      </c>
      <c r="H3022" s="6" t="s">
        <v>28</v>
      </c>
      <c r="I3022" s="6" t="s">
        <v>27</v>
      </c>
      <c r="J3022" s="6" t="s">
        <v>356</v>
      </c>
      <c r="K3022" s="7">
        <v>29.827197000000002</v>
      </c>
      <c r="L3022" s="7">
        <v>-96.001661999999996</v>
      </c>
      <c r="M3022" s="6" t="s">
        <v>355</v>
      </c>
      <c r="N3022" s="6" t="s">
        <v>23</v>
      </c>
      <c r="O3022" s="6" t="s">
        <v>23</v>
      </c>
    </row>
    <row r="3023" spans="1:15" x14ac:dyDescent="0.25">
      <c r="A3023" s="6" t="s">
        <v>465</v>
      </c>
      <c r="B3023" s="6" t="s">
        <v>464</v>
      </c>
      <c r="C3023" s="6" t="s">
        <v>31</v>
      </c>
      <c r="E3023" s="6" t="s">
        <v>463</v>
      </c>
      <c r="F3023" s="6" t="s">
        <v>462</v>
      </c>
      <c r="G3023" s="6" t="s">
        <v>16</v>
      </c>
      <c r="H3023" s="6" t="s">
        <v>28</v>
      </c>
      <c r="I3023" s="6" t="s">
        <v>73</v>
      </c>
      <c r="J3023" s="6" t="s">
        <v>461</v>
      </c>
      <c r="K3023" s="7">
        <v>32.955111000000002</v>
      </c>
      <c r="L3023" s="7">
        <v>-96.271401999999995</v>
      </c>
      <c r="M3023" s="6" t="s">
        <v>109</v>
      </c>
      <c r="N3023" s="6" t="s">
        <v>65</v>
      </c>
      <c r="O3023" s="6" t="s">
        <v>42</v>
      </c>
    </row>
    <row r="3024" spans="1:15" x14ac:dyDescent="0.25">
      <c r="A3024" s="6" t="s">
        <v>6486</v>
      </c>
      <c r="B3024" s="6" t="s">
        <v>6485</v>
      </c>
      <c r="C3024" s="6" t="s">
        <v>31</v>
      </c>
      <c r="E3024" s="6" t="s">
        <v>6484</v>
      </c>
      <c r="F3024" s="6" t="s">
        <v>6483</v>
      </c>
      <c r="G3024" s="6" t="s">
        <v>16</v>
      </c>
      <c r="H3024" s="6" t="s">
        <v>28</v>
      </c>
      <c r="I3024" s="6" t="s">
        <v>73</v>
      </c>
      <c r="J3024" s="6" t="s">
        <v>626</v>
      </c>
      <c r="K3024" s="7">
        <v>31.818049999999999</v>
      </c>
      <c r="L3024" s="7">
        <v>-98.789570999999995</v>
      </c>
      <c r="M3024" s="6" t="s">
        <v>6482</v>
      </c>
      <c r="N3024" s="6" t="s">
        <v>10</v>
      </c>
      <c r="O3024" s="6" t="s">
        <v>95</v>
      </c>
    </row>
    <row r="3025" spans="1:15" x14ac:dyDescent="0.25">
      <c r="A3025" s="6" t="s">
        <v>9181</v>
      </c>
      <c r="B3025" s="6" t="s">
        <v>9180</v>
      </c>
      <c r="C3025" s="6" t="s">
        <v>31</v>
      </c>
      <c r="E3025" s="6" t="s">
        <v>9179</v>
      </c>
      <c r="F3025" s="6" t="s">
        <v>4088</v>
      </c>
      <c r="G3025" s="6" t="s">
        <v>16</v>
      </c>
      <c r="H3025" s="6" t="s">
        <v>28</v>
      </c>
      <c r="I3025" s="6" t="s">
        <v>73</v>
      </c>
      <c r="J3025" s="6" t="s">
        <v>726</v>
      </c>
      <c r="K3025" s="7">
        <v>33.697228000000003</v>
      </c>
      <c r="L3025" s="7">
        <v>-97.182801999999995</v>
      </c>
      <c r="M3025" s="6" t="s">
        <v>5432</v>
      </c>
      <c r="N3025" s="6" t="s">
        <v>43</v>
      </c>
      <c r="O3025" s="6" t="s">
        <v>42</v>
      </c>
    </row>
    <row r="3026" spans="1:15" x14ac:dyDescent="0.25">
      <c r="A3026" s="6" t="s">
        <v>4759</v>
      </c>
      <c r="B3026" s="6" t="s">
        <v>4758</v>
      </c>
      <c r="C3026" s="6" t="s">
        <v>31</v>
      </c>
      <c r="E3026" s="6" t="s">
        <v>4757</v>
      </c>
      <c r="F3026" s="6" t="s">
        <v>3651</v>
      </c>
      <c r="G3026" s="6" t="s">
        <v>16</v>
      </c>
      <c r="H3026" s="6" t="s">
        <v>28</v>
      </c>
      <c r="I3026" s="6" t="s">
        <v>73</v>
      </c>
      <c r="J3026" s="6" t="s">
        <v>35</v>
      </c>
      <c r="K3026" s="7">
        <v>29.892752999999999</v>
      </c>
      <c r="L3026" s="7">
        <v>-95.360598999999993</v>
      </c>
      <c r="M3026" s="6" t="s">
        <v>34</v>
      </c>
      <c r="N3026" s="6" t="s">
        <v>24</v>
      </c>
      <c r="O3026" s="6" t="s">
        <v>23</v>
      </c>
    </row>
    <row r="3027" spans="1:15" x14ac:dyDescent="0.25">
      <c r="A3027" s="6" t="s">
        <v>5348</v>
      </c>
      <c r="B3027" s="6" t="s">
        <v>5347</v>
      </c>
      <c r="C3027" s="6" t="s">
        <v>31</v>
      </c>
      <c r="E3027" s="6" t="s">
        <v>5346</v>
      </c>
      <c r="F3027" s="6" t="s">
        <v>5345</v>
      </c>
      <c r="G3027" s="6" t="s">
        <v>16</v>
      </c>
      <c r="H3027" s="6" t="s">
        <v>28</v>
      </c>
      <c r="I3027" s="6" t="s">
        <v>60</v>
      </c>
      <c r="J3027" s="6" t="s">
        <v>35</v>
      </c>
      <c r="K3027" s="7">
        <v>29.966174179999999</v>
      </c>
      <c r="L3027" s="7">
        <v>-95.388072930000007</v>
      </c>
      <c r="M3027" s="6" t="s">
        <v>198</v>
      </c>
      <c r="N3027" s="6" t="s">
        <v>24</v>
      </c>
      <c r="O3027" s="6" t="s">
        <v>23</v>
      </c>
    </row>
    <row r="3028" spans="1:15" x14ac:dyDescent="0.25">
      <c r="A3028" s="6" t="s">
        <v>11497</v>
      </c>
      <c r="B3028" s="6" t="s">
        <v>11496</v>
      </c>
      <c r="C3028" s="6" t="s">
        <v>31</v>
      </c>
      <c r="E3028" s="6" t="s">
        <v>11495</v>
      </c>
      <c r="F3028" s="6" t="s">
        <v>9270</v>
      </c>
      <c r="G3028" s="6" t="s">
        <v>16</v>
      </c>
      <c r="H3028" s="6" t="s">
        <v>28</v>
      </c>
      <c r="I3028" s="6" t="s">
        <v>73</v>
      </c>
      <c r="J3028" s="6" t="s">
        <v>132</v>
      </c>
      <c r="K3028" s="7">
        <v>29.600297680000001</v>
      </c>
      <c r="L3028" s="7">
        <v>-95.791372589999995</v>
      </c>
      <c r="M3028" s="6" t="s">
        <v>355</v>
      </c>
      <c r="N3028" s="6" t="s">
        <v>23</v>
      </c>
      <c r="O3028" s="6" t="s">
        <v>23</v>
      </c>
    </row>
    <row r="3029" spans="1:15" x14ac:dyDescent="0.25">
      <c r="A3029" s="6" t="s">
        <v>11494</v>
      </c>
      <c r="B3029" s="6" t="s">
        <v>11493</v>
      </c>
      <c r="C3029" s="6" t="s">
        <v>31</v>
      </c>
      <c r="E3029" s="6" t="s">
        <v>11492</v>
      </c>
      <c r="F3029" s="6" t="s">
        <v>10566</v>
      </c>
      <c r="G3029" s="6" t="s">
        <v>16</v>
      </c>
      <c r="H3029" s="6" t="s">
        <v>28</v>
      </c>
      <c r="I3029" s="6" t="s">
        <v>14</v>
      </c>
      <c r="J3029" s="6" t="s">
        <v>356</v>
      </c>
      <c r="K3029" s="7">
        <v>30.08587563</v>
      </c>
      <c r="L3029" s="7">
        <v>-95.841846520000004</v>
      </c>
      <c r="M3029" s="6" t="s">
        <v>731</v>
      </c>
      <c r="N3029" s="6" t="s">
        <v>24</v>
      </c>
      <c r="O3029" s="6" t="s">
        <v>23</v>
      </c>
    </row>
    <row r="3030" spans="1:15" x14ac:dyDescent="0.25">
      <c r="A3030" s="6" t="s">
        <v>4756</v>
      </c>
      <c r="B3030" s="6" t="s">
        <v>4755</v>
      </c>
      <c r="C3030" s="6" t="s">
        <v>31</v>
      </c>
      <c r="E3030" s="6" t="s">
        <v>4754</v>
      </c>
      <c r="F3030" s="6" t="s">
        <v>1983</v>
      </c>
      <c r="G3030" s="6" t="s">
        <v>16</v>
      </c>
      <c r="H3030" s="6" t="s">
        <v>15</v>
      </c>
      <c r="I3030" s="6" t="s">
        <v>14</v>
      </c>
      <c r="J3030" s="6" t="s">
        <v>35</v>
      </c>
      <c r="K3030" s="7">
        <v>29.922996489999999</v>
      </c>
      <c r="L3030" s="7">
        <v>-95.213368279999997</v>
      </c>
      <c r="M3030" s="6" t="s">
        <v>198</v>
      </c>
      <c r="N3030" s="6" t="s">
        <v>24</v>
      </c>
      <c r="O3030" s="6" t="s">
        <v>23</v>
      </c>
    </row>
    <row r="3031" spans="1:15" x14ac:dyDescent="0.25">
      <c r="A3031" s="6" t="s">
        <v>4622</v>
      </c>
      <c r="B3031" s="6" t="s">
        <v>4621</v>
      </c>
      <c r="C3031" s="6" t="s">
        <v>31</v>
      </c>
      <c r="E3031" s="6" t="s">
        <v>4620</v>
      </c>
      <c r="F3031" s="6" t="s">
        <v>199</v>
      </c>
      <c r="G3031" s="6" t="s">
        <v>16</v>
      </c>
      <c r="H3031" s="6" t="s">
        <v>28</v>
      </c>
      <c r="I3031" s="6" t="s">
        <v>27</v>
      </c>
      <c r="J3031" s="6" t="s">
        <v>3688</v>
      </c>
      <c r="K3031" s="7">
        <v>29.241425599999999</v>
      </c>
      <c r="L3031" s="7">
        <v>-98.243202749999995</v>
      </c>
      <c r="M3031" s="6" t="s">
        <v>1792</v>
      </c>
      <c r="N3031" s="6" t="s">
        <v>232</v>
      </c>
      <c r="O3031" s="6" t="s">
        <v>231</v>
      </c>
    </row>
    <row r="3032" spans="1:15" x14ac:dyDescent="0.25">
      <c r="A3032" s="6" t="s">
        <v>4619</v>
      </c>
      <c r="B3032" s="6" t="s">
        <v>4618</v>
      </c>
      <c r="C3032" s="6" t="s">
        <v>19</v>
      </c>
      <c r="E3032" s="6" t="s">
        <v>4617</v>
      </c>
      <c r="F3032" s="6" t="s">
        <v>4616</v>
      </c>
      <c r="G3032" s="6" t="s">
        <v>16</v>
      </c>
      <c r="H3032" s="6" t="s">
        <v>15</v>
      </c>
      <c r="I3032" s="6" t="s">
        <v>14</v>
      </c>
      <c r="J3032" s="6" t="s">
        <v>35</v>
      </c>
      <c r="K3032" s="7">
        <v>29.77675</v>
      </c>
      <c r="L3032" s="7">
        <v>-95.024975999999995</v>
      </c>
      <c r="M3032" s="6" t="s">
        <v>2565</v>
      </c>
      <c r="N3032" s="6" t="s">
        <v>120</v>
      </c>
      <c r="O3032" s="6" t="s">
        <v>23</v>
      </c>
    </row>
    <row r="3033" spans="1:15" x14ac:dyDescent="0.25">
      <c r="A3033" s="6" t="s">
        <v>454</v>
      </c>
      <c r="B3033" s="6" t="s">
        <v>453</v>
      </c>
      <c r="C3033" s="6" t="s">
        <v>31</v>
      </c>
      <c r="E3033" s="6" t="s">
        <v>452</v>
      </c>
      <c r="F3033" s="6" t="s">
        <v>451</v>
      </c>
      <c r="G3033" s="6" t="s">
        <v>16</v>
      </c>
      <c r="H3033" s="6" t="s">
        <v>28</v>
      </c>
      <c r="I3033" s="6" t="s">
        <v>60</v>
      </c>
      <c r="J3033" s="6" t="s">
        <v>104</v>
      </c>
      <c r="K3033" s="7">
        <v>32.697213439999999</v>
      </c>
      <c r="L3033" s="7">
        <v>-96.426314649999995</v>
      </c>
      <c r="M3033" s="6" t="s">
        <v>450</v>
      </c>
      <c r="N3033" s="6" t="s">
        <v>102</v>
      </c>
      <c r="O3033" s="6" t="s">
        <v>42</v>
      </c>
    </row>
    <row r="3034" spans="1:15" x14ac:dyDescent="0.25">
      <c r="A3034" s="6" t="s">
        <v>2874</v>
      </c>
      <c r="B3034" s="6" t="s">
        <v>2873</v>
      </c>
      <c r="C3034" s="6" t="s">
        <v>31</v>
      </c>
      <c r="E3034" s="6" t="s">
        <v>2872</v>
      </c>
      <c r="F3034" s="6" t="s">
        <v>2871</v>
      </c>
      <c r="G3034" s="6" t="s">
        <v>16</v>
      </c>
      <c r="H3034" s="6" t="s">
        <v>28</v>
      </c>
      <c r="I3034" s="6" t="s">
        <v>60</v>
      </c>
      <c r="J3034" s="6" t="s">
        <v>26</v>
      </c>
      <c r="K3034" s="7">
        <v>30.385898000000001</v>
      </c>
      <c r="L3034" s="7">
        <v>-95.681287999999995</v>
      </c>
      <c r="M3034" s="6" t="s">
        <v>340</v>
      </c>
      <c r="N3034" s="6" t="s">
        <v>24</v>
      </c>
      <c r="O3034" s="6" t="s">
        <v>23</v>
      </c>
    </row>
    <row r="3035" spans="1:15" x14ac:dyDescent="0.25">
      <c r="A3035" s="6" t="s">
        <v>449</v>
      </c>
      <c r="B3035" s="6" t="s">
        <v>448</v>
      </c>
      <c r="C3035" s="6" t="s">
        <v>31</v>
      </c>
      <c r="E3035" s="6" t="s">
        <v>447</v>
      </c>
      <c r="F3035" s="6" t="s">
        <v>446</v>
      </c>
      <c r="G3035" s="6" t="s">
        <v>16</v>
      </c>
      <c r="H3035" s="6" t="s">
        <v>28</v>
      </c>
      <c r="I3035" s="6" t="s">
        <v>14</v>
      </c>
      <c r="J3035" s="6" t="s">
        <v>35</v>
      </c>
      <c r="K3035" s="7">
        <v>29.834395669999999</v>
      </c>
      <c r="L3035" s="7">
        <v>-95.776082740000007</v>
      </c>
      <c r="M3035" s="6" t="s">
        <v>131</v>
      </c>
      <c r="N3035" s="6" t="s">
        <v>24</v>
      </c>
      <c r="O3035" s="6" t="s">
        <v>23</v>
      </c>
    </row>
    <row r="3036" spans="1:15" x14ac:dyDescent="0.25">
      <c r="A3036" s="6" t="s">
        <v>9376</v>
      </c>
      <c r="B3036" s="6" t="s">
        <v>6544</v>
      </c>
      <c r="C3036" s="6" t="s">
        <v>31</v>
      </c>
      <c r="E3036" s="6" t="s">
        <v>6543</v>
      </c>
      <c r="F3036" s="6" t="s">
        <v>180</v>
      </c>
      <c r="G3036" s="6" t="s">
        <v>16</v>
      </c>
      <c r="H3036" s="6" t="s">
        <v>28</v>
      </c>
      <c r="I3036" s="6" t="s">
        <v>27</v>
      </c>
      <c r="J3036" s="6" t="s">
        <v>90</v>
      </c>
      <c r="K3036" s="7">
        <v>26.143709999999999</v>
      </c>
      <c r="L3036" s="7">
        <v>-97.836288999999994</v>
      </c>
      <c r="M3036" s="6" t="s">
        <v>179</v>
      </c>
      <c r="N3036" s="6" t="s">
        <v>11</v>
      </c>
      <c r="O3036" s="6" t="s">
        <v>22</v>
      </c>
    </row>
    <row r="3037" spans="1:15" x14ac:dyDescent="0.25">
      <c r="A3037" s="6" t="s">
        <v>6545</v>
      </c>
      <c r="B3037" s="6" t="s">
        <v>6544</v>
      </c>
      <c r="C3037" s="6" t="s">
        <v>19</v>
      </c>
      <c r="E3037" s="6" t="s">
        <v>6543</v>
      </c>
      <c r="F3037" s="6" t="s">
        <v>180</v>
      </c>
      <c r="G3037" s="6" t="s">
        <v>16</v>
      </c>
      <c r="H3037" s="6" t="s">
        <v>28</v>
      </c>
      <c r="I3037" s="6" t="s">
        <v>27</v>
      </c>
      <c r="J3037" s="6" t="s">
        <v>90</v>
      </c>
      <c r="K3037" s="7">
        <v>26.141462900000001</v>
      </c>
      <c r="L3037" s="7">
        <v>-97.836667590000005</v>
      </c>
      <c r="M3037" s="6" t="s">
        <v>179</v>
      </c>
      <c r="N3037" s="6" t="s">
        <v>11</v>
      </c>
      <c r="O3037" s="6" t="s">
        <v>22</v>
      </c>
    </row>
    <row r="3038" spans="1:15" x14ac:dyDescent="0.25">
      <c r="A3038" s="6" t="s">
        <v>10655</v>
      </c>
      <c r="B3038" s="6" t="s">
        <v>10654</v>
      </c>
      <c r="C3038" s="6" t="s">
        <v>31</v>
      </c>
      <c r="E3038" s="6" t="s">
        <v>10653</v>
      </c>
      <c r="F3038" s="6" t="s">
        <v>836</v>
      </c>
      <c r="G3038" s="6" t="s">
        <v>16</v>
      </c>
      <c r="H3038" s="6" t="s">
        <v>28</v>
      </c>
      <c r="I3038" s="6" t="s">
        <v>60</v>
      </c>
      <c r="J3038" s="6" t="s">
        <v>26</v>
      </c>
      <c r="K3038" s="7">
        <v>30.318467999999999</v>
      </c>
      <c r="L3038" s="7">
        <v>-95.623878000000005</v>
      </c>
      <c r="M3038" s="6" t="s">
        <v>25</v>
      </c>
      <c r="N3038" s="6" t="s">
        <v>24</v>
      </c>
      <c r="O3038" s="6" t="s">
        <v>23</v>
      </c>
    </row>
    <row r="3039" spans="1:15" x14ac:dyDescent="0.25">
      <c r="A3039" s="6" t="s">
        <v>8717</v>
      </c>
      <c r="B3039" s="6" t="s">
        <v>8716</v>
      </c>
      <c r="C3039" s="6" t="s">
        <v>31</v>
      </c>
      <c r="E3039" s="6" t="s">
        <v>8715</v>
      </c>
      <c r="F3039" s="6" t="s">
        <v>8714</v>
      </c>
      <c r="G3039" s="6" t="s">
        <v>16</v>
      </c>
      <c r="H3039" s="6" t="s">
        <v>28</v>
      </c>
      <c r="I3039" s="6" t="s">
        <v>60</v>
      </c>
      <c r="J3039" s="6" t="s">
        <v>162</v>
      </c>
      <c r="K3039" s="7">
        <v>29.520468000000001</v>
      </c>
      <c r="L3039" s="7">
        <v>-95.394763999999995</v>
      </c>
      <c r="M3039" s="6" t="s">
        <v>706</v>
      </c>
      <c r="N3039" s="6" t="s">
        <v>160</v>
      </c>
      <c r="O3039" s="6" t="s">
        <v>23</v>
      </c>
    </row>
    <row r="3040" spans="1:15" x14ac:dyDescent="0.25">
      <c r="A3040" s="6" t="s">
        <v>9375</v>
      </c>
      <c r="B3040" s="6" t="s">
        <v>9374</v>
      </c>
      <c r="C3040" s="6" t="s">
        <v>31</v>
      </c>
      <c r="E3040" s="6" t="s">
        <v>9373</v>
      </c>
      <c r="F3040" s="6" t="s">
        <v>9372</v>
      </c>
      <c r="G3040" s="6" t="s">
        <v>16</v>
      </c>
      <c r="H3040" s="6" t="s">
        <v>15</v>
      </c>
      <c r="I3040" s="6" t="s">
        <v>14</v>
      </c>
      <c r="J3040" s="6" t="s">
        <v>409</v>
      </c>
      <c r="K3040" s="7">
        <v>30.4080452</v>
      </c>
      <c r="L3040" s="7">
        <v>-97.505631100000002</v>
      </c>
      <c r="M3040" s="6" t="s">
        <v>455</v>
      </c>
      <c r="N3040" s="6" t="s">
        <v>10</v>
      </c>
      <c r="O3040" s="6" t="s">
        <v>160</v>
      </c>
    </row>
    <row r="3041" spans="1:15" x14ac:dyDescent="0.25">
      <c r="A3041" s="6" t="s">
        <v>11705</v>
      </c>
      <c r="B3041" s="6" t="s">
        <v>11704</v>
      </c>
      <c r="C3041" s="6" t="s">
        <v>31</v>
      </c>
      <c r="E3041" s="6" t="s">
        <v>11703</v>
      </c>
      <c r="F3041" s="6" t="s">
        <v>11702</v>
      </c>
      <c r="G3041" s="6" t="s">
        <v>16</v>
      </c>
      <c r="H3041" s="6" t="s">
        <v>28</v>
      </c>
      <c r="I3041" s="6" t="s">
        <v>27</v>
      </c>
      <c r="J3041" s="6" t="s">
        <v>35</v>
      </c>
      <c r="K3041" s="7">
        <v>30.008977999999999</v>
      </c>
      <c r="L3041" s="7">
        <v>-95.675596999999996</v>
      </c>
      <c r="M3041" s="6" t="s">
        <v>279</v>
      </c>
      <c r="N3041" s="6" t="s">
        <v>24</v>
      </c>
      <c r="O3041" s="6" t="s">
        <v>23</v>
      </c>
    </row>
    <row r="3042" spans="1:15" x14ac:dyDescent="0.25">
      <c r="A3042" s="6" t="s">
        <v>8051</v>
      </c>
      <c r="B3042" s="6" t="s">
        <v>8050</v>
      </c>
      <c r="C3042" s="6" t="s">
        <v>31</v>
      </c>
      <c r="E3042" s="6" t="s">
        <v>8049</v>
      </c>
      <c r="F3042" s="6" t="s">
        <v>8048</v>
      </c>
      <c r="G3042" s="6" t="s">
        <v>16</v>
      </c>
      <c r="H3042" s="6" t="s">
        <v>28</v>
      </c>
      <c r="I3042" s="6" t="s">
        <v>14</v>
      </c>
      <c r="J3042" s="6" t="s">
        <v>753</v>
      </c>
      <c r="K3042" s="7">
        <v>30.04305604</v>
      </c>
      <c r="L3042" s="7">
        <v>-97.806111439999995</v>
      </c>
      <c r="M3042" s="6" t="s">
        <v>752</v>
      </c>
      <c r="N3042" s="6" t="s">
        <v>559</v>
      </c>
      <c r="O3042" s="6" t="s">
        <v>160</v>
      </c>
    </row>
    <row r="3043" spans="1:15" x14ac:dyDescent="0.25">
      <c r="A3043" s="6" t="s">
        <v>10769</v>
      </c>
      <c r="B3043" s="6" t="s">
        <v>10768</v>
      </c>
      <c r="C3043" s="6" t="s">
        <v>31</v>
      </c>
      <c r="E3043" s="6" t="s">
        <v>10767</v>
      </c>
      <c r="F3043" s="6" t="s">
        <v>10766</v>
      </c>
      <c r="G3043" s="6" t="s">
        <v>16</v>
      </c>
      <c r="H3043" s="6" t="s">
        <v>15</v>
      </c>
      <c r="I3043" s="6" t="s">
        <v>36</v>
      </c>
      <c r="J3043" s="6" t="s">
        <v>35</v>
      </c>
      <c r="K3043" s="7">
        <v>30.022476959999999</v>
      </c>
      <c r="L3043" s="7">
        <v>-95.648602319999995</v>
      </c>
      <c r="M3043" s="6" t="s">
        <v>279</v>
      </c>
      <c r="N3043" s="6" t="s">
        <v>24</v>
      </c>
      <c r="O3043" s="6" t="s">
        <v>23</v>
      </c>
    </row>
    <row r="3044" spans="1:15" x14ac:dyDescent="0.25">
      <c r="A3044" s="6" t="s">
        <v>6490</v>
      </c>
      <c r="B3044" s="6" t="s">
        <v>6489</v>
      </c>
      <c r="C3044" s="6" t="s">
        <v>31</v>
      </c>
      <c r="E3044" s="6" t="s">
        <v>6488</v>
      </c>
      <c r="F3044" s="6" t="s">
        <v>6487</v>
      </c>
      <c r="G3044" s="6" t="s">
        <v>16</v>
      </c>
      <c r="H3044" s="6" t="s">
        <v>28</v>
      </c>
      <c r="I3044" s="6" t="s">
        <v>60</v>
      </c>
      <c r="J3044" s="6" t="s">
        <v>356</v>
      </c>
      <c r="K3044" s="7">
        <v>29.774081580000001</v>
      </c>
      <c r="L3044" s="7">
        <v>-95.891166049999995</v>
      </c>
      <c r="M3044" s="6" t="s">
        <v>131</v>
      </c>
      <c r="N3044" s="6" t="s">
        <v>24</v>
      </c>
      <c r="O3044" s="6" t="s">
        <v>23</v>
      </c>
    </row>
    <row r="3045" spans="1:15" x14ac:dyDescent="0.25">
      <c r="A3045" s="6" t="s">
        <v>9002</v>
      </c>
      <c r="B3045" s="6" t="s">
        <v>9001</v>
      </c>
      <c r="C3045" s="6" t="s">
        <v>31</v>
      </c>
      <c r="E3045" s="6" t="s">
        <v>9000</v>
      </c>
      <c r="F3045" s="6" t="s">
        <v>5708</v>
      </c>
      <c r="G3045" s="6" t="s">
        <v>16</v>
      </c>
      <c r="H3045" s="6" t="s">
        <v>28</v>
      </c>
      <c r="I3045" s="6" t="s">
        <v>60</v>
      </c>
      <c r="J3045" s="6" t="s">
        <v>35</v>
      </c>
      <c r="K3045" s="7">
        <v>29.971437000000002</v>
      </c>
      <c r="L3045" s="7">
        <v>-95.165038999999993</v>
      </c>
      <c r="M3045" s="6" t="s">
        <v>1766</v>
      </c>
      <c r="N3045" s="6" t="s">
        <v>24</v>
      </c>
      <c r="O3045" s="6" t="s">
        <v>23</v>
      </c>
    </row>
    <row r="3046" spans="1:15" x14ac:dyDescent="0.25">
      <c r="A3046" s="6" t="s">
        <v>6517</v>
      </c>
      <c r="B3046" s="6" t="s">
        <v>6516</v>
      </c>
      <c r="C3046" s="6" t="s">
        <v>31</v>
      </c>
      <c r="E3046" s="6" t="s">
        <v>6515</v>
      </c>
      <c r="F3046" s="6" t="s">
        <v>6514</v>
      </c>
      <c r="G3046" s="6" t="s">
        <v>16</v>
      </c>
      <c r="H3046" s="6" t="s">
        <v>28</v>
      </c>
      <c r="I3046" s="6" t="s">
        <v>14</v>
      </c>
      <c r="J3046" s="6" t="s">
        <v>35</v>
      </c>
      <c r="K3046" s="7">
        <v>29.847100040000001</v>
      </c>
      <c r="L3046" s="7">
        <v>-95.164356780000006</v>
      </c>
      <c r="M3046" s="6" t="s">
        <v>34</v>
      </c>
      <c r="N3046" s="6" t="s">
        <v>24</v>
      </c>
      <c r="O3046" s="6" t="s">
        <v>23</v>
      </c>
    </row>
    <row r="3047" spans="1:15" x14ac:dyDescent="0.25">
      <c r="A3047" s="6" t="s">
        <v>6481</v>
      </c>
      <c r="B3047" s="6" t="s">
        <v>6480</v>
      </c>
      <c r="C3047" s="6" t="s">
        <v>31</v>
      </c>
      <c r="E3047" s="6" t="s">
        <v>6479</v>
      </c>
      <c r="F3047" s="6" t="s">
        <v>6478</v>
      </c>
      <c r="G3047" s="6" t="s">
        <v>16</v>
      </c>
      <c r="H3047" s="6" t="s">
        <v>28</v>
      </c>
      <c r="I3047" s="6" t="s">
        <v>60</v>
      </c>
      <c r="J3047" s="6" t="s">
        <v>35</v>
      </c>
      <c r="K3047" s="7">
        <v>29.869897999999999</v>
      </c>
      <c r="L3047" s="7">
        <v>-95.624791999999999</v>
      </c>
      <c r="M3047" s="6" t="s">
        <v>131</v>
      </c>
      <c r="N3047" s="6" t="s">
        <v>24</v>
      </c>
      <c r="O3047" s="6" t="s">
        <v>23</v>
      </c>
    </row>
    <row r="3048" spans="1:15" x14ac:dyDescent="0.25">
      <c r="A3048" s="6" t="s">
        <v>6509</v>
      </c>
      <c r="B3048" s="6" t="s">
        <v>6508</v>
      </c>
      <c r="C3048" s="6" t="s">
        <v>31</v>
      </c>
      <c r="E3048" s="6" t="s">
        <v>6507</v>
      </c>
      <c r="F3048" s="6" t="s">
        <v>6506</v>
      </c>
      <c r="G3048" s="6" t="s">
        <v>16</v>
      </c>
      <c r="H3048" s="6" t="s">
        <v>15</v>
      </c>
      <c r="I3048" s="6" t="s">
        <v>36</v>
      </c>
      <c r="J3048" s="6" t="s">
        <v>26</v>
      </c>
      <c r="K3048" s="7">
        <v>30.088674220000001</v>
      </c>
      <c r="L3048" s="7">
        <v>-95.375905279999998</v>
      </c>
      <c r="M3048" s="6" t="s">
        <v>731</v>
      </c>
      <c r="N3048" s="6" t="s">
        <v>24</v>
      </c>
      <c r="O3048" s="6" t="s">
        <v>23</v>
      </c>
    </row>
    <row r="3049" spans="1:15" x14ac:dyDescent="0.25">
      <c r="A3049" s="6" t="s">
        <v>7478</v>
      </c>
      <c r="B3049" s="6" t="s">
        <v>7477</v>
      </c>
      <c r="C3049" s="6" t="s">
        <v>31</v>
      </c>
      <c r="E3049" s="6" t="s">
        <v>7476</v>
      </c>
      <c r="F3049" s="6" t="s">
        <v>7475</v>
      </c>
      <c r="G3049" s="6" t="s">
        <v>16</v>
      </c>
      <c r="H3049" s="6" t="s">
        <v>28</v>
      </c>
      <c r="I3049" s="6" t="s">
        <v>73</v>
      </c>
      <c r="J3049" s="6" t="s">
        <v>853</v>
      </c>
      <c r="K3049" s="7">
        <v>29.706543020000002</v>
      </c>
      <c r="L3049" s="7">
        <v>-94.910146819999994</v>
      </c>
      <c r="M3049" s="6" t="s">
        <v>1445</v>
      </c>
      <c r="N3049" s="6" t="s">
        <v>120</v>
      </c>
      <c r="O3049" s="6" t="s">
        <v>23</v>
      </c>
    </row>
    <row r="3050" spans="1:15" x14ac:dyDescent="0.25">
      <c r="A3050" s="6" t="s">
        <v>8179</v>
      </c>
      <c r="B3050" s="6" t="s">
        <v>8178</v>
      </c>
      <c r="C3050" s="6" t="s">
        <v>31</v>
      </c>
      <c r="E3050" s="6" t="s">
        <v>8177</v>
      </c>
      <c r="F3050" s="6" t="s">
        <v>8176</v>
      </c>
      <c r="G3050" s="6" t="s">
        <v>16</v>
      </c>
      <c r="H3050" s="6" t="s">
        <v>28</v>
      </c>
      <c r="I3050" s="6" t="s">
        <v>73</v>
      </c>
      <c r="J3050" s="6" t="s">
        <v>576</v>
      </c>
      <c r="K3050" s="7">
        <v>30.348993320000002</v>
      </c>
      <c r="L3050" s="7">
        <v>-95.914572140000004</v>
      </c>
      <c r="M3050" s="6" t="s">
        <v>731</v>
      </c>
      <c r="N3050" s="6" t="s">
        <v>24</v>
      </c>
      <c r="O3050" s="6" t="s">
        <v>120</v>
      </c>
    </row>
    <row r="3051" spans="1:15" x14ac:dyDescent="0.25">
      <c r="A3051" s="6" t="s">
        <v>9365</v>
      </c>
      <c r="B3051" s="6" t="s">
        <v>9364</v>
      </c>
      <c r="C3051" s="6" t="s">
        <v>31</v>
      </c>
      <c r="E3051" s="6" t="s">
        <v>9363</v>
      </c>
      <c r="F3051" s="6" t="s">
        <v>9362</v>
      </c>
      <c r="G3051" s="6" t="s">
        <v>16</v>
      </c>
      <c r="H3051" s="6" t="s">
        <v>15</v>
      </c>
      <c r="I3051" s="6" t="s">
        <v>14</v>
      </c>
      <c r="J3051" s="6" t="s">
        <v>1064</v>
      </c>
      <c r="K3051" s="7">
        <v>29.283711480000001</v>
      </c>
      <c r="L3051" s="7">
        <v>-96.092454610000004</v>
      </c>
      <c r="M3051" s="6" t="s">
        <v>295</v>
      </c>
      <c r="N3051" s="6" t="s">
        <v>10</v>
      </c>
      <c r="O3051" s="6" t="s">
        <v>23</v>
      </c>
    </row>
    <row r="3052" spans="1:15" x14ac:dyDescent="0.25">
      <c r="A3052" s="6" t="s">
        <v>484</v>
      </c>
      <c r="B3052" s="6" t="s">
        <v>483</v>
      </c>
      <c r="C3052" s="6" t="s">
        <v>31</v>
      </c>
      <c r="E3052" s="6" t="s">
        <v>482</v>
      </c>
      <c r="F3052" s="6" t="s">
        <v>481</v>
      </c>
      <c r="G3052" s="6" t="s">
        <v>16</v>
      </c>
      <c r="H3052" s="6" t="s">
        <v>15</v>
      </c>
      <c r="I3052" s="6" t="s">
        <v>60</v>
      </c>
      <c r="J3052" s="6" t="s">
        <v>480</v>
      </c>
      <c r="K3052" s="7">
        <v>26.292534</v>
      </c>
      <c r="L3052" s="7">
        <v>-98.128315999999998</v>
      </c>
      <c r="M3052" s="6" t="s">
        <v>89</v>
      </c>
      <c r="N3052" s="6" t="s">
        <v>11</v>
      </c>
      <c r="O3052" s="6" t="s">
        <v>22</v>
      </c>
    </row>
    <row r="3053" spans="1:15" x14ac:dyDescent="0.25">
      <c r="A3053" s="6" t="s">
        <v>11551</v>
      </c>
      <c r="B3053" s="6" t="s">
        <v>11550</v>
      </c>
      <c r="C3053" s="6" t="s">
        <v>31</v>
      </c>
      <c r="E3053" s="6" t="s">
        <v>11549</v>
      </c>
      <c r="F3053" s="6" t="s">
        <v>29</v>
      </c>
      <c r="G3053" s="6" t="s">
        <v>16</v>
      </c>
      <c r="H3053" s="6" t="s">
        <v>28</v>
      </c>
      <c r="I3053" s="6" t="s">
        <v>46</v>
      </c>
      <c r="J3053" s="6" t="s">
        <v>26</v>
      </c>
      <c r="K3053" s="7">
        <v>30.250256650000001</v>
      </c>
      <c r="L3053" s="7">
        <v>-95.662389320000003</v>
      </c>
      <c r="M3053" s="6" t="s">
        <v>25</v>
      </c>
      <c r="N3053" s="6" t="s">
        <v>24</v>
      </c>
      <c r="O3053" s="6" t="s">
        <v>23</v>
      </c>
    </row>
    <row r="3054" spans="1:15" x14ac:dyDescent="0.25">
      <c r="A3054" s="6" t="s">
        <v>2806</v>
      </c>
      <c r="B3054" s="6" t="s">
        <v>2805</v>
      </c>
      <c r="C3054" s="6" t="s">
        <v>31</v>
      </c>
      <c r="E3054" s="6" t="s">
        <v>2804</v>
      </c>
      <c r="F3054" s="6" t="s">
        <v>2803</v>
      </c>
      <c r="G3054" s="6" t="s">
        <v>16</v>
      </c>
      <c r="H3054" s="6" t="s">
        <v>28</v>
      </c>
      <c r="I3054" s="6" t="s">
        <v>60</v>
      </c>
      <c r="J3054" s="6" t="s">
        <v>461</v>
      </c>
      <c r="K3054" s="7">
        <v>33.042762359999998</v>
      </c>
      <c r="L3054" s="7">
        <v>-96.217736509999995</v>
      </c>
      <c r="M3054" s="6" t="s">
        <v>109</v>
      </c>
      <c r="N3054" s="6" t="s">
        <v>65</v>
      </c>
      <c r="O3054" s="6" t="s">
        <v>42</v>
      </c>
    </row>
    <row r="3055" spans="1:15" x14ac:dyDescent="0.25">
      <c r="A3055" s="6" t="s">
        <v>2390</v>
      </c>
      <c r="B3055" s="6" t="s">
        <v>2389</v>
      </c>
      <c r="C3055" s="6" t="s">
        <v>31</v>
      </c>
      <c r="E3055" s="6" t="s">
        <v>2388</v>
      </c>
      <c r="F3055" s="6" t="s">
        <v>2387</v>
      </c>
      <c r="G3055" s="6" t="s">
        <v>16</v>
      </c>
      <c r="H3055" s="6" t="s">
        <v>28</v>
      </c>
      <c r="I3055" s="6" t="s">
        <v>73</v>
      </c>
      <c r="J3055" s="6" t="s">
        <v>424</v>
      </c>
      <c r="K3055" s="7">
        <v>32.848019600000001</v>
      </c>
      <c r="L3055" s="7">
        <v>-95.525881269999999</v>
      </c>
      <c r="M3055" s="6" t="s">
        <v>956</v>
      </c>
      <c r="N3055" s="6" t="s">
        <v>65</v>
      </c>
      <c r="O3055" s="6" t="s">
        <v>65</v>
      </c>
    </row>
    <row r="3056" spans="1:15" x14ac:dyDescent="0.25">
      <c r="A3056" s="6" t="s">
        <v>2512</v>
      </c>
      <c r="B3056" s="6" t="s">
        <v>2511</v>
      </c>
      <c r="C3056" s="6" t="s">
        <v>31</v>
      </c>
      <c r="E3056" s="6" t="s">
        <v>2510</v>
      </c>
      <c r="F3056" s="6" t="s">
        <v>2509</v>
      </c>
      <c r="G3056" s="6" t="s">
        <v>16</v>
      </c>
      <c r="H3056" s="6" t="s">
        <v>28</v>
      </c>
      <c r="I3056" s="6" t="s">
        <v>73</v>
      </c>
      <c r="J3056" s="6" t="s">
        <v>26</v>
      </c>
      <c r="K3056" s="7">
        <v>30.245286</v>
      </c>
      <c r="L3056" s="7">
        <v>-95.489823999999999</v>
      </c>
      <c r="M3056" s="6" t="s">
        <v>1022</v>
      </c>
      <c r="N3056" s="6" t="s">
        <v>24</v>
      </c>
      <c r="O3056" s="6" t="s">
        <v>23</v>
      </c>
    </row>
    <row r="3057" spans="1:15" x14ac:dyDescent="0.25">
      <c r="A3057" s="6" t="s">
        <v>3691</v>
      </c>
      <c r="B3057" s="6" t="s">
        <v>3690</v>
      </c>
      <c r="C3057" s="6" t="s">
        <v>31</v>
      </c>
      <c r="E3057" s="6" t="s">
        <v>3689</v>
      </c>
      <c r="F3057" s="6" t="s">
        <v>2072</v>
      </c>
      <c r="G3057" s="6" t="s">
        <v>16</v>
      </c>
      <c r="H3057" s="6" t="s">
        <v>28</v>
      </c>
      <c r="I3057" s="6" t="s">
        <v>73</v>
      </c>
      <c r="J3057" s="6" t="s">
        <v>3688</v>
      </c>
      <c r="K3057" s="7">
        <v>29.327065000000001</v>
      </c>
      <c r="L3057" s="7">
        <v>-98.050167000000002</v>
      </c>
      <c r="M3057" s="6" t="s">
        <v>3582</v>
      </c>
      <c r="N3057" s="6" t="s">
        <v>232</v>
      </c>
      <c r="O3057" s="6" t="s">
        <v>231</v>
      </c>
    </row>
    <row r="3058" spans="1:15" x14ac:dyDescent="0.25">
      <c r="A3058" s="6" t="s">
        <v>2160</v>
      </c>
      <c r="B3058" s="6" t="s">
        <v>2159</v>
      </c>
      <c r="C3058" s="6" t="s">
        <v>31</v>
      </c>
      <c r="E3058" s="6" t="s">
        <v>2158</v>
      </c>
      <c r="F3058" s="6" t="s">
        <v>29</v>
      </c>
      <c r="G3058" s="6" t="s">
        <v>16</v>
      </c>
      <c r="H3058" s="6" t="s">
        <v>28</v>
      </c>
      <c r="I3058" s="6" t="s">
        <v>73</v>
      </c>
      <c r="J3058" s="6" t="s">
        <v>35</v>
      </c>
      <c r="K3058" s="7">
        <v>30.045946000000001</v>
      </c>
      <c r="L3058" s="7">
        <v>-95.778036</v>
      </c>
      <c r="M3058" s="6" t="s">
        <v>279</v>
      </c>
      <c r="N3058" s="6" t="s">
        <v>24</v>
      </c>
      <c r="O3058" s="6" t="s">
        <v>23</v>
      </c>
    </row>
    <row r="3059" spans="1:15" x14ac:dyDescent="0.25">
      <c r="A3059" s="6" t="s">
        <v>12499</v>
      </c>
      <c r="B3059" s="6" t="s">
        <v>12498</v>
      </c>
      <c r="C3059" s="6" t="s">
        <v>19</v>
      </c>
      <c r="E3059" s="6" t="s">
        <v>12497</v>
      </c>
      <c r="F3059" s="6" t="s">
        <v>12496</v>
      </c>
      <c r="G3059" s="6" t="s">
        <v>16</v>
      </c>
      <c r="H3059" s="6" t="s">
        <v>28</v>
      </c>
      <c r="I3059" s="6" t="s">
        <v>27</v>
      </c>
      <c r="J3059" s="6" t="s">
        <v>753</v>
      </c>
      <c r="K3059" s="7">
        <v>30.202949700000001</v>
      </c>
      <c r="L3059" s="7">
        <v>-97.983801700000001</v>
      </c>
      <c r="M3059" s="6" t="s">
        <v>1533</v>
      </c>
      <c r="N3059" s="6" t="s">
        <v>10</v>
      </c>
      <c r="O3059" s="6" t="s">
        <v>160</v>
      </c>
    </row>
    <row r="3060" spans="1:15" x14ac:dyDescent="0.25">
      <c r="A3060" s="6" t="s">
        <v>9293</v>
      </c>
      <c r="B3060" s="6" t="s">
        <v>9292</v>
      </c>
      <c r="C3060" s="6" t="s">
        <v>31</v>
      </c>
      <c r="E3060" s="6" t="s">
        <v>9291</v>
      </c>
      <c r="F3060" s="6" t="s">
        <v>9290</v>
      </c>
      <c r="G3060" s="6" t="s">
        <v>16</v>
      </c>
      <c r="H3060" s="6" t="s">
        <v>15</v>
      </c>
      <c r="I3060" s="6" t="s">
        <v>27</v>
      </c>
      <c r="J3060" s="6" t="s">
        <v>6844</v>
      </c>
      <c r="K3060" s="7">
        <v>31.74948157</v>
      </c>
      <c r="L3060" s="7">
        <v>-98.169070910000002</v>
      </c>
      <c r="M3060" s="6" t="s">
        <v>1322</v>
      </c>
      <c r="N3060" s="6" t="s">
        <v>23</v>
      </c>
      <c r="O3060" s="6" t="s">
        <v>120</v>
      </c>
    </row>
    <row r="3061" spans="1:15" x14ac:dyDescent="0.25">
      <c r="A3061" s="6" t="s">
        <v>2901</v>
      </c>
      <c r="B3061" s="6" t="s">
        <v>2900</v>
      </c>
      <c r="C3061" s="6" t="s">
        <v>31</v>
      </c>
      <c r="E3061" s="6" t="s">
        <v>2899</v>
      </c>
      <c r="F3061" s="6" t="s">
        <v>2898</v>
      </c>
      <c r="G3061" s="6" t="s">
        <v>16</v>
      </c>
      <c r="H3061" s="6" t="s">
        <v>15</v>
      </c>
      <c r="I3061" s="6" t="s">
        <v>46</v>
      </c>
      <c r="J3061" s="6" t="s">
        <v>2897</v>
      </c>
      <c r="K3061" s="7">
        <v>29.532817430000001</v>
      </c>
      <c r="L3061" s="7">
        <v>-104.31699184</v>
      </c>
      <c r="M3061" s="6" t="s">
        <v>2896</v>
      </c>
      <c r="N3061" s="6" t="s">
        <v>373</v>
      </c>
      <c r="O3061" s="6" t="s">
        <v>52</v>
      </c>
    </row>
    <row r="3062" spans="1:15" x14ac:dyDescent="0.25">
      <c r="A3062" s="6" t="s">
        <v>9642</v>
      </c>
      <c r="B3062" s="6" t="s">
        <v>9641</v>
      </c>
      <c r="C3062" s="6" t="s">
        <v>31</v>
      </c>
      <c r="E3062" s="6" t="s">
        <v>9640</v>
      </c>
      <c r="F3062" s="6" t="s">
        <v>9639</v>
      </c>
      <c r="G3062" s="6" t="s">
        <v>16</v>
      </c>
      <c r="H3062" s="6" t="s">
        <v>28</v>
      </c>
      <c r="I3062" s="6" t="s">
        <v>73</v>
      </c>
      <c r="J3062" s="6" t="s">
        <v>2768</v>
      </c>
      <c r="K3062" s="7">
        <v>32.498693000000003</v>
      </c>
      <c r="L3062" s="7">
        <v>-97.285419000000005</v>
      </c>
      <c r="M3062" s="6" t="s">
        <v>2826</v>
      </c>
      <c r="N3062" s="6" t="s">
        <v>102</v>
      </c>
      <c r="O3062" s="6" t="s">
        <v>42</v>
      </c>
    </row>
    <row r="3063" spans="1:15" x14ac:dyDescent="0.25">
      <c r="A3063" s="6" t="s">
        <v>6497</v>
      </c>
      <c r="B3063" s="6" t="s">
        <v>6496</v>
      </c>
      <c r="C3063" s="6" t="s">
        <v>31</v>
      </c>
      <c r="E3063" s="6" t="s">
        <v>6495</v>
      </c>
      <c r="F3063" s="6" t="s">
        <v>5812</v>
      </c>
      <c r="G3063" s="6" t="s">
        <v>16</v>
      </c>
      <c r="H3063" s="6" t="s">
        <v>15</v>
      </c>
      <c r="I3063" s="6" t="s">
        <v>60</v>
      </c>
      <c r="J3063" s="6" t="s">
        <v>122</v>
      </c>
      <c r="K3063" s="7">
        <v>31.623795000000001</v>
      </c>
      <c r="L3063" s="7">
        <v>-97.046170000000004</v>
      </c>
      <c r="M3063" s="6" t="s">
        <v>121</v>
      </c>
      <c r="N3063" s="6" t="s">
        <v>23</v>
      </c>
      <c r="O3063" s="6" t="s">
        <v>120</v>
      </c>
    </row>
    <row r="3064" spans="1:15" x14ac:dyDescent="0.25">
      <c r="A3064" s="6" t="s">
        <v>1377</v>
      </c>
      <c r="B3064" s="6" t="s">
        <v>1376</v>
      </c>
      <c r="C3064" s="6" t="s">
        <v>31</v>
      </c>
      <c r="E3064" s="6" t="s">
        <v>1375</v>
      </c>
      <c r="F3064" s="6" t="s">
        <v>1374</v>
      </c>
      <c r="G3064" s="6" t="s">
        <v>16</v>
      </c>
      <c r="H3064" s="6" t="s">
        <v>28</v>
      </c>
      <c r="I3064" s="6" t="s">
        <v>73</v>
      </c>
      <c r="J3064" s="6" t="s">
        <v>461</v>
      </c>
      <c r="K3064" s="7">
        <v>32.869683000000002</v>
      </c>
      <c r="L3064" s="7">
        <v>-96.072198</v>
      </c>
      <c r="M3064" s="6" t="s">
        <v>109</v>
      </c>
      <c r="N3064" s="6" t="s">
        <v>65</v>
      </c>
      <c r="O3064" s="6" t="s">
        <v>42</v>
      </c>
    </row>
    <row r="3065" spans="1:15" x14ac:dyDescent="0.25">
      <c r="A3065" s="6" t="s">
        <v>2157</v>
      </c>
      <c r="B3065" s="6" t="s">
        <v>2156</v>
      </c>
      <c r="C3065" s="6" t="s">
        <v>31</v>
      </c>
      <c r="E3065" s="6" t="s">
        <v>2155</v>
      </c>
      <c r="F3065" s="6" t="s">
        <v>2154</v>
      </c>
      <c r="G3065" s="6" t="s">
        <v>16</v>
      </c>
      <c r="H3065" s="6" t="s">
        <v>15</v>
      </c>
      <c r="I3065" s="6" t="s">
        <v>14</v>
      </c>
      <c r="J3065" s="6" t="s">
        <v>1861</v>
      </c>
      <c r="K3065" s="7">
        <v>30.588035999999999</v>
      </c>
      <c r="L3065" s="7">
        <v>-96.422951999999995</v>
      </c>
      <c r="M3065" s="6" t="s">
        <v>121</v>
      </c>
      <c r="N3065" s="6" t="s">
        <v>23</v>
      </c>
      <c r="O3065" s="6" t="s">
        <v>120</v>
      </c>
    </row>
    <row r="3066" spans="1:15" x14ac:dyDescent="0.25">
      <c r="A3066" s="6" t="s">
        <v>2895</v>
      </c>
      <c r="B3066" s="6" t="s">
        <v>2894</v>
      </c>
      <c r="C3066" s="6" t="s">
        <v>31</v>
      </c>
      <c r="E3066" s="6" t="s">
        <v>2893</v>
      </c>
      <c r="F3066" s="6" t="s">
        <v>2892</v>
      </c>
      <c r="G3066" s="6" t="s">
        <v>16</v>
      </c>
      <c r="H3066" s="6" t="s">
        <v>15</v>
      </c>
      <c r="I3066" s="6" t="s">
        <v>46</v>
      </c>
      <c r="J3066" s="6" t="s">
        <v>2891</v>
      </c>
      <c r="K3066" s="7">
        <v>28.606292960000001</v>
      </c>
      <c r="L3066" s="7">
        <v>-100.43324569000001</v>
      </c>
      <c r="M3066" s="6" t="s">
        <v>511</v>
      </c>
      <c r="N3066" s="6" t="s">
        <v>373</v>
      </c>
      <c r="O3066" s="6" t="s">
        <v>510</v>
      </c>
    </row>
    <row r="3067" spans="1:15" x14ac:dyDescent="0.25">
      <c r="A3067" s="6" t="s">
        <v>12236</v>
      </c>
      <c r="B3067" s="6" t="s">
        <v>12235</v>
      </c>
      <c r="C3067" s="6" t="s">
        <v>31</v>
      </c>
      <c r="E3067" s="6" t="s">
        <v>12234</v>
      </c>
      <c r="F3067" s="6" t="s">
        <v>12233</v>
      </c>
      <c r="G3067" s="6" t="s">
        <v>16</v>
      </c>
      <c r="H3067" s="6" t="s">
        <v>28</v>
      </c>
      <c r="I3067" s="6" t="s">
        <v>73</v>
      </c>
      <c r="J3067" s="6" t="s">
        <v>2395</v>
      </c>
      <c r="K3067" s="7">
        <v>29.3232453</v>
      </c>
      <c r="L3067" s="7">
        <v>-99.484476439999995</v>
      </c>
      <c r="M3067" s="6" t="s">
        <v>12232</v>
      </c>
      <c r="N3067" s="6" t="s">
        <v>524</v>
      </c>
      <c r="O3067" s="6" t="s">
        <v>231</v>
      </c>
    </row>
    <row r="3068" spans="1:15" x14ac:dyDescent="0.25">
      <c r="A3068" s="6" t="s">
        <v>2014</v>
      </c>
      <c r="B3068" s="6" t="s">
        <v>2013</v>
      </c>
      <c r="C3068" s="6" t="s">
        <v>31</v>
      </c>
      <c r="E3068" s="6" t="s">
        <v>2012</v>
      </c>
      <c r="F3068" s="6" t="s">
        <v>481</v>
      </c>
      <c r="G3068" s="6" t="s">
        <v>16</v>
      </c>
      <c r="H3068" s="6" t="s">
        <v>15</v>
      </c>
      <c r="I3068" s="6" t="s">
        <v>46</v>
      </c>
      <c r="J3068" s="6" t="s">
        <v>480</v>
      </c>
      <c r="K3068" s="7">
        <v>26.240402029999998</v>
      </c>
      <c r="L3068" s="7">
        <v>-98.127726559999999</v>
      </c>
      <c r="M3068" s="6" t="s">
        <v>89</v>
      </c>
      <c r="N3068" s="6" t="s">
        <v>11</v>
      </c>
      <c r="O3068" s="6" t="s">
        <v>22</v>
      </c>
    </row>
    <row r="3069" spans="1:15" x14ac:dyDescent="0.25">
      <c r="A3069" s="6" t="s">
        <v>6620</v>
      </c>
      <c r="B3069" s="6" t="s">
        <v>6619</v>
      </c>
      <c r="C3069" s="6" t="s">
        <v>31</v>
      </c>
      <c r="E3069" s="6" t="s">
        <v>6618</v>
      </c>
      <c r="F3069" s="6" t="s">
        <v>983</v>
      </c>
      <c r="G3069" s="6" t="s">
        <v>16</v>
      </c>
      <c r="H3069" s="6" t="s">
        <v>28</v>
      </c>
      <c r="I3069" s="6" t="s">
        <v>73</v>
      </c>
      <c r="J3069" s="6" t="s">
        <v>6617</v>
      </c>
      <c r="K3069" s="7">
        <v>27.124682</v>
      </c>
      <c r="L3069" s="7">
        <v>-97.792199999999994</v>
      </c>
      <c r="M3069" s="6" t="s">
        <v>89</v>
      </c>
      <c r="N3069" s="6" t="s">
        <v>11</v>
      </c>
      <c r="O3069" s="6" t="s">
        <v>22</v>
      </c>
    </row>
    <row r="3070" spans="1:15" x14ac:dyDescent="0.25">
      <c r="A3070" s="6" t="s">
        <v>2253</v>
      </c>
      <c r="B3070" s="6" t="s">
        <v>2252</v>
      </c>
      <c r="C3070" s="6" t="s">
        <v>31</v>
      </c>
      <c r="E3070" s="6" t="s">
        <v>2251</v>
      </c>
      <c r="F3070" s="6" t="s">
        <v>2250</v>
      </c>
      <c r="G3070" s="6" t="s">
        <v>16</v>
      </c>
      <c r="H3070" s="6" t="s">
        <v>28</v>
      </c>
      <c r="I3070" s="6" t="s">
        <v>60</v>
      </c>
      <c r="J3070" s="6" t="s">
        <v>471</v>
      </c>
      <c r="K3070" s="7">
        <v>32.837150000000001</v>
      </c>
      <c r="L3070" s="7">
        <v>-96.873067000000006</v>
      </c>
      <c r="M3070" s="6" t="s">
        <v>103</v>
      </c>
      <c r="N3070" s="6" t="s">
        <v>102</v>
      </c>
      <c r="O3070" s="6" t="s">
        <v>42</v>
      </c>
    </row>
    <row r="3071" spans="1:15" x14ac:dyDescent="0.25">
      <c r="A3071" s="6" t="s">
        <v>4615</v>
      </c>
      <c r="B3071" s="6" t="s">
        <v>4614</v>
      </c>
      <c r="C3071" s="6" t="s">
        <v>31</v>
      </c>
      <c r="E3071" s="6" t="s">
        <v>4613</v>
      </c>
      <c r="F3071" s="6" t="s">
        <v>4612</v>
      </c>
      <c r="G3071" s="6" t="s">
        <v>16</v>
      </c>
      <c r="H3071" s="6" t="s">
        <v>28</v>
      </c>
      <c r="I3071" s="6" t="s">
        <v>60</v>
      </c>
      <c r="J3071" s="6" t="s">
        <v>132</v>
      </c>
      <c r="K3071" s="7">
        <v>29.735804000000002</v>
      </c>
      <c r="L3071" s="7">
        <v>-95.795017000000001</v>
      </c>
      <c r="M3071" s="6" t="s">
        <v>131</v>
      </c>
      <c r="N3071" s="6" t="s">
        <v>24</v>
      </c>
      <c r="O3071" s="6" t="s">
        <v>23</v>
      </c>
    </row>
    <row r="3072" spans="1:15" x14ac:dyDescent="0.25">
      <c r="A3072" s="6" t="s">
        <v>5523</v>
      </c>
      <c r="B3072" s="6" t="s">
        <v>5522</v>
      </c>
      <c r="C3072" s="6" t="s">
        <v>31</v>
      </c>
      <c r="E3072" s="6" t="s">
        <v>5521</v>
      </c>
      <c r="F3072" s="6" t="s">
        <v>5520</v>
      </c>
      <c r="G3072" s="6" t="s">
        <v>16</v>
      </c>
      <c r="H3072" s="6" t="s">
        <v>15</v>
      </c>
      <c r="I3072" s="6" t="s">
        <v>46</v>
      </c>
      <c r="J3072" s="6" t="s">
        <v>90</v>
      </c>
      <c r="K3072" s="7">
        <v>26.075261449999999</v>
      </c>
      <c r="L3072" s="7">
        <v>-97.645278610000005</v>
      </c>
      <c r="M3072" s="6" t="s">
        <v>1254</v>
      </c>
      <c r="N3072" s="6" t="s">
        <v>11</v>
      </c>
      <c r="O3072" s="6" t="s">
        <v>22</v>
      </c>
    </row>
    <row r="3073" spans="1:15" x14ac:dyDescent="0.25">
      <c r="A3073" s="6" t="s">
        <v>4592</v>
      </c>
      <c r="B3073" s="6" t="s">
        <v>4591</v>
      </c>
      <c r="C3073" s="6" t="s">
        <v>31</v>
      </c>
      <c r="E3073" s="6" t="s">
        <v>4590</v>
      </c>
      <c r="F3073" s="6" t="s">
        <v>4589</v>
      </c>
      <c r="G3073" s="6" t="s">
        <v>16</v>
      </c>
      <c r="H3073" s="6" t="s">
        <v>15</v>
      </c>
      <c r="I3073" s="6" t="s">
        <v>46</v>
      </c>
      <c r="J3073" s="6" t="s">
        <v>3079</v>
      </c>
      <c r="K3073" s="7">
        <v>29.39091548</v>
      </c>
      <c r="L3073" s="7">
        <v>-97.476495080000007</v>
      </c>
      <c r="M3073" s="6" t="s">
        <v>1739</v>
      </c>
      <c r="N3073" s="6" t="s">
        <v>559</v>
      </c>
      <c r="O3073" s="6" t="s">
        <v>10</v>
      </c>
    </row>
    <row r="3074" spans="1:15" x14ac:dyDescent="0.25">
      <c r="A3074" s="6" t="s">
        <v>11555</v>
      </c>
      <c r="B3074" s="6" t="s">
        <v>11554</v>
      </c>
      <c r="C3074" s="6" t="s">
        <v>31</v>
      </c>
      <c r="E3074" s="6" t="s">
        <v>11553</v>
      </c>
      <c r="F3074" s="6" t="s">
        <v>11552</v>
      </c>
      <c r="G3074" s="6" t="s">
        <v>16</v>
      </c>
      <c r="H3074" s="6" t="s">
        <v>28</v>
      </c>
      <c r="I3074" s="6" t="s">
        <v>14</v>
      </c>
      <c r="J3074" s="6" t="s">
        <v>2500</v>
      </c>
      <c r="K3074" s="7">
        <v>29.762215340000001</v>
      </c>
      <c r="L3074" s="7">
        <v>-98.794551760000004</v>
      </c>
      <c r="M3074" s="6" t="s">
        <v>273</v>
      </c>
      <c r="N3074" s="6" t="s">
        <v>232</v>
      </c>
      <c r="O3074" s="6" t="s">
        <v>231</v>
      </c>
    </row>
    <row r="3075" spans="1:15" x14ac:dyDescent="0.25">
      <c r="A3075" s="6" t="s">
        <v>6028</v>
      </c>
      <c r="B3075" s="6" t="s">
        <v>6027</v>
      </c>
      <c r="C3075" s="6" t="s">
        <v>31</v>
      </c>
      <c r="E3075" s="6" t="s">
        <v>6026</v>
      </c>
      <c r="F3075" s="6" t="s">
        <v>6025</v>
      </c>
      <c r="G3075" s="6" t="s">
        <v>16</v>
      </c>
      <c r="H3075" s="6" t="s">
        <v>28</v>
      </c>
      <c r="I3075" s="6" t="s">
        <v>799</v>
      </c>
      <c r="J3075" s="6" t="s">
        <v>853</v>
      </c>
      <c r="K3075" s="7">
        <v>29.832580870000001</v>
      </c>
      <c r="L3075" s="7">
        <v>-94.801813760000002</v>
      </c>
      <c r="M3075" s="6" t="s">
        <v>894</v>
      </c>
      <c r="N3075" s="6" t="s">
        <v>120</v>
      </c>
      <c r="O3075" s="6" t="s">
        <v>23</v>
      </c>
    </row>
    <row r="3076" spans="1:15" x14ac:dyDescent="0.25">
      <c r="A3076" s="6" t="s">
        <v>1487</v>
      </c>
      <c r="B3076" s="6" t="s">
        <v>1486</v>
      </c>
      <c r="C3076" s="6" t="s">
        <v>31</v>
      </c>
      <c r="E3076" s="6" t="s">
        <v>1485</v>
      </c>
      <c r="F3076" s="6" t="s">
        <v>1484</v>
      </c>
      <c r="G3076" s="6" t="s">
        <v>16</v>
      </c>
      <c r="H3076" s="6" t="s">
        <v>28</v>
      </c>
      <c r="I3076" s="6" t="s">
        <v>799</v>
      </c>
      <c r="J3076" s="6" t="s">
        <v>132</v>
      </c>
      <c r="K3076" s="7">
        <v>29.665153</v>
      </c>
      <c r="L3076" s="7">
        <v>-95.694687000000002</v>
      </c>
      <c r="M3076" s="6" t="s">
        <v>616</v>
      </c>
      <c r="N3076" s="6" t="s">
        <v>23</v>
      </c>
      <c r="O3076" s="6" t="s">
        <v>23</v>
      </c>
    </row>
    <row r="3077" spans="1:15" x14ac:dyDescent="0.25">
      <c r="A3077" s="6" t="s">
        <v>6557</v>
      </c>
      <c r="B3077" s="6" t="s">
        <v>6556</v>
      </c>
      <c r="C3077" s="6" t="s">
        <v>31</v>
      </c>
      <c r="E3077" s="6" t="s">
        <v>6555</v>
      </c>
      <c r="F3077" s="6" t="s">
        <v>6554</v>
      </c>
      <c r="G3077" s="6" t="s">
        <v>16</v>
      </c>
      <c r="H3077" s="6" t="s">
        <v>28</v>
      </c>
      <c r="I3077" s="6" t="s">
        <v>60</v>
      </c>
      <c r="J3077" s="6" t="s">
        <v>1323</v>
      </c>
      <c r="K3077" s="7">
        <v>31.960445</v>
      </c>
      <c r="L3077" s="7">
        <v>-98.491151000000002</v>
      </c>
      <c r="M3077" s="6" t="s">
        <v>1322</v>
      </c>
      <c r="N3077" s="6" t="s">
        <v>23</v>
      </c>
      <c r="O3077" s="6" t="s">
        <v>95</v>
      </c>
    </row>
    <row r="3078" spans="1:15" x14ac:dyDescent="0.25">
      <c r="A3078" s="6" t="s">
        <v>4596</v>
      </c>
      <c r="B3078" s="6" t="s">
        <v>4595</v>
      </c>
      <c r="C3078" s="6" t="s">
        <v>31</v>
      </c>
      <c r="E3078" s="6" t="s">
        <v>4594</v>
      </c>
      <c r="F3078" s="6" t="s">
        <v>4593</v>
      </c>
      <c r="G3078" s="6" t="s">
        <v>16</v>
      </c>
      <c r="H3078" s="6" t="s">
        <v>15</v>
      </c>
      <c r="I3078" s="6" t="s">
        <v>36</v>
      </c>
      <c r="J3078" s="6" t="s">
        <v>35</v>
      </c>
      <c r="K3078" s="7">
        <v>29.719963969999998</v>
      </c>
      <c r="L3078" s="7">
        <v>-95.224734310000002</v>
      </c>
      <c r="M3078" s="6" t="s">
        <v>866</v>
      </c>
      <c r="N3078" s="6" t="s">
        <v>24</v>
      </c>
      <c r="O3078" s="6" t="s">
        <v>23</v>
      </c>
    </row>
    <row r="3079" spans="1:15" x14ac:dyDescent="0.25">
      <c r="A3079" s="6" t="s">
        <v>4607</v>
      </c>
      <c r="B3079" s="6" t="s">
        <v>4606</v>
      </c>
      <c r="C3079" s="6" t="s">
        <v>31</v>
      </c>
      <c r="E3079" s="6" t="s">
        <v>4605</v>
      </c>
      <c r="F3079" s="6" t="s">
        <v>4604</v>
      </c>
      <c r="G3079" s="6" t="s">
        <v>16</v>
      </c>
      <c r="H3079" s="6" t="s">
        <v>28</v>
      </c>
      <c r="I3079" s="6" t="s">
        <v>27</v>
      </c>
      <c r="J3079" s="6" t="s">
        <v>1611</v>
      </c>
      <c r="K3079" s="7">
        <v>32.421205</v>
      </c>
      <c r="L3079" s="7">
        <v>-94.702618000000001</v>
      </c>
      <c r="M3079" s="6" t="s">
        <v>1218</v>
      </c>
      <c r="N3079" s="6" t="s">
        <v>65</v>
      </c>
      <c r="O3079" s="6" t="s">
        <v>65</v>
      </c>
    </row>
    <row r="3080" spans="1:15" x14ac:dyDescent="0.25">
      <c r="A3080" s="6" t="s">
        <v>10353</v>
      </c>
      <c r="B3080" s="6" t="s">
        <v>10352</v>
      </c>
      <c r="C3080" s="6" t="s">
        <v>31</v>
      </c>
      <c r="E3080" s="6" t="s">
        <v>10351</v>
      </c>
      <c r="F3080" s="6" t="s">
        <v>3760</v>
      </c>
      <c r="G3080" s="6" t="s">
        <v>16</v>
      </c>
      <c r="H3080" s="6" t="s">
        <v>28</v>
      </c>
      <c r="I3080" s="6" t="s">
        <v>73</v>
      </c>
      <c r="J3080" s="6" t="s">
        <v>2267</v>
      </c>
      <c r="K3080" s="7">
        <v>32.237895999999999</v>
      </c>
      <c r="L3080" s="7">
        <v>-96.143705999999995</v>
      </c>
      <c r="M3080" s="6" t="s">
        <v>1031</v>
      </c>
      <c r="N3080" s="6" t="s">
        <v>102</v>
      </c>
      <c r="O3080" s="6" t="s">
        <v>65</v>
      </c>
    </row>
    <row r="3081" spans="1:15" x14ac:dyDescent="0.25">
      <c r="A3081" s="6" t="s">
        <v>9581</v>
      </c>
      <c r="B3081" s="6" t="s">
        <v>9580</v>
      </c>
      <c r="C3081" s="6" t="s">
        <v>31</v>
      </c>
      <c r="E3081" s="6" t="s">
        <v>9579</v>
      </c>
      <c r="F3081" s="6" t="s">
        <v>9578</v>
      </c>
      <c r="G3081" s="6" t="s">
        <v>16</v>
      </c>
      <c r="H3081" s="6" t="s">
        <v>28</v>
      </c>
      <c r="I3081" s="6" t="s">
        <v>46</v>
      </c>
      <c r="J3081" s="6" t="s">
        <v>1209</v>
      </c>
      <c r="K3081" s="7">
        <v>32.055137999999999</v>
      </c>
      <c r="L3081" s="7">
        <v>-97.746645999999998</v>
      </c>
      <c r="M3081" s="6" t="s">
        <v>1450</v>
      </c>
      <c r="N3081" s="6" t="s">
        <v>23</v>
      </c>
      <c r="O3081" s="6" t="s">
        <v>120</v>
      </c>
    </row>
    <row r="3082" spans="1:15" x14ac:dyDescent="0.25">
      <c r="A3082" s="6" t="s">
        <v>955</v>
      </c>
      <c r="B3082" s="6" t="s">
        <v>954</v>
      </c>
      <c r="C3082" s="6" t="s">
        <v>31</v>
      </c>
      <c r="E3082" s="6" t="s">
        <v>953</v>
      </c>
      <c r="F3082" s="6" t="s">
        <v>952</v>
      </c>
      <c r="G3082" s="6" t="s">
        <v>16</v>
      </c>
      <c r="H3082" s="6" t="s">
        <v>28</v>
      </c>
      <c r="I3082" s="6" t="s">
        <v>60</v>
      </c>
      <c r="J3082" s="6" t="s">
        <v>951</v>
      </c>
      <c r="K3082" s="7">
        <v>28.137625</v>
      </c>
      <c r="L3082" s="7">
        <v>-97.007019</v>
      </c>
      <c r="M3082" s="6" t="s">
        <v>138</v>
      </c>
      <c r="N3082" s="6" t="s">
        <v>137</v>
      </c>
      <c r="O3082" s="6" t="s">
        <v>10</v>
      </c>
    </row>
    <row r="3083" spans="1:15" x14ac:dyDescent="0.25">
      <c r="A3083" s="6" t="s">
        <v>1373</v>
      </c>
      <c r="B3083" s="6" t="s">
        <v>1372</v>
      </c>
      <c r="C3083" s="6" t="s">
        <v>31</v>
      </c>
      <c r="E3083" s="6" t="s">
        <v>1371</v>
      </c>
      <c r="F3083" s="6" t="s">
        <v>1370</v>
      </c>
      <c r="G3083" s="6" t="s">
        <v>16</v>
      </c>
      <c r="H3083" s="6" t="s">
        <v>28</v>
      </c>
      <c r="I3083" s="6" t="s">
        <v>73</v>
      </c>
      <c r="J3083" s="6" t="s">
        <v>853</v>
      </c>
      <c r="K3083" s="7">
        <v>29.531779350000001</v>
      </c>
      <c r="L3083" s="7">
        <v>-94.771022500000001</v>
      </c>
      <c r="M3083" s="6" t="s">
        <v>894</v>
      </c>
      <c r="N3083" s="6" t="s">
        <v>383</v>
      </c>
      <c r="O3083" s="6" t="s">
        <v>23</v>
      </c>
    </row>
    <row r="3084" spans="1:15" x14ac:dyDescent="0.25">
      <c r="A3084" s="6" t="s">
        <v>3660</v>
      </c>
      <c r="B3084" s="6" t="s">
        <v>3659</v>
      </c>
      <c r="C3084" s="6" t="s">
        <v>31</v>
      </c>
      <c r="E3084" s="6" t="s">
        <v>3658</v>
      </c>
      <c r="F3084" s="6" t="s">
        <v>3657</v>
      </c>
      <c r="G3084" s="6" t="s">
        <v>16</v>
      </c>
      <c r="H3084" s="6" t="s">
        <v>28</v>
      </c>
      <c r="I3084" s="6" t="s">
        <v>46</v>
      </c>
      <c r="J3084" s="6" t="s">
        <v>3656</v>
      </c>
      <c r="K3084" s="7">
        <v>32.25422082</v>
      </c>
      <c r="L3084" s="7">
        <v>-98.222035120000001</v>
      </c>
      <c r="M3084" s="6" t="s">
        <v>3655</v>
      </c>
      <c r="N3084" s="6" t="s">
        <v>23</v>
      </c>
      <c r="O3084" s="6" t="s">
        <v>42</v>
      </c>
    </row>
    <row r="3085" spans="1:15" x14ac:dyDescent="0.25">
      <c r="A3085" s="6" t="s">
        <v>2879</v>
      </c>
      <c r="B3085" s="6" t="s">
        <v>2878</v>
      </c>
      <c r="C3085" s="6" t="s">
        <v>31</v>
      </c>
      <c r="E3085" s="6" t="s">
        <v>2877</v>
      </c>
      <c r="F3085" s="6" t="s">
        <v>2876</v>
      </c>
      <c r="G3085" s="6" t="s">
        <v>16</v>
      </c>
      <c r="H3085" s="6" t="s">
        <v>15</v>
      </c>
      <c r="I3085" s="6" t="s">
        <v>14</v>
      </c>
      <c r="J3085" s="6" t="s">
        <v>2875</v>
      </c>
      <c r="K3085" s="7">
        <v>32.713574729999998</v>
      </c>
      <c r="L3085" s="7">
        <v>-101.94321300999999</v>
      </c>
      <c r="M3085" s="6" t="s">
        <v>1801</v>
      </c>
      <c r="N3085" s="6" t="s">
        <v>10</v>
      </c>
      <c r="O3085" s="6" t="s">
        <v>383</v>
      </c>
    </row>
    <row r="3086" spans="1:15" x14ac:dyDescent="0.25">
      <c r="A3086" s="6" t="s">
        <v>950</v>
      </c>
      <c r="B3086" s="6" t="s">
        <v>949</v>
      </c>
      <c r="C3086" s="6" t="s">
        <v>31</v>
      </c>
      <c r="E3086" s="6" t="s">
        <v>948</v>
      </c>
      <c r="F3086" s="6" t="s">
        <v>947</v>
      </c>
      <c r="G3086" s="6" t="s">
        <v>16</v>
      </c>
      <c r="H3086" s="6" t="s">
        <v>28</v>
      </c>
      <c r="I3086" s="6" t="s">
        <v>27</v>
      </c>
      <c r="J3086" s="6" t="s">
        <v>946</v>
      </c>
      <c r="K3086" s="7">
        <v>31.28279435</v>
      </c>
      <c r="L3086" s="7">
        <v>-105.84351823999999</v>
      </c>
      <c r="M3086" s="6" t="s">
        <v>945</v>
      </c>
      <c r="N3086" s="6" t="s">
        <v>373</v>
      </c>
      <c r="O3086" s="6" t="s">
        <v>52</v>
      </c>
    </row>
    <row r="3087" spans="1:15" x14ac:dyDescent="0.25">
      <c r="A3087" s="6" t="s">
        <v>11165</v>
      </c>
      <c r="B3087" s="6" t="s">
        <v>11164</v>
      </c>
      <c r="C3087" s="6" t="s">
        <v>31</v>
      </c>
      <c r="E3087" s="6" t="s">
        <v>11163</v>
      </c>
      <c r="F3087" s="6" t="s">
        <v>476</v>
      </c>
      <c r="G3087" s="6" t="s">
        <v>16</v>
      </c>
      <c r="H3087" s="6" t="s">
        <v>28</v>
      </c>
      <c r="I3087" s="6" t="s">
        <v>60</v>
      </c>
      <c r="J3087" s="6" t="s">
        <v>132</v>
      </c>
      <c r="K3087" s="7">
        <v>29.700718999999999</v>
      </c>
      <c r="L3087" s="7">
        <v>-95.792376000000004</v>
      </c>
      <c r="M3087" s="6" t="s">
        <v>131</v>
      </c>
      <c r="N3087" s="6" t="s">
        <v>24</v>
      </c>
      <c r="O3087" s="6" t="s">
        <v>23</v>
      </c>
    </row>
    <row r="3088" spans="1:15" x14ac:dyDescent="0.25">
      <c r="A3088" s="6" t="s">
        <v>9419</v>
      </c>
      <c r="B3088" s="6" t="s">
        <v>9418</v>
      </c>
      <c r="C3088" s="6" t="s">
        <v>31</v>
      </c>
      <c r="E3088" s="6" t="s">
        <v>9417</v>
      </c>
      <c r="F3088" s="6" t="s">
        <v>9416</v>
      </c>
      <c r="G3088" s="6" t="s">
        <v>16</v>
      </c>
      <c r="H3088" s="6" t="s">
        <v>28</v>
      </c>
      <c r="I3088" s="6" t="s">
        <v>36</v>
      </c>
      <c r="J3088" s="6" t="s">
        <v>35</v>
      </c>
      <c r="K3088" s="7">
        <v>29.913555089999999</v>
      </c>
      <c r="L3088" s="7">
        <v>-95.695908930000002</v>
      </c>
      <c r="M3088" s="6" t="s">
        <v>131</v>
      </c>
      <c r="N3088" s="6" t="s">
        <v>24</v>
      </c>
      <c r="O3088" s="6" t="s">
        <v>23</v>
      </c>
    </row>
    <row r="3089" spans="1:15" x14ac:dyDescent="0.25">
      <c r="A3089" s="6" t="s">
        <v>12195</v>
      </c>
      <c r="B3089" s="6" t="s">
        <v>12194</v>
      </c>
      <c r="C3089" s="6" t="s">
        <v>31</v>
      </c>
      <c r="E3089" s="6" t="s">
        <v>12193</v>
      </c>
      <c r="F3089" s="6" t="s">
        <v>12192</v>
      </c>
      <c r="G3089" s="6" t="s">
        <v>16</v>
      </c>
      <c r="H3089" s="6" t="s">
        <v>28</v>
      </c>
      <c r="I3089" s="6" t="s">
        <v>60</v>
      </c>
      <c r="J3089" s="6" t="s">
        <v>239</v>
      </c>
      <c r="K3089" s="7">
        <v>33.060546510000002</v>
      </c>
      <c r="L3089" s="7">
        <v>-96.554326639999999</v>
      </c>
      <c r="M3089" s="6" t="s">
        <v>349</v>
      </c>
      <c r="N3089" s="6" t="s">
        <v>102</v>
      </c>
      <c r="O3089" s="6" t="s">
        <v>42</v>
      </c>
    </row>
    <row r="3090" spans="1:15" x14ac:dyDescent="0.25">
      <c r="A3090" s="6" t="s">
        <v>4588</v>
      </c>
      <c r="B3090" s="6" t="s">
        <v>4587</v>
      </c>
      <c r="C3090" s="6" t="s">
        <v>31</v>
      </c>
      <c r="E3090" s="6" t="s">
        <v>4586</v>
      </c>
      <c r="F3090" s="6" t="s">
        <v>4585</v>
      </c>
      <c r="G3090" s="6" t="s">
        <v>16</v>
      </c>
      <c r="H3090" s="6" t="s">
        <v>15</v>
      </c>
      <c r="I3090" s="6" t="s">
        <v>14</v>
      </c>
      <c r="J3090" s="6" t="s">
        <v>132</v>
      </c>
      <c r="K3090" s="7">
        <v>29.69379168</v>
      </c>
      <c r="L3090" s="7">
        <v>-95.876404410000006</v>
      </c>
      <c r="M3090" s="6" t="s">
        <v>616</v>
      </c>
      <c r="N3090" s="6" t="s">
        <v>23</v>
      </c>
      <c r="O3090" s="6" t="s">
        <v>23</v>
      </c>
    </row>
    <row r="3091" spans="1:15" x14ac:dyDescent="0.25">
      <c r="A3091" s="6" t="s">
        <v>4584</v>
      </c>
      <c r="B3091" s="6" t="s">
        <v>4583</v>
      </c>
      <c r="C3091" s="6" t="s">
        <v>31</v>
      </c>
      <c r="E3091" s="6" t="s">
        <v>4582</v>
      </c>
      <c r="F3091" s="6" t="s">
        <v>4581</v>
      </c>
      <c r="G3091" s="6" t="s">
        <v>16</v>
      </c>
      <c r="H3091" s="6" t="s">
        <v>28</v>
      </c>
      <c r="I3091" s="6" t="s">
        <v>27</v>
      </c>
      <c r="J3091" s="6" t="s">
        <v>781</v>
      </c>
      <c r="K3091" s="7">
        <v>32.454097400000002</v>
      </c>
      <c r="L3091" s="7">
        <v>-94.356093329999993</v>
      </c>
      <c r="M3091" s="6" t="s">
        <v>1218</v>
      </c>
      <c r="N3091" s="6" t="s">
        <v>65</v>
      </c>
      <c r="O3091" s="6" t="s">
        <v>65</v>
      </c>
    </row>
    <row r="3092" spans="1:15" x14ac:dyDescent="0.25">
      <c r="A3092" s="6" t="s">
        <v>11970</v>
      </c>
      <c r="B3092" s="6" t="s">
        <v>11969</v>
      </c>
      <c r="C3092" s="6" t="s">
        <v>31</v>
      </c>
      <c r="E3092" s="6" t="s">
        <v>11968</v>
      </c>
      <c r="F3092" s="6" t="s">
        <v>29</v>
      </c>
      <c r="G3092" s="6" t="s">
        <v>16</v>
      </c>
      <c r="H3092" s="6" t="s">
        <v>28</v>
      </c>
      <c r="I3092" s="6" t="s">
        <v>27</v>
      </c>
      <c r="J3092" s="6" t="s">
        <v>26</v>
      </c>
      <c r="K3092" s="7">
        <v>30.10323996</v>
      </c>
      <c r="L3092" s="7">
        <v>-95.338494639999993</v>
      </c>
      <c r="M3092" s="6" t="s">
        <v>1022</v>
      </c>
      <c r="N3092" s="6" t="s">
        <v>24</v>
      </c>
      <c r="O3092" s="6" t="s">
        <v>23</v>
      </c>
    </row>
    <row r="3093" spans="1:15" x14ac:dyDescent="0.25">
      <c r="A3093" s="6" t="s">
        <v>2164</v>
      </c>
      <c r="B3093" s="6" t="s">
        <v>2163</v>
      </c>
      <c r="C3093" s="6" t="s">
        <v>31</v>
      </c>
      <c r="E3093" s="6" t="s">
        <v>2162</v>
      </c>
      <c r="F3093" s="6" t="s">
        <v>2161</v>
      </c>
      <c r="G3093" s="6" t="s">
        <v>16</v>
      </c>
      <c r="H3093" s="6" t="s">
        <v>28</v>
      </c>
      <c r="I3093" s="6" t="s">
        <v>27</v>
      </c>
      <c r="J3093" s="6" t="s">
        <v>162</v>
      </c>
      <c r="K3093" s="7">
        <v>29.51794464</v>
      </c>
      <c r="L3093" s="7">
        <v>-95.370625689999997</v>
      </c>
      <c r="M3093" s="6" t="s">
        <v>706</v>
      </c>
      <c r="N3093" s="6" t="s">
        <v>160</v>
      </c>
      <c r="O3093" s="6" t="s">
        <v>23</v>
      </c>
    </row>
    <row r="3094" spans="1:15" x14ac:dyDescent="0.25">
      <c r="A3094" s="6" t="s">
        <v>10873</v>
      </c>
      <c r="B3094" s="6" t="s">
        <v>10872</v>
      </c>
      <c r="C3094" s="6" t="s">
        <v>31</v>
      </c>
      <c r="E3094" s="6" t="s">
        <v>10871</v>
      </c>
      <c r="F3094" s="6" t="s">
        <v>10870</v>
      </c>
      <c r="G3094" s="6" t="s">
        <v>16</v>
      </c>
      <c r="H3094" s="6" t="s">
        <v>28</v>
      </c>
      <c r="I3094" s="6" t="s">
        <v>46</v>
      </c>
      <c r="J3094" s="6" t="s">
        <v>424</v>
      </c>
      <c r="K3094" s="7">
        <v>32.678134489999998</v>
      </c>
      <c r="L3094" s="7">
        <v>-95.180812639999999</v>
      </c>
      <c r="M3094" s="6" t="s">
        <v>5803</v>
      </c>
      <c r="N3094" s="6" t="s">
        <v>65</v>
      </c>
      <c r="O3094" s="6" t="s">
        <v>65</v>
      </c>
    </row>
    <row r="3095" spans="1:15" x14ac:dyDescent="0.25">
      <c r="A3095" s="6" t="s">
        <v>7194</v>
      </c>
      <c r="B3095" s="6" t="s">
        <v>7193</v>
      </c>
      <c r="C3095" s="6" t="s">
        <v>31</v>
      </c>
      <c r="E3095" s="6" t="s">
        <v>7192</v>
      </c>
      <c r="F3095" s="6" t="s">
        <v>7191</v>
      </c>
      <c r="G3095" s="6" t="s">
        <v>16</v>
      </c>
      <c r="H3095" s="6" t="s">
        <v>28</v>
      </c>
      <c r="I3095" s="6" t="s">
        <v>36</v>
      </c>
      <c r="J3095" s="6" t="s">
        <v>132</v>
      </c>
      <c r="K3095" s="7">
        <v>29.49309873</v>
      </c>
      <c r="L3095" s="7">
        <v>-95.80901532</v>
      </c>
      <c r="M3095" s="6" t="s">
        <v>355</v>
      </c>
      <c r="N3095" s="6" t="s">
        <v>23</v>
      </c>
      <c r="O3095" s="6" t="s">
        <v>23</v>
      </c>
    </row>
    <row r="3096" spans="1:15" x14ac:dyDescent="0.25">
      <c r="A3096" s="6" t="s">
        <v>1207</v>
      </c>
      <c r="B3096" s="6" t="s">
        <v>1206</v>
      </c>
      <c r="C3096" s="6" t="s">
        <v>31</v>
      </c>
      <c r="E3096" s="6" t="s">
        <v>1205</v>
      </c>
      <c r="F3096" s="6" t="s">
        <v>1204</v>
      </c>
      <c r="G3096" s="6" t="s">
        <v>16</v>
      </c>
      <c r="H3096" s="6" t="s">
        <v>15</v>
      </c>
      <c r="I3096" s="6" t="s">
        <v>14</v>
      </c>
      <c r="J3096" s="6" t="s">
        <v>132</v>
      </c>
      <c r="K3096" s="7">
        <v>29.72634871</v>
      </c>
      <c r="L3096" s="7">
        <v>-95.873711290000003</v>
      </c>
      <c r="M3096" s="6" t="s">
        <v>616</v>
      </c>
      <c r="N3096" s="6" t="s">
        <v>23</v>
      </c>
      <c r="O3096" s="6" t="s">
        <v>23</v>
      </c>
    </row>
    <row r="3097" spans="1:15" x14ac:dyDescent="0.25">
      <c r="A3097" s="6" t="s">
        <v>6473</v>
      </c>
      <c r="B3097" s="6" t="s">
        <v>6472</v>
      </c>
      <c r="C3097" s="6" t="s">
        <v>31</v>
      </c>
      <c r="E3097" s="6" t="s">
        <v>6471</v>
      </c>
      <c r="F3097" s="6" t="s">
        <v>5552</v>
      </c>
      <c r="G3097" s="6" t="s">
        <v>16</v>
      </c>
      <c r="H3097" s="6" t="s">
        <v>28</v>
      </c>
      <c r="I3097" s="6" t="s">
        <v>27</v>
      </c>
      <c r="J3097" s="6" t="s">
        <v>2101</v>
      </c>
      <c r="K3097" s="7">
        <v>33.432678920000001</v>
      </c>
      <c r="L3097" s="7">
        <v>-96.705025969999994</v>
      </c>
      <c r="M3097" s="6" t="s">
        <v>349</v>
      </c>
      <c r="N3097" s="6" t="s">
        <v>102</v>
      </c>
      <c r="O3097" s="6" t="s">
        <v>42</v>
      </c>
    </row>
    <row r="3098" spans="1:15" x14ac:dyDescent="0.25">
      <c r="A3098" s="6" t="s">
        <v>5718</v>
      </c>
      <c r="B3098" s="6" t="s">
        <v>5717</v>
      </c>
      <c r="C3098" s="6" t="s">
        <v>31</v>
      </c>
      <c r="E3098" s="6" t="s">
        <v>5716</v>
      </c>
      <c r="F3098" s="6" t="s">
        <v>777</v>
      </c>
      <c r="G3098" s="6" t="s">
        <v>16</v>
      </c>
      <c r="H3098" s="6" t="s">
        <v>28</v>
      </c>
      <c r="I3098" s="6" t="s">
        <v>73</v>
      </c>
      <c r="J3098" s="6" t="s">
        <v>2101</v>
      </c>
      <c r="K3098" s="7">
        <v>33.833711000000001</v>
      </c>
      <c r="L3098" s="7">
        <v>-96.906746999999996</v>
      </c>
      <c r="M3098" s="6" t="s">
        <v>2906</v>
      </c>
      <c r="N3098" s="6" t="s">
        <v>43</v>
      </c>
      <c r="O3098" s="6" t="s">
        <v>42</v>
      </c>
    </row>
    <row r="3099" spans="1:15" x14ac:dyDescent="0.25">
      <c r="A3099" s="6" t="s">
        <v>2930</v>
      </c>
      <c r="B3099" s="6" t="s">
        <v>2929</v>
      </c>
      <c r="C3099" s="6" t="s">
        <v>31</v>
      </c>
      <c r="E3099" s="6" t="s">
        <v>2928</v>
      </c>
      <c r="F3099" s="6" t="s">
        <v>2927</v>
      </c>
      <c r="G3099" s="6" t="s">
        <v>16</v>
      </c>
      <c r="H3099" s="6" t="s">
        <v>15</v>
      </c>
      <c r="I3099" s="6" t="s">
        <v>46</v>
      </c>
      <c r="J3099" s="6" t="s">
        <v>132</v>
      </c>
      <c r="K3099" s="7">
        <v>29.693767099999999</v>
      </c>
      <c r="L3099" s="7">
        <v>-95.765293310000004</v>
      </c>
      <c r="M3099" s="6" t="s">
        <v>131</v>
      </c>
      <c r="N3099" s="6" t="s">
        <v>24</v>
      </c>
      <c r="O3099" s="6" t="s">
        <v>23</v>
      </c>
    </row>
    <row r="3100" spans="1:15" x14ac:dyDescent="0.25">
      <c r="A3100" s="6" t="s">
        <v>4184</v>
      </c>
      <c r="B3100" s="6" t="s">
        <v>4183</v>
      </c>
      <c r="C3100" s="6" t="s">
        <v>31</v>
      </c>
      <c r="E3100" s="6" t="s">
        <v>4182</v>
      </c>
      <c r="F3100" s="6" t="s">
        <v>983</v>
      </c>
      <c r="G3100" s="6" t="s">
        <v>16</v>
      </c>
      <c r="H3100" s="6" t="s">
        <v>28</v>
      </c>
      <c r="I3100" s="6" t="s">
        <v>27</v>
      </c>
      <c r="J3100" s="6" t="s">
        <v>1336</v>
      </c>
      <c r="K3100" s="7">
        <v>28.599492999999999</v>
      </c>
      <c r="L3100" s="7">
        <v>-98.216791999999998</v>
      </c>
      <c r="M3100" s="6" t="s">
        <v>3104</v>
      </c>
      <c r="N3100" s="6" t="s">
        <v>524</v>
      </c>
      <c r="O3100" s="6" t="s">
        <v>10</v>
      </c>
    </row>
    <row r="3101" spans="1:15" x14ac:dyDescent="0.25">
      <c r="A3101" s="6" t="s">
        <v>7616</v>
      </c>
      <c r="B3101" s="6" t="s">
        <v>7615</v>
      </c>
      <c r="C3101" s="6" t="s">
        <v>31</v>
      </c>
      <c r="E3101" s="6" t="s">
        <v>7614</v>
      </c>
      <c r="F3101" s="6" t="s">
        <v>7613</v>
      </c>
      <c r="G3101" s="6" t="s">
        <v>16</v>
      </c>
      <c r="H3101" s="6" t="s">
        <v>28</v>
      </c>
      <c r="I3101" s="6" t="s">
        <v>73</v>
      </c>
      <c r="J3101" s="6" t="s">
        <v>632</v>
      </c>
      <c r="K3101" s="7">
        <v>30.073913999999998</v>
      </c>
      <c r="L3101" s="7">
        <v>-93.847814999999997</v>
      </c>
      <c r="M3101" s="6" t="s">
        <v>758</v>
      </c>
      <c r="N3101" s="6" t="s">
        <v>65</v>
      </c>
      <c r="O3101" s="6" t="s">
        <v>24</v>
      </c>
    </row>
    <row r="3102" spans="1:15" x14ac:dyDescent="0.25">
      <c r="A3102" s="6" t="s">
        <v>5731</v>
      </c>
      <c r="B3102" s="6" t="s">
        <v>5730</v>
      </c>
      <c r="C3102" s="6" t="s">
        <v>31</v>
      </c>
      <c r="E3102" s="6" t="s">
        <v>5729</v>
      </c>
      <c r="F3102" s="6" t="s">
        <v>5728</v>
      </c>
      <c r="G3102" s="6" t="s">
        <v>16</v>
      </c>
      <c r="H3102" s="6" t="s">
        <v>28</v>
      </c>
      <c r="I3102" s="6" t="s">
        <v>73</v>
      </c>
      <c r="J3102" s="6" t="s">
        <v>1336</v>
      </c>
      <c r="K3102" s="7">
        <v>28.651837</v>
      </c>
      <c r="L3102" s="7">
        <v>-98.244628000000006</v>
      </c>
      <c r="M3102" s="6" t="s">
        <v>3104</v>
      </c>
      <c r="N3102" s="6" t="s">
        <v>524</v>
      </c>
      <c r="O3102" s="6" t="s">
        <v>42</v>
      </c>
    </row>
    <row r="3103" spans="1:15" x14ac:dyDescent="0.25">
      <c r="A3103" s="6" t="s">
        <v>2934</v>
      </c>
      <c r="B3103" s="6" t="s">
        <v>2933</v>
      </c>
      <c r="C3103" s="6" t="s">
        <v>31</v>
      </c>
      <c r="E3103" s="6" t="s">
        <v>2932</v>
      </c>
      <c r="F3103" s="6" t="s">
        <v>2931</v>
      </c>
      <c r="G3103" s="6" t="s">
        <v>16</v>
      </c>
      <c r="H3103" s="6" t="s">
        <v>28</v>
      </c>
      <c r="I3103" s="6" t="s">
        <v>60</v>
      </c>
      <c r="J3103" s="6" t="s">
        <v>35</v>
      </c>
      <c r="K3103" s="7">
        <v>30.111193830000001</v>
      </c>
      <c r="L3103" s="7">
        <v>-95.537091739999994</v>
      </c>
      <c r="M3103" s="6" t="s">
        <v>731</v>
      </c>
      <c r="N3103" s="6" t="s">
        <v>24</v>
      </c>
      <c r="O3103" s="6" t="s">
        <v>23</v>
      </c>
    </row>
    <row r="3104" spans="1:15" x14ac:dyDescent="0.25">
      <c r="A3104" s="6" t="s">
        <v>6505</v>
      </c>
      <c r="B3104" s="6" t="s">
        <v>6504</v>
      </c>
      <c r="C3104" s="6" t="s">
        <v>31</v>
      </c>
      <c r="E3104" s="6" t="s">
        <v>6503</v>
      </c>
      <c r="F3104" s="6" t="s">
        <v>6502</v>
      </c>
      <c r="G3104" s="6" t="s">
        <v>16</v>
      </c>
      <c r="H3104" s="6" t="s">
        <v>28</v>
      </c>
      <c r="I3104" s="6" t="s">
        <v>27</v>
      </c>
      <c r="J3104" s="6" t="s">
        <v>1451</v>
      </c>
      <c r="K3104" s="7">
        <v>32.082070999999999</v>
      </c>
      <c r="L3104" s="7">
        <v>-97.053264999999996</v>
      </c>
      <c r="M3104" s="6" t="s">
        <v>1904</v>
      </c>
      <c r="N3104" s="6" t="s">
        <v>102</v>
      </c>
      <c r="O3104" s="6" t="s">
        <v>120</v>
      </c>
    </row>
    <row r="3105" spans="1:15" x14ac:dyDescent="0.25">
      <c r="A3105" s="6" t="s">
        <v>4497</v>
      </c>
      <c r="B3105" s="6" t="s">
        <v>4496</v>
      </c>
      <c r="C3105" s="6" t="s">
        <v>31</v>
      </c>
      <c r="E3105" s="6" t="s">
        <v>4495</v>
      </c>
      <c r="F3105" s="6" t="s">
        <v>4494</v>
      </c>
      <c r="G3105" s="6" t="s">
        <v>16</v>
      </c>
      <c r="H3105" s="6" t="s">
        <v>28</v>
      </c>
      <c r="I3105" s="6" t="s">
        <v>60</v>
      </c>
      <c r="J3105" s="6" t="s">
        <v>234</v>
      </c>
      <c r="K3105" s="7">
        <v>29.343986999999998</v>
      </c>
      <c r="L3105" s="7">
        <v>-98.883995999999996</v>
      </c>
      <c r="M3105" s="6" t="s">
        <v>233</v>
      </c>
      <c r="N3105" s="6" t="s">
        <v>232</v>
      </c>
      <c r="O3105" s="6" t="s">
        <v>231</v>
      </c>
    </row>
    <row r="3106" spans="1:15" x14ac:dyDescent="0.25">
      <c r="A3106" s="6" t="s">
        <v>2011</v>
      </c>
      <c r="B3106" s="6" t="s">
        <v>2010</v>
      </c>
      <c r="C3106" s="6" t="s">
        <v>31</v>
      </c>
      <c r="E3106" s="6" t="s">
        <v>2009</v>
      </c>
      <c r="F3106" s="6" t="s">
        <v>2008</v>
      </c>
      <c r="G3106" s="6" t="s">
        <v>16</v>
      </c>
      <c r="H3106" s="6" t="s">
        <v>28</v>
      </c>
      <c r="I3106" s="6" t="s">
        <v>60</v>
      </c>
      <c r="J3106" s="6" t="s">
        <v>35</v>
      </c>
      <c r="K3106" s="7">
        <v>30.115396</v>
      </c>
      <c r="L3106" s="7">
        <v>-95.583944000000002</v>
      </c>
      <c r="M3106" s="6" t="s">
        <v>731</v>
      </c>
      <c r="N3106" s="6" t="s">
        <v>24</v>
      </c>
      <c r="O3106" s="6" t="s">
        <v>23</v>
      </c>
    </row>
    <row r="3107" spans="1:15" x14ac:dyDescent="0.25">
      <c r="A3107" s="6" t="s">
        <v>1349</v>
      </c>
      <c r="B3107" s="6" t="s">
        <v>1348</v>
      </c>
      <c r="C3107" s="6" t="s">
        <v>31</v>
      </c>
      <c r="E3107" s="6" t="s">
        <v>1347</v>
      </c>
      <c r="F3107" s="6" t="s">
        <v>1346</v>
      </c>
      <c r="G3107" s="6" t="s">
        <v>16</v>
      </c>
      <c r="H3107" s="6" t="s">
        <v>28</v>
      </c>
      <c r="I3107" s="6" t="s">
        <v>60</v>
      </c>
      <c r="J3107" s="6" t="s">
        <v>1345</v>
      </c>
      <c r="K3107" s="7">
        <v>29.341768900000002</v>
      </c>
      <c r="L3107" s="7">
        <v>-100.81660748</v>
      </c>
      <c r="M3107" s="6" t="s">
        <v>511</v>
      </c>
      <c r="N3107" s="6" t="s">
        <v>373</v>
      </c>
      <c r="O3107" s="6" t="s">
        <v>510</v>
      </c>
    </row>
    <row r="3108" spans="1:15" x14ac:dyDescent="0.25">
      <c r="A3108" s="6" t="s">
        <v>5739</v>
      </c>
      <c r="B3108" s="6" t="s">
        <v>5738</v>
      </c>
      <c r="C3108" s="6" t="s">
        <v>31</v>
      </c>
      <c r="E3108" s="6" t="s">
        <v>5737</v>
      </c>
      <c r="F3108" s="6" t="s">
        <v>5736</v>
      </c>
      <c r="G3108" s="6" t="s">
        <v>16</v>
      </c>
      <c r="H3108" s="6" t="s">
        <v>28</v>
      </c>
      <c r="I3108" s="6" t="s">
        <v>60</v>
      </c>
      <c r="J3108" s="6" t="s">
        <v>239</v>
      </c>
      <c r="K3108" s="7">
        <v>33.105083</v>
      </c>
      <c r="L3108" s="7">
        <v>-96.416809000000001</v>
      </c>
      <c r="M3108" s="6" t="s">
        <v>349</v>
      </c>
      <c r="N3108" s="6" t="s">
        <v>102</v>
      </c>
      <c r="O3108" s="6" t="s">
        <v>42</v>
      </c>
    </row>
    <row r="3109" spans="1:15" x14ac:dyDescent="0.25">
      <c r="A3109" s="6" t="s">
        <v>4580</v>
      </c>
      <c r="B3109" s="6" t="s">
        <v>4500</v>
      </c>
      <c r="C3109" s="6" t="s">
        <v>31</v>
      </c>
      <c r="E3109" s="6" t="s">
        <v>4499</v>
      </c>
      <c r="F3109" s="6" t="s">
        <v>4498</v>
      </c>
      <c r="G3109" s="6" t="s">
        <v>16</v>
      </c>
      <c r="H3109" s="6" t="s">
        <v>430</v>
      </c>
      <c r="I3109" s="6" t="s">
        <v>27</v>
      </c>
      <c r="J3109" s="6" t="s">
        <v>776</v>
      </c>
      <c r="K3109" s="7">
        <v>32.743068000000001</v>
      </c>
      <c r="L3109" s="7">
        <v>-98.158448000000007</v>
      </c>
      <c r="M3109" s="6" t="s">
        <v>775</v>
      </c>
      <c r="N3109" s="6" t="s">
        <v>23</v>
      </c>
      <c r="O3109" s="6" t="s">
        <v>42</v>
      </c>
    </row>
    <row r="3110" spans="1:15" x14ac:dyDescent="0.25">
      <c r="A3110" s="6" t="s">
        <v>4579</v>
      </c>
      <c r="B3110" s="6" t="s">
        <v>4500</v>
      </c>
      <c r="C3110" s="6" t="s">
        <v>19</v>
      </c>
      <c r="E3110" s="6" t="s">
        <v>4499</v>
      </c>
      <c r="F3110" s="6" t="s">
        <v>4578</v>
      </c>
      <c r="G3110" s="6" t="s">
        <v>16</v>
      </c>
      <c r="H3110" s="6" t="s">
        <v>430</v>
      </c>
      <c r="I3110" s="6" t="s">
        <v>27</v>
      </c>
      <c r="J3110" s="6" t="s">
        <v>776</v>
      </c>
      <c r="K3110" s="7">
        <v>32.741382000000002</v>
      </c>
      <c r="L3110" s="7">
        <v>-98.159509</v>
      </c>
      <c r="M3110" s="6" t="s">
        <v>775</v>
      </c>
      <c r="N3110" s="6" t="s">
        <v>23</v>
      </c>
      <c r="O3110" s="6" t="s">
        <v>42</v>
      </c>
    </row>
    <row r="3111" spans="1:15" x14ac:dyDescent="0.25">
      <c r="A3111" s="6" t="s">
        <v>4505</v>
      </c>
      <c r="B3111" s="6" t="s">
        <v>4500</v>
      </c>
      <c r="C3111" s="6" t="s">
        <v>436</v>
      </c>
      <c r="E3111" s="6" t="s">
        <v>4499</v>
      </c>
      <c r="F3111" s="6" t="s">
        <v>4498</v>
      </c>
      <c r="G3111" s="6" t="s">
        <v>16</v>
      </c>
      <c r="H3111" s="6" t="s">
        <v>430</v>
      </c>
      <c r="I3111" s="6" t="s">
        <v>27</v>
      </c>
      <c r="J3111" s="6" t="s">
        <v>776</v>
      </c>
      <c r="K3111" s="7">
        <v>32.738416000000001</v>
      </c>
      <c r="L3111" s="7">
        <v>-98.159102000000004</v>
      </c>
      <c r="M3111" s="6" t="s">
        <v>775</v>
      </c>
      <c r="N3111" s="6" t="s">
        <v>23</v>
      </c>
      <c r="O3111" s="6" t="s">
        <v>42</v>
      </c>
    </row>
    <row r="3112" spans="1:15" x14ac:dyDescent="0.25">
      <c r="A3112" s="6" t="s">
        <v>4504</v>
      </c>
      <c r="B3112" s="6" t="s">
        <v>4500</v>
      </c>
      <c r="C3112" s="6" t="s">
        <v>597</v>
      </c>
      <c r="E3112" s="6" t="s">
        <v>4499</v>
      </c>
      <c r="F3112" s="6" t="s">
        <v>4498</v>
      </c>
      <c r="G3112" s="6" t="s">
        <v>16</v>
      </c>
      <c r="H3112" s="6" t="s">
        <v>430</v>
      </c>
      <c r="I3112" s="6" t="s">
        <v>27</v>
      </c>
      <c r="J3112" s="6" t="s">
        <v>776</v>
      </c>
      <c r="K3112" s="7">
        <v>32.738664999999997</v>
      </c>
      <c r="L3112" s="7">
        <v>-98.157978</v>
      </c>
      <c r="M3112" s="6" t="s">
        <v>775</v>
      </c>
      <c r="N3112" s="6" t="s">
        <v>23</v>
      </c>
      <c r="O3112" s="6" t="s">
        <v>42</v>
      </c>
    </row>
    <row r="3113" spans="1:15" x14ac:dyDescent="0.25">
      <c r="A3113" s="6" t="s">
        <v>4503</v>
      </c>
      <c r="B3113" s="6" t="s">
        <v>4500</v>
      </c>
      <c r="C3113" s="6" t="s">
        <v>557</v>
      </c>
      <c r="E3113" s="6" t="s">
        <v>4499</v>
      </c>
      <c r="F3113" s="6" t="s">
        <v>4498</v>
      </c>
      <c r="G3113" s="6" t="s">
        <v>16</v>
      </c>
      <c r="H3113" s="6" t="s">
        <v>430</v>
      </c>
      <c r="I3113" s="6" t="s">
        <v>27</v>
      </c>
      <c r="J3113" s="6" t="s">
        <v>776</v>
      </c>
      <c r="K3113" s="7">
        <v>32.740850999999999</v>
      </c>
      <c r="L3113" s="7">
        <v>-98.156604000000002</v>
      </c>
      <c r="M3113" s="6" t="s">
        <v>775</v>
      </c>
      <c r="N3113" s="6" t="s">
        <v>23</v>
      </c>
      <c r="O3113" s="6" t="s">
        <v>42</v>
      </c>
    </row>
    <row r="3114" spans="1:15" x14ac:dyDescent="0.25">
      <c r="A3114" s="6" t="s">
        <v>4502</v>
      </c>
      <c r="B3114" s="6" t="s">
        <v>4500</v>
      </c>
      <c r="C3114" s="6" t="s">
        <v>433</v>
      </c>
      <c r="E3114" s="6" t="s">
        <v>4499</v>
      </c>
      <c r="F3114" s="6" t="s">
        <v>4498</v>
      </c>
      <c r="G3114" s="6" t="s">
        <v>16</v>
      </c>
      <c r="H3114" s="6" t="s">
        <v>430</v>
      </c>
      <c r="I3114" s="6" t="s">
        <v>27</v>
      </c>
      <c r="J3114" s="6" t="s">
        <v>776</v>
      </c>
      <c r="K3114" s="7">
        <v>32.739227</v>
      </c>
      <c r="L3114" s="7">
        <v>-98.153232000000003</v>
      </c>
      <c r="M3114" s="6" t="s">
        <v>775</v>
      </c>
      <c r="N3114" s="6" t="s">
        <v>23</v>
      </c>
      <c r="O3114" s="6" t="s">
        <v>42</v>
      </c>
    </row>
    <row r="3115" spans="1:15" x14ac:dyDescent="0.25">
      <c r="A3115" s="6" t="s">
        <v>4501</v>
      </c>
      <c r="B3115" s="6" t="s">
        <v>4500</v>
      </c>
      <c r="C3115" s="6" t="s">
        <v>1098</v>
      </c>
      <c r="E3115" s="6" t="s">
        <v>4499</v>
      </c>
      <c r="F3115" s="6" t="s">
        <v>4498</v>
      </c>
      <c r="G3115" s="6" t="s">
        <v>16</v>
      </c>
      <c r="H3115" s="6" t="s">
        <v>430</v>
      </c>
      <c r="I3115" s="6" t="s">
        <v>27</v>
      </c>
      <c r="J3115" s="6" t="s">
        <v>776</v>
      </c>
      <c r="K3115" s="7">
        <v>32.737385000000003</v>
      </c>
      <c r="L3115" s="7">
        <v>-98.152045999999999</v>
      </c>
      <c r="M3115" s="6" t="s">
        <v>775</v>
      </c>
      <c r="N3115" s="6" t="s">
        <v>23</v>
      </c>
      <c r="O3115" s="6" t="s">
        <v>42</v>
      </c>
    </row>
    <row r="3116" spans="1:15" x14ac:dyDescent="0.25">
      <c r="A3116" s="6" t="s">
        <v>11359</v>
      </c>
      <c r="B3116" s="6" t="s">
        <v>4500</v>
      </c>
      <c r="C3116" s="6" t="s">
        <v>1096</v>
      </c>
      <c r="E3116" s="6" t="s">
        <v>4499</v>
      </c>
      <c r="F3116" s="6" t="s">
        <v>4498</v>
      </c>
      <c r="G3116" s="6" t="s">
        <v>16</v>
      </c>
      <c r="H3116" s="6" t="s">
        <v>430</v>
      </c>
      <c r="I3116" s="6" t="s">
        <v>27</v>
      </c>
      <c r="J3116" s="6" t="s">
        <v>776</v>
      </c>
      <c r="K3116" s="7">
        <v>32.734826609999999</v>
      </c>
      <c r="L3116" s="7">
        <v>-98.154293850000002</v>
      </c>
      <c r="M3116" s="6" t="s">
        <v>775</v>
      </c>
      <c r="N3116" s="6" t="s">
        <v>23</v>
      </c>
      <c r="O3116" s="6" t="s">
        <v>10</v>
      </c>
    </row>
    <row r="3117" spans="1:15" x14ac:dyDescent="0.25">
      <c r="A3117" s="6" t="s">
        <v>5726</v>
      </c>
      <c r="B3117" s="6" t="s">
        <v>5725</v>
      </c>
      <c r="C3117" s="6" t="s">
        <v>31</v>
      </c>
      <c r="E3117" s="6" t="s">
        <v>5724</v>
      </c>
      <c r="F3117" s="6" t="s">
        <v>5723</v>
      </c>
      <c r="G3117" s="6" t="s">
        <v>16</v>
      </c>
      <c r="H3117" s="6" t="s">
        <v>28</v>
      </c>
      <c r="I3117" s="6" t="s">
        <v>14</v>
      </c>
      <c r="J3117" s="6" t="s">
        <v>3523</v>
      </c>
      <c r="K3117" s="7">
        <v>29.807454700000001</v>
      </c>
      <c r="L3117" s="7">
        <v>-96.668941570000001</v>
      </c>
      <c r="M3117" s="6" t="s">
        <v>295</v>
      </c>
      <c r="N3117" s="6" t="s">
        <v>10</v>
      </c>
      <c r="O3117" s="6" t="s">
        <v>23</v>
      </c>
    </row>
    <row r="3118" spans="1:15" x14ac:dyDescent="0.25">
      <c r="A3118" s="6" t="s">
        <v>6303</v>
      </c>
      <c r="B3118" s="6" t="s">
        <v>6302</v>
      </c>
      <c r="C3118" s="6" t="s">
        <v>31</v>
      </c>
      <c r="E3118" s="6" t="s">
        <v>6301</v>
      </c>
      <c r="F3118" s="6" t="s">
        <v>6300</v>
      </c>
      <c r="G3118" s="6" t="s">
        <v>16</v>
      </c>
      <c r="H3118" s="6" t="s">
        <v>15</v>
      </c>
      <c r="I3118" s="6" t="s">
        <v>14</v>
      </c>
      <c r="J3118" s="6" t="s">
        <v>122</v>
      </c>
      <c r="K3118" s="7">
        <v>31.397120600000001</v>
      </c>
      <c r="L3118" s="7">
        <v>-97.173029769999999</v>
      </c>
      <c r="M3118" s="6" t="s">
        <v>121</v>
      </c>
      <c r="N3118" s="6" t="s">
        <v>23</v>
      </c>
      <c r="O3118" s="6" t="s">
        <v>120</v>
      </c>
    </row>
    <row r="3119" spans="1:15" x14ac:dyDescent="0.25">
      <c r="A3119" s="6" t="s">
        <v>5243</v>
      </c>
      <c r="B3119" s="6" t="s">
        <v>5242</v>
      </c>
      <c r="C3119" s="6" t="s">
        <v>31</v>
      </c>
      <c r="E3119" s="6" t="s">
        <v>5241</v>
      </c>
      <c r="F3119" s="6" t="s">
        <v>707</v>
      </c>
      <c r="G3119" s="6" t="s">
        <v>16</v>
      </c>
      <c r="H3119" s="6" t="s">
        <v>28</v>
      </c>
      <c r="I3119" s="6" t="s">
        <v>60</v>
      </c>
      <c r="J3119" s="6" t="s">
        <v>162</v>
      </c>
      <c r="K3119" s="7">
        <v>29.444648999999998</v>
      </c>
      <c r="L3119" s="7">
        <v>-95.379846999999998</v>
      </c>
      <c r="M3119" s="6" t="s">
        <v>161</v>
      </c>
      <c r="N3119" s="6" t="s">
        <v>160</v>
      </c>
      <c r="O3119" s="6" t="s">
        <v>23</v>
      </c>
    </row>
    <row r="3120" spans="1:15" x14ac:dyDescent="0.25">
      <c r="A3120" s="6" t="s">
        <v>2776</v>
      </c>
      <c r="B3120" s="6" t="s">
        <v>2775</v>
      </c>
      <c r="C3120" s="6" t="s">
        <v>31</v>
      </c>
      <c r="E3120" s="6" t="s">
        <v>2774</v>
      </c>
      <c r="F3120" s="6" t="s">
        <v>2773</v>
      </c>
      <c r="G3120" s="6" t="s">
        <v>16</v>
      </c>
      <c r="H3120" s="6" t="s">
        <v>28</v>
      </c>
      <c r="I3120" s="6" t="s">
        <v>27</v>
      </c>
      <c r="J3120" s="6" t="s">
        <v>162</v>
      </c>
      <c r="K3120" s="7">
        <v>29.437035999999999</v>
      </c>
      <c r="L3120" s="7">
        <v>-95.406343000000007</v>
      </c>
      <c r="M3120" s="6" t="s">
        <v>161</v>
      </c>
      <c r="N3120" s="6" t="s">
        <v>160</v>
      </c>
      <c r="O3120" s="6" t="s">
        <v>23</v>
      </c>
    </row>
    <row r="3121" spans="1:15" x14ac:dyDescent="0.25">
      <c r="A3121" s="6" t="s">
        <v>10395</v>
      </c>
      <c r="B3121" s="6" t="s">
        <v>10394</v>
      </c>
      <c r="C3121" s="6" t="s">
        <v>31</v>
      </c>
      <c r="E3121" s="6" t="s">
        <v>10393</v>
      </c>
      <c r="F3121" s="6" t="s">
        <v>9262</v>
      </c>
      <c r="G3121" s="6" t="s">
        <v>16</v>
      </c>
      <c r="H3121" s="6" t="s">
        <v>15</v>
      </c>
      <c r="I3121" s="6" t="s">
        <v>14</v>
      </c>
      <c r="J3121" s="6" t="s">
        <v>35</v>
      </c>
      <c r="K3121" s="7">
        <v>29.702276000000001</v>
      </c>
      <c r="L3121" s="7">
        <v>-95.064976200000004</v>
      </c>
      <c r="M3121" s="6" t="s">
        <v>599</v>
      </c>
      <c r="N3121" s="6" t="s">
        <v>24</v>
      </c>
      <c r="O3121" s="6" t="s">
        <v>23</v>
      </c>
    </row>
    <row r="3122" spans="1:15" x14ac:dyDescent="0.25">
      <c r="A3122" s="6" t="s">
        <v>10392</v>
      </c>
      <c r="B3122" s="6" t="s">
        <v>10391</v>
      </c>
      <c r="C3122" s="6" t="s">
        <v>31</v>
      </c>
      <c r="E3122" s="6" t="s">
        <v>10390</v>
      </c>
      <c r="F3122" s="6" t="s">
        <v>10389</v>
      </c>
      <c r="G3122" s="6" t="s">
        <v>16</v>
      </c>
      <c r="H3122" s="6" t="s">
        <v>28</v>
      </c>
      <c r="I3122" s="6" t="s">
        <v>60</v>
      </c>
      <c r="J3122" s="6" t="s">
        <v>132</v>
      </c>
      <c r="K3122" s="7">
        <v>29.694348600000001</v>
      </c>
      <c r="L3122" s="7">
        <v>-95.70154685</v>
      </c>
      <c r="M3122" s="6" t="s">
        <v>131</v>
      </c>
      <c r="N3122" s="6" t="s">
        <v>24</v>
      </c>
      <c r="O3122" s="6" t="s">
        <v>23</v>
      </c>
    </row>
    <row r="3123" spans="1:15" x14ac:dyDescent="0.25">
      <c r="A3123" s="6" t="s">
        <v>10947</v>
      </c>
      <c r="B3123" s="6" t="s">
        <v>10946</v>
      </c>
      <c r="C3123" s="6" t="s">
        <v>31</v>
      </c>
      <c r="E3123" s="6" t="s">
        <v>10945</v>
      </c>
      <c r="F3123" s="6" t="s">
        <v>10944</v>
      </c>
      <c r="G3123" s="6" t="s">
        <v>16</v>
      </c>
      <c r="H3123" s="6" t="s">
        <v>28</v>
      </c>
      <c r="I3123" s="6" t="s">
        <v>799</v>
      </c>
      <c r="J3123" s="6" t="s">
        <v>26</v>
      </c>
      <c r="K3123" s="7">
        <v>30.400029100000001</v>
      </c>
      <c r="L3123" s="7">
        <v>-95.547007800000003</v>
      </c>
      <c r="M3123" s="6" t="s">
        <v>340</v>
      </c>
      <c r="N3123" s="6" t="s">
        <v>24</v>
      </c>
      <c r="O3123" s="6" t="s">
        <v>23</v>
      </c>
    </row>
    <row r="3124" spans="1:15" x14ac:dyDescent="0.25">
      <c r="A3124" s="6" t="s">
        <v>5475</v>
      </c>
      <c r="B3124" s="6" t="s">
        <v>5474</v>
      </c>
      <c r="C3124" s="6" t="s">
        <v>31</v>
      </c>
      <c r="E3124" s="6" t="s">
        <v>5473</v>
      </c>
      <c r="F3124" s="6" t="s">
        <v>2072</v>
      </c>
      <c r="G3124" s="6" t="s">
        <v>16</v>
      </c>
      <c r="H3124" s="6" t="s">
        <v>28</v>
      </c>
      <c r="I3124" s="6" t="s">
        <v>1200</v>
      </c>
      <c r="J3124" s="6" t="s">
        <v>35</v>
      </c>
      <c r="K3124" s="7">
        <v>29.854982</v>
      </c>
      <c r="L3124" s="7">
        <v>-95.792066000000005</v>
      </c>
      <c r="M3124" s="6" t="s">
        <v>131</v>
      </c>
      <c r="N3124" s="6" t="s">
        <v>24</v>
      </c>
      <c r="O3124" s="6" t="s">
        <v>23</v>
      </c>
    </row>
    <row r="3125" spans="1:15" x14ac:dyDescent="0.25">
      <c r="A3125" s="6" t="s">
        <v>6630</v>
      </c>
      <c r="B3125" s="6" t="s">
        <v>6629</v>
      </c>
      <c r="C3125" s="6" t="s">
        <v>31</v>
      </c>
      <c r="E3125" s="6" t="s">
        <v>6628</v>
      </c>
      <c r="F3125" s="6" t="s">
        <v>6627</v>
      </c>
      <c r="G3125" s="6" t="s">
        <v>16</v>
      </c>
      <c r="H3125" s="6" t="s">
        <v>15</v>
      </c>
      <c r="I3125" s="6" t="s">
        <v>46</v>
      </c>
      <c r="J3125" s="6" t="s">
        <v>395</v>
      </c>
      <c r="K3125" s="7">
        <v>33.613458999999999</v>
      </c>
      <c r="L3125" s="7">
        <v>-95.012764000000004</v>
      </c>
      <c r="M3125" s="6" t="s">
        <v>96</v>
      </c>
      <c r="N3125" s="6" t="s">
        <v>95</v>
      </c>
      <c r="O3125" s="6" t="s">
        <v>65</v>
      </c>
    </row>
    <row r="3126" spans="1:15" x14ac:dyDescent="0.25">
      <c r="A3126" s="6" t="s">
        <v>11326</v>
      </c>
      <c r="B3126" s="6" t="s">
        <v>11325</v>
      </c>
      <c r="C3126" s="6" t="s">
        <v>31</v>
      </c>
      <c r="E3126" s="6" t="s">
        <v>11324</v>
      </c>
      <c r="F3126" s="6" t="s">
        <v>11323</v>
      </c>
      <c r="G3126" s="6" t="s">
        <v>16</v>
      </c>
      <c r="H3126" s="6" t="s">
        <v>15</v>
      </c>
      <c r="I3126" s="6" t="s">
        <v>14</v>
      </c>
      <c r="J3126" s="6" t="s">
        <v>35</v>
      </c>
      <c r="K3126" s="7">
        <v>30.008112560000001</v>
      </c>
      <c r="L3126" s="7">
        <v>-95.826243559999995</v>
      </c>
      <c r="M3126" s="6" t="s">
        <v>279</v>
      </c>
      <c r="N3126" s="6" t="s">
        <v>24</v>
      </c>
      <c r="O3126" s="6" t="s">
        <v>23</v>
      </c>
    </row>
    <row r="3127" spans="1:15" x14ac:dyDescent="0.25">
      <c r="A3127" s="6" t="s">
        <v>5472</v>
      </c>
      <c r="B3127" s="6" t="s">
        <v>5471</v>
      </c>
      <c r="C3127" s="6" t="s">
        <v>31</v>
      </c>
      <c r="E3127" s="6" t="s">
        <v>5470</v>
      </c>
      <c r="F3127" s="6" t="s">
        <v>5469</v>
      </c>
      <c r="G3127" s="6" t="s">
        <v>16</v>
      </c>
      <c r="H3127" s="6" t="s">
        <v>28</v>
      </c>
      <c r="I3127" s="6" t="s">
        <v>1200</v>
      </c>
      <c r="J3127" s="6" t="s">
        <v>26</v>
      </c>
      <c r="K3127" s="7">
        <v>30.254671999999999</v>
      </c>
      <c r="L3127" s="7">
        <v>-95.607722999999993</v>
      </c>
      <c r="M3127" s="6" t="s">
        <v>25</v>
      </c>
      <c r="N3127" s="6" t="s">
        <v>24</v>
      </c>
      <c r="O3127" s="6" t="s">
        <v>23</v>
      </c>
    </row>
    <row r="3128" spans="1:15" x14ac:dyDescent="0.25">
      <c r="A3128" s="6" t="s">
        <v>796</v>
      </c>
      <c r="B3128" s="6" t="s">
        <v>795</v>
      </c>
      <c r="C3128" s="6" t="s">
        <v>31</v>
      </c>
      <c r="E3128" s="6" t="s">
        <v>794</v>
      </c>
      <c r="F3128" s="6" t="s">
        <v>793</v>
      </c>
      <c r="G3128" s="6" t="s">
        <v>16</v>
      </c>
      <c r="H3128" s="6" t="s">
        <v>28</v>
      </c>
      <c r="I3128" s="6" t="s">
        <v>60</v>
      </c>
      <c r="J3128" s="6" t="s">
        <v>13</v>
      </c>
      <c r="K3128" s="7">
        <v>27.734241900000001</v>
      </c>
      <c r="L3128" s="7">
        <v>-97.752499920000005</v>
      </c>
      <c r="M3128" s="6" t="s">
        <v>792</v>
      </c>
      <c r="N3128" s="6" t="s">
        <v>11</v>
      </c>
      <c r="O3128" s="6" t="s">
        <v>10</v>
      </c>
    </row>
    <row r="3129" spans="1:15" x14ac:dyDescent="0.25">
      <c r="A3129" s="6" t="s">
        <v>7501</v>
      </c>
      <c r="B3129" s="6" t="s">
        <v>7500</v>
      </c>
      <c r="C3129" s="6" t="s">
        <v>31</v>
      </c>
      <c r="E3129" s="6" t="s">
        <v>7499</v>
      </c>
      <c r="F3129" s="6" t="s">
        <v>7498</v>
      </c>
      <c r="G3129" s="6" t="s">
        <v>16</v>
      </c>
      <c r="H3129" s="6" t="s">
        <v>15</v>
      </c>
      <c r="I3129" s="6" t="s">
        <v>60</v>
      </c>
      <c r="J3129" s="6" t="s">
        <v>104</v>
      </c>
      <c r="K3129" s="7">
        <v>32.691004999999997</v>
      </c>
      <c r="L3129" s="7">
        <v>-96.362706000000003</v>
      </c>
      <c r="M3129" s="6" t="s">
        <v>193</v>
      </c>
      <c r="N3129" s="6" t="s">
        <v>102</v>
      </c>
      <c r="O3129" s="6" t="s">
        <v>42</v>
      </c>
    </row>
    <row r="3130" spans="1:15" x14ac:dyDescent="0.25">
      <c r="A3130" s="6" t="s">
        <v>10834</v>
      </c>
      <c r="B3130" s="6" t="s">
        <v>10833</v>
      </c>
      <c r="C3130" s="6" t="s">
        <v>31</v>
      </c>
      <c r="E3130" s="6" t="s">
        <v>10832</v>
      </c>
      <c r="F3130" s="6" t="s">
        <v>2072</v>
      </c>
      <c r="G3130" s="6" t="s">
        <v>16</v>
      </c>
      <c r="H3130" s="6" t="s">
        <v>28</v>
      </c>
      <c r="I3130" s="6" t="s">
        <v>1200</v>
      </c>
      <c r="J3130" s="6" t="s">
        <v>215</v>
      </c>
      <c r="K3130" s="7">
        <v>29.469401999999999</v>
      </c>
      <c r="L3130" s="7">
        <v>-94.969551999999993</v>
      </c>
      <c r="M3130" s="6" t="s">
        <v>3066</v>
      </c>
      <c r="N3130" s="6" t="s">
        <v>160</v>
      </c>
      <c r="O3130" s="6" t="s">
        <v>23</v>
      </c>
    </row>
    <row r="3131" spans="1:15" x14ac:dyDescent="0.25">
      <c r="A3131" s="6" t="s">
        <v>10811</v>
      </c>
      <c r="B3131" s="6" t="s">
        <v>10810</v>
      </c>
      <c r="C3131" s="6" t="s">
        <v>31</v>
      </c>
      <c r="E3131" s="6" t="s">
        <v>10809</v>
      </c>
      <c r="F3131" s="6" t="s">
        <v>4647</v>
      </c>
      <c r="G3131" s="6" t="s">
        <v>16</v>
      </c>
      <c r="H3131" s="6" t="s">
        <v>28</v>
      </c>
      <c r="I3131" s="6" t="s">
        <v>1200</v>
      </c>
      <c r="J3131" s="6" t="s">
        <v>312</v>
      </c>
      <c r="K3131" s="7">
        <v>32.535221999999997</v>
      </c>
      <c r="L3131" s="7">
        <v>-97.627082000000001</v>
      </c>
      <c r="M3131" s="6" t="s">
        <v>466</v>
      </c>
      <c r="N3131" s="6" t="s">
        <v>23</v>
      </c>
      <c r="O3131" s="6" t="s">
        <v>42</v>
      </c>
    </row>
    <row r="3132" spans="1:15" x14ac:dyDescent="0.25">
      <c r="A3132" s="6" t="s">
        <v>5612</v>
      </c>
      <c r="B3132" s="6" t="s">
        <v>5611</v>
      </c>
      <c r="C3132" s="6" t="s">
        <v>31</v>
      </c>
      <c r="E3132" s="6" t="s">
        <v>5610</v>
      </c>
      <c r="F3132" s="6" t="s">
        <v>1358</v>
      </c>
      <c r="G3132" s="6" t="s">
        <v>16</v>
      </c>
      <c r="H3132" s="6" t="s">
        <v>15</v>
      </c>
      <c r="I3132" s="6" t="s">
        <v>36</v>
      </c>
      <c r="J3132" s="6" t="s">
        <v>35</v>
      </c>
      <c r="K3132" s="7">
        <v>29.94705596</v>
      </c>
      <c r="L3132" s="7">
        <v>-95.221639460000006</v>
      </c>
      <c r="M3132" s="6" t="s">
        <v>198</v>
      </c>
      <c r="N3132" s="6" t="s">
        <v>24</v>
      </c>
      <c r="O3132" s="6" t="s">
        <v>23</v>
      </c>
    </row>
    <row r="3133" spans="1:15" x14ac:dyDescent="0.25">
      <c r="A3133" s="6" t="s">
        <v>3316</v>
      </c>
      <c r="B3133" s="6" t="s">
        <v>3315</v>
      </c>
      <c r="C3133" s="6" t="s">
        <v>31</v>
      </c>
      <c r="E3133" s="6" t="s">
        <v>3314</v>
      </c>
      <c r="F3133" s="6" t="s">
        <v>3313</v>
      </c>
      <c r="G3133" s="6" t="s">
        <v>16</v>
      </c>
      <c r="H3133" s="6" t="s">
        <v>28</v>
      </c>
      <c r="I3133" s="6" t="s">
        <v>60</v>
      </c>
      <c r="J3133" s="6" t="s">
        <v>26</v>
      </c>
      <c r="K3133" s="7">
        <v>30.267045979999999</v>
      </c>
      <c r="L3133" s="7">
        <v>-95.548361790000001</v>
      </c>
      <c r="M3133" s="6" t="s">
        <v>25</v>
      </c>
      <c r="N3133" s="6" t="s">
        <v>24</v>
      </c>
      <c r="O3133" s="6" t="s">
        <v>23</v>
      </c>
    </row>
    <row r="3134" spans="1:15" x14ac:dyDescent="0.25">
      <c r="A3134" s="6" t="s">
        <v>88</v>
      </c>
      <c r="B3134" s="6" t="s">
        <v>87</v>
      </c>
      <c r="C3134" s="6" t="s">
        <v>31</v>
      </c>
      <c r="E3134" s="6" t="s">
        <v>86</v>
      </c>
      <c r="F3134" s="6" t="s">
        <v>85</v>
      </c>
      <c r="G3134" s="6" t="s">
        <v>16</v>
      </c>
      <c r="H3134" s="6" t="s">
        <v>28</v>
      </c>
      <c r="I3134" s="6" t="s">
        <v>73</v>
      </c>
      <c r="J3134" s="6" t="s">
        <v>84</v>
      </c>
      <c r="K3134" s="7">
        <v>28.437325000000001</v>
      </c>
      <c r="L3134" s="7">
        <v>-96.730089000000007</v>
      </c>
      <c r="M3134" s="6" t="s">
        <v>83</v>
      </c>
      <c r="N3134" s="6" t="s">
        <v>82</v>
      </c>
      <c r="O3134" s="6" t="s">
        <v>10</v>
      </c>
    </row>
    <row r="3135" spans="1:15" x14ac:dyDescent="0.25">
      <c r="A3135" s="6" t="s">
        <v>8003</v>
      </c>
      <c r="B3135" s="6" t="s">
        <v>8002</v>
      </c>
      <c r="C3135" s="6" t="s">
        <v>31</v>
      </c>
      <c r="E3135" s="6" t="s">
        <v>8001</v>
      </c>
      <c r="F3135" s="6" t="s">
        <v>8000</v>
      </c>
      <c r="G3135" s="6" t="s">
        <v>16</v>
      </c>
      <c r="H3135" s="6" t="s">
        <v>28</v>
      </c>
      <c r="I3135" s="6" t="s">
        <v>1200</v>
      </c>
      <c r="J3135" s="6" t="s">
        <v>1209</v>
      </c>
      <c r="K3135" s="7">
        <v>31.900137000000001</v>
      </c>
      <c r="L3135" s="7">
        <v>-97.410292999999996</v>
      </c>
      <c r="M3135" s="6" t="s">
        <v>1450</v>
      </c>
      <c r="N3135" s="6" t="s">
        <v>23</v>
      </c>
      <c r="O3135" s="6" t="s">
        <v>120</v>
      </c>
    </row>
    <row r="3136" spans="1:15" x14ac:dyDescent="0.25">
      <c r="A3136" s="6" t="s">
        <v>5696</v>
      </c>
      <c r="B3136" s="6" t="s">
        <v>5695</v>
      </c>
      <c r="C3136" s="6" t="s">
        <v>31</v>
      </c>
      <c r="E3136" s="6" t="s">
        <v>5694</v>
      </c>
      <c r="F3136" s="6" t="s">
        <v>5693</v>
      </c>
      <c r="G3136" s="6" t="s">
        <v>16</v>
      </c>
      <c r="H3136" s="6" t="s">
        <v>15</v>
      </c>
      <c r="I3136" s="6" t="s">
        <v>46</v>
      </c>
      <c r="J3136" s="6" t="s">
        <v>239</v>
      </c>
      <c r="K3136" s="7">
        <v>33.311770000000003</v>
      </c>
      <c r="L3136" s="7">
        <v>-96.871745000000004</v>
      </c>
      <c r="M3136" s="6" t="s">
        <v>167</v>
      </c>
      <c r="N3136" s="6" t="s">
        <v>102</v>
      </c>
      <c r="O3136" s="6" t="s">
        <v>42</v>
      </c>
    </row>
    <row r="3137" spans="1:15" x14ac:dyDescent="0.25">
      <c r="A3137" s="6" t="s">
        <v>5707</v>
      </c>
      <c r="B3137" s="6" t="s">
        <v>5706</v>
      </c>
      <c r="C3137" s="6" t="s">
        <v>19</v>
      </c>
      <c r="E3137" s="6" t="s">
        <v>5705</v>
      </c>
      <c r="F3137" s="6" t="s">
        <v>5704</v>
      </c>
      <c r="G3137" s="6" t="s">
        <v>16</v>
      </c>
      <c r="H3137" s="6" t="s">
        <v>15</v>
      </c>
      <c r="I3137" s="6" t="s">
        <v>14</v>
      </c>
      <c r="J3137" s="6" t="s">
        <v>853</v>
      </c>
      <c r="K3137" s="7">
        <v>29.714977390000001</v>
      </c>
      <c r="L3137" s="7">
        <v>-94.932258829999995</v>
      </c>
      <c r="M3137" s="6" t="s">
        <v>1445</v>
      </c>
      <c r="N3137" s="6" t="s">
        <v>120</v>
      </c>
      <c r="O3137" s="6" t="s">
        <v>23</v>
      </c>
    </row>
    <row r="3138" spans="1:15" x14ac:dyDescent="0.25">
      <c r="A3138" s="6" t="s">
        <v>10815</v>
      </c>
      <c r="B3138" s="6" t="s">
        <v>10814</v>
      </c>
      <c r="C3138" s="6" t="s">
        <v>31</v>
      </c>
      <c r="E3138" s="6" t="s">
        <v>10813</v>
      </c>
      <c r="F3138" s="6" t="s">
        <v>10812</v>
      </c>
      <c r="G3138" s="6" t="s">
        <v>16</v>
      </c>
      <c r="H3138" s="6" t="s">
        <v>28</v>
      </c>
      <c r="I3138" s="6" t="s">
        <v>1200</v>
      </c>
      <c r="J3138" s="6" t="s">
        <v>35</v>
      </c>
      <c r="K3138" s="7">
        <v>29.953862999999998</v>
      </c>
      <c r="L3138" s="7">
        <v>-95.678061</v>
      </c>
      <c r="M3138" s="6" t="s">
        <v>279</v>
      </c>
      <c r="N3138" s="6" t="s">
        <v>24</v>
      </c>
      <c r="O3138" s="6" t="s">
        <v>23</v>
      </c>
    </row>
    <row r="3139" spans="1:15" x14ac:dyDescent="0.25">
      <c r="A3139" s="6" t="s">
        <v>3966</v>
      </c>
      <c r="B3139" s="6" t="s">
        <v>3965</v>
      </c>
      <c r="C3139" s="6" t="s">
        <v>31</v>
      </c>
      <c r="E3139" s="6" t="s">
        <v>3964</v>
      </c>
      <c r="F3139" s="6" t="s">
        <v>3152</v>
      </c>
      <c r="G3139" s="6" t="s">
        <v>16</v>
      </c>
      <c r="H3139" s="6" t="s">
        <v>28</v>
      </c>
      <c r="I3139" s="6" t="s">
        <v>73</v>
      </c>
      <c r="J3139" s="6" t="s">
        <v>461</v>
      </c>
      <c r="K3139" s="7">
        <v>32.844087999999999</v>
      </c>
      <c r="L3139" s="7">
        <v>-95.981004999999996</v>
      </c>
      <c r="M3139" s="6" t="s">
        <v>109</v>
      </c>
      <c r="N3139" s="6" t="s">
        <v>65</v>
      </c>
      <c r="O3139" s="6" t="s">
        <v>42</v>
      </c>
    </row>
    <row r="3140" spans="1:15" x14ac:dyDescent="0.25">
      <c r="A3140" s="6" t="s">
        <v>2153</v>
      </c>
      <c r="B3140" s="6" t="s">
        <v>2152</v>
      </c>
      <c r="C3140" s="6" t="s">
        <v>31</v>
      </c>
      <c r="E3140" s="6" t="s">
        <v>2151</v>
      </c>
      <c r="F3140" s="6" t="s">
        <v>2150</v>
      </c>
      <c r="G3140" s="6" t="s">
        <v>16</v>
      </c>
      <c r="H3140" s="6" t="s">
        <v>28</v>
      </c>
      <c r="I3140" s="6" t="s">
        <v>73</v>
      </c>
      <c r="J3140" s="6" t="s">
        <v>2137</v>
      </c>
      <c r="K3140" s="7">
        <v>29.867073999999999</v>
      </c>
      <c r="L3140" s="7">
        <v>-97.797560000000004</v>
      </c>
      <c r="M3140" s="6" t="s">
        <v>2149</v>
      </c>
      <c r="N3140" s="6" t="s">
        <v>559</v>
      </c>
      <c r="O3140" s="6" t="s">
        <v>160</v>
      </c>
    </row>
    <row r="3141" spans="1:15" x14ac:dyDescent="0.25">
      <c r="A3141" s="6" t="s">
        <v>7660</v>
      </c>
      <c r="B3141" s="6" t="s">
        <v>7659</v>
      </c>
      <c r="C3141" s="6" t="s">
        <v>31</v>
      </c>
      <c r="E3141" s="6" t="s">
        <v>7658</v>
      </c>
      <c r="F3141" s="6" t="s">
        <v>457</v>
      </c>
      <c r="G3141" s="6" t="s">
        <v>16</v>
      </c>
      <c r="H3141" s="6" t="s">
        <v>28</v>
      </c>
      <c r="I3141" s="6" t="s">
        <v>1200</v>
      </c>
      <c r="J3141" s="6" t="s">
        <v>456</v>
      </c>
      <c r="K3141" s="7">
        <v>30.170349000000002</v>
      </c>
      <c r="L3141" s="7">
        <v>-97.479495</v>
      </c>
      <c r="M3141" s="6" t="s">
        <v>408</v>
      </c>
      <c r="N3141" s="6" t="s">
        <v>10</v>
      </c>
      <c r="O3141" s="6" t="s">
        <v>160</v>
      </c>
    </row>
    <row r="3142" spans="1:15" x14ac:dyDescent="0.25">
      <c r="A3142" s="6" t="s">
        <v>5586</v>
      </c>
      <c r="B3142" s="6" t="s">
        <v>5585</v>
      </c>
      <c r="C3142" s="6" t="s">
        <v>31</v>
      </c>
      <c r="E3142" s="6" t="s">
        <v>5584</v>
      </c>
      <c r="F3142" s="6" t="s">
        <v>5388</v>
      </c>
      <c r="G3142" s="6" t="s">
        <v>16</v>
      </c>
      <c r="H3142" s="6" t="s">
        <v>15</v>
      </c>
      <c r="I3142" s="6" t="s">
        <v>14</v>
      </c>
      <c r="J3142" s="6" t="s">
        <v>873</v>
      </c>
      <c r="K3142" s="7">
        <v>29.44102822</v>
      </c>
      <c r="L3142" s="7">
        <v>-98.249944420000006</v>
      </c>
      <c r="M3142" s="6" t="s">
        <v>3582</v>
      </c>
      <c r="N3142" s="6" t="s">
        <v>232</v>
      </c>
      <c r="O3142" s="6" t="s">
        <v>231</v>
      </c>
    </row>
    <row r="3143" spans="1:15" x14ac:dyDescent="0.25">
      <c r="A3143" s="6" t="s">
        <v>5703</v>
      </c>
      <c r="B3143" s="6" t="s">
        <v>5702</v>
      </c>
      <c r="C3143" s="6" t="s">
        <v>31</v>
      </c>
      <c r="E3143" s="6" t="s">
        <v>5701</v>
      </c>
      <c r="F3143" s="6" t="s">
        <v>1104</v>
      </c>
      <c r="G3143" s="6" t="s">
        <v>16</v>
      </c>
      <c r="H3143" s="6" t="s">
        <v>15</v>
      </c>
      <c r="I3143" s="6" t="s">
        <v>46</v>
      </c>
      <c r="J3143" s="6" t="s">
        <v>2101</v>
      </c>
      <c r="K3143" s="7">
        <v>33.410063999999998</v>
      </c>
      <c r="L3143" s="7">
        <v>-96.787023000000005</v>
      </c>
      <c r="M3143" s="6" t="s">
        <v>167</v>
      </c>
      <c r="N3143" s="6" t="s">
        <v>102</v>
      </c>
      <c r="O3143" s="6" t="s">
        <v>42</v>
      </c>
    </row>
    <row r="3144" spans="1:15" x14ac:dyDescent="0.25">
      <c r="A3144" s="6" t="s">
        <v>5597</v>
      </c>
      <c r="B3144" s="6" t="s">
        <v>5594</v>
      </c>
      <c r="C3144" s="6" t="s">
        <v>557</v>
      </c>
      <c r="E3144" s="6" t="s">
        <v>5592</v>
      </c>
      <c r="F3144" s="6" t="s">
        <v>5591</v>
      </c>
      <c r="G3144" s="6" t="s">
        <v>16</v>
      </c>
      <c r="H3144" s="6" t="s">
        <v>430</v>
      </c>
      <c r="I3144" s="6" t="s">
        <v>46</v>
      </c>
      <c r="J3144" s="6" t="s">
        <v>385</v>
      </c>
      <c r="K3144" s="7">
        <v>29.979140000000001</v>
      </c>
      <c r="L3144" s="7">
        <v>-93.950035999999997</v>
      </c>
      <c r="M3144" s="6" t="s">
        <v>418</v>
      </c>
      <c r="N3144" s="6" t="s">
        <v>383</v>
      </c>
      <c r="O3144" s="6" t="s">
        <v>24</v>
      </c>
    </row>
    <row r="3145" spans="1:15" x14ac:dyDescent="0.25">
      <c r="A3145" s="6" t="s">
        <v>5596</v>
      </c>
      <c r="B3145" s="6" t="s">
        <v>5594</v>
      </c>
      <c r="C3145" s="6" t="s">
        <v>1092</v>
      </c>
      <c r="E3145" s="6" t="s">
        <v>5592</v>
      </c>
      <c r="F3145" s="6" t="s">
        <v>5591</v>
      </c>
      <c r="G3145" s="6" t="s">
        <v>16</v>
      </c>
      <c r="H3145" s="6" t="s">
        <v>430</v>
      </c>
      <c r="I3145" s="6" t="s">
        <v>46</v>
      </c>
      <c r="J3145" s="6" t="s">
        <v>385</v>
      </c>
      <c r="K3145" s="7">
        <v>29.975263999999999</v>
      </c>
      <c r="L3145" s="7">
        <v>-93.950547999999998</v>
      </c>
      <c r="M3145" s="6" t="s">
        <v>418</v>
      </c>
      <c r="N3145" s="6" t="s">
        <v>383</v>
      </c>
      <c r="O3145" s="6" t="s">
        <v>24</v>
      </c>
    </row>
    <row r="3146" spans="1:15" x14ac:dyDescent="0.25">
      <c r="A3146" s="6" t="s">
        <v>5595</v>
      </c>
      <c r="B3146" s="6" t="s">
        <v>5594</v>
      </c>
      <c r="C3146" s="6" t="s">
        <v>5593</v>
      </c>
      <c r="E3146" s="6" t="s">
        <v>5592</v>
      </c>
      <c r="F3146" s="6" t="s">
        <v>5591</v>
      </c>
      <c r="G3146" s="6" t="s">
        <v>16</v>
      </c>
      <c r="H3146" s="6" t="s">
        <v>430</v>
      </c>
      <c r="I3146" s="6" t="s">
        <v>46</v>
      </c>
      <c r="J3146" s="6" t="s">
        <v>385</v>
      </c>
      <c r="K3146" s="7">
        <v>29.975045430000002</v>
      </c>
      <c r="L3146" s="7">
        <v>-93.945132009999995</v>
      </c>
      <c r="M3146" s="6" t="s">
        <v>429</v>
      </c>
      <c r="N3146" s="6" t="s">
        <v>52</v>
      </c>
      <c r="O3146" s="6" t="s">
        <v>24</v>
      </c>
    </row>
    <row r="3147" spans="1:15" x14ac:dyDescent="0.25">
      <c r="A3147" s="6" t="s">
        <v>5590</v>
      </c>
      <c r="B3147" s="6" t="s">
        <v>5589</v>
      </c>
      <c r="C3147" s="6" t="s">
        <v>31</v>
      </c>
      <c r="E3147" s="6" t="s">
        <v>5588</v>
      </c>
      <c r="F3147" s="6" t="s">
        <v>5587</v>
      </c>
      <c r="G3147" s="6" t="s">
        <v>16</v>
      </c>
      <c r="H3147" s="6" t="s">
        <v>28</v>
      </c>
      <c r="I3147" s="6" t="s">
        <v>60</v>
      </c>
      <c r="J3147" s="6" t="s">
        <v>576</v>
      </c>
      <c r="K3147" s="7">
        <v>30.782890999999999</v>
      </c>
      <c r="L3147" s="7">
        <v>-95.947519</v>
      </c>
      <c r="M3147" s="6" t="s">
        <v>317</v>
      </c>
      <c r="N3147" s="6" t="s">
        <v>102</v>
      </c>
      <c r="O3147" s="6" t="s">
        <v>120</v>
      </c>
    </row>
    <row r="3148" spans="1:15" x14ac:dyDescent="0.25">
      <c r="A3148" s="6" t="s">
        <v>5620</v>
      </c>
      <c r="B3148" s="6" t="s">
        <v>5619</v>
      </c>
      <c r="C3148" s="6" t="s">
        <v>31</v>
      </c>
      <c r="E3148" s="6" t="s">
        <v>5618</v>
      </c>
      <c r="F3148" s="6" t="s">
        <v>5617</v>
      </c>
      <c r="G3148" s="6" t="s">
        <v>16</v>
      </c>
      <c r="H3148" s="6" t="s">
        <v>28</v>
      </c>
      <c r="I3148" s="6" t="s">
        <v>60</v>
      </c>
      <c r="J3148" s="6" t="s">
        <v>151</v>
      </c>
      <c r="K3148" s="7">
        <v>33.113585</v>
      </c>
      <c r="L3148" s="7">
        <v>-97.594958000000005</v>
      </c>
      <c r="M3148" s="6" t="s">
        <v>150</v>
      </c>
      <c r="N3148" s="6" t="s">
        <v>102</v>
      </c>
      <c r="O3148" s="6" t="s">
        <v>42</v>
      </c>
    </row>
    <row r="3149" spans="1:15" x14ac:dyDescent="0.25">
      <c r="A3149" s="6" t="s">
        <v>972</v>
      </c>
      <c r="B3149" s="6" t="s">
        <v>971</v>
      </c>
      <c r="C3149" s="6" t="s">
        <v>31</v>
      </c>
      <c r="E3149" s="6" t="s">
        <v>970</v>
      </c>
      <c r="F3149" s="6" t="s">
        <v>969</v>
      </c>
      <c r="G3149" s="6" t="s">
        <v>16</v>
      </c>
      <c r="H3149" s="6" t="s">
        <v>28</v>
      </c>
      <c r="I3149" s="6" t="s">
        <v>14</v>
      </c>
      <c r="J3149" s="6" t="s">
        <v>35</v>
      </c>
      <c r="K3149" s="7">
        <v>29.837089349999999</v>
      </c>
      <c r="L3149" s="7">
        <v>-95.135318240000004</v>
      </c>
      <c r="M3149" s="6" t="s">
        <v>716</v>
      </c>
      <c r="N3149" s="6" t="s">
        <v>24</v>
      </c>
      <c r="O3149" s="6" t="s">
        <v>23</v>
      </c>
    </row>
    <row r="3150" spans="1:15" x14ac:dyDescent="0.25">
      <c r="A3150" s="6" t="s">
        <v>4991</v>
      </c>
      <c r="B3150" s="6" t="s">
        <v>4990</v>
      </c>
      <c r="C3150" s="6" t="s">
        <v>31</v>
      </c>
      <c r="E3150" s="6" t="s">
        <v>4989</v>
      </c>
      <c r="F3150" s="6" t="s">
        <v>4988</v>
      </c>
      <c r="G3150" s="6" t="s">
        <v>16</v>
      </c>
      <c r="H3150" s="6" t="s">
        <v>15</v>
      </c>
      <c r="I3150" s="6" t="s">
        <v>14</v>
      </c>
      <c r="J3150" s="6" t="s">
        <v>132</v>
      </c>
      <c r="K3150" s="7">
        <v>29.545491630000001</v>
      </c>
      <c r="L3150" s="7">
        <v>-95.718290069999995</v>
      </c>
      <c r="M3150" s="6" t="s">
        <v>355</v>
      </c>
      <c r="N3150" s="6" t="s">
        <v>23</v>
      </c>
      <c r="O3150" s="6" t="s">
        <v>23</v>
      </c>
    </row>
    <row r="3151" spans="1:15" x14ac:dyDescent="0.25">
      <c r="A3151" s="6" t="s">
        <v>4923</v>
      </c>
      <c r="B3151" s="6" t="s">
        <v>4922</v>
      </c>
      <c r="C3151" s="6" t="s">
        <v>31</v>
      </c>
      <c r="E3151" s="6" t="s">
        <v>4921</v>
      </c>
      <c r="F3151" s="6" t="s">
        <v>410</v>
      </c>
      <c r="G3151" s="6" t="s">
        <v>16</v>
      </c>
      <c r="H3151" s="6" t="s">
        <v>15</v>
      </c>
      <c r="I3151" s="6" t="s">
        <v>14</v>
      </c>
      <c r="J3151" s="6" t="s">
        <v>409</v>
      </c>
      <c r="K3151" s="7">
        <v>30.267012510000001</v>
      </c>
      <c r="L3151" s="7">
        <v>-97.55431858</v>
      </c>
      <c r="M3151" s="6" t="s">
        <v>408</v>
      </c>
      <c r="N3151" s="6" t="s">
        <v>10</v>
      </c>
      <c r="O3151" s="6" t="s">
        <v>160</v>
      </c>
    </row>
    <row r="3152" spans="1:15" x14ac:dyDescent="0.25">
      <c r="A3152" s="6" t="s">
        <v>4920</v>
      </c>
      <c r="B3152" s="6" t="s">
        <v>4919</v>
      </c>
      <c r="C3152" s="6" t="s">
        <v>31</v>
      </c>
      <c r="E3152" s="6" t="s">
        <v>4918</v>
      </c>
      <c r="F3152" s="6" t="s">
        <v>4917</v>
      </c>
      <c r="G3152" s="6" t="s">
        <v>16</v>
      </c>
      <c r="H3152" s="6" t="s">
        <v>28</v>
      </c>
      <c r="I3152" s="6" t="s">
        <v>73</v>
      </c>
      <c r="J3152" s="6" t="s">
        <v>3523</v>
      </c>
      <c r="K3152" s="7">
        <v>29.564041</v>
      </c>
      <c r="L3152" s="7">
        <v>-96.502042000000003</v>
      </c>
      <c r="M3152" s="6" t="s">
        <v>295</v>
      </c>
      <c r="N3152" s="6" t="s">
        <v>10</v>
      </c>
      <c r="O3152" s="6" t="s">
        <v>23</v>
      </c>
    </row>
    <row r="3153" spans="1:15" x14ac:dyDescent="0.25">
      <c r="A3153" s="6" t="s">
        <v>4912</v>
      </c>
      <c r="B3153" s="6" t="s">
        <v>4911</v>
      </c>
      <c r="C3153" s="6" t="s">
        <v>31</v>
      </c>
      <c r="E3153" s="6" t="s">
        <v>4910</v>
      </c>
      <c r="F3153" s="6" t="s">
        <v>4909</v>
      </c>
      <c r="G3153" s="6" t="s">
        <v>16</v>
      </c>
      <c r="H3153" s="6" t="s">
        <v>28</v>
      </c>
      <c r="I3153" s="6" t="s">
        <v>27</v>
      </c>
      <c r="J3153" s="6" t="s">
        <v>1853</v>
      </c>
      <c r="K3153" s="7">
        <v>28.899191999999999</v>
      </c>
      <c r="L3153" s="7">
        <v>-97.908508999999995</v>
      </c>
      <c r="M3153" s="6" t="s">
        <v>4473</v>
      </c>
      <c r="N3153" s="6" t="s">
        <v>232</v>
      </c>
      <c r="O3153" s="6" t="s">
        <v>231</v>
      </c>
    </row>
    <row r="3154" spans="1:15" x14ac:dyDescent="0.25">
      <c r="A3154" s="6" t="s">
        <v>3970</v>
      </c>
      <c r="B3154" s="6" t="s">
        <v>3969</v>
      </c>
      <c r="C3154" s="6" t="s">
        <v>31</v>
      </c>
      <c r="E3154" s="6" t="s">
        <v>3968</v>
      </c>
      <c r="F3154" s="6" t="s">
        <v>3967</v>
      </c>
      <c r="G3154" s="6" t="s">
        <v>16</v>
      </c>
      <c r="H3154" s="6" t="s">
        <v>28</v>
      </c>
      <c r="I3154" s="6" t="s">
        <v>27</v>
      </c>
      <c r="J3154" s="6" t="s">
        <v>424</v>
      </c>
      <c r="K3154" s="7">
        <v>32.90544834</v>
      </c>
      <c r="L3154" s="7">
        <v>-95.603776949999997</v>
      </c>
      <c r="M3154" s="6" t="s">
        <v>956</v>
      </c>
      <c r="N3154" s="6" t="s">
        <v>65</v>
      </c>
      <c r="O3154" s="6" t="s">
        <v>65</v>
      </c>
    </row>
    <row r="3155" spans="1:15" x14ac:dyDescent="0.25">
      <c r="A3155" s="6" t="s">
        <v>986</v>
      </c>
      <c r="B3155" s="6" t="s">
        <v>985</v>
      </c>
      <c r="C3155" s="6" t="s">
        <v>31</v>
      </c>
      <c r="E3155" s="6" t="s">
        <v>984</v>
      </c>
      <c r="F3155" s="6" t="s">
        <v>983</v>
      </c>
      <c r="G3155" s="6" t="s">
        <v>16</v>
      </c>
      <c r="H3155" s="6" t="s">
        <v>28</v>
      </c>
      <c r="I3155" s="6" t="s">
        <v>27</v>
      </c>
      <c r="J3155" s="6" t="s">
        <v>982</v>
      </c>
      <c r="K3155" s="7">
        <v>31.909407999999999</v>
      </c>
      <c r="L3155" s="7">
        <v>-96.390272999999993</v>
      </c>
      <c r="M3155" s="6" t="s">
        <v>981</v>
      </c>
      <c r="N3155" s="6" t="s">
        <v>102</v>
      </c>
      <c r="O3155" s="6" t="s">
        <v>42</v>
      </c>
    </row>
    <row r="3156" spans="1:15" x14ac:dyDescent="0.25">
      <c r="A3156" s="6" t="s">
        <v>999</v>
      </c>
      <c r="B3156" s="6" t="s">
        <v>998</v>
      </c>
      <c r="C3156" s="6" t="s">
        <v>31</v>
      </c>
      <c r="E3156" s="6" t="s">
        <v>997</v>
      </c>
      <c r="F3156" s="6" t="s">
        <v>996</v>
      </c>
      <c r="G3156" s="6" t="s">
        <v>16</v>
      </c>
      <c r="H3156" s="6" t="s">
        <v>28</v>
      </c>
      <c r="I3156" s="6" t="s">
        <v>27</v>
      </c>
      <c r="J3156" s="6" t="s">
        <v>35</v>
      </c>
      <c r="K3156" s="7">
        <v>29.842866000000001</v>
      </c>
      <c r="L3156" s="7">
        <v>-95.135204000000002</v>
      </c>
      <c r="M3156" s="6" t="s">
        <v>716</v>
      </c>
      <c r="N3156" s="6" t="s">
        <v>24</v>
      </c>
      <c r="O3156" s="6" t="s">
        <v>23</v>
      </c>
    </row>
    <row r="3157" spans="1:15" x14ac:dyDescent="0.25">
      <c r="A3157" s="6" t="s">
        <v>976</v>
      </c>
      <c r="B3157" s="6" t="s">
        <v>975</v>
      </c>
      <c r="C3157" s="6" t="s">
        <v>31</v>
      </c>
      <c r="E3157" s="6" t="s">
        <v>974</v>
      </c>
      <c r="F3157" s="6" t="s">
        <v>973</v>
      </c>
      <c r="G3157" s="6" t="s">
        <v>16</v>
      </c>
      <c r="H3157" s="6" t="s">
        <v>15</v>
      </c>
      <c r="I3157" s="6" t="s">
        <v>27</v>
      </c>
      <c r="J3157" s="6" t="s">
        <v>104</v>
      </c>
      <c r="K3157" s="7">
        <v>32.803832939999999</v>
      </c>
      <c r="L3157" s="7">
        <v>-96.378705729999993</v>
      </c>
      <c r="M3157" s="6" t="s">
        <v>193</v>
      </c>
      <c r="N3157" s="6" t="s">
        <v>102</v>
      </c>
      <c r="O3157" s="6" t="s">
        <v>42</v>
      </c>
    </row>
    <row r="3158" spans="1:15" x14ac:dyDescent="0.25">
      <c r="A3158" s="6" t="s">
        <v>4916</v>
      </c>
      <c r="B3158" s="6" t="s">
        <v>4915</v>
      </c>
      <c r="C3158" s="6" t="s">
        <v>31</v>
      </c>
      <c r="E3158" s="6" t="s">
        <v>4914</v>
      </c>
      <c r="F3158" s="6" t="s">
        <v>4913</v>
      </c>
      <c r="G3158" s="6" t="s">
        <v>16</v>
      </c>
      <c r="H3158" s="6" t="s">
        <v>28</v>
      </c>
      <c r="I3158" s="6" t="s">
        <v>73</v>
      </c>
      <c r="J3158" s="6" t="s">
        <v>1336</v>
      </c>
      <c r="K3158" s="7">
        <v>28.423942530000001</v>
      </c>
      <c r="L3158" s="7">
        <v>-98.284164189999998</v>
      </c>
      <c r="M3158" s="6" t="s">
        <v>1884</v>
      </c>
      <c r="N3158" s="6" t="s">
        <v>524</v>
      </c>
      <c r="O3158" s="6" t="s">
        <v>10</v>
      </c>
    </row>
    <row r="3159" spans="1:15" x14ac:dyDescent="0.25">
      <c r="A3159" s="6" t="s">
        <v>735</v>
      </c>
      <c r="B3159" s="6" t="s">
        <v>734</v>
      </c>
      <c r="C3159" s="6" t="s">
        <v>31</v>
      </c>
      <c r="E3159" s="6" t="s">
        <v>733</v>
      </c>
      <c r="F3159" s="6" t="s">
        <v>732</v>
      </c>
      <c r="G3159" s="6" t="s">
        <v>16</v>
      </c>
      <c r="H3159" s="6" t="s">
        <v>28</v>
      </c>
      <c r="I3159" s="6" t="s">
        <v>27</v>
      </c>
      <c r="J3159" s="6" t="s">
        <v>26</v>
      </c>
      <c r="K3159" s="7">
        <v>30.109002</v>
      </c>
      <c r="L3159" s="7">
        <v>-95.414125999999996</v>
      </c>
      <c r="M3159" s="6" t="s">
        <v>731</v>
      </c>
      <c r="N3159" s="6" t="s">
        <v>24</v>
      </c>
      <c r="O3159" s="6" t="s">
        <v>23</v>
      </c>
    </row>
    <row r="3160" spans="1:15" x14ac:dyDescent="0.25">
      <c r="A3160" s="6" t="s">
        <v>3497</v>
      </c>
      <c r="B3160" s="6" t="s">
        <v>3494</v>
      </c>
      <c r="C3160" s="6" t="s">
        <v>31</v>
      </c>
      <c r="E3160" s="6" t="s">
        <v>3493</v>
      </c>
      <c r="F3160" s="6" t="s">
        <v>3492</v>
      </c>
      <c r="G3160" s="6" t="s">
        <v>16</v>
      </c>
      <c r="H3160" s="6" t="s">
        <v>15</v>
      </c>
      <c r="I3160" s="6" t="s">
        <v>46</v>
      </c>
      <c r="J3160" s="6" t="s">
        <v>798</v>
      </c>
      <c r="K3160" s="7">
        <v>31.173397000000001</v>
      </c>
      <c r="L3160" s="7">
        <v>-93.565634000000003</v>
      </c>
      <c r="M3160" s="6" t="s">
        <v>3491</v>
      </c>
      <c r="N3160" s="6" t="s">
        <v>65</v>
      </c>
      <c r="O3160" s="6" t="s">
        <v>24</v>
      </c>
    </row>
    <row r="3161" spans="1:15" x14ac:dyDescent="0.25">
      <c r="A3161" s="6" t="s">
        <v>3496</v>
      </c>
      <c r="B3161" s="6" t="s">
        <v>3494</v>
      </c>
      <c r="C3161" s="6" t="s">
        <v>19</v>
      </c>
      <c r="E3161" s="6" t="s">
        <v>3493</v>
      </c>
      <c r="F3161" s="6" t="s">
        <v>3492</v>
      </c>
      <c r="G3161" s="6" t="s">
        <v>16</v>
      </c>
      <c r="H3161" s="6" t="s">
        <v>15</v>
      </c>
      <c r="I3161" s="6" t="s">
        <v>46</v>
      </c>
      <c r="J3161" s="6" t="s">
        <v>798</v>
      </c>
      <c r="K3161" s="7">
        <v>31.173472</v>
      </c>
      <c r="L3161" s="7">
        <v>-93.565510000000003</v>
      </c>
      <c r="M3161" s="6" t="s">
        <v>3491</v>
      </c>
      <c r="N3161" s="6" t="s">
        <v>65</v>
      </c>
      <c r="O3161" s="6" t="s">
        <v>24</v>
      </c>
    </row>
    <row r="3162" spans="1:15" x14ac:dyDescent="0.25">
      <c r="A3162" s="6" t="s">
        <v>3495</v>
      </c>
      <c r="B3162" s="6" t="s">
        <v>3494</v>
      </c>
      <c r="C3162" s="6" t="s">
        <v>436</v>
      </c>
      <c r="E3162" s="6" t="s">
        <v>3493</v>
      </c>
      <c r="F3162" s="6" t="s">
        <v>3492</v>
      </c>
      <c r="G3162" s="6" t="s">
        <v>16</v>
      </c>
      <c r="H3162" s="6" t="s">
        <v>430</v>
      </c>
      <c r="I3162" s="6" t="s">
        <v>46</v>
      </c>
      <c r="J3162" s="6" t="s">
        <v>798</v>
      </c>
      <c r="K3162" s="7">
        <v>31.173397000000001</v>
      </c>
      <c r="L3162" s="7">
        <v>-93.565634000000003</v>
      </c>
      <c r="M3162" s="6" t="s">
        <v>3491</v>
      </c>
      <c r="N3162" s="6" t="s">
        <v>65</v>
      </c>
      <c r="O3162" s="6" t="s">
        <v>24</v>
      </c>
    </row>
    <row r="3163" spans="1:15" x14ac:dyDescent="0.25">
      <c r="A3163" s="6" t="s">
        <v>730</v>
      </c>
      <c r="B3163" s="6" t="s">
        <v>729</v>
      </c>
      <c r="C3163" s="6" t="s">
        <v>31</v>
      </c>
      <c r="E3163" s="6" t="s">
        <v>728</v>
      </c>
      <c r="F3163" s="6" t="s">
        <v>727</v>
      </c>
      <c r="G3163" s="6" t="s">
        <v>16</v>
      </c>
      <c r="H3163" s="6" t="s">
        <v>28</v>
      </c>
      <c r="I3163" s="6" t="s">
        <v>27</v>
      </c>
      <c r="J3163" s="6" t="s">
        <v>726</v>
      </c>
      <c r="K3163" s="7">
        <v>33.499050339999997</v>
      </c>
      <c r="L3163" s="7">
        <v>-97.289539669999996</v>
      </c>
      <c r="M3163" s="6" t="s">
        <v>725</v>
      </c>
      <c r="N3163" s="6" t="s">
        <v>102</v>
      </c>
      <c r="O3163" s="6" t="s">
        <v>42</v>
      </c>
    </row>
    <row r="3164" spans="1:15" x14ac:dyDescent="0.25">
      <c r="A3164" s="6" t="s">
        <v>1743</v>
      </c>
      <c r="B3164" s="6" t="s">
        <v>1742</v>
      </c>
      <c r="C3164" s="6" t="s">
        <v>31</v>
      </c>
      <c r="E3164" s="6" t="s">
        <v>1741</v>
      </c>
      <c r="F3164" s="6" t="s">
        <v>1740</v>
      </c>
      <c r="G3164" s="6" t="s">
        <v>16</v>
      </c>
      <c r="H3164" s="6" t="s">
        <v>28</v>
      </c>
      <c r="I3164" s="6" t="s">
        <v>27</v>
      </c>
      <c r="J3164" s="6" t="s">
        <v>1032</v>
      </c>
      <c r="K3164" s="7">
        <v>29.451899390000001</v>
      </c>
      <c r="L3164" s="7">
        <v>-97.824113580000002</v>
      </c>
      <c r="M3164" s="6" t="s">
        <v>1739</v>
      </c>
      <c r="N3164" s="6" t="s">
        <v>559</v>
      </c>
      <c r="O3164" s="6" t="s">
        <v>231</v>
      </c>
    </row>
    <row r="3165" spans="1:15" x14ac:dyDescent="0.25">
      <c r="A3165" s="6" t="s">
        <v>1455</v>
      </c>
      <c r="B3165" s="6" t="s">
        <v>1454</v>
      </c>
      <c r="C3165" s="6" t="s">
        <v>31</v>
      </c>
      <c r="E3165" s="6" t="s">
        <v>1453</v>
      </c>
      <c r="F3165" s="6" t="s">
        <v>1452</v>
      </c>
      <c r="G3165" s="6" t="s">
        <v>16</v>
      </c>
      <c r="H3165" s="6" t="s">
        <v>28</v>
      </c>
      <c r="I3165" s="6" t="s">
        <v>60</v>
      </c>
      <c r="J3165" s="6" t="s">
        <v>1451</v>
      </c>
      <c r="K3165" s="7">
        <v>31.991208</v>
      </c>
      <c r="L3165" s="7">
        <v>-97.344874000000004</v>
      </c>
      <c r="M3165" s="6" t="s">
        <v>1450</v>
      </c>
      <c r="N3165" s="6" t="s">
        <v>23</v>
      </c>
      <c r="O3165" s="6" t="s">
        <v>120</v>
      </c>
    </row>
    <row r="3166" spans="1:15" x14ac:dyDescent="0.25">
      <c r="A3166" s="6" t="s">
        <v>3713</v>
      </c>
      <c r="B3166" s="6" t="s">
        <v>3712</v>
      </c>
      <c r="C3166" s="6" t="s">
        <v>31</v>
      </c>
      <c r="E3166" s="6" t="s">
        <v>3711</v>
      </c>
      <c r="F3166" s="6" t="s">
        <v>3710</v>
      </c>
      <c r="G3166" s="6" t="s">
        <v>16</v>
      </c>
      <c r="H3166" s="6" t="s">
        <v>15</v>
      </c>
      <c r="I3166" s="6" t="s">
        <v>46</v>
      </c>
      <c r="J3166" s="6" t="s">
        <v>461</v>
      </c>
      <c r="K3166" s="7">
        <v>33.043333560000001</v>
      </c>
      <c r="L3166" s="7">
        <v>-96.175277379999997</v>
      </c>
      <c r="M3166" s="6" t="s">
        <v>109</v>
      </c>
      <c r="N3166" s="6" t="s">
        <v>65</v>
      </c>
      <c r="O3166" s="6" t="s">
        <v>42</v>
      </c>
    </row>
    <row r="3167" spans="1:15" x14ac:dyDescent="0.25">
      <c r="A3167" s="6" t="s">
        <v>690</v>
      </c>
      <c r="B3167" s="6" t="s">
        <v>689</v>
      </c>
      <c r="C3167" s="6" t="s">
        <v>31</v>
      </c>
      <c r="E3167" s="6" t="s">
        <v>688</v>
      </c>
      <c r="F3167" s="6" t="s">
        <v>687</v>
      </c>
      <c r="G3167" s="6" t="s">
        <v>16</v>
      </c>
      <c r="H3167" s="6" t="s">
        <v>28</v>
      </c>
      <c r="I3167" s="6" t="s">
        <v>60</v>
      </c>
      <c r="J3167" s="6" t="s">
        <v>35</v>
      </c>
      <c r="K3167" s="7">
        <v>29.887588000000001</v>
      </c>
      <c r="L3167" s="7">
        <v>-95.219684000000001</v>
      </c>
      <c r="M3167" s="6" t="s">
        <v>198</v>
      </c>
      <c r="N3167" s="6" t="s">
        <v>24</v>
      </c>
      <c r="O3167" s="6" t="s">
        <v>23</v>
      </c>
    </row>
    <row r="3168" spans="1:15" x14ac:dyDescent="0.25">
      <c r="A3168" s="6" t="s">
        <v>3709</v>
      </c>
      <c r="B3168" s="6" t="s">
        <v>3708</v>
      </c>
      <c r="C3168" s="6" t="s">
        <v>31</v>
      </c>
      <c r="E3168" s="6" t="s">
        <v>3707</v>
      </c>
      <c r="F3168" s="6" t="s">
        <v>3706</v>
      </c>
      <c r="G3168" s="6" t="s">
        <v>16</v>
      </c>
      <c r="H3168" s="6" t="s">
        <v>28</v>
      </c>
      <c r="I3168" s="6" t="s">
        <v>27</v>
      </c>
      <c r="J3168" s="6" t="s">
        <v>480</v>
      </c>
      <c r="K3168" s="7">
        <v>26.228514000000001</v>
      </c>
      <c r="L3168" s="7">
        <v>-98.439442999999997</v>
      </c>
      <c r="M3168" s="6" t="s">
        <v>374</v>
      </c>
      <c r="N3168" s="6" t="s">
        <v>373</v>
      </c>
      <c r="O3168" s="6" t="s">
        <v>22</v>
      </c>
    </row>
    <row r="3169" spans="1:15" x14ac:dyDescent="0.25">
      <c r="A3169" s="6" t="s">
        <v>909</v>
      </c>
      <c r="B3169" s="6" t="s">
        <v>908</v>
      </c>
      <c r="C3169" s="6" t="s">
        <v>31</v>
      </c>
      <c r="D3169" s="6" t="s">
        <v>907</v>
      </c>
      <c r="E3169" s="6" t="s">
        <v>906</v>
      </c>
      <c r="F3169" s="6" t="s">
        <v>905</v>
      </c>
      <c r="G3169" s="6" t="s">
        <v>16</v>
      </c>
      <c r="H3169" s="6" t="s">
        <v>15</v>
      </c>
      <c r="I3169" s="6" t="s">
        <v>14</v>
      </c>
      <c r="J3169" s="6" t="s">
        <v>904</v>
      </c>
      <c r="K3169" s="7">
        <v>32.617995919999998</v>
      </c>
      <c r="L3169" s="7">
        <v>-97.933282140000003</v>
      </c>
      <c r="M3169" s="6" t="s">
        <v>775</v>
      </c>
      <c r="N3169" s="6" t="s">
        <v>23</v>
      </c>
      <c r="O3169" s="6" t="s">
        <v>42</v>
      </c>
    </row>
    <row r="3170" spans="1:15" x14ac:dyDescent="0.25">
      <c r="A3170" s="6" t="s">
        <v>3264</v>
      </c>
      <c r="B3170" s="6" t="s">
        <v>908</v>
      </c>
      <c r="C3170" s="6" t="s">
        <v>3263</v>
      </c>
      <c r="D3170" s="6" t="s">
        <v>619</v>
      </c>
      <c r="E3170" s="6" t="s">
        <v>906</v>
      </c>
      <c r="F3170" s="6" t="s">
        <v>905</v>
      </c>
      <c r="G3170" s="6" t="s">
        <v>16</v>
      </c>
      <c r="H3170" s="6" t="s">
        <v>15</v>
      </c>
      <c r="I3170" s="6" t="s">
        <v>14</v>
      </c>
      <c r="J3170" s="6" t="s">
        <v>904</v>
      </c>
      <c r="K3170" s="7">
        <v>32.616338519999999</v>
      </c>
      <c r="L3170" s="7">
        <v>-97.924425600000006</v>
      </c>
      <c r="M3170" s="6" t="s">
        <v>775</v>
      </c>
      <c r="N3170" s="6" t="s">
        <v>23</v>
      </c>
      <c r="O3170" s="6" t="s">
        <v>42</v>
      </c>
    </row>
    <row r="3171" spans="1:15" x14ac:dyDescent="0.25">
      <c r="A3171" s="6" t="s">
        <v>680</v>
      </c>
      <c r="B3171" s="6" t="s">
        <v>679</v>
      </c>
      <c r="C3171" s="6" t="s">
        <v>31</v>
      </c>
      <c r="E3171" s="6" t="s">
        <v>678</v>
      </c>
      <c r="F3171" s="6" t="s">
        <v>677</v>
      </c>
      <c r="G3171" s="6" t="s">
        <v>16</v>
      </c>
      <c r="H3171" s="6" t="s">
        <v>28</v>
      </c>
      <c r="I3171" s="6" t="s">
        <v>27</v>
      </c>
      <c r="J3171" s="6" t="s">
        <v>456</v>
      </c>
      <c r="K3171" s="7">
        <v>30.043856000000002</v>
      </c>
      <c r="L3171" s="7">
        <v>-97.276646999999997</v>
      </c>
      <c r="M3171" s="6" t="s">
        <v>455</v>
      </c>
      <c r="N3171" s="6" t="s">
        <v>10</v>
      </c>
      <c r="O3171" s="6" t="s">
        <v>160</v>
      </c>
    </row>
    <row r="3172" spans="1:15" x14ac:dyDescent="0.25">
      <c r="A3172" s="6" t="s">
        <v>2124</v>
      </c>
      <c r="B3172" s="6" t="s">
        <v>2123</v>
      </c>
      <c r="C3172" s="6" t="s">
        <v>31</v>
      </c>
      <c r="E3172" s="6" t="s">
        <v>2122</v>
      </c>
      <c r="F3172" s="6" t="s">
        <v>2121</v>
      </c>
      <c r="G3172" s="6" t="s">
        <v>16</v>
      </c>
      <c r="H3172" s="6" t="s">
        <v>15</v>
      </c>
      <c r="I3172" s="6" t="s">
        <v>14</v>
      </c>
      <c r="J3172" s="6" t="s">
        <v>409</v>
      </c>
      <c r="K3172" s="7">
        <v>30.263848209999999</v>
      </c>
      <c r="L3172" s="7">
        <v>-97.74817917</v>
      </c>
      <c r="M3172" s="6" t="s">
        <v>2120</v>
      </c>
      <c r="N3172" s="6" t="s">
        <v>10</v>
      </c>
      <c r="O3172" s="6" t="s">
        <v>160</v>
      </c>
    </row>
    <row r="3173" spans="1:15" x14ac:dyDescent="0.25">
      <c r="A3173" s="6" t="s">
        <v>3695</v>
      </c>
      <c r="B3173" s="6" t="s">
        <v>3694</v>
      </c>
      <c r="C3173" s="6" t="s">
        <v>31</v>
      </c>
      <c r="E3173" s="6" t="s">
        <v>3693</v>
      </c>
      <c r="F3173" s="6" t="s">
        <v>3692</v>
      </c>
      <c r="G3173" s="6" t="s">
        <v>16</v>
      </c>
      <c r="H3173" s="6" t="s">
        <v>28</v>
      </c>
      <c r="I3173" s="6" t="s">
        <v>60</v>
      </c>
      <c r="J3173" s="6" t="s">
        <v>35</v>
      </c>
      <c r="K3173" s="7">
        <v>29.97616</v>
      </c>
      <c r="L3173" s="7">
        <v>-95.385052999999999</v>
      </c>
      <c r="M3173" s="6" t="s">
        <v>198</v>
      </c>
      <c r="N3173" s="6" t="s">
        <v>24</v>
      </c>
      <c r="O3173" s="6" t="s">
        <v>23</v>
      </c>
    </row>
    <row r="3174" spans="1:15" x14ac:dyDescent="0.25">
      <c r="A3174" s="6" t="s">
        <v>12203</v>
      </c>
      <c r="B3174" s="6" t="s">
        <v>12202</v>
      </c>
      <c r="C3174" s="6" t="s">
        <v>31</v>
      </c>
      <c r="E3174" s="6" t="s">
        <v>12201</v>
      </c>
      <c r="F3174" s="6" t="s">
        <v>3946</v>
      </c>
      <c r="G3174" s="6" t="s">
        <v>16</v>
      </c>
      <c r="H3174" s="6" t="s">
        <v>15</v>
      </c>
      <c r="I3174" s="6" t="s">
        <v>14</v>
      </c>
      <c r="J3174" s="6" t="s">
        <v>385</v>
      </c>
      <c r="K3174" s="7">
        <v>29.98056983</v>
      </c>
      <c r="L3174" s="7">
        <v>-93.885578800000005</v>
      </c>
      <c r="M3174" s="6" t="s">
        <v>429</v>
      </c>
      <c r="N3174" s="6" t="s">
        <v>52</v>
      </c>
      <c r="O3174" s="6" t="s">
        <v>24</v>
      </c>
    </row>
    <row r="3175" spans="1:15" x14ac:dyDescent="0.25">
      <c r="A3175" s="6" t="s">
        <v>3490</v>
      </c>
      <c r="B3175" s="6" t="s">
        <v>3488</v>
      </c>
      <c r="C3175" s="6" t="s">
        <v>31</v>
      </c>
      <c r="E3175" s="6" t="s">
        <v>3487</v>
      </c>
      <c r="F3175" s="6" t="s">
        <v>3486</v>
      </c>
      <c r="G3175" s="6" t="s">
        <v>16</v>
      </c>
      <c r="H3175" s="6" t="s">
        <v>430</v>
      </c>
      <c r="I3175" s="6" t="s">
        <v>14</v>
      </c>
      <c r="J3175" s="6" t="s">
        <v>3485</v>
      </c>
      <c r="K3175" s="7">
        <v>32.44344083</v>
      </c>
      <c r="L3175" s="7">
        <v>-103.06406747</v>
      </c>
      <c r="M3175" s="6" t="s">
        <v>604</v>
      </c>
      <c r="N3175" s="6" t="s">
        <v>373</v>
      </c>
      <c r="O3175" s="6" t="s">
        <v>383</v>
      </c>
    </row>
    <row r="3176" spans="1:15" x14ac:dyDescent="0.25">
      <c r="A3176" s="6" t="s">
        <v>3489</v>
      </c>
      <c r="B3176" s="6" t="s">
        <v>3488</v>
      </c>
      <c r="C3176" s="6" t="s">
        <v>19</v>
      </c>
      <c r="E3176" s="6" t="s">
        <v>3487</v>
      </c>
      <c r="F3176" s="6" t="s">
        <v>3486</v>
      </c>
      <c r="G3176" s="6" t="s">
        <v>16</v>
      </c>
      <c r="H3176" s="6" t="s">
        <v>15</v>
      </c>
      <c r="I3176" s="6" t="s">
        <v>14</v>
      </c>
      <c r="J3176" s="6" t="s">
        <v>3485</v>
      </c>
      <c r="K3176" s="7">
        <v>32.446946930000003</v>
      </c>
      <c r="L3176" s="7">
        <v>-103.06411347</v>
      </c>
      <c r="M3176" s="6" t="s">
        <v>604</v>
      </c>
      <c r="N3176" s="6" t="s">
        <v>373</v>
      </c>
      <c r="O3176" s="6" t="s">
        <v>383</v>
      </c>
    </row>
    <row r="3177" spans="1:15" x14ac:dyDescent="0.25">
      <c r="A3177" s="6" t="s">
        <v>8142</v>
      </c>
      <c r="B3177" s="6" t="s">
        <v>8141</v>
      </c>
      <c r="C3177" s="6" t="s">
        <v>31</v>
      </c>
      <c r="E3177" s="6" t="s">
        <v>8140</v>
      </c>
      <c r="F3177" s="6" t="s">
        <v>2072</v>
      </c>
      <c r="G3177" s="6" t="s">
        <v>16</v>
      </c>
      <c r="H3177" s="6" t="s">
        <v>28</v>
      </c>
      <c r="I3177" s="6" t="s">
        <v>60</v>
      </c>
      <c r="J3177" s="6" t="s">
        <v>35</v>
      </c>
      <c r="K3177" s="7">
        <v>30.039722000000001</v>
      </c>
      <c r="L3177" s="7">
        <v>-95.421970000000002</v>
      </c>
      <c r="M3177" s="6" t="s">
        <v>279</v>
      </c>
      <c r="N3177" s="6" t="s">
        <v>24</v>
      </c>
      <c r="O3177" s="6" t="s">
        <v>23</v>
      </c>
    </row>
    <row r="3178" spans="1:15" x14ac:dyDescent="0.25">
      <c r="A3178" s="6" t="s">
        <v>12223</v>
      </c>
      <c r="B3178" s="6" t="s">
        <v>12222</v>
      </c>
      <c r="C3178" s="6" t="s">
        <v>31</v>
      </c>
      <c r="E3178" s="6" t="s">
        <v>12221</v>
      </c>
      <c r="F3178" s="6" t="s">
        <v>12220</v>
      </c>
      <c r="G3178" s="6" t="s">
        <v>16</v>
      </c>
      <c r="H3178" s="6" t="s">
        <v>28</v>
      </c>
      <c r="I3178" s="6" t="s">
        <v>27</v>
      </c>
      <c r="J3178" s="6" t="s">
        <v>951</v>
      </c>
      <c r="K3178" s="7">
        <v>28.012264999999999</v>
      </c>
      <c r="L3178" s="7">
        <v>-97.147471999999993</v>
      </c>
      <c r="M3178" s="6" t="s">
        <v>138</v>
      </c>
      <c r="N3178" s="6" t="s">
        <v>137</v>
      </c>
      <c r="O3178" s="6" t="s">
        <v>10</v>
      </c>
    </row>
    <row r="3179" spans="1:15" x14ac:dyDescent="0.25">
      <c r="A3179" s="6" t="s">
        <v>3475</v>
      </c>
      <c r="B3179" s="6" t="s">
        <v>3474</v>
      </c>
      <c r="C3179" s="6" t="s">
        <v>31</v>
      </c>
      <c r="E3179" s="6" t="s">
        <v>3473</v>
      </c>
      <c r="F3179" s="6" t="s">
        <v>2142</v>
      </c>
      <c r="G3179" s="6" t="s">
        <v>16</v>
      </c>
      <c r="H3179" s="6" t="s">
        <v>15</v>
      </c>
      <c r="I3179" s="6" t="s">
        <v>36</v>
      </c>
      <c r="J3179" s="6" t="s">
        <v>35</v>
      </c>
      <c r="K3179" s="7">
        <v>29.745006440000001</v>
      </c>
      <c r="L3179" s="7">
        <v>-95.168055030000005</v>
      </c>
      <c r="M3179" s="6" t="s">
        <v>34</v>
      </c>
      <c r="N3179" s="6" t="s">
        <v>24</v>
      </c>
      <c r="O3179" s="6" t="s">
        <v>23</v>
      </c>
    </row>
    <row r="3180" spans="1:15" x14ac:dyDescent="0.25">
      <c r="A3180" s="6" t="s">
        <v>12252</v>
      </c>
      <c r="B3180" s="6" t="s">
        <v>12251</v>
      </c>
      <c r="C3180" s="6" t="s">
        <v>31</v>
      </c>
      <c r="E3180" s="6" t="s">
        <v>12250</v>
      </c>
      <c r="F3180" s="6" t="s">
        <v>513</v>
      </c>
      <c r="G3180" s="6" t="s">
        <v>16</v>
      </c>
      <c r="H3180" s="6" t="s">
        <v>28</v>
      </c>
      <c r="I3180" s="6" t="s">
        <v>60</v>
      </c>
      <c r="J3180" s="6" t="s">
        <v>512</v>
      </c>
      <c r="K3180" s="7">
        <v>27.676496</v>
      </c>
      <c r="L3180" s="7">
        <v>-99.625775000000004</v>
      </c>
      <c r="M3180" s="6" t="s">
        <v>511</v>
      </c>
      <c r="N3180" s="6" t="s">
        <v>373</v>
      </c>
      <c r="O3180" s="6" t="s">
        <v>510</v>
      </c>
    </row>
    <row r="3181" spans="1:15" x14ac:dyDescent="0.25">
      <c r="A3181" s="6" t="s">
        <v>8281</v>
      </c>
      <c r="B3181" s="6" t="s">
        <v>8280</v>
      </c>
      <c r="C3181" s="6" t="s">
        <v>31</v>
      </c>
      <c r="E3181" s="6" t="s">
        <v>8279</v>
      </c>
      <c r="F3181" s="6" t="s">
        <v>7140</v>
      </c>
      <c r="G3181" s="6" t="s">
        <v>16</v>
      </c>
      <c r="H3181" s="6" t="s">
        <v>15</v>
      </c>
      <c r="I3181" s="6" t="s">
        <v>36</v>
      </c>
      <c r="J3181" s="6" t="s">
        <v>4169</v>
      </c>
      <c r="K3181" s="7">
        <v>34.176239750000001</v>
      </c>
      <c r="L3181" s="7">
        <v>-99.29910735</v>
      </c>
      <c r="M3181" s="6" t="s">
        <v>4168</v>
      </c>
      <c r="N3181" s="6" t="s">
        <v>43</v>
      </c>
      <c r="O3181" s="6" t="s">
        <v>95</v>
      </c>
    </row>
    <row r="3182" spans="1:15" x14ac:dyDescent="0.25">
      <c r="A3182" s="6" t="s">
        <v>12249</v>
      </c>
      <c r="B3182" s="6" t="s">
        <v>12248</v>
      </c>
      <c r="C3182" s="6" t="s">
        <v>31</v>
      </c>
      <c r="E3182" s="6" t="s">
        <v>12247</v>
      </c>
      <c r="F3182" s="6" t="s">
        <v>12246</v>
      </c>
      <c r="G3182" s="6" t="s">
        <v>16</v>
      </c>
      <c r="H3182" s="6" t="s">
        <v>28</v>
      </c>
      <c r="I3182" s="6" t="s">
        <v>60</v>
      </c>
      <c r="J3182" s="6" t="s">
        <v>35</v>
      </c>
      <c r="K3182" s="7">
        <v>29.603383000000001</v>
      </c>
      <c r="L3182" s="7">
        <v>-95.070779999999999</v>
      </c>
      <c r="M3182" s="6" t="s">
        <v>804</v>
      </c>
      <c r="N3182" s="6" t="s">
        <v>160</v>
      </c>
      <c r="O3182" s="6" t="s">
        <v>23</v>
      </c>
    </row>
    <row r="3183" spans="1:15" x14ac:dyDescent="0.25">
      <c r="A3183" s="6" t="s">
        <v>2504</v>
      </c>
      <c r="B3183" s="6" t="s">
        <v>2503</v>
      </c>
      <c r="C3183" s="6" t="s">
        <v>31</v>
      </c>
      <c r="E3183" s="6" t="s">
        <v>2502</v>
      </c>
      <c r="F3183" s="6" t="s">
        <v>2501</v>
      </c>
      <c r="G3183" s="6" t="s">
        <v>16</v>
      </c>
      <c r="H3183" s="6" t="s">
        <v>15</v>
      </c>
      <c r="I3183" s="6" t="s">
        <v>46</v>
      </c>
      <c r="J3183" s="6" t="s">
        <v>2500</v>
      </c>
      <c r="K3183" s="7">
        <v>29.77666687</v>
      </c>
      <c r="L3183" s="7">
        <v>-98.71119702</v>
      </c>
      <c r="M3183" s="6" t="s">
        <v>273</v>
      </c>
      <c r="N3183" s="6" t="s">
        <v>232</v>
      </c>
      <c r="O3183" s="6" t="s">
        <v>231</v>
      </c>
    </row>
    <row r="3184" spans="1:15" x14ac:dyDescent="0.25">
      <c r="A3184" s="6" t="s">
        <v>12231</v>
      </c>
      <c r="B3184" s="6" t="s">
        <v>12230</v>
      </c>
      <c r="C3184" s="6" t="s">
        <v>31</v>
      </c>
      <c r="E3184" s="6" t="s">
        <v>12229</v>
      </c>
      <c r="F3184" s="6" t="s">
        <v>12228</v>
      </c>
      <c r="G3184" s="6" t="s">
        <v>16</v>
      </c>
      <c r="H3184" s="6" t="s">
        <v>28</v>
      </c>
      <c r="I3184" s="6" t="s">
        <v>60</v>
      </c>
      <c r="J3184" s="6" t="s">
        <v>35</v>
      </c>
      <c r="K3184" s="7">
        <v>29.899122999999999</v>
      </c>
      <c r="L3184" s="7">
        <v>-95.430802</v>
      </c>
      <c r="M3184" s="6" t="s">
        <v>34</v>
      </c>
      <c r="N3184" s="6" t="s">
        <v>24</v>
      </c>
      <c r="O3184" s="6" t="s">
        <v>23</v>
      </c>
    </row>
    <row r="3185" spans="1:15" x14ac:dyDescent="0.25">
      <c r="A3185" s="6" t="s">
        <v>3254</v>
      </c>
      <c r="B3185" s="6" t="s">
        <v>3253</v>
      </c>
      <c r="C3185" s="6" t="s">
        <v>31</v>
      </c>
      <c r="E3185" s="6" t="s">
        <v>3252</v>
      </c>
      <c r="F3185" s="6" t="s">
        <v>3251</v>
      </c>
      <c r="G3185" s="6" t="s">
        <v>16</v>
      </c>
      <c r="H3185" s="6" t="s">
        <v>15</v>
      </c>
      <c r="I3185" s="6" t="s">
        <v>14</v>
      </c>
      <c r="J3185" s="6" t="s">
        <v>3250</v>
      </c>
      <c r="K3185" s="7">
        <v>32.257647630000001</v>
      </c>
      <c r="L3185" s="7">
        <v>-101.43098065</v>
      </c>
      <c r="M3185" s="6" t="s">
        <v>1801</v>
      </c>
      <c r="N3185" s="6" t="s">
        <v>10</v>
      </c>
      <c r="O3185" s="6" t="s">
        <v>383</v>
      </c>
    </row>
    <row r="3186" spans="1:15" x14ac:dyDescent="0.25">
      <c r="A3186" s="6" t="s">
        <v>12211</v>
      </c>
      <c r="B3186" s="6" t="s">
        <v>12210</v>
      </c>
      <c r="C3186" s="6" t="s">
        <v>31</v>
      </c>
      <c r="E3186" s="6" t="s">
        <v>12209</v>
      </c>
      <c r="F3186" s="6" t="s">
        <v>12208</v>
      </c>
      <c r="G3186" s="6" t="s">
        <v>16</v>
      </c>
      <c r="H3186" s="6" t="s">
        <v>430</v>
      </c>
      <c r="I3186" s="6" t="s">
        <v>36</v>
      </c>
      <c r="J3186" s="6" t="s">
        <v>35</v>
      </c>
      <c r="K3186" s="7">
        <v>29.86088633</v>
      </c>
      <c r="L3186" s="7">
        <v>-94.970331439999995</v>
      </c>
      <c r="M3186" s="6" t="s">
        <v>914</v>
      </c>
      <c r="N3186" s="6" t="s">
        <v>120</v>
      </c>
      <c r="O3186" s="6" t="s">
        <v>23</v>
      </c>
    </row>
    <row r="3187" spans="1:15" x14ac:dyDescent="0.25">
      <c r="A3187" s="6" t="s">
        <v>12207</v>
      </c>
      <c r="B3187" s="6" t="s">
        <v>12206</v>
      </c>
      <c r="C3187" s="6" t="s">
        <v>31</v>
      </c>
      <c r="E3187" s="6" t="s">
        <v>12205</v>
      </c>
      <c r="F3187" s="6" t="s">
        <v>12204</v>
      </c>
      <c r="G3187" s="6" t="s">
        <v>16</v>
      </c>
      <c r="H3187" s="6" t="s">
        <v>15</v>
      </c>
      <c r="I3187" s="6" t="s">
        <v>14</v>
      </c>
      <c r="J3187" s="6" t="s">
        <v>571</v>
      </c>
      <c r="K3187" s="7">
        <v>32.254800940000003</v>
      </c>
      <c r="L3187" s="7">
        <v>-97.766560350000006</v>
      </c>
      <c r="M3187" s="6" t="s">
        <v>1681</v>
      </c>
      <c r="N3187" s="6" t="s">
        <v>23</v>
      </c>
      <c r="O3187" s="6" t="s">
        <v>42</v>
      </c>
    </row>
    <row r="3188" spans="1:15" x14ac:dyDescent="0.25">
      <c r="A3188" s="6" t="s">
        <v>12215</v>
      </c>
      <c r="B3188" s="6" t="s">
        <v>12214</v>
      </c>
      <c r="C3188" s="6" t="s">
        <v>31</v>
      </c>
      <c r="E3188" s="6" t="s">
        <v>12213</v>
      </c>
      <c r="F3188" s="6" t="s">
        <v>12212</v>
      </c>
      <c r="G3188" s="6" t="s">
        <v>16</v>
      </c>
      <c r="H3188" s="6" t="s">
        <v>15</v>
      </c>
      <c r="I3188" s="6" t="s">
        <v>14</v>
      </c>
      <c r="J3188" s="6" t="s">
        <v>35</v>
      </c>
      <c r="K3188" s="7">
        <v>30.019929950000002</v>
      </c>
      <c r="L3188" s="7">
        <v>-95.865262909999998</v>
      </c>
      <c r="M3188" s="6" t="s">
        <v>279</v>
      </c>
      <c r="N3188" s="6" t="s">
        <v>24</v>
      </c>
      <c r="O3188" s="6" t="s">
        <v>23</v>
      </c>
    </row>
    <row r="3189" spans="1:15" x14ac:dyDescent="0.25">
      <c r="A3189" s="6" t="s">
        <v>12137</v>
      </c>
      <c r="B3189" s="6" t="s">
        <v>12115</v>
      </c>
      <c r="C3189" s="6" t="s">
        <v>31</v>
      </c>
      <c r="E3189" s="6" t="s">
        <v>12114</v>
      </c>
      <c r="F3189" s="6" t="s">
        <v>12113</v>
      </c>
      <c r="G3189" s="6" t="s">
        <v>16</v>
      </c>
      <c r="H3189" s="6" t="s">
        <v>15</v>
      </c>
      <c r="I3189" s="6" t="s">
        <v>36</v>
      </c>
      <c r="J3189" s="6" t="s">
        <v>13</v>
      </c>
      <c r="K3189" s="7">
        <v>27.824674170000002</v>
      </c>
      <c r="L3189" s="7">
        <v>-97.437955900000006</v>
      </c>
      <c r="M3189" s="6" t="s">
        <v>12</v>
      </c>
      <c r="N3189" s="6" t="s">
        <v>11</v>
      </c>
      <c r="O3189" s="6" t="s">
        <v>10</v>
      </c>
    </row>
    <row r="3190" spans="1:15" x14ac:dyDescent="0.25">
      <c r="A3190" s="6" t="s">
        <v>12116</v>
      </c>
      <c r="B3190" s="6" t="s">
        <v>12115</v>
      </c>
      <c r="C3190" s="6" t="s">
        <v>19</v>
      </c>
      <c r="E3190" s="6" t="s">
        <v>12114</v>
      </c>
      <c r="F3190" s="6" t="s">
        <v>12113</v>
      </c>
      <c r="G3190" s="6" t="s">
        <v>16</v>
      </c>
      <c r="H3190" s="6" t="s">
        <v>15</v>
      </c>
      <c r="I3190" s="6" t="s">
        <v>36</v>
      </c>
      <c r="J3190" s="6" t="s">
        <v>13</v>
      </c>
      <c r="K3190" s="7">
        <v>27.824674170000002</v>
      </c>
      <c r="L3190" s="7">
        <v>-97.437955900000006</v>
      </c>
      <c r="M3190" s="6" t="s">
        <v>12</v>
      </c>
      <c r="N3190" s="6" t="s">
        <v>11</v>
      </c>
      <c r="O3190" s="6" t="s">
        <v>10</v>
      </c>
    </row>
    <row r="3191" spans="1:15" x14ac:dyDescent="0.25">
      <c r="A3191" s="6" t="s">
        <v>12143</v>
      </c>
      <c r="B3191" s="6" t="s">
        <v>12142</v>
      </c>
      <c r="C3191" s="6" t="s">
        <v>31</v>
      </c>
      <c r="E3191" s="6" t="s">
        <v>12141</v>
      </c>
      <c r="F3191" s="6" t="s">
        <v>12140</v>
      </c>
      <c r="G3191" s="6" t="s">
        <v>16</v>
      </c>
      <c r="H3191" s="6" t="s">
        <v>28</v>
      </c>
      <c r="I3191" s="6" t="s">
        <v>60</v>
      </c>
      <c r="J3191" s="6" t="s">
        <v>26</v>
      </c>
      <c r="K3191" s="7">
        <v>30.480164850000001</v>
      </c>
      <c r="L3191" s="7">
        <v>-95.519769060000002</v>
      </c>
      <c r="M3191" s="6" t="s">
        <v>340</v>
      </c>
      <c r="N3191" s="6" t="s">
        <v>23</v>
      </c>
      <c r="O3191" s="6" t="s">
        <v>23</v>
      </c>
    </row>
    <row r="3192" spans="1:15" x14ac:dyDescent="0.25">
      <c r="A3192" s="6" t="s">
        <v>12136</v>
      </c>
      <c r="B3192" s="6" t="s">
        <v>12135</v>
      </c>
      <c r="C3192" s="6" t="s">
        <v>31</v>
      </c>
      <c r="E3192" s="6" t="s">
        <v>12134</v>
      </c>
      <c r="F3192" s="6" t="s">
        <v>12133</v>
      </c>
      <c r="G3192" s="6" t="s">
        <v>16</v>
      </c>
      <c r="H3192" s="6" t="s">
        <v>28</v>
      </c>
      <c r="I3192" s="6" t="s">
        <v>27</v>
      </c>
      <c r="J3192" s="6" t="s">
        <v>3656</v>
      </c>
      <c r="K3192" s="7">
        <v>32.237960039999997</v>
      </c>
      <c r="L3192" s="7">
        <v>-98.164672240000002</v>
      </c>
      <c r="M3192" s="6" t="s">
        <v>3655</v>
      </c>
      <c r="N3192" s="6" t="s">
        <v>23</v>
      </c>
      <c r="O3192" s="6" t="s">
        <v>42</v>
      </c>
    </row>
    <row r="3193" spans="1:15" x14ac:dyDescent="0.25">
      <c r="A3193" s="6" t="s">
        <v>12129</v>
      </c>
      <c r="B3193" s="6" t="s">
        <v>12128</v>
      </c>
      <c r="C3193" s="6" t="s">
        <v>31</v>
      </c>
      <c r="E3193" s="6" t="s">
        <v>12127</v>
      </c>
      <c r="F3193" s="6" t="s">
        <v>7731</v>
      </c>
      <c r="G3193" s="6" t="s">
        <v>16</v>
      </c>
      <c r="H3193" s="6" t="s">
        <v>28</v>
      </c>
      <c r="I3193" s="6" t="s">
        <v>60</v>
      </c>
      <c r="J3193" s="6" t="s">
        <v>480</v>
      </c>
      <c r="K3193" s="7">
        <v>26.29318288</v>
      </c>
      <c r="L3193" s="7">
        <v>-98.388588679999998</v>
      </c>
      <c r="M3193" s="6" t="s">
        <v>89</v>
      </c>
      <c r="N3193" s="6" t="s">
        <v>11</v>
      </c>
      <c r="O3193" s="6" t="s">
        <v>22</v>
      </c>
    </row>
    <row r="3194" spans="1:15" x14ac:dyDescent="0.25">
      <c r="A3194" s="6" t="s">
        <v>12000</v>
      </c>
      <c r="B3194" s="6" t="s">
        <v>11999</v>
      </c>
      <c r="C3194" s="6" t="s">
        <v>31</v>
      </c>
      <c r="E3194" s="6" t="s">
        <v>11998</v>
      </c>
      <c r="F3194" s="6" t="s">
        <v>11997</v>
      </c>
      <c r="G3194" s="6" t="s">
        <v>16</v>
      </c>
      <c r="H3194" s="6" t="s">
        <v>28</v>
      </c>
      <c r="I3194" s="6" t="s">
        <v>14</v>
      </c>
      <c r="J3194" s="6" t="s">
        <v>356</v>
      </c>
      <c r="K3194" s="7">
        <v>29.84549393</v>
      </c>
      <c r="L3194" s="7">
        <v>-95.87393265</v>
      </c>
      <c r="M3194" s="6" t="s">
        <v>131</v>
      </c>
      <c r="N3194" s="6" t="s">
        <v>24</v>
      </c>
      <c r="O3194" s="6" t="s">
        <v>23</v>
      </c>
    </row>
    <row r="3195" spans="1:15" x14ac:dyDescent="0.25">
      <c r="A3195" s="6" t="s">
        <v>12005</v>
      </c>
      <c r="B3195" s="6" t="s">
        <v>12004</v>
      </c>
      <c r="C3195" s="6" t="s">
        <v>31</v>
      </c>
      <c r="E3195" s="6" t="s">
        <v>12003</v>
      </c>
      <c r="F3195" s="6" t="s">
        <v>12002</v>
      </c>
      <c r="G3195" s="6" t="s">
        <v>16</v>
      </c>
      <c r="H3195" s="6" t="s">
        <v>15</v>
      </c>
      <c r="I3195" s="6" t="s">
        <v>14</v>
      </c>
      <c r="J3195" s="6" t="s">
        <v>356</v>
      </c>
      <c r="K3195" s="7">
        <v>29.845608049999999</v>
      </c>
      <c r="L3195" s="7">
        <v>-95.940132370000001</v>
      </c>
      <c r="M3195" s="6" t="s">
        <v>355</v>
      </c>
      <c r="N3195" s="6" t="s">
        <v>23</v>
      </c>
      <c r="O3195" s="6" t="s">
        <v>23</v>
      </c>
    </row>
    <row r="3196" spans="1:15" x14ac:dyDescent="0.25">
      <c r="A3196" s="6" t="s">
        <v>12013</v>
      </c>
      <c r="B3196" s="6" t="s">
        <v>12012</v>
      </c>
      <c r="C3196" s="6" t="s">
        <v>31</v>
      </c>
      <c r="E3196" s="6" t="s">
        <v>12011</v>
      </c>
      <c r="F3196" s="6" t="s">
        <v>12010</v>
      </c>
      <c r="G3196" s="6" t="s">
        <v>16</v>
      </c>
      <c r="H3196" s="6" t="s">
        <v>28</v>
      </c>
      <c r="I3196" s="6" t="s">
        <v>73</v>
      </c>
      <c r="J3196" s="6" t="s">
        <v>456</v>
      </c>
      <c r="K3196" s="7">
        <v>30.182558149999998</v>
      </c>
      <c r="L3196" s="7">
        <v>-97.377190389999996</v>
      </c>
      <c r="M3196" s="6" t="s">
        <v>455</v>
      </c>
      <c r="N3196" s="6" t="s">
        <v>10</v>
      </c>
      <c r="O3196" s="6" t="s">
        <v>160</v>
      </c>
    </row>
    <row r="3197" spans="1:15" x14ac:dyDescent="0.25">
      <c r="A3197" s="6" t="s">
        <v>12009</v>
      </c>
      <c r="B3197" s="6" t="s">
        <v>12008</v>
      </c>
      <c r="C3197" s="6" t="s">
        <v>31</v>
      </c>
      <c r="E3197" s="6" t="s">
        <v>12007</v>
      </c>
      <c r="F3197" s="6" t="s">
        <v>12006</v>
      </c>
      <c r="G3197" s="6" t="s">
        <v>16</v>
      </c>
      <c r="H3197" s="6" t="s">
        <v>28</v>
      </c>
      <c r="I3197" s="6" t="s">
        <v>60</v>
      </c>
      <c r="J3197" s="6" t="s">
        <v>480</v>
      </c>
      <c r="K3197" s="7">
        <v>26.250316980000001</v>
      </c>
      <c r="L3197" s="7">
        <v>-98.395714269999999</v>
      </c>
      <c r="M3197" s="6" t="s">
        <v>89</v>
      </c>
      <c r="N3197" s="6" t="s">
        <v>11</v>
      </c>
      <c r="O3197" s="6" t="s">
        <v>22</v>
      </c>
    </row>
    <row r="3198" spans="1:15" x14ac:dyDescent="0.25">
      <c r="A3198" s="6" t="s">
        <v>9806</v>
      </c>
      <c r="B3198" s="6" t="s">
        <v>9805</v>
      </c>
      <c r="C3198" s="6" t="s">
        <v>31</v>
      </c>
      <c r="E3198" s="6" t="s">
        <v>9804</v>
      </c>
      <c r="F3198" s="6" t="s">
        <v>9803</v>
      </c>
      <c r="G3198" s="6" t="s">
        <v>16</v>
      </c>
      <c r="H3198" s="6" t="s">
        <v>28</v>
      </c>
      <c r="I3198" s="6" t="s">
        <v>27</v>
      </c>
      <c r="J3198" s="6" t="s">
        <v>1240</v>
      </c>
      <c r="K3198" s="7">
        <v>28.719156000000002</v>
      </c>
      <c r="L3198" s="7">
        <v>-97.160989999999998</v>
      </c>
      <c r="M3198" s="6" t="s">
        <v>3862</v>
      </c>
      <c r="N3198" s="6" t="s">
        <v>559</v>
      </c>
      <c r="O3198" s="6" t="s">
        <v>10</v>
      </c>
    </row>
    <row r="3199" spans="1:15" x14ac:dyDescent="0.25">
      <c r="A3199" s="6" t="s">
        <v>11996</v>
      </c>
      <c r="B3199" s="6" t="s">
        <v>11995</v>
      </c>
      <c r="C3199" s="6" t="s">
        <v>31</v>
      </c>
      <c r="E3199" s="6" t="s">
        <v>11994</v>
      </c>
      <c r="F3199" s="6" t="s">
        <v>1686</v>
      </c>
      <c r="G3199" s="6" t="s">
        <v>16</v>
      </c>
      <c r="H3199" s="6" t="s">
        <v>15</v>
      </c>
      <c r="I3199" s="6" t="s">
        <v>14</v>
      </c>
      <c r="J3199" s="6" t="s">
        <v>776</v>
      </c>
      <c r="K3199" s="7">
        <v>32.808256759999999</v>
      </c>
      <c r="L3199" s="7">
        <v>-98.073897840000001</v>
      </c>
      <c r="M3199" s="6" t="s">
        <v>775</v>
      </c>
      <c r="N3199" s="6" t="s">
        <v>23</v>
      </c>
      <c r="O3199" s="6" t="s">
        <v>42</v>
      </c>
    </row>
    <row r="3200" spans="1:15" x14ac:dyDescent="0.25">
      <c r="A3200" s="6" t="s">
        <v>11758</v>
      </c>
      <c r="B3200" s="6" t="s">
        <v>11757</v>
      </c>
      <c r="C3200" s="6" t="s">
        <v>31</v>
      </c>
      <c r="E3200" s="6" t="s">
        <v>11756</v>
      </c>
      <c r="F3200" s="6" t="s">
        <v>11755</v>
      </c>
      <c r="G3200" s="6" t="s">
        <v>16</v>
      </c>
      <c r="H3200" s="6" t="s">
        <v>28</v>
      </c>
      <c r="I3200" s="6" t="s">
        <v>46</v>
      </c>
      <c r="J3200" s="6" t="s">
        <v>35</v>
      </c>
      <c r="K3200" s="7">
        <v>29.918952699999998</v>
      </c>
      <c r="L3200" s="7">
        <v>-95.708297979999998</v>
      </c>
      <c r="M3200" s="6" t="s">
        <v>131</v>
      </c>
      <c r="N3200" s="6" t="s">
        <v>24</v>
      </c>
      <c r="O3200" s="6" t="s">
        <v>23</v>
      </c>
    </row>
    <row r="3201" spans="1:15" x14ac:dyDescent="0.25">
      <c r="A3201" s="6" t="s">
        <v>12132</v>
      </c>
      <c r="B3201" s="6" t="s">
        <v>12131</v>
      </c>
      <c r="C3201" s="6" t="s">
        <v>31</v>
      </c>
      <c r="E3201" s="6" t="s">
        <v>12130</v>
      </c>
      <c r="F3201" s="6" t="s">
        <v>9372</v>
      </c>
      <c r="G3201" s="6" t="s">
        <v>16</v>
      </c>
      <c r="H3201" s="6" t="s">
        <v>15</v>
      </c>
      <c r="I3201" s="6" t="s">
        <v>14</v>
      </c>
      <c r="J3201" s="6" t="s">
        <v>409</v>
      </c>
      <c r="K3201" s="7">
        <v>30.386832689999999</v>
      </c>
      <c r="L3201" s="7">
        <v>-97.540656830000003</v>
      </c>
      <c r="M3201" s="6" t="s">
        <v>455</v>
      </c>
      <c r="N3201" s="6" t="s">
        <v>10</v>
      </c>
      <c r="O3201" s="6" t="s">
        <v>160</v>
      </c>
    </row>
    <row r="3202" spans="1:15" x14ac:dyDescent="0.25">
      <c r="A3202" s="6" t="s">
        <v>9864</v>
      </c>
      <c r="B3202" s="6" t="s">
        <v>9863</v>
      </c>
      <c r="C3202" s="6" t="s">
        <v>19</v>
      </c>
      <c r="E3202" s="6" t="s">
        <v>9862</v>
      </c>
      <c r="F3202" s="6" t="s">
        <v>2142</v>
      </c>
      <c r="G3202" s="6" t="s">
        <v>16</v>
      </c>
      <c r="H3202" s="6" t="s">
        <v>15</v>
      </c>
      <c r="I3202" s="6" t="s">
        <v>36</v>
      </c>
      <c r="J3202" s="6" t="s">
        <v>35</v>
      </c>
      <c r="K3202" s="7">
        <v>29.742438740000001</v>
      </c>
      <c r="L3202" s="7">
        <v>-95.124884960000003</v>
      </c>
      <c r="M3202" s="6" t="s">
        <v>34</v>
      </c>
      <c r="N3202" s="6" t="s">
        <v>24</v>
      </c>
      <c r="O3202" s="6" t="s">
        <v>23</v>
      </c>
    </row>
    <row r="3203" spans="1:15" x14ac:dyDescent="0.25">
      <c r="A3203" s="6" t="s">
        <v>12122</v>
      </c>
      <c r="B3203" s="6" t="s">
        <v>12121</v>
      </c>
      <c r="C3203" s="6" t="s">
        <v>31</v>
      </c>
      <c r="E3203" s="6" t="s">
        <v>12120</v>
      </c>
      <c r="F3203" s="6" t="s">
        <v>10158</v>
      </c>
      <c r="G3203" s="6" t="s">
        <v>16</v>
      </c>
      <c r="H3203" s="6" t="s">
        <v>15</v>
      </c>
      <c r="I3203" s="6" t="s">
        <v>36</v>
      </c>
      <c r="J3203" s="6" t="s">
        <v>132</v>
      </c>
      <c r="K3203" s="7">
        <v>29.660671369999999</v>
      </c>
      <c r="L3203" s="7">
        <v>-95.674930110000005</v>
      </c>
      <c r="M3203" s="6" t="s">
        <v>616</v>
      </c>
      <c r="N3203" s="6" t="s">
        <v>23</v>
      </c>
      <c r="O3203" s="6" t="s">
        <v>23</v>
      </c>
    </row>
    <row r="3204" spans="1:15" x14ac:dyDescent="0.25">
      <c r="A3204" s="6" t="s">
        <v>11747</v>
      </c>
      <c r="B3204" s="6" t="s">
        <v>11746</v>
      </c>
      <c r="C3204" s="6" t="s">
        <v>31</v>
      </c>
      <c r="E3204" s="6" t="s">
        <v>11745</v>
      </c>
      <c r="F3204" s="6" t="s">
        <v>11744</v>
      </c>
      <c r="G3204" s="6" t="s">
        <v>16</v>
      </c>
      <c r="H3204" s="6" t="s">
        <v>28</v>
      </c>
      <c r="I3204" s="6" t="s">
        <v>73</v>
      </c>
      <c r="J3204" s="6" t="s">
        <v>132</v>
      </c>
      <c r="K3204" s="7">
        <v>29.558637439999998</v>
      </c>
      <c r="L3204" s="7">
        <v>-95.689877920000001</v>
      </c>
      <c r="M3204" s="6" t="s">
        <v>355</v>
      </c>
      <c r="N3204" s="6" t="s">
        <v>23</v>
      </c>
      <c r="O3204" s="6" t="s">
        <v>23</v>
      </c>
    </row>
    <row r="3205" spans="1:15" x14ac:dyDescent="0.25">
      <c r="A3205" s="6" t="s">
        <v>11523</v>
      </c>
      <c r="B3205" s="6" t="s">
        <v>11522</v>
      </c>
      <c r="C3205" s="6" t="s">
        <v>31</v>
      </c>
      <c r="E3205" s="6" t="s">
        <v>11521</v>
      </c>
      <c r="F3205" s="6" t="s">
        <v>9885</v>
      </c>
      <c r="G3205" s="6" t="s">
        <v>16</v>
      </c>
      <c r="H3205" s="6" t="s">
        <v>15</v>
      </c>
      <c r="I3205" s="6" t="s">
        <v>14</v>
      </c>
      <c r="J3205" s="6" t="s">
        <v>221</v>
      </c>
      <c r="K3205" s="7">
        <v>30.739645429999999</v>
      </c>
      <c r="L3205" s="7">
        <v>-97.769795740000006</v>
      </c>
      <c r="M3205" s="6" t="s">
        <v>4688</v>
      </c>
      <c r="N3205" s="6" t="s">
        <v>23</v>
      </c>
      <c r="O3205" s="6" t="s">
        <v>160</v>
      </c>
    </row>
    <row r="3206" spans="1:15" x14ac:dyDescent="0.25">
      <c r="A3206" s="6" t="s">
        <v>11684</v>
      </c>
      <c r="B3206" s="6" t="s">
        <v>11683</v>
      </c>
      <c r="C3206" s="6" t="s">
        <v>31</v>
      </c>
      <c r="E3206" s="6" t="s">
        <v>11682</v>
      </c>
      <c r="F3206" s="6" t="s">
        <v>11681</v>
      </c>
      <c r="G3206" s="6" t="s">
        <v>16</v>
      </c>
      <c r="H3206" s="6" t="s">
        <v>28</v>
      </c>
      <c r="I3206" s="6" t="s">
        <v>73</v>
      </c>
      <c r="J3206" s="6" t="s">
        <v>2267</v>
      </c>
      <c r="K3206" s="7">
        <v>32.259732579999998</v>
      </c>
      <c r="L3206" s="7">
        <v>-96.154335119999999</v>
      </c>
      <c r="M3206" s="6" t="s">
        <v>193</v>
      </c>
      <c r="N3206" s="6" t="s">
        <v>102</v>
      </c>
      <c r="O3206" s="6" t="s">
        <v>11680</v>
      </c>
    </row>
    <row r="3207" spans="1:15" x14ac:dyDescent="0.25">
      <c r="A3207" s="6" t="s">
        <v>12098</v>
      </c>
      <c r="B3207" s="6" t="s">
        <v>12097</v>
      </c>
      <c r="C3207" s="6" t="s">
        <v>31</v>
      </c>
      <c r="E3207" s="6" t="s">
        <v>12096</v>
      </c>
      <c r="F3207" s="6" t="s">
        <v>12095</v>
      </c>
      <c r="G3207" s="6" t="s">
        <v>16</v>
      </c>
      <c r="H3207" s="6" t="s">
        <v>15</v>
      </c>
      <c r="I3207" s="6" t="s">
        <v>36</v>
      </c>
      <c r="J3207" s="6" t="s">
        <v>35</v>
      </c>
      <c r="K3207" s="7">
        <v>29.790365909999998</v>
      </c>
      <c r="L3207" s="7">
        <v>-95.7442846</v>
      </c>
      <c r="M3207" s="6" t="s">
        <v>131</v>
      </c>
      <c r="N3207" s="6" t="s">
        <v>24</v>
      </c>
      <c r="O3207" s="6" t="s">
        <v>23</v>
      </c>
    </row>
    <row r="3208" spans="1:15" x14ac:dyDescent="0.25">
      <c r="A3208" s="6" t="s">
        <v>10287</v>
      </c>
      <c r="B3208" s="6" t="s">
        <v>10286</v>
      </c>
      <c r="C3208" s="6" t="s">
        <v>31</v>
      </c>
      <c r="E3208" s="6" t="s">
        <v>10285</v>
      </c>
      <c r="F3208" s="6" t="s">
        <v>10284</v>
      </c>
      <c r="G3208" s="6" t="s">
        <v>16</v>
      </c>
      <c r="H3208" s="6" t="s">
        <v>28</v>
      </c>
      <c r="I3208" s="6" t="s">
        <v>60</v>
      </c>
      <c r="J3208" s="6" t="s">
        <v>35</v>
      </c>
      <c r="K3208" s="7">
        <v>29.89536159</v>
      </c>
      <c r="L3208" s="7">
        <v>-95.293787679999994</v>
      </c>
      <c r="M3208" s="6" t="s">
        <v>198</v>
      </c>
      <c r="N3208" s="6" t="s">
        <v>24</v>
      </c>
      <c r="O3208" s="6" t="s">
        <v>23</v>
      </c>
    </row>
    <row r="3209" spans="1:15" x14ac:dyDescent="0.25">
      <c r="A3209" s="6" t="s">
        <v>12219</v>
      </c>
      <c r="B3209" s="6" t="s">
        <v>12218</v>
      </c>
      <c r="C3209" s="6" t="s">
        <v>31</v>
      </c>
      <c r="E3209" s="6" t="s">
        <v>12217</v>
      </c>
      <c r="F3209" s="6" t="s">
        <v>12216</v>
      </c>
      <c r="G3209" s="6" t="s">
        <v>16</v>
      </c>
      <c r="H3209" s="6" t="s">
        <v>28</v>
      </c>
      <c r="I3209" s="6" t="s">
        <v>14</v>
      </c>
      <c r="J3209" s="6" t="s">
        <v>151</v>
      </c>
      <c r="K3209" s="7">
        <v>33.194307190000004</v>
      </c>
      <c r="L3209" s="7">
        <v>-97.756523189999996</v>
      </c>
      <c r="M3209" s="6" t="s">
        <v>150</v>
      </c>
      <c r="N3209" s="6" t="s">
        <v>102</v>
      </c>
      <c r="O3209" s="6" t="s">
        <v>42</v>
      </c>
    </row>
    <row r="3210" spans="1:15" x14ac:dyDescent="0.25">
      <c r="A3210" s="6" t="s">
        <v>12094</v>
      </c>
      <c r="B3210" s="6" t="s">
        <v>12093</v>
      </c>
      <c r="C3210" s="6" t="s">
        <v>31</v>
      </c>
      <c r="E3210" s="6" t="s">
        <v>12092</v>
      </c>
      <c r="F3210" s="6" t="s">
        <v>12091</v>
      </c>
      <c r="G3210" s="6" t="s">
        <v>16</v>
      </c>
      <c r="H3210" s="6" t="s">
        <v>28</v>
      </c>
      <c r="I3210" s="6" t="s">
        <v>14</v>
      </c>
      <c r="J3210" s="6" t="s">
        <v>35</v>
      </c>
      <c r="K3210" s="7">
        <v>29.691679019999999</v>
      </c>
      <c r="L3210" s="7">
        <v>-95.634327010000007</v>
      </c>
      <c r="M3210" s="6" t="s">
        <v>866</v>
      </c>
      <c r="N3210" s="6" t="s">
        <v>24</v>
      </c>
      <c r="O3210" s="6" t="s">
        <v>23</v>
      </c>
    </row>
    <row r="3211" spans="1:15" x14ac:dyDescent="0.25">
      <c r="A3211" s="6" t="s">
        <v>1631</v>
      </c>
      <c r="B3211" s="6" t="s">
        <v>1630</v>
      </c>
      <c r="C3211" s="6" t="s">
        <v>31</v>
      </c>
      <c r="E3211" s="6" t="s">
        <v>1629</v>
      </c>
      <c r="F3211" s="6" t="s">
        <v>1628</v>
      </c>
      <c r="G3211" s="6" t="s">
        <v>16</v>
      </c>
      <c r="H3211" s="6" t="s">
        <v>28</v>
      </c>
      <c r="I3211" s="6" t="s">
        <v>27</v>
      </c>
      <c r="J3211" s="6" t="s">
        <v>253</v>
      </c>
      <c r="K3211" s="7">
        <v>31.130516700000001</v>
      </c>
      <c r="L3211" s="7">
        <v>-97.552389750000003</v>
      </c>
      <c r="M3211" s="6" t="s">
        <v>1627</v>
      </c>
      <c r="N3211" s="6" t="s">
        <v>23</v>
      </c>
      <c r="O3211" s="6" t="s">
        <v>120</v>
      </c>
    </row>
    <row r="3212" spans="1:15" x14ac:dyDescent="0.25">
      <c r="A3212" s="6" t="s">
        <v>11531</v>
      </c>
      <c r="B3212" s="6" t="s">
        <v>11530</v>
      </c>
      <c r="C3212" s="6" t="s">
        <v>31</v>
      </c>
      <c r="E3212" s="6" t="s">
        <v>11529</v>
      </c>
      <c r="F3212" s="6" t="s">
        <v>11528</v>
      </c>
      <c r="G3212" s="6" t="s">
        <v>16</v>
      </c>
      <c r="H3212" s="6" t="s">
        <v>28</v>
      </c>
      <c r="I3212" s="6" t="s">
        <v>36</v>
      </c>
      <c r="J3212" s="6" t="s">
        <v>356</v>
      </c>
      <c r="K3212" s="7">
        <v>29.869050000000001</v>
      </c>
      <c r="L3212" s="7">
        <v>-96.000320000000002</v>
      </c>
      <c r="M3212" s="6" t="s">
        <v>355</v>
      </c>
      <c r="N3212" s="6" t="s">
        <v>23</v>
      </c>
      <c r="O3212" s="6" t="s">
        <v>23</v>
      </c>
    </row>
    <row r="3213" spans="1:15" x14ac:dyDescent="0.25">
      <c r="A3213" s="6" t="s">
        <v>11697</v>
      </c>
      <c r="B3213" s="6" t="s">
        <v>11696</v>
      </c>
      <c r="C3213" s="6" t="s">
        <v>31</v>
      </c>
      <c r="E3213" s="6" t="s">
        <v>11695</v>
      </c>
      <c r="F3213" s="6" t="s">
        <v>11694</v>
      </c>
      <c r="G3213" s="6" t="s">
        <v>16</v>
      </c>
      <c r="H3213" s="6" t="s">
        <v>15</v>
      </c>
      <c r="I3213" s="6" t="s">
        <v>36</v>
      </c>
      <c r="J3213" s="6" t="s">
        <v>35</v>
      </c>
      <c r="K3213" s="7">
        <v>30.088471729999998</v>
      </c>
      <c r="L3213" s="7">
        <v>-95.43972402</v>
      </c>
      <c r="M3213" s="6" t="s">
        <v>731</v>
      </c>
      <c r="N3213" s="6" t="s">
        <v>24</v>
      </c>
      <c r="O3213" s="6" t="s">
        <v>23</v>
      </c>
    </row>
    <row r="3214" spans="1:15" x14ac:dyDescent="0.25">
      <c r="A3214" s="6" t="s">
        <v>11693</v>
      </c>
      <c r="B3214" s="6" t="s">
        <v>11692</v>
      </c>
      <c r="C3214" s="6" t="s">
        <v>31</v>
      </c>
      <c r="E3214" s="6" t="s">
        <v>11691</v>
      </c>
      <c r="F3214" s="6" t="s">
        <v>481</v>
      </c>
      <c r="G3214" s="6" t="s">
        <v>16</v>
      </c>
      <c r="H3214" s="6" t="s">
        <v>15</v>
      </c>
      <c r="I3214" s="6" t="s">
        <v>46</v>
      </c>
      <c r="J3214" s="6" t="s">
        <v>480</v>
      </c>
      <c r="K3214" s="7">
        <v>26.218150600000001</v>
      </c>
      <c r="L3214" s="7">
        <v>-98.025246890000005</v>
      </c>
      <c r="M3214" s="6" t="s">
        <v>89</v>
      </c>
      <c r="N3214" s="6" t="s">
        <v>11</v>
      </c>
      <c r="O3214" s="6" t="s">
        <v>22</v>
      </c>
    </row>
    <row r="3215" spans="1:15" x14ac:dyDescent="0.25">
      <c r="A3215" s="6" t="s">
        <v>12265</v>
      </c>
      <c r="B3215" s="6" t="s">
        <v>12264</v>
      </c>
      <c r="C3215" s="6" t="s">
        <v>31</v>
      </c>
      <c r="E3215" s="6" t="s">
        <v>12263</v>
      </c>
      <c r="F3215" s="6" t="s">
        <v>12262</v>
      </c>
      <c r="G3215" s="6" t="s">
        <v>16</v>
      </c>
      <c r="H3215" s="6" t="s">
        <v>28</v>
      </c>
      <c r="I3215" s="6" t="s">
        <v>27</v>
      </c>
      <c r="J3215" s="6" t="s">
        <v>35</v>
      </c>
      <c r="K3215" s="7">
        <v>29.89221788</v>
      </c>
      <c r="L3215" s="7">
        <v>-95.363930449999998</v>
      </c>
      <c r="M3215" s="6" t="s">
        <v>34</v>
      </c>
      <c r="N3215" s="6" t="s">
        <v>24</v>
      </c>
      <c r="O3215" s="6" t="s">
        <v>23</v>
      </c>
    </row>
    <row r="3216" spans="1:15" x14ac:dyDescent="0.25">
      <c r="A3216" s="6" t="s">
        <v>4771</v>
      </c>
      <c r="B3216" s="6" t="s">
        <v>4770</v>
      </c>
      <c r="C3216" s="6" t="s">
        <v>31</v>
      </c>
      <c r="E3216" s="6" t="s">
        <v>4769</v>
      </c>
      <c r="F3216" s="6" t="s">
        <v>4768</v>
      </c>
      <c r="G3216" s="6" t="s">
        <v>16</v>
      </c>
      <c r="H3216" s="6" t="s">
        <v>28</v>
      </c>
      <c r="I3216" s="6" t="s">
        <v>60</v>
      </c>
      <c r="J3216" s="6" t="s">
        <v>1519</v>
      </c>
      <c r="K3216" s="7">
        <v>30.311718899999999</v>
      </c>
      <c r="L3216" s="7">
        <v>-94.958180179999999</v>
      </c>
      <c r="M3216" s="6" t="s">
        <v>2355</v>
      </c>
      <c r="N3216" s="6" t="s">
        <v>102</v>
      </c>
      <c r="O3216" s="6" t="s">
        <v>23</v>
      </c>
    </row>
    <row r="3217" spans="1:15" x14ac:dyDescent="0.25">
      <c r="A3217" s="6" t="s">
        <v>7308</v>
      </c>
      <c r="B3217" s="6" t="s">
        <v>7307</v>
      </c>
      <c r="C3217" s="6" t="s">
        <v>31</v>
      </c>
      <c r="E3217" s="6" t="s">
        <v>7306</v>
      </c>
      <c r="F3217" s="6" t="s">
        <v>7305</v>
      </c>
      <c r="G3217" s="6" t="s">
        <v>16</v>
      </c>
      <c r="H3217" s="6" t="s">
        <v>15</v>
      </c>
      <c r="I3217" s="6" t="s">
        <v>14</v>
      </c>
      <c r="J3217" s="6" t="s">
        <v>7304</v>
      </c>
      <c r="K3217" s="7">
        <v>30.25338584</v>
      </c>
      <c r="L3217" s="7">
        <v>-98.845617809999993</v>
      </c>
      <c r="M3217" s="6" t="s">
        <v>7303</v>
      </c>
      <c r="N3217" s="6" t="s">
        <v>10</v>
      </c>
      <c r="O3217" s="6" t="s">
        <v>231</v>
      </c>
    </row>
    <row r="3218" spans="1:15" x14ac:dyDescent="0.25">
      <c r="A3218" s="6" t="s">
        <v>11515</v>
      </c>
      <c r="B3218" s="6" t="s">
        <v>11514</v>
      </c>
      <c r="C3218" s="6" t="s">
        <v>31</v>
      </c>
      <c r="E3218" s="6" t="s">
        <v>11513</v>
      </c>
      <c r="F3218" s="6" t="s">
        <v>11512</v>
      </c>
      <c r="G3218" s="6" t="s">
        <v>16</v>
      </c>
      <c r="H3218" s="6" t="s">
        <v>591</v>
      </c>
      <c r="I3218" s="6" t="s">
        <v>14</v>
      </c>
      <c r="J3218" s="6" t="s">
        <v>3504</v>
      </c>
      <c r="K3218" s="7">
        <v>30.551597009999998</v>
      </c>
      <c r="L3218" s="7">
        <v>-98.271500520000004</v>
      </c>
      <c r="M3218" s="6" t="s">
        <v>11511</v>
      </c>
      <c r="N3218" s="6" t="s">
        <v>10</v>
      </c>
      <c r="O3218" s="6" t="s">
        <v>160</v>
      </c>
    </row>
    <row r="3219" spans="1:15" x14ac:dyDescent="0.25">
      <c r="A3219" s="6" t="s">
        <v>11689</v>
      </c>
      <c r="B3219" s="6" t="s">
        <v>11688</v>
      </c>
      <c r="C3219" s="6" t="s">
        <v>31</v>
      </c>
      <c r="E3219" s="6" t="s">
        <v>11687</v>
      </c>
      <c r="F3219" s="6" t="s">
        <v>11686</v>
      </c>
      <c r="G3219" s="6" t="s">
        <v>16</v>
      </c>
      <c r="H3219" s="6" t="s">
        <v>28</v>
      </c>
      <c r="I3219" s="6" t="s">
        <v>46</v>
      </c>
      <c r="J3219" s="6" t="s">
        <v>1405</v>
      </c>
      <c r="K3219" s="7">
        <v>36.040900190000002</v>
      </c>
      <c r="L3219" s="7">
        <v>-101.81903669</v>
      </c>
      <c r="M3219" s="6" t="s">
        <v>1404</v>
      </c>
      <c r="N3219" s="6" t="s">
        <v>535</v>
      </c>
      <c r="O3219" s="6" t="s">
        <v>535</v>
      </c>
    </row>
    <row r="3220" spans="1:15" x14ac:dyDescent="0.25">
      <c r="A3220" s="6" t="s">
        <v>10198</v>
      </c>
      <c r="B3220" s="6" t="s">
        <v>10197</v>
      </c>
      <c r="C3220" s="6" t="s">
        <v>31</v>
      </c>
      <c r="E3220" s="6" t="s">
        <v>10196</v>
      </c>
      <c r="F3220" s="6" t="s">
        <v>10195</v>
      </c>
      <c r="G3220" s="6" t="s">
        <v>16</v>
      </c>
      <c r="H3220" s="6" t="s">
        <v>591</v>
      </c>
      <c r="I3220" s="6" t="s">
        <v>27</v>
      </c>
      <c r="J3220" s="6" t="s">
        <v>2897</v>
      </c>
      <c r="K3220" s="7">
        <v>29.812630469999998</v>
      </c>
      <c r="L3220" s="7">
        <v>-104.33450763</v>
      </c>
      <c r="M3220" s="6" t="s">
        <v>945</v>
      </c>
      <c r="N3220" s="6" t="s">
        <v>373</v>
      </c>
      <c r="O3220" s="6" t="s">
        <v>52</v>
      </c>
    </row>
    <row r="3221" spans="1:15" x14ac:dyDescent="0.25">
      <c r="A3221" s="6" t="s">
        <v>11510</v>
      </c>
      <c r="B3221" s="6" t="s">
        <v>11509</v>
      </c>
      <c r="C3221" s="6" t="s">
        <v>31</v>
      </c>
      <c r="E3221" s="6" t="s">
        <v>11508</v>
      </c>
      <c r="F3221" s="6" t="s">
        <v>895</v>
      </c>
      <c r="G3221" s="6" t="s">
        <v>16</v>
      </c>
      <c r="H3221" s="6" t="s">
        <v>28</v>
      </c>
      <c r="I3221" s="6" t="s">
        <v>799</v>
      </c>
      <c r="J3221" s="6" t="s">
        <v>26</v>
      </c>
      <c r="K3221" s="7">
        <v>30.175509250000001</v>
      </c>
      <c r="L3221" s="7">
        <v>-95.600890289999995</v>
      </c>
      <c r="M3221" s="6" t="s">
        <v>731</v>
      </c>
      <c r="N3221" s="6" t="s">
        <v>24</v>
      </c>
      <c r="O3221" s="6" t="s">
        <v>23</v>
      </c>
    </row>
    <row r="3222" spans="1:15" x14ac:dyDescent="0.25">
      <c r="A3222" s="6" t="s">
        <v>11527</v>
      </c>
      <c r="B3222" s="6" t="s">
        <v>11526</v>
      </c>
      <c r="C3222" s="6" t="s">
        <v>31</v>
      </c>
      <c r="E3222" s="6" t="s">
        <v>11525</v>
      </c>
      <c r="F3222" s="6" t="s">
        <v>11524</v>
      </c>
      <c r="G3222" s="6" t="s">
        <v>16</v>
      </c>
      <c r="H3222" s="6" t="s">
        <v>28</v>
      </c>
      <c r="I3222" s="6" t="s">
        <v>73</v>
      </c>
      <c r="J3222" s="6" t="s">
        <v>590</v>
      </c>
      <c r="K3222" s="7">
        <v>30.450034760000001</v>
      </c>
      <c r="L3222" s="7">
        <v>-97.168633929999999</v>
      </c>
      <c r="M3222" s="6" t="s">
        <v>589</v>
      </c>
      <c r="N3222" s="6" t="s">
        <v>23</v>
      </c>
      <c r="O3222" s="6" t="s">
        <v>160</v>
      </c>
    </row>
    <row r="3223" spans="1:15" x14ac:dyDescent="0.25">
      <c r="A3223" s="6" t="s">
        <v>7710</v>
      </c>
      <c r="B3223" s="6" t="s">
        <v>7709</v>
      </c>
      <c r="C3223" s="6" t="s">
        <v>31</v>
      </c>
      <c r="E3223" s="6" t="s">
        <v>7708</v>
      </c>
      <c r="F3223" s="6" t="s">
        <v>7707</v>
      </c>
      <c r="G3223" s="6" t="s">
        <v>16</v>
      </c>
      <c r="H3223" s="6" t="s">
        <v>28</v>
      </c>
      <c r="I3223" s="6" t="s">
        <v>73</v>
      </c>
      <c r="J3223" s="6" t="s">
        <v>1645</v>
      </c>
      <c r="K3223" s="7">
        <v>28.452853999999999</v>
      </c>
      <c r="L3223" s="7">
        <v>-98.554851999999997</v>
      </c>
      <c r="M3223" s="6" t="s">
        <v>1644</v>
      </c>
      <c r="N3223" s="6" t="s">
        <v>524</v>
      </c>
      <c r="O3223" s="6" t="s">
        <v>510</v>
      </c>
    </row>
    <row r="3224" spans="1:15" x14ac:dyDescent="0.25">
      <c r="A3224" s="6" t="s">
        <v>10209</v>
      </c>
      <c r="B3224" s="6" t="s">
        <v>10208</v>
      </c>
      <c r="C3224" s="6" t="s">
        <v>31</v>
      </c>
      <c r="E3224" s="6" t="s">
        <v>10207</v>
      </c>
      <c r="F3224" s="6" t="s">
        <v>10206</v>
      </c>
      <c r="G3224" s="6" t="s">
        <v>16</v>
      </c>
      <c r="H3224" s="6" t="s">
        <v>591</v>
      </c>
      <c r="I3224" s="6" t="s">
        <v>46</v>
      </c>
      <c r="J3224" s="6" t="s">
        <v>566</v>
      </c>
      <c r="K3224" s="7">
        <v>32.365641250000003</v>
      </c>
      <c r="L3224" s="7">
        <v>-94.506531190000004</v>
      </c>
      <c r="M3224" s="6" t="s">
        <v>1218</v>
      </c>
      <c r="N3224" s="6" t="s">
        <v>65</v>
      </c>
      <c r="O3224" s="6" t="s">
        <v>65</v>
      </c>
    </row>
    <row r="3225" spans="1:15" x14ac:dyDescent="0.25">
      <c r="A3225" s="6" t="s">
        <v>11519</v>
      </c>
      <c r="B3225" s="6" t="s">
        <v>11518</v>
      </c>
      <c r="C3225" s="6" t="s">
        <v>31</v>
      </c>
      <c r="E3225" s="6" t="s">
        <v>11517</v>
      </c>
      <c r="F3225" s="6" t="s">
        <v>11516</v>
      </c>
      <c r="G3225" s="6" t="s">
        <v>16</v>
      </c>
      <c r="H3225" s="6" t="s">
        <v>28</v>
      </c>
      <c r="I3225" s="6" t="s">
        <v>73</v>
      </c>
      <c r="J3225" s="6" t="s">
        <v>151</v>
      </c>
      <c r="K3225" s="7">
        <v>33.02056382</v>
      </c>
      <c r="L3225" s="7">
        <v>-97.455764149999993</v>
      </c>
      <c r="M3225" s="6" t="s">
        <v>267</v>
      </c>
      <c r="N3225" s="6" t="s">
        <v>102</v>
      </c>
      <c r="O3225" s="6" t="s">
        <v>3278</v>
      </c>
    </row>
    <row r="3226" spans="1:15" x14ac:dyDescent="0.25">
      <c r="A3226" s="6" t="s">
        <v>11741</v>
      </c>
      <c r="B3226" s="6" t="s">
        <v>11740</v>
      </c>
      <c r="C3226" s="6" t="s">
        <v>31</v>
      </c>
      <c r="E3226" s="6" t="s">
        <v>11739</v>
      </c>
      <c r="F3226" s="6" t="s">
        <v>11738</v>
      </c>
      <c r="G3226" s="6" t="s">
        <v>16</v>
      </c>
      <c r="H3226" s="6" t="s">
        <v>15</v>
      </c>
      <c r="I3226" s="6" t="s">
        <v>14</v>
      </c>
      <c r="J3226" s="6" t="s">
        <v>4424</v>
      </c>
      <c r="K3226" s="7">
        <v>34.168964019999997</v>
      </c>
      <c r="L3226" s="7">
        <v>-101.62625185</v>
      </c>
      <c r="M3226" s="6" t="s">
        <v>4423</v>
      </c>
      <c r="N3226" s="6" t="s">
        <v>23</v>
      </c>
      <c r="O3226" s="6" t="s">
        <v>43</v>
      </c>
    </row>
    <row r="3227" spans="1:15" x14ac:dyDescent="0.25">
      <c r="A3227" s="6" t="s">
        <v>11363</v>
      </c>
      <c r="B3227" s="6" t="s">
        <v>11362</v>
      </c>
      <c r="C3227" s="6" t="s">
        <v>31</v>
      </c>
      <c r="E3227" s="6" t="s">
        <v>11361</v>
      </c>
      <c r="F3227" s="6" t="s">
        <v>11360</v>
      </c>
      <c r="G3227" s="6" t="s">
        <v>16</v>
      </c>
      <c r="H3227" s="6" t="s">
        <v>15</v>
      </c>
      <c r="I3227" s="6" t="s">
        <v>14</v>
      </c>
      <c r="J3227" s="6" t="s">
        <v>268</v>
      </c>
      <c r="K3227" s="7">
        <v>32.988333230000002</v>
      </c>
      <c r="L3227" s="7">
        <v>-97.241387649999993</v>
      </c>
      <c r="M3227" s="6" t="s">
        <v>156</v>
      </c>
      <c r="N3227" s="6" t="s">
        <v>102</v>
      </c>
      <c r="O3227" s="6" t="s">
        <v>42</v>
      </c>
    </row>
    <row r="3228" spans="1:15" x14ac:dyDescent="0.25">
      <c r="A3228" s="6" t="s">
        <v>11735</v>
      </c>
      <c r="B3228" s="6" t="s">
        <v>11734</v>
      </c>
      <c r="C3228" s="6" t="s">
        <v>31</v>
      </c>
      <c r="E3228" s="6" t="s">
        <v>11733</v>
      </c>
      <c r="F3228" s="6" t="s">
        <v>9372</v>
      </c>
      <c r="G3228" s="6" t="s">
        <v>16</v>
      </c>
      <c r="H3228" s="6" t="s">
        <v>15</v>
      </c>
      <c r="I3228" s="6" t="s">
        <v>73</v>
      </c>
      <c r="J3228" s="6" t="s">
        <v>409</v>
      </c>
      <c r="K3228" s="7">
        <v>30.438384920000001</v>
      </c>
      <c r="L3228" s="7">
        <v>-97.570697019999997</v>
      </c>
      <c r="M3228" s="6" t="s">
        <v>455</v>
      </c>
      <c r="N3228" s="6" t="s">
        <v>10</v>
      </c>
      <c r="O3228" s="6" t="s">
        <v>160</v>
      </c>
    </row>
    <row r="3229" spans="1:15" x14ac:dyDescent="0.25">
      <c r="A3229" s="6" t="s">
        <v>12023</v>
      </c>
      <c r="B3229" s="6" t="s">
        <v>12022</v>
      </c>
      <c r="C3229" s="6" t="s">
        <v>31</v>
      </c>
      <c r="E3229" s="6" t="s">
        <v>12021</v>
      </c>
      <c r="F3229" s="6" t="s">
        <v>12020</v>
      </c>
      <c r="G3229" s="6" t="s">
        <v>16</v>
      </c>
      <c r="H3229" s="6" t="s">
        <v>28</v>
      </c>
      <c r="I3229" s="6" t="s">
        <v>73</v>
      </c>
      <c r="J3229" s="6" t="s">
        <v>26</v>
      </c>
      <c r="K3229" s="7">
        <v>30.150715269999999</v>
      </c>
      <c r="L3229" s="7">
        <v>-95.430273380000003</v>
      </c>
      <c r="M3229" s="6" t="s">
        <v>731</v>
      </c>
      <c r="N3229" s="6" t="s">
        <v>24</v>
      </c>
      <c r="O3229" s="6" t="s">
        <v>23</v>
      </c>
    </row>
    <row r="3230" spans="1:15" x14ac:dyDescent="0.25">
      <c r="A3230" s="6" t="s">
        <v>12019</v>
      </c>
      <c r="B3230" s="6" t="s">
        <v>12018</v>
      </c>
      <c r="C3230" s="6" t="s">
        <v>31</v>
      </c>
      <c r="E3230" s="6" t="s">
        <v>12017</v>
      </c>
      <c r="F3230" s="6" t="s">
        <v>12016</v>
      </c>
      <c r="G3230" s="6" t="s">
        <v>16</v>
      </c>
      <c r="H3230" s="6" t="s">
        <v>28</v>
      </c>
      <c r="I3230" s="6" t="s">
        <v>73</v>
      </c>
      <c r="J3230" s="6" t="s">
        <v>853</v>
      </c>
      <c r="K3230" s="7">
        <v>29.66027923</v>
      </c>
      <c r="L3230" s="7">
        <v>-94.894153889999998</v>
      </c>
      <c r="M3230" s="6" t="s">
        <v>5100</v>
      </c>
      <c r="N3230" s="6" t="s">
        <v>120</v>
      </c>
      <c r="O3230" s="6" t="s">
        <v>23</v>
      </c>
    </row>
    <row r="3231" spans="1:15" x14ac:dyDescent="0.25">
      <c r="A3231" s="6" t="s">
        <v>12346</v>
      </c>
      <c r="B3231" s="6" t="s">
        <v>12345</v>
      </c>
      <c r="C3231" s="6" t="s">
        <v>31</v>
      </c>
      <c r="E3231" s="6" t="s">
        <v>12344</v>
      </c>
      <c r="F3231" s="6" t="s">
        <v>12343</v>
      </c>
      <c r="G3231" s="6" t="s">
        <v>16</v>
      </c>
      <c r="H3231" s="6" t="s">
        <v>28</v>
      </c>
      <c r="I3231" s="6" t="s">
        <v>73</v>
      </c>
      <c r="J3231" s="6" t="s">
        <v>13</v>
      </c>
      <c r="K3231" s="7">
        <v>27.690155000000001</v>
      </c>
      <c r="L3231" s="7">
        <v>-97.743118999999993</v>
      </c>
      <c r="M3231" s="6" t="s">
        <v>792</v>
      </c>
      <c r="N3231" s="6" t="s">
        <v>11</v>
      </c>
      <c r="O3231" s="6" t="s">
        <v>10</v>
      </c>
    </row>
    <row r="3232" spans="1:15" x14ac:dyDescent="0.25">
      <c r="A3232" s="6" t="s">
        <v>12026</v>
      </c>
      <c r="B3232" s="6" t="s">
        <v>12025</v>
      </c>
      <c r="C3232" s="6" t="s">
        <v>31</v>
      </c>
      <c r="E3232" s="6" t="s">
        <v>12024</v>
      </c>
      <c r="F3232" s="6" t="s">
        <v>457</v>
      </c>
      <c r="G3232" s="6" t="s">
        <v>16</v>
      </c>
      <c r="H3232" s="6" t="s">
        <v>28</v>
      </c>
      <c r="I3232" s="6" t="s">
        <v>73</v>
      </c>
      <c r="J3232" s="6" t="s">
        <v>590</v>
      </c>
      <c r="K3232" s="7">
        <v>30.368662440000001</v>
      </c>
      <c r="L3232" s="7">
        <v>-97.114140120000002</v>
      </c>
      <c r="M3232" s="6" t="s">
        <v>589</v>
      </c>
      <c r="N3232" s="6" t="s">
        <v>23</v>
      </c>
      <c r="O3232" s="6" t="s">
        <v>160</v>
      </c>
    </row>
    <row r="3233" spans="1:15" x14ac:dyDescent="0.25">
      <c r="A3233" s="6" t="s">
        <v>11358</v>
      </c>
      <c r="B3233" s="6" t="s">
        <v>11357</v>
      </c>
      <c r="C3233" s="6" t="s">
        <v>31</v>
      </c>
      <c r="E3233" s="6" t="s">
        <v>11356</v>
      </c>
      <c r="F3233" s="6" t="s">
        <v>5270</v>
      </c>
      <c r="G3233" s="6" t="s">
        <v>16</v>
      </c>
      <c r="H3233" s="6" t="s">
        <v>28</v>
      </c>
      <c r="I3233" s="6" t="s">
        <v>73</v>
      </c>
      <c r="J3233" s="6" t="s">
        <v>296</v>
      </c>
      <c r="K3233" s="7">
        <v>29.931862540000001</v>
      </c>
      <c r="L3233" s="7">
        <v>-96.837185399999996</v>
      </c>
      <c r="M3233" s="6" t="s">
        <v>295</v>
      </c>
      <c r="N3233" s="6" t="s">
        <v>10</v>
      </c>
      <c r="O3233" s="6" t="s">
        <v>160</v>
      </c>
    </row>
    <row r="3234" spans="1:15" x14ac:dyDescent="0.25">
      <c r="A3234" s="6" t="s">
        <v>10278</v>
      </c>
      <c r="B3234" s="6" t="s">
        <v>10277</v>
      </c>
      <c r="C3234" s="6" t="s">
        <v>31</v>
      </c>
      <c r="E3234" s="6" t="s">
        <v>10276</v>
      </c>
      <c r="F3234" s="6" t="s">
        <v>10275</v>
      </c>
      <c r="G3234" s="6" t="s">
        <v>16</v>
      </c>
      <c r="H3234" s="6" t="s">
        <v>28</v>
      </c>
      <c r="I3234" s="6" t="s">
        <v>46</v>
      </c>
      <c r="J3234" s="6" t="s">
        <v>1336</v>
      </c>
      <c r="K3234" s="7">
        <v>28.330077930000002</v>
      </c>
      <c r="L3234" s="7">
        <v>-98.102922599999999</v>
      </c>
      <c r="M3234" s="6" t="s">
        <v>10274</v>
      </c>
      <c r="N3234" s="6" t="s">
        <v>524</v>
      </c>
      <c r="O3234" s="6" t="s">
        <v>10</v>
      </c>
    </row>
    <row r="3235" spans="1:15" x14ac:dyDescent="0.25">
      <c r="A3235" s="6" t="s">
        <v>9566</v>
      </c>
      <c r="B3235" s="6" t="s">
        <v>9565</v>
      </c>
      <c r="C3235" s="6" t="s">
        <v>31</v>
      </c>
      <c r="E3235" s="6" t="s">
        <v>9564</v>
      </c>
      <c r="F3235" s="6" t="s">
        <v>9563</v>
      </c>
      <c r="G3235" s="6" t="s">
        <v>16</v>
      </c>
      <c r="H3235" s="6" t="s">
        <v>15</v>
      </c>
      <c r="I3235" s="6" t="s">
        <v>46</v>
      </c>
      <c r="J3235" s="6" t="s">
        <v>480</v>
      </c>
      <c r="K3235" s="7">
        <v>26.147627580000002</v>
      </c>
      <c r="L3235" s="7">
        <v>-98.051750580000004</v>
      </c>
      <c r="M3235" s="6" t="s">
        <v>179</v>
      </c>
      <c r="N3235" s="6" t="s">
        <v>11</v>
      </c>
      <c r="O3235" s="6" t="s">
        <v>22</v>
      </c>
    </row>
    <row r="3236" spans="1:15" x14ac:dyDescent="0.25">
      <c r="A3236" s="6" t="s">
        <v>9861</v>
      </c>
      <c r="B3236" s="6" t="s">
        <v>9860</v>
      </c>
      <c r="C3236" s="6" t="s">
        <v>31</v>
      </c>
      <c r="E3236" s="6" t="s">
        <v>9859</v>
      </c>
      <c r="F3236" s="6" t="s">
        <v>5443</v>
      </c>
      <c r="G3236" s="6" t="s">
        <v>16</v>
      </c>
      <c r="H3236" s="6" t="s">
        <v>15</v>
      </c>
      <c r="I3236" s="6" t="s">
        <v>14</v>
      </c>
      <c r="J3236" s="6" t="s">
        <v>1240</v>
      </c>
      <c r="K3236" s="7">
        <v>28.783649969999999</v>
      </c>
      <c r="L3236" s="7">
        <v>-97.00916368</v>
      </c>
      <c r="M3236" s="6" t="s">
        <v>1739</v>
      </c>
      <c r="N3236" s="6" t="s">
        <v>559</v>
      </c>
      <c r="O3236" s="6" t="s">
        <v>10</v>
      </c>
    </row>
    <row r="3237" spans="1:15" x14ac:dyDescent="0.25">
      <c r="A3237" s="6" t="s">
        <v>9734</v>
      </c>
      <c r="B3237" s="6" t="s">
        <v>9733</v>
      </c>
      <c r="C3237" s="6" t="s">
        <v>31</v>
      </c>
      <c r="E3237" s="6" t="s">
        <v>9732</v>
      </c>
      <c r="F3237" s="6" t="s">
        <v>2072</v>
      </c>
      <c r="G3237" s="6" t="s">
        <v>16</v>
      </c>
      <c r="H3237" s="6" t="s">
        <v>28</v>
      </c>
      <c r="I3237" s="6" t="s">
        <v>14</v>
      </c>
      <c r="J3237" s="6" t="s">
        <v>274</v>
      </c>
      <c r="K3237" s="7">
        <v>29.737778240000001</v>
      </c>
      <c r="L3237" s="7">
        <v>-98.430161819999995</v>
      </c>
      <c r="M3237" s="6" t="s">
        <v>273</v>
      </c>
      <c r="N3237" s="6" t="s">
        <v>232</v>
      </c>
      <c r="O3237" s="6" t="s">
        <v>231</v>
      </c>
    </row>
    <row r="3238" spans="1:15" x14ac:dyDescent="0.25">
      <c r="A3238" s="6" t="s">
        <v>10205</v>
      </c>
      <c r="B3238" s="6" t="s">
        <v>10204</v>
      </c>
      <c r="C3238" s="6" t="s">
        <v>31</v>
      </c>
      <c r="E3238" s="6" t="s">
        <v>10203</v>
      </c>
      <c r="F3238" s="6" t="s">
        <v>9852</v>
      </c>
      <c r="G3238" s="6" t="s">
        <v>16</v>
      </c>
      <c r="H3238" s="6" t="s">
        <v>28</v>
      </c>
      <c r="I3238" s="6" t="s">
        <v>27</v>
      </c>
      <c r="J3238" s="6" t="s">
        <v>26</v>
      </c>
      <c r="K3238" s="7">
        <v>30.260760359999999</v>
      </c>
      <c r="L3238" s="7">
        <v>-95.721501160000003</v>
      </c>
      <c r="M3238" s="6" t="s">
        <v>25</v>
      </c>
      <c r="N3238" s="6" t="s">
        <v>24</v>
      </c>
      <c r="O3238" s="6" t="s">
        <v>23</v>
      </c>
    </row>
    <row r="3239" spans="1:15" x14ac:dyDescent="0.25">
      <c r="A3239" s="6" t="s">
        <v>9855</v>
      </c>
      <c r="B3239" s="6" t="s">
        <v>9854</v>
      </c>
      <c r="C3239" s="6" t="s">
        <v>31</v>
      </c>
      <c r="E3239" s="6" t="s">
        <v>9853</v>
      </c>
      <c r="F3239" s="6" t="s">
        <v>9852</v>
      </c>
      <c r="G3239" s="6" t="s">
        <v>16</v>
      </c>
      <c r="H3239" s="6" t="s">
        <v>28</v>
      </c>
      <c r="I3239" s="6" t="s">
        <v>73</v>
      </c>
      <c r="J3239" s="6" t="s">
        <v>162</v>
      </c>
      <c r="K3239" s="7">
        <v>29.341285490000001</v>
      </c>
      <c r="L3239" s="7">
        <v>-95.430759339999994</v>
      </c>
      <c r="M3239" s="6" t="s">
        <v>1999</v>
      </c>
      <c r="N3239" s="6" t="s">
        <v>160</v>
      </c>
      <c r="O3239" s="6" t="s">
        <v>23</v>
      </c>
    </row>
    <row r="3240" spans="1:15" x14ac:dyDescent="0.25">
      <c r="A3240" s="6" t="s">
        <v>10202</v>
      </c>
      <c r="B3240" s="6" t="s">
        <v>10201</v>
      </c>
      <c r="C3240" s="6" t="s">
        <v>31</v>
      </c>
      <c r="E3240" s="6" t="s">
        <v>10200</v>
      </c>
      <c r="F3240" s="6" t="s">
        <v>10199</v>
      </c>
      <c r="G3240" s="6" t="s">
        <v>16</v>
      </c>
      <c r="H3240" s="6" t="s">
        <v>28</v>
      </c>
      <c r="I3240" s="6" t="s">
        <v>73</v>
      </c>
      <c r="J3240" s="6" t="s">
        <v>132</v>
      </c>
      <c r="K3240" s="7">
        <v>29.48520182</v>
      </c>
      <c r="L3240" s="7">
        <v>-95.458313750000002</v>
      </c>
      <c r="M3240" s="6" t="s">
        <v>161</v>
      </c>
      <c r="N3240" s="6" t="s">
        <v>160</v>
      </c>
      <c r="O3240" s="6" t="s">
        <v>23</v>
      </c>
    </row>
    <row r="3241" spans="1:15" x14ac:dyDescent="0.25">
      <c r="A3241" s="6" t="s">
        <v>9570</v>
      </c>
      <c r="B3241" s="6" t="s">
        <v>9569</v>
      </c>
      <c r="C3241" s="6" t="s">
        <v>31</v>
      </c>
      <c r="E3241" s="6" t="s">
        <v>9568</v>
      </c>
      <c r="F3241" s="6" t="s">
        <v>9567</v>
      </c>
      <c r="G3241" s="6" t="s">
        <v>16</v>
      </c>
      <c r="H3241" s="6" t="s">
        <v>28</v>
      </c>
      <c r="I3241" s="6" t="s">
        <v>27</v>
      </c>
      <c r="J3241" s="6" t="s">
        <v>35</v>
      </c>
      <c r="K3241" s="7">
        <v>29.934996300000002</v>
      </c>
      <c r="L3241" s="7">
        <v>-95.443414329999996</v>
      </c>
      <c r="M3241" s="6" t="s">
        <v>34</v>
      </c>
      <c r="N3241" s="6" t="s">
        <v>24</v>
      </c>
      <c r="O3241" s="6" t="s">
        <v>23</v>
      </c>
    </row>
    <row r="3242" spans="1:15" x14ac:dyDescent="0.25">
      <c r="A3242" s="6" t="s">
        <v>9738</v>
      </c>
      <c r="B3242" s="6" t="s">
        <v>9737</v>
      </c>
      <c r="C3242" s="6" t="s">
        <v>31</v>
      </c>
      <c r="E3242" s="6" t="s">
        <v>9736</v>
      </c>
      <c r="F3242" s="6" t="s">
        <v>6772</v>
      </c>
      <c r="G3242" s="6" t="s">
        <v>16</v>
      </c>
      <c r="H3242" s="6" t="s">
        <v>15</v>
      </c>
      <c r="I3242" s="6" t="s">
        <v>46</v>
      </c>
      <c r="J3242" s="6" t="s">
        <v>323</v>
      </c>
      <c r="K3242" s="7">
        <v>30.766217940000001</v>
      </c>
      <c r="L3242" s="7">
        <v>-94.411581330000004</v>
      </c>
      <c r="M3242" s="6" t="s">
        <v>1704</v>
      </c>
      <c r="N3242" s="6" t="s">
        <v>52</v>
      </c>
      <c r="O3242" s="6" t="s">
        <v>24</v>
      </c>
    </row>
    <row r="3243" spans="1:15" x14ac:dyDescent="0.25">
      <c r="A3243" s="6" t="s">
        <v>10194</v>
      </c>
      <c r="B3243" s="6" t="s">
        <v>10193</v>
      </c>
      <c r="C3243" s="6" t="s">
        <v>31</v>
      </c>
      <c r="E3243" s="6" t="s">
        <v>10192</v>
      </c>
      <c r="F3243" s="6" t="s">
        <v>3909</v>
      </c>
      <c r="G3243" s="6" t="s">
        <v>16</v>
      </c>
      <c r="H3243" s="6" t="s">
        <v>15</v>
      </c>
      <c r="I3243" s="6" t="s">
        <v>14</v>
      </c>
      <c r="J3243" s="6" t="s">
        <v>221</v>
      </c>
      <c r="K3243" s="7">
        <v>30.494837029999999</v>
      </c>
      <c r="L3243" s="7">
        <v>-97.522385679999999</v>
      </c>
      <c r="M3243" s="6" t="s">
        <v>3908</v>
      </c>
      <c r="N3243" s="6" t="s">
        <v>23</v>
      </c>
      <c r="O3243" s="6" t="s">
        <v>160</v>
      </c>
    </row>
    <row r="3244" spans="1:15" x14ac:dyDescent="0.25">
      <c r="A3244" s="6" t="s">
        <v>9858</v>
      </c>
      <c r="B3244" s="6" t="s">
        <v>9857</v>
      </c>
      <c r="C3244" s="6" t="s">
        <v>31</v>
      </c>
      <c r="E3244" s="6" t="s">
        <v>9856</v>
      </c>
      <c r="F3244" s="6" t="s">
        <v>410</v>
      </c>
      <c r="G3244" s="6" t="s">
        <v>16</v>
      </c>
      <c r="H3244" s="6" t="s">
        <v>28</v>
      </c>
      <c r="I3244" s="6" t="s">
        <v>73</v>
      </c>
      <c r="J3244" s="6" t="s">
        <v>409</v>
      </c>
      <c r="K3244" s="7">
        <v>30.1655026</v>
      </c>
      <c r="L3244" s="7">
        <v>-97.570886239999993</v>
      </c>
      <c r="M3244" s="6" t="s">
        <v>408</v>
      </c>
      <c r="N3244" s="6" t="s">
        <v>10</v>
      </c>
      <c r="O3244" s="6" t="s">
        <v>160</v>
      </c>
    </row>
    <row r="3245" spans="1:15" x14ac:dyDescent="0.25">
      <c r="A3245" s="6" t="s">
        <v>6538</v>
      </c>
      <c r="B3245" s="6" t="s">
        <v>6537</v>
      </c>
      <c r="C3245" s="6" t="s">
        <v>31</v>
      </c>
      <c r="E3245" s="6" t="s">
        <v>6536</v>
      </c>
      <c r="F3245" s="6" t="s">
        <v>6535</v>
      </c>
      <c r="G3245" s="6" t="s">
        <v>16</v>
      </c>
      <c r="H3245" s="6" t="s">
        <v>28</v>
      </c>
      <c r="I3245" s="6" t="s">
        <v>60</v>
      </c>
      <c r="J3245" s="6" t="s">
        <v>6534</v>
      </c>
      <c r="K3245" s="7">
        <v>26.785048020000001</v>
      </c>
      <c r="L3245" s="7">
        <v>-99.118455690000005</v>
      </c>
      <c r="M3245" s="6" t="s">
        <v>6533</v>
      </c>
      <c r="N3245" s="6" t="s">
        <v>373</v>
      </c>
      <c r="O3245" s="6" t="s">
        <v>510</v>
      </c>
    </row>
    <row r="3246" spans="1:15" x14ac:dyDescent="0.25">
      <c r="A3246" s="6" t="s">
        <v>9371</v>
      </c>
      <c r="B3246" s="6" t="s">
        <v>9370</v>
      </c>
      <c r="C3246" s="6" t="s">
        <v>31</v>
      </c>
      <c r="E3246" s="6" t="s">
        <v>9369</v>
      </c>
      <c r="F3246" s="6" t="s">
        <v>2571</v>
      </c>
      <c r="G3246" s="6" t="s">
        <v>16</v>
      </c>
      <c r="H3246" s="6" t="s">
        <v>15</v>
      </c>
      <c r="I3246" s="6" t="s">
        <v>14</v>
      </c>
      <c r="J3246" s="6" t="s">
        <v>221</v>
      </c>
      <c r="K3246" s="7">
        <v>30.67288705</v>
      </c>
      <c r="L3246" s="7">
        <v>-97.842286090000002</v>
      </c>
      <c r="M3246" s="6" t="s">
        <v>9368</v>
      </c>
      <c r="N3246" s="6" t="s">
        <v>23</v>
      </c>
      <c r="O3246" s="6" t="s">
        <v>160</v>
      </c>
    </row>
    <row r="3247" spans="1:15" x14ac:dyDescent="0.25">
      <c r="A3247" s="6" t="s">
        <v>1626</v>
      </c>
      <c r="B3247" s="6" t="s">
        <v>1625</v>
      </c>
      <c r="C3247" s="6" t="s">
        <v>31</v>
      </c>
      <c r="E3247" s="6" t="s">
        <v>1624</v>
      </c>
      <c r="F3247" s="6" t="s">
        <v>1623</v>
      </c>
      <c r="G3247" s="6" t="s">
        <v>16</v>
      </c>
      <c r="H3247" s="6" t="s">
        <v>15</v>
      </c>
      <c r="I3247" s="6" t="s">
        <v>14</v>
      </c>
      <c r="J3247" s="6" t="s">
        <v>1074</v>
      </c>
      <c r="K3247" s="7">
        <v>29.675131400000001</v>
      </c>
      <c r="L3247" s="7">
        <v>-96.028454400000001</v>
      </c>
      <c r="M3247" s="6" t="s">
        <v>355</v>
      </c>
      <c r="N3247" s="6" t="s">
        <v>23</v>
      </c>
      <c r="O3247" s="6" t="s">
        <v>23</v>
      </c>
    </row>
    <row r="3248" spans="1:15" x14ac:dyDescent="0.25">
      <c r="A3248" s="6" t="s">
        <v>3796</v>
      </c>
      <c r="B3248" s="6" t="s">
        <v>3795</v>
      </c>
      <c r="C3248" s="6" t="s">
        <v>31</v>
      </c>
      <c r="E3248" s="6" t="s">
        <v>3794</v>
      </c>
      <c r="F3248" s="6" t="s">
        <v>3793</v>
      </c>
      <c r="G3248" s="6" t="s">
        <v>16</v>
      </c>
      <c r="H3248" s="6" t="s">
        <v>28</v>
      </c>
      <c r="I3248" s="6" t="s">
        <v>14</v>
      </c>
      <c r="J3248" s="6" t="s">
        <v>35</v>
      </c>
      <c r="K3248" s="7">
        <v>29.89231551</v>
      </c>
      <c r="L3248" s="7">
        <v>-95.388598279999997</v>
      </c>
      <c r="M3248" s="6" t="s">
        <v>34</v>
      </c>
      <c r="N3248" s="6" t="s">
        <v>24</v>
      </c>
      <c r="O3248" s="6" t="s">
        <v>23</v>
      </c>
    </row>
    <row r="3249" spans="1:15" x14ac:dyDescent="0.25">
      <c r="A3249" s="6" t="s">
        <v>7801</v>
      </c>
      <c r="B3249" s="6" t="s">
        <v>7800</v>
      </c>
      <c r="C3249" s="6" t="s">
        <v>31</v>
      </c>
      <c r="E3249" s="6" t="s">
        <v>7799</v>
      </c>
      <c r="F3249" s="6" t="s">
        <v>7798</v>
      </c>
      <c r="G3249" s="6" t="s">
        <v>16</v>
      </c>
      <c r="H3249" s="6" t="s">
        <v>28</v>
      </c>
      <c r="I3249" s="6" t="s">
        <v>27</v>
      </c>
      <c r="J3249" s="6" t="s">
        <v>151</v>
      </c>
      <c r="K3249" s="7">
        <v>33.223121390000003</v>
      </c>
      <c r="L3249" s="7">
        <v>-97.829745369999998</v>
      </c>
      <c r="M3249" s="6" t="s">
        <v>150</v>
      </c>
      <c r="N3249" s="6" t="s">
        <v>102</v>
      </c>
      <c r="O3249" s="6" t="s">
        <v>42</v>
      </c>
    </row>
    <row r="3250" spans="1:15" x14ac:dyDescent="0.25">
      <c r="A3250" s="6" t="s">
        <v>12268</v>
      </c>
      <c r="B3250" s="6" t="s">
        <v>12267</v>
      </c>
      <c r="C3250" s="6" t="s">
        <v>31</v>
      </c>
      <c r="E3250" s="6" t="s">
        <v>12266</v>
      </c>
      <c r="F3250" s="6" t="s">
        <v>933</v>
      </c>
      <c r="G3250" s="6" t="s">
        <v>16</v>
      </c>
      <c r="H3250" s="6" t="s">
        <v>15</v>
      </c>
      <c r="I3250" s="6" t="s">
        <v>36</v>
      </c>
      <c r="J3250" s="6" t="s">
        <v>35</v>
      </c>
      <c r="K3250" s="7">
        <v>29.74215358</v>
      </c>
      <c r="L3250" s="7">
        <v>-95.110286909999999</v>
      </c>
      <c r="M3250" s="6" t="s">
        <v>34</v>
      </c>
      <c r="N3250" s="6" t="s">
        <v>24</v>
      </c>
      <c r="O3250" s="6" t="s">
        <v>23</v>
      </c>
    </row>
    <row r="3251" spans="1:15" x14ac:dyDescent="0.25">
      <c r="A3251" s="6" t="s">
        <v>8924</v>
      </c>
      <c r="B3251" s="6" t="s">
        <v>8923</v>
      </c>
      <c r="C3251" s="6" t="s">
        <v>31</v>
      </c>
      <c r="E3251" s="6" t="s">
        <v>8922</v>
      </c>
      <c r="F3251" s="6" t="s">
        <v>2241</v>
      </c>
      <c r="G3251" s="6" t="s">
        <v>16</v>
      </c>
      <c r="H3251" s="6" t="s">
        <v>28</v>
      </c>
      <c r="I3251" s="6" t="s">
        <v>60</v>
      </c>
      <c r="J3251" s="6" t="s">
        <v>1787</v>
      </c>
      <c r="K3251" s="7">
        <v>32.731099440000001</v>
      </c>
      <c r="L3251" s="7">
        <v>-96.011345039999995</v>
      </c>
      <c r="M3251" s="6" t="s">
        <v>423</v>
      </c>
      <c r="N3251" s="6" t="s">
        <v>65</v>
      </c>
      <c r="O3251" s="6" t="s">
        <v>65</v>
      </c>
    </row>
    <row r="3252" spans="1:15" x14ac:dyDescent="0.25">
      <c r="A3252" s="6" t="s">
        <v>4875</v>
      </c>
      <c r="B3252" s="6" t="s">
        <v>4874</v>
      </c>
      <c r="C3252" s="6" t="s">
        <v>31</v>
      </c>
      <c r="E3252" s="6" t="s">
        <v>4873</v>
      </c>
      <c r="F3252" s="6" t="s">
        <v>4872</v>
      </c>
      <c r="G3252" s="6" t="s">
        <v>16</v>
      </c>
      <c r="H3252" s="6" t="s">
        <v>15</v>
      </c>
      <c r="I3252" s="6" t="s">
        <v>14</v>
      </c>
      <c r="J3252" s="6" t="s">
        <v>215</v>
      </c>
      <c r="K3252" s="7">
        <v>29.468753840000002</v>
      </c>
      <c r="L3252" s="7">
        <v>-95.172422949999998</v>
      </c>
      <c r="M3252" s="6" t="s">
        <v>1037</v>
      </c>
      <c r="N3252" s="6" t="s">
        <v>160</v>
      </c>
      <c r="O3252" s="6" t="s">
        <v>23</v>
      </c>
    </row>
    <row r="3253" spans="1:15" x14ac:dyDescent="0.25">
      <c r="A3253" s="6" t="s">
        <v>8928</v>
      </c>
      <c r="B3253" s="6" t="s">
        <v>8927</v>
      </c>
      <c r="C3253" s="6" t="s">
        <v>31</v>
      </c>
      <c r="E3253" s="6" t="s">
        <v>8926</v>
      </c>
      <c r="F3253" s="6" t="s">
        <v>8925</v>
      </c>
      <c r="G3253" s="6" t="s">
        <v>16</v>
      </c>
      <c r="H3253" s="6" t="s">
        <v>15</v>
      </c>
      <c r="I3253" s="6" t="s">
        <v>14</v>
      </c>
      <c r="J3253" s="6" t="s">
        <v>951</v>
      </c>
      <c r="K3253" s="7">
        <v>28.135179239999999</v>
      </c>
      <c r="L3253" s="7">
        <v>-97.00811401</v>
      </c>
      <c r="M3253" s="6" t="s">
        <v>138</v>
      </c>
      <c r="N3253" s="6" t="s">
        <v>137</v>
      </c>
      <c r="O3253" s="6" t="s">
        <v>10</v>
      </c>
    </row>
    <row r="3254" spans="1:15" x14ac:dyDescent="0.25">
      <c r="A3254" s="6" t="s">
        <v>7754</v>
      </c>
      <c r="B3254" s="6" t="s">
        <v>7753</v>
      </c>
      <c r="C3254" s="6" t="s">
        <v>31</v>
      </c>
      <c r="E3254" s="6" t="s">
        <v>7752</v>
      </c>
      <c r="F3254" s="6" t="s">
        <v>7751</v>
      </c>
      <c r="G3254" s="6" t="s">
        <v>16</v>
      </c>
      <c r="H3254" s="6" t="s">
        <v>28</v>
      </c>
      <c r="I3254" s="6" t="s">
        <v>27</v>
      </c>
      <c r="J3254" s="6" t="s">
        <v>1787</v>
      </c>
      <c r="K3254" s="7">
        <v>32.373901279999998</v>
      </c>
      <c r="L3254" s="7">
        <v>-95.531092020000003</v>
      </c>
      <c r="M3254" s="6" t="s">
        <v>66</v>
      </c>
      <c r="N3254" s="6" t="s">
        <v>52</v>
      </c>
      <c r="O3254" s="6" t="s">
        <v>65</v>
      </c>
    </row>
    <row r="3255" spans="1:15" x14ac:dyDescent="0.25">
      <c r="A3255" s="6" t="s">
        <v>8512</v>
      </c>
      <c r="B3255" s="6" t="s">
        <v>8511</v>
      </c>
      <c r="C3255" s="6" t="s">
        <v>31</v>
      </c>
      <c r="E3255" s="6" t="s">
        <v>8510</v>
      </c>
      <c r="F3255" s="6" t="s">
        <v>5388</v>
      </c>
      <c r="G3255" s="6" t="s">
        <v>16</v>
      </c>
      <c r="H3255" s="6" t="s">
        <v>28</v>
      </c>
      <c r="I3255" s="6" t="s">
        <v>14</v>
      </c>
      <c r="J3255" s="6" t="s">
        <v>873</v>
      </c>
      <c r="K3255" s="7">
        <v>29.26403753</v>
      </c>
      <c r="L3255" s="7">
        <v>-98.704385939999995</v>
      </c>
      <c r="M3255" s="6" t="s">
        <v>233</v>
      </c>
      <c r="N3255" s="6" t="s">
        <v>232</v>
      </c>
      <c r="O3255" s="6" t="s">
        <v>231</v>
      </c>
    </row>
    <row r="3256" spans="1:15" x14ac:dyDescent="0.25">
      <c r="A3256" s="6" t="s">
        <v>1653</v>
      </c>
      <c r="B3256" s="6" t="s">
        <v>1652</v>
      </c>
      <c r="C3256" s="6" t="s">
        <v>31</v>
      </c>
      <c r="E3256" s="6" t="s">
        <v>1651</v>
      </c>
      <c r="F3256" s="6" t="s">
        <v>1650</v>
      </c>
      <c r="G3256" s="6" t="s">
        <v>16</v>
      </c>
      <c r="H3256" s="6" t="s">
        <v>28</v>
      </c>
      <c r="I3256" s="6" t="s">
        <v>27</v>
      </c>
      <c r="J3256" s="6" t="s">
        <v>904</v>
      </c>
      <c r="K3256" s="7">
        <v>32.7898025</v>
      </c>
      <c r="L3256" s="7">
        <v>-97.549841599999993</v>
      </c>
      <c r="M3256" s="6" t="s">
        <v>1649</v>
      </c>
      <c r="N3256" s="6" t="s">
        <v>102</v>
      </c>
      <c r="O3256" s="6" t="s">
        <v>42</v>
      </c>
    </row>
    <row r="3257" spans="1:15" x14ac:dyDescent="0.25">
      <c r="A3257" s="6" t="s">
        <v>8394</v>
      </c>
      <c r="B3257" s="6" t="s">
        <v>1110</v>
      </c>
      <c r="C3257" s="6" t="s">
        <v>31</v>
      </c>
      <c r="E3257" s="6" t="s">
        <v>1109</v>
      </c>
      <c r="F3257" s="6" t="s">
        <v>1108</v>
      </c>
      <c r="G3257" s="6" t="s">
        <v>16</v>
      </c>
      <c r="H3257" s="6" t="s">
        <v>15</v>
      </c>
      <c r="I3257" s="6" t="s">
        <v>27</v>
      </c>
      <c r="J3257" s="6" t="s">
        <v>35</v>
      </c>
      <c r="K3257" s="7">
        <v>29.760892649999999</v>
      </c>
      <c r="L3257" s="7">
        <v>-95.101718500000004</v>
      </c>
      <c r="M3257" s="6" t="s">
        <v>34</v>
      </c>
      <c r="N3257" s="6" t="s">
        <v>24</v>
      </c>
      <c r="O3257" s="6" t="s">
        <v>23</v>
      </c>
    </row>
    <row r="3258" spans="1:15" x14ac:dyDescent="0.25">
      <c r="A3258" s="6" t="s">
        <v>1113</v>
      </c>
      <c r="B3258" s="6" t="s">
        <v>1110</v>
      </c>
      <c r="C3258" s="6" t="s">
        <v>19</v>
      </c>
      <c r="E3258" s="6" t="s">
        <v>1109</v>
      </c>
      <c r="F3258" s="6" t="s">
        <v>1108</v>
      </c>
      <c r="G3258" s="6" t="s">
        <v>16</v>
      </c>
      <c r="H3258" s="6" t="s">
        <v>15</v>
      </c>
      <c r="I3258" s="6" t="s">
        <v>27</v>
      </c>
      <c r="J3258" s="6" t="s">
        <v>35</v>
      </c>
      <c r="K3258" s="7">
        <v>29.760892649999999</v>
      </c>
      <c r="L3258" s="7">
        <v>-95.101718500000004</v>
      </c>
      <c r="M3258" s="6" t="s">
        <v>34</v>
      </c>
      <c r="N3258" s="6" t="s">
        <v>24</v>
      </c>
      <c r="O3258" s="6" t="s">
        <v>23</v>
      </c>
    </row>
    <row r="3259" spans="1:15" x14ac:dyDescent="0.25">
      <c r="A3259" s="6" t="s">
        <v>1112</v>
      </c>
      <c r="B3259" s="6" t="s">
        <v>1110</v>
      </c>
      <c r="C3259" s="6" t="s">
        <v>436</v>
      </c>
      <c r="E3259" s="6" t="s">
        <v>1109</v>
      </c>
      <c r="F3259" s="6" t="s">
        <v>1108</v>
      </c>
      <c r="G3259" s="6" t="s">
        <v>16</v>
      </c>
      <c r="H3259" s="6" t="s">
        <v>15</v>
      </c>
      <c r="I3259" s="6" t="s">
        <v>27</v>
      </c>
      <c r="J3259" s="6" t="s">
        <v>35</v>
      </c>
      <c r="K3259" s="7">
        <v>29.760892649999999</v>
      </c>
      <c r="L3259" s="7">
        <v>-95.101718500000004</v>
      </c>
      <c r="M3259" s="6" t="s">
        <v>34</v>
      </c>
      <c r="N3259" s="6" t="s">
        <v>24</v>
      </c>
      <c r="O3259" s="6" t="s">
        <v>23</v>
      </c>
    </row>
    <row r="3260" spans="1:15" x14ac:dyDescent="0.25">
      <c r="A3260" s="6" t="s">
        <v>1111</v>
      </c>
      <c r="B3260" s="6" t="s">
        <v>1110</v>
      </c>
      <c r="C3260" s="6" t="s">
        <v>597</v>
      </c>
      <c r="E3260" s="6" t="s">
        <v>1109</v>
      </c>
      <c r="F3260" s="6" t="s">
        <v>1108</v>
      </c>
      <c r="G3260" s="6" t="s">
        <v>16</v>
      </c>
      <c r="H3260" s="6" t="s">
        <v>15</v>
      </c>
      <c r="I3260" s="6" t="s">
        <v>27</v>
      </c>
      <c r="J3260" s="6" t="s">
        <v>35</v>
      </c>
      <c r="K3260" s="7">
        <v>29.760892649999999</v>
      </c>
      <c r="L3260" s="7">
        <v>-95.101718500000004</v>
      </c>
      <c r="M3260" s="6" t="s">
        <v>34</v>
      </c>
      <c r="N3260" s="6" t="s">
        <v>24</v>
      </c>
      <c r="O3260" s="6" t="s">
        <v>23</v>
      </c>
    </row>
    <row r="3261" spans="1:15" x14ac:dyDescent="0.25">
      <c r="A3261" s="6" t="s">
        <v>3546</v>
      </c>
      <c r="B3261" s="6" t="s">
        <v>3545</v>
      </c>
      <c r="C3261" s="6" t="s">
        <v>31</v>
      </c>
      <c r="E3261" s="6" t="s">
        <v>3544</v>
      </c>
      <c r="F3261" s="6" t="s">
        <v>3543</v>
      </c>
      <c r="G3261" s="6" t="s">
        <v>16</v>
      </c>
      <c r="H3261" s="6" t="s">
        <v>28</v>
      </c>
      <c r="I3261" s="6" t="s">
        <v>799</v>
      </c>
      <c r="J3261" s="6" t="s">
        <v>753</v>
      </c>
      <c r="K3261" s="7">
        <v>30.02045601</v>
      </c>
      <c r="L3261" s="7">
        <v>-97.823084010000002</v>
      </c>
      <c r="M3261" s="6" t="s">
        <v>752</v>
      </c>
      <c r="N3261" s="6" t="s">
        <v>559</v>
      </c>
      <c r="O3261" s="6" t="s">
        <v>160</v>
      </c>
    </row>
    <row r="3262" spans="1:15" x14ac:dyDescent="0.25">
      <c r="A3262" s="6" t="s">
        <v>10112</v>
      </c>
      <c r="B3262" s="6" t="s">
        <v>10111</v>
      </c>
      <c r="C3262" s="6" t="s">
        <v>31</v>
      </c>
      <c r="E3262" s="6" t="s">
        <v>10110</v>
      </c>
      <c r="F3262" s="6" t="s">
        <v>10109</v>
      </c>
      <c r="G3262" s="6" t="s">
        <v>16</v>
      </c>
      <c r="H3262" s="6" t="s">
        <v>15</v>
      </c>
      <c r="I3262" s="6" t="s">
        <v>14</v>
      </c>
      <c r="J3262" s="6" t="s">
        <v>35</v>
      </c>
      <c r="K3262" s="7">
        <v>29.815313150000001</v>
      </c>
      <c r="L3262" s="7">
        <v>-95.182295550000006</v>
      </c>
      <c r="M3262" s="6" t="s">
        <v>34</v>
      </c>
      <c r="N3262" s="6" t="s">
        <v>24</v>
      </c>
      <c r="O3262" s="6" t="s">
        <v>23</v>
      </c>
    </row>
    <row r="3263" spans="1:15" x14ac:dyDescent="0.25">
      <c r="A3263" s="6" t="s">
        <v>8376</v>
      </c>
      <c r="B3263" s="6" t="s">
        <v>8375</v>
      </c>
      <c r="C3263" s="6" t="s">
        <v>31</v>
      </c>
      <c r="E3263" s="6" t="s">
        <v>8374</v>
      </c>
      <c r="F3263" s="6" t="s">
        <v>2777</v>
      </c>
      <c r="G3263" s="6" t="s">
        <v>16</v>
      </c>
      <c r="H3263" s="6" t="s">
        <v>28</v>
      </c>
      <c r="I3263" s="6" t="s">
        <v>27</v>
      </c>
      <c r="J3263" s="6" t="s">
        <v>132</v>
      </c>
      <c r="K3263" s="7">
        <v>29.50819508</v>
      </c>
      <c r="L3263" s="7">
        <v>-95.547764619999995</v>
      </c>
      <c r="M3263" s="6" t="s">
        <v>616</v>
      </c>
      <c r="N3263" s="6" t="s">
        <v>23</v>
      </c>
      <c r="O3263" s="6" t="s">
        <v>23</v>
      </c>
    </row>
    <row r="3264" spans="1:15" x14ac:dyDescent="0.25">
      <c r="A3264" s="6" t="s">
        <v>8536</v>
      </c>
      <c r="B3264" s="6" t="s">
        <v>8535</v>
      </c>
      <c r="C3264" s="6" t="s">
        <v>31</v>
      </c>
      <c r="E3264" s="6" t="s">
        <v>8534</v>
      </c>
      <c r="F3264" s="6" t="s">
        <v>3673</v>
      </c>
      <c r="G3264" s="6" t="s">
        <v>16</v>
      </c>
      <c r="H3264" s="6" t="s">
        <v>28</v>
      </c>
      <c r="I3264" s="6" t="s">
        <v>14</v>
      </c>
      <c r="J3264" s="6" t="s">
        <v>1519</v>
      </c>
      <c r="K3264" s="7">
        <v>30.18668997</v>
      </c>
      <c r="L3264" s="7">
        <v>-95.081843390000003</v>
      </c>
      <c r="M3264" s="6" t="s">
        <v>301</v>
      </c>
      <c r="N3264" s="6" t="s">
        <v>24</v>
      </c>
      <c r="O3264" s="6" t="s">
        <v>23</v>
      </c>
    </row>
    <row r="3265" spans="1:15" x14ac:dyDescent="0.25">
      <c r="A3265" s="6" t="s">
        <v>7298</v>
      </c>
      <c r="B3265" s="6" t="s">
        <v>7297</v>
      </c>
      <c r="C3265" s="6" t="s">
        <v>31</v>
      </c>
      <c r="E3265" s="6" t="s">
        <v>7296</v>
      </c>
      <c r="F3265" s="6" t="s">
        <v>2142</v>
      </c>
      <c r="G3265" s="6" t="s">
        <v>16</v>
      </c>
      <c r="H3265" s="6" t="s">
        <v>15</v>
      </c>
      <c r="I3265" s="6" t="s">
        <v>14</v>
      </c>
      <c r="J3265" s="6" t="s">
        <v>853</v>
      </c>
      <c r="K3265" s="7">
        <v>29.834736360000001</v>
      </c>
      <c r="L3265" s="7">
        <v>-94.892007160000006</v>
      </c>
      <c r="M3265" s="6" t="s">
        <v>1445</v>
      </c>
      <c r="N3265" s="6" t="s">
        <v>120</v>
      </c>
      <c r="O3265" s="6" t="s">
        <v>23</v>
      </c>
    </row>
    <row r="3266" spans="1:15" x14ac:dyDescent="0.25">
      <c r="A3266" s="6" t="s">
        <v>11570</v>
      </c>
      <c r="B3266" s="6" t="s">
        <v>11569</v>
      </c>
      <c r="C3266" s="6" t="s">
        <v>31</v>
      </c>
      <c r="E3266" s="6" t="s">
        <v>11568</v>
      </c>
      <c r="F3266" s="6" t="s">
        <v>11567</v>
      </c>
      <c r="G3266" s="6" t="s">
        <v>16</v>
      </c>
      <c r="H3266" s="6" t="s">
        <v>15</v>
      </c>
      <c r="I3266" s="6" t="s">
        <v>27</v>
      </c>
      <c r="J3266" s="6" t="s">
        <v>2831</v>
      </c>
      <c r="K3266" s="7">
        <v>29.315320880000002</v>
      </c>
      <c r="L3266" s="7">
        <v>-103.62098424</v>
      </c>
      <c r="M3266" s="6" t="s">
        <v>2896</v>
      </c>
      <c r="N3266" s="6" t="s">
        <v>373</v>
      </c>
      <c r="O3266" s="6" t="s">
        <v>52</v>
      </c>
    </row>
    <row r="3267" spans="1:15" x14ac:dyDescent="0.25">
      <c r="A3267" s="6" t="s">
        <v>803</v>
      </c>
      <c r="B3267" s="6" t="s">
        <v>802</v>
      </c>
      <c r="C3267" s="6" t="s">
        <v>31</v>
      </c>
      <c r="E3267" s="6" t="s">
        <v>801</v>
      </c>
      <c r="F3267" s="6" t="s">
        <v>800</v>
      </c>
      <c r="G3267" s="6" t="s">
        <v>16</v>
      </c>
      <c r="H3267" s="6" t="s">
        <v>15</v>
      </c>
      <c r="I3267" s="6" t="s">
        <v>799</v>
      </c>
      <c r="J3267" s="6" t="s">
        <v>798</v>
      </c>
      <c r="K3267" s="7">
        <v>30.831772000000001</v>
      </c>
      <c r="L3267" s="7">
        <v>-93.737646999999996</v>
      </c>
      <c r="M3267" s="6" t="s">
        <v>797</v>
      </c>
      <c r="N3267" s="6" t="s">
        <v>65</v>
      </c>
      <c r="O3267" s="6" t="s">
        <v>24</v>
      </c>
    </row>
    <row r="3268" spans="1:15" x14ac:dyDescent="0.25">
      <c r="A3268" s="6" t="s">
        <v>1986</v>
      </c>
      <c r="B3268" s="6" t="s">
        <v>1985</v>
      </c>
      <c r="C3268" s="6" t="s">
        <v>31</v>
      </c>
      <c r="E3268" s="6" t="s">
        <v>1984</v>
      </c>
      <c r="F3268" s="6" t="s">
        <v>1983</v>
      </c>
      <c r="G3268" s="6" t="s">
        <v>16</v>
      </c>
      <c r="H3268" s="6" t="s">
        <v>28</v>
      </c>
      <c r="I3268" s="6" t="s">
        <v>799</v>
      </c>
      <c r="J3268" s="6" t="s">
        <v>35</v>
      </c>
      <c r="K3268" s="7">
        <v>29.903606329999999</v>
      </c>
      <c r="L3268" s="7">
        <v>-95.179146180000004</v>
      </c>
      <c r="M3268" s="6" t="s">
        <v>716</v>
      </c>
      <c r="N3268" s="6" t="s">
        <v>24</v>
      </c>
      <c r="O3268" s="6" t="s">
        <v>23</v>
      </c>
    </row>
    <row r="3269" spans="1:15" x14ac:dyDescent="0.25">
      <c r="A3269" s="6" t="s">
        <v>1648</v>
      </c>
      <c r="B3269" s="6" t="s">
        <v>1647</v>
      </c>
      <c r="C3269" s="6" t="s">
        <v>31</v>
      </c>
      <c r="E3269" s="6" t="s">
        <v>1646</v>
      </c>
      <c r="F3269" s="6" t="s">
        <v>606</v>
      </c>
      <c r="G3269" s="6" t="s">
        <v>16</v>
      </c>
      <c r="H3269" s="6" t="s">
        <v>28</v>
      </c>
      <c r="I3269" s="6" t="s">
        <v>799</v>
      </c>
      <c r="J3269" s="6" t="s">
        <v>1645</v>
      </c>
      <c r="K3269" s="7">
        <v>28.462721210000002</v>
      </c>
      <c r="L3269" s="7">
        <v>-98.645815679999998</v>
      </c>
      <c r="M3269" s="6" t="s">
        <v>1644</v>
      </c>
      <c r="N3269" s="6" t="s">
        <v>24</v>
      </c>
      <c r="O3269" s="6" t="s">
        <v>510</v>
      </c>
    </row>
    <row r="3270" spans="1:15" x14ac:dyDescent="0.25">
      <c r="A3270" s="6" t="s">
        <v>2212</v>
      </c>
      <c r="B3270" s="6" t="s">
        <v>1035</v>
      </c>
      <c r="C3270" s="6" t="s">
        <v>31</v>
      </c>
      <c r="E3270" s="6" t="s">
        <v>1034</v>
      </c>
      <c r="F3270" s="6" t="s">
        <v>1033</v>
      </c>
      <c r="G3270" s="6" t="s">
        <v>16</v>
      </c>
      <c r="H3270" s="6" t="s">
        <v>15</v>
      </c>
      <c r="I3270" s="6" t="s">
        <v>46</v>
      </c>
      <c r="J3270" s="6" t="s">
        <v>1032</v>
      </c>
      <c r="K3270" s="7">
        <v>29.651497469999999</v>
      </c>
      <c r="L3270" s="7">
        <v>-98.057240469999996</v>
      </c>
      <c r="M3270" s="6" t="s">
        <v>1031</v>
      </c>
      <c r="N3270" s="6" t="s">
        <v>102</v>
      </c>
      <c r="O3270" s="6" t="s">
        <v>231</v>
      </c>
    </row>
    <row r="3271" spans="1:15" x14ac:dyDescent="0.25">
      <c r="A3271" s="6" t="s">
        <v>1036</v>
      </c>
      <c r="B3271" s="6" t="s">
        <v>1035</v>
      </c>
      <c r="C3271" s="6" t="s">
        <v>19</v>
      </c>
      <c r="E3271" s="6" t="s">
        <v>1034</v>
      </c>
      <c r="F3271" s="6" t="s">
        <v>1033</v>
      </c>
      <c r="G3271" s="6" t="s">
        <v>16</v>
      </c>
      <c r="H3271" s="6" t="s">
        <v>15</v>
      </c>
      <c r="I3271" s="6" t="s">
        <v>46</v>
      </c>
      <c r="J3271" s="6" t="s">
        <v>1032</v>
      </c>
      <c r="K3271" s="7">
        <v>29.650689629999999</v>
      </c>
      <c r="L3271" s="7">
        <v>-98.057867130000005</v>
      </c>
      <c r="M3271" s="6" t="s">
        <v>1031</v>
      </c>
      <c r="N3271" s="6" t="s">
        <v>102</v>
      </c>
      <c r="O3271" s="6" t="s">
        <v>231</v>
      </c>
    </row>
    <row r="3272" spans="1:15" x14ac:dyDescent="0.25">
      <c r="A3272" s="6" t="s">
        <v>1610</v>
      </c>
      <c r="B3272" s="6" t="s">
        <v>1609</v>
      </c>
      <c r="C3272" s="6" t="s">
        <v>19</v>
      </c>
      <c r="E3272" s="6" t="s">
        <v>1608</v>
      </c>
      <c r="F3272" s="6" t="s">
        <v>1607</v>
      </c>
      <c r="G3272" s="6" t="s">
        <v>16</v>
      </c>
      <c r="H3272" s="6" t="s">
        <v>15</v>
      </c>
      <c r="I3272" s="6" t="s">
        <v>14</v>
      </c>
      <c r="J3272" s="6" t="s">
        <v>162</v>
      </c>
      <c r="K3272" s="7">
        <v>29.009637390000002</v>
      </c>
      <c r="L3272" s="7">
        <v>-95.394630160000006</v>
      </c>
      <c r="M3272" s="6" t="s">
        <v>1606</v>
      </c>
      <c r="N3272" s="6" t="s">
        <v>160</v>
      </c>
      <c r="O3272" s="6" t="s">
        <v>23</v>
      </c>
    </row>
    <row r="3273" spans="1:15" x14ac:dyDescent="0.25">
      <c r="A3273" s="6" t="s">
        <v>8373</v>
      </c>
      <c r="B3273" s="6" t="s">
        <v>8371</v>
      </c>
      <c r="C3273" s="6" t="s">
        <v>19</v>
      </c>
      <c r="E3273" s="6" t="s">
        <v>8370</v>
      </c>
      <c r="F3273" s="6" t="s">
        <v>47</v>
      </c>
      <c r="G3273" s="6" t="s">
        <v>16</v>
      </c>
      <c r="H3273" s="6" t="s">
        <v>15</v>
      </c>
      <c r="I3273" s="6" t="s">
        <v>14</v>
      </c>
      <c r="J3273" s="6" t="s">
        <v>104</v>
      </c>
      <c r="K3273" s="7">
        <v>32.819518979999998</v>
      </c>
      <c r="L3273" s="7">
        <v>-96.161741309999996</v>
      </c>
      <c r="M3273" s="6" t="s">
        <v>109</v>
      </c>
      <c r="N3273" s="6" t="s">
        <v>65</v>
      </c>
      <c r="O3273" s="6" t="s">
        <v>42</v>
      </c>
    </row>
    <row r="3274" spans="1:15" x14ac:dyDescent="0.25">
      <c r="A3274" s="6" t="s">
        <v>8372</v>
      </c>
      <c r="B3274" s="6" t="s">
        <v>8371</v>
      </c>
      <c r="C3274" s="6" t="s">
        <v>436</v>
      </c>
      <c r="E3274" s="6" t="s">
        <v>8370</v>
      </c>
      <c r="F3274" s="6" t="s">
        <v>47</v>
      </c>
      <c r="G3274" s="6" t="s">
        <v>16</v>
      </c>
      <c r="H3274" s="6" t="s">
        <v>28</v>
      </c>
      <c r="I3274" s="6" t="s">
        <v>46</v>
      </c>
      <c r="J3274" s="6" t="s">
        <v>104</v>
      </c>
      <c r="K3274" s="7">
        <v>32.820101620000003</v>
      </c>
      <c r="L3274" s="7">
        <v>-96.162128069999994</v>
      </c>
      <c r="M3274" s="6" t="s">
        <v>109</v>
      </c>
      <c r="N3274" s="6" t="s">
        <v>65</v>
      </c>
      <c r="O3274" s="6" t="s">
        <v>42</v>
      </c>
    </row>
    <row r="3275" spans="1:15" x14ac:dyDescent="0.25">
      <c r="A3275" s="6" t="s">
        <v>5715</v>
      </c>
      <c r="B3275" s="6" t="s">
        <v>5714</v>
      </c>
      <c r="C3275" s="6" t="s">
        <v>31</v>
      </c>
      <c r="E3275" s="6" t="s">
        <v>5713</v>
      </c>
      <c r="F3275" s="6" t="s">
        <v>5712</v>
      </c>
      <c r="G3275" s="6" t="s">
        <v>16</v>
      </c>
      <c r="H3275" s="6" t="s">
        <v>28</v>
      </c>
      <c r="I3275" s="6" t="s">
        <v>27</v>
      </c>
      <c r="J3275" s="6" t="s">
        <v>480</v>
      </c>
      <c r="K3275" s="7">
        <v>26.305378999999999</v>
      </c>
      <c r="L3275" s="7">
        <v>-97.915493999999995</v>
      </c>
      <c r="M3275" s="6" t="s">
        <v>89</v>
      </c>
      <c r="N3275" s="6" t="s">
        <v>11</v>
      </c>
      <c r="O3275" s="6" t="s">
        <v>22</v>
      </c>
    </row>
    <row r="3276" spans="1:15" x14ac:dyDescent="0.25">
      <c r="A3276" s="6" t="s">
        <v>2825</v>
      </c>
      <c r="B3276" s="6" t="s">
        <v>2824</v>
      </c>
      <c r="C3276" s="6" t="s">
        <v>31</v>
      </c>
      <c r="E3276" s="6" t="s">
        <v>2823</v>
      </c>
      <c r="F3276" s="6" t="s">
        <v>2822</v>
      </c>
      <c r="G3276" s="6" t="s">
        <v>16</v>
      </c>
      <c r="H3276" s="6" t="s">
        <v>28</v>
      </c>
      <c r="I3276" s="6" t="s">
        <v>799</v>
      </c>
      <c r="J3276" s="6" t="s">
        <v>2696</v>
      </c>
      <c r="K3276" s="7">
        <v>31.695053000000001</v>
      </c>
      <c r="L3276" s="7">
        <v>-94.331553999999997</v>
      </c>
      <c r="M3276" s="6" t="s">
        <v>2821</v>
      </c>
      <c r="N3276" s="6" t="s">
        <v>52</v>
      </c>
      <c r="O3276" s="6" t="s">
        <v>24</v>
      </c>
    </row>
    <row r="3277" spans="1:15" x14ac:dyDescent="0.25">
      <c r="A3277" s="6" t="s">
        <v>3336</v>
      </c>
      <c r="B3277" s="6" t="s">
        <v>3335</v>
      </c>
      <c r="C3277" s="6" t="s">
        <v>31</v>
      </c>
      <c r="E3277" s="6" t="s">
        <v>3334</v>
      </c>
      <c r="F3277" s="6" t="s">
        <v>3333</v>
      </c>
      <c r="G3277" s="6" t="s">
        <v>16</v>
      </c>
      <c r="H3277" s="6" t="s">
        <v>28</v>
      </c>
      <c r="I3277" s="6" t="s">
        <v>27</v>
      </c>
      <c r="J3277" s="6" t="s">
        <v>1013</v>
      </c>
      <c r="K3277" s="7">
        <v>31.441026999999998</v>
      </c>
      <c r="L3277" s="7">
        <v>-94.647818000000001</v>
      </c>
      <c r="M3277" s="6" t="s">
        <v>203</v>
      </c>
      <c r="N3277" s="6" t="s">
        <v>52</v>
      </c>
      <c r="O3277" s="6" t="s">
        <v>24</v>
      </c>
    </row>
    <row r="3278" spans="1:15" x14ac:dyDescent="0.25">
      <c r="A3278" s="6" t="s">
        <v>7612</v>
      </c>
      <c r="B3278" s="6" t="s">
        <v>7611</v>
      </c>
      <c r="C3278" s="6" t="s">
        <v>31</v>
      </c>
      <c r="E3278" s="6" t="s">
        <v>7610</v>
      </c>
      <c r="F3278" s="6" t="s">
        <v>7609</v>
      </c>
      <c r="G3278" s="6" t="s">
        <v>16</v>
      </c>
      <c r="H3278" s="6" t="s">
        <v>28</v>
      </c>
      <c r="I3278" s="6" t="s">
        <v>14</v>
      </c>
      <c r="J3278" s="6" t="s">
        <v>296</v>
      </c>
      <c r="K3278" s="7">
        <v>30.072998250000001</v>
      </c>
      <c r="L3278" s="7">
        <v>-96.690757250000004</v>
      </c>
      <c r="M3278" s="6" t="s">
        <v>295</v>
      </c>
      <c r="N3278" s="6" t="s">
        <v>10</v>
      </c>
      <c r="O3278" s="6" t="s">
        <v>160</v>
      </c>
    </row>
    <row r="3279" spans="1:15" x14ac:dyDescent="0.25">
      <c r="A3279" s="6" t="s">
        <v>8369</v>
      </c>
      <c r="B3279" s="6" t="s">
        <v>8368</v>
      </c>
      <c r="C3279" s="6" t="s">
        <v>31</v>
      </c>
      <c r="E3279" s="6" t="s">
        <v>8367</v>
      </c>
      <c r="F3279" s="6" t="s">
        <v>2142</v>
      </c>
      <c r="G3279" s="6" t="s">
        <v>16</v>
      </c>
      <c r="H3279" s="6" t="s">
        <v>15</v>
      </c>
      <c r="I3279" s="6" t="s">
        <v>36</v>
      </c>
      <c r="J3279" s="6" t="s">
        <v>35</v>
      </c>
      <c r="K3279" s="7">
        <v>29.739424110000002</v>
      </c>
      <c r="L3279" s="7">
        <v>-95.131650370000003</v>
      </c>
      <c r="M3279" s="6" t="s">
        <v>34</v>
      </c>
      <c r="N3279" s="6" t="s">
        <v>24</v>
      </c>
      <c r="O3279" s="6" t="s">
        <v>23</v>
      </c>
    </row>
    <row r="3280" spans="1:15" x14ac:dyDescent="0.25">
      <c r="A3280" s="6" t="s">
        <v>7964</v>
      </c>
      <c r="B3280" s="6" t="s">
        <v>7963</v>
      </c>
      <c r="C3280" s="6" t="s">
        <v>31</v>
      </c>
      <c r="E3280" s="6" t="s">
        <v>7962</v>
      </c>
      <c r="F3280" s="6" t="s">
        <v>7961</v>
      </c>
      <c r="G3280" s="6" t="s">
        <v>16</v>
      </c>
      <c r="H3280" s="6" t="s">
        <v>15</v>
      </c>
      <c r="I3280" s="6" t="s">
        <v>27</v>
      </c>
      <c r="J3280" s="6" t="s">
        <v>13</v>
      </c>
      <c r="K3280" s="7">
        <v>27.81805894</v>
      </c>
      <c r="L3280" s="7">
        <v>-97.462614430000002</v>
      </c>
      <c r="M3280" s="6" t="s">
        <v>12</v>
      </c>
      <c r="N3280" s="6" t="s">
        <v>11</v>
      </c>
      <c r="O3280" s="6" t="s">
        <v>23</v>
      </c>
    </row>
    <row r="3281" spans="1:15" x14ac:dyDescent="0.25">
      <c r="A3281" s="6" t="s">
        <v>4410</v>
      </c>
      <c r="B3281" s="6" t="s">
        <v>4409</v>
      </c>
      <c r="C3281" s="6" t="s">
        <v>557</v>
      </c>
      <c r="E3281" s="6" t="s">
        <v>4408</v>
      </c>
      <c r="F3281" s="6" t="s">
        <v>2505</v>
      </c>
      <c r="G3281" s="6" t="s">
        <v>16</v>
      </c>
      <c r="H3281" s="6" t="s">
        <v>15</v>
      </c>
      <c r="I3281" s="6" t="s">
        <v>46</v>
      </c>
      <c r="J3281" s="6" t="s">
        <v>548</v>
      </c>
      <c r="K3281" s="7">
        <v>33.4154421</v>
      </c>
      <c r="L3281" s="7">
        <v>-94.220999629999994</v>
      </c>
      <c r="M3281" s="6" t="s">
        <v>547</v>
      </c>
      <c r="N3281" s="6" t="s">
        <v>95</v>
      </c>
      <c r="O3281" s="6" t="s">
        <v>65</v>
      </c>
    </row>
    <row r="3282" spans="1:15" x14ac:dyDescent="0.25">
      <c r="A3282" s="6" t="s">
        <v>3929</v>
      </c>
      <c r="B3282" s="6" t="s">
        <v>3928</v>
      </c>
      <c r="C3282" s="6" t="s">
        <v>31</v>
      </c>
      <c r="E3282" s="6" t="s">
        <v>3927</v>
      </c>
      <c r="F3282" s="6" t="s">
        <v>3926</v>
      </c>
      <c r="G3282" s="6" t="s">
        <v>16</v>
      </c>
      <c r="H3282" s="6" t="s">
        <v>28</v>
      </c>
      <c r="I3282" s="6" t="s">
        <v>799</v>
      </c>
      <c r="J3282" s="6" t="s">
        <v>268</v>
      </c>
      <c r="K3282" s="7">
        <v>32.553725700000001</v>
      </c>
      <c r="L3282" s="7">
        <v>-97.233903389999995</v>
      </c>
      <c r="M3282" s="6" t="s">
        <v>1287</v>
      </c>
      <c r="N3282" s="6" t="s">
        <v>102</v>
      </c>
      <c r="O3282" s="6" t="s">
        <v>42</v>
      </c>
    </row>
    <row r="3283" spans="1:15" x14ac:dyDescent="0.25">
      <c r="A3283" s="6" t="s">
        <v>7608</v>
      </c>
      <c r="B3283" s="6" t="s">
        <v>7607</v>
      </c>
      <c r="C3283" s="6" t="s">
        <v>31</v>
      </c>
      <c r="E3283" s="6" t="s">
        <v>7606</v>
      </c>
      <c r="F3283" s="6" t="s">
        <v>7605</v>
      </c>
      <c r="G3283" s="6" t="s">
        <v>16</v>
      </c>
      <c r="H3283" s="6" t="s">
        <v>15</v>
      </c>
      <c r="I3283" s="6" t="s">
        <v>799</v>
      </c>
      <c r="J3283" s="6" t="s">
        <v>5908</v>
      </c>
      <c r="K3283" s="7">
        <v>32.040833820000003</v>
      </c>
      <c r="L3283" s="7">
        <v>-99.532399429999998</v>
      </c>
      <c r="M3283" s="6" t="s">
        <v>7604</v>
      </c>
      <c r="N3283" s="6" t="s">
        <v>10</v>
      </c>
      <c r="O3283" s="6" t="s">
        <v>95</v>
      </c>
    </row>
    <row r="3284" spans="1:15" x14ac:dyDescent="0.25">
      <c r="A3284" s="6" t="s">
        <v>1639</v>
      </c>
      <c r="B3284" s="6" t="s">
        <v>1638</v>
      </c>
      <c r="C3284" s="6" t="s">
        <v>31</v>
      </c>
      <c r="E3284" s="6" t="s">
        <v>1637</v>
      </c>
      <c r="F3284" s="6" t="s">
        <v>1636</v>
      </c>
      <c r="G3284" s="6" t="s">
        <v>284</v>
      </c>
      <c r="H3284" s="6" t="s">
        <v>28</v>
      </c>
      <c r="I3284" s="6" t="s">
        <v>27</v>
      </c>
      <c r="J3284" s="6" t="s">
        <v>632</v>
      </c>
      <c r="K3284" s="7">
        <v>30.063163289999999</v>
      </c>
      <c r="L3284" s="7">
        <v>-93.818728469999996</v>
      </c>
      <c r="M3284" s="6" t="s">
        <v>758</v>
      </c>
      <c r="N3284" s="6" t="s">
        <v>65</v>
      </c>
      <c r="O3284" s="6" t="s">
        <v>24</v>
      </c>
    </row>
    <row r="3285" spans="1:15" x14ac:dyDescent="0.25">
      <c r="A3285" s="6" t="s">
        <v>4472</v>
      </c>
      <c r="B3285" s="6" t="s">
        <v>4471</v>
      </c>
      <c r="C3285" s="6" t="s">
        <v>31</v>
      </c>
      <c r="E3285" s="6" t="s">
        <v>4470</v>
      </c>
      <c r="F3285" s="6" t="s">
        <v>4469</v>
      </c>
      <c r="G3285" s="6" t="s">
        <v>16</v>
      </c>
      <c r="H3285" s="6" t="s">
        <v>28</v>
      </c>
      <c r="I3285" s="6" t="s">
        <v>799</v>
      </c>
      <c r="J3285" s="6" t="s">
        <v>1611</v>
      </c>
      <c r="K3285" s="7">
        <v>32.583892220000003</v>
      </c>
      <c r="L3285" s="7">
        <v>-94.808859200000001</v>
      </c>
      <c r="M3285" s="6" t="s">
        <v>1218</v>
      </c>
      <c r="N3285" s="6" t="s">
        <v>65</v>
      </c>
      <c r="O3285" s="6" t="s">
        <v>65</v>
      </c>
    </row>
    <row r="3286" spans="1:15" x14ac:dyDescent="0.25">
      <c r="A3286" s="6" t="s">
        <v>1643</v>
      </c>
      <c r="B3286" s="6" t="s">
        <v>1642</v>
      </c>
      <c r="C3286" s="6" t="s">
        <v>31</v>
      </c>
      <c r="E3286" s="6" t="s">
        <v>1641</v>
      </c>
      <c r="F3286" s="6" t="s">
        <v>1640</v>
      </c>
      <c r="G3286" s="6" t="s">
        <v>16</v>
      </c>
      <c r="H3286" s="6" t="s">
        <v>28</v>
      </c>
      <c r="I3286" s="6" t="s">
        <v>14</v>
      </c>
      <c r="J3286" s="6" t="s">
        <v>234</v>
      </c>
      <c r="K3286" s="7">
        <v>29.424612339999999</v>
      </c>
      <c r="L3286" s="7">
        <v>-98.836040269999998</v>
      </c>
      <c r="M3286" s="6" t="s">
        <v>233</v>
      </c>
      <c r="N3286" s="6" t="s">
        <v>232</v>
      </c>
      <c r="O3286" s="6" t="s">
        <v>231</v>
      </c>
    </row>
    <row r="3287" spans="1:15" x14ac:dyDescent="0.25">
      <c r="A3287" s="6" t="s">
        <v>7603</v>
      </c>
      <c r="B3287" s="6" t="s">
        <v>7602</v>
      </c>
      <c r="C3287" s="6" t="s">
        <v>31</v>
      </c>
      <c r="E3287" s="6" t="s">
        <v>7601</v>
      </c>
      <c r="F3287" s="6" t="s">
        <v>7600</v>
      </c>
      <c r="G3287" s="6" t="s">
        <v>16</v>
      </c>
      <c r="H3287" s="6" t="s">
        <v>28</v>
      </c>
      <c r="I3287" s="6" t="s">
        <v>799</v>
      </c>
      <c r="J3287" s="6" t="s">
        <v>6760</v>
      </c>
      <c r="K3287" s="7">
        <v>30.139086320000001</v>
      </c>
      <c r="L3287" s="7">
        <v>-96.251260630000004</v>
      </c>
      <c r="M3287" s="6" t="s">
        <v>355</v>
      </c>
      <c r="N3287" s="6" t="s">
        <v>23</v>
      </c>
      <c r="O3287" s="6" t="s">
        <v>120</v>
      </c>
    </row>
    <row r="3288" spans="1:15" x14ac:dyDescent="0.25">
      <c r="A3288" s="6" t="s">
        <v>4407</v>
      </c>
      <c r="B3288" s="6" t="s">
        <v>4406</v>
      </c>
      <c r="C3288" s="6" t="s">
        <v>31</v>
      </c>
      <c r="E3288" s="6" t="s">
        <v>4405</v>
      </c>
      <c r="F3288" s="6" t="s">
        <v>4404</v>
      </c>
      <c r="G3288" s="6" t="s">
        <v>16</v>
      </c>
      <c r="H3288" s="6" t="s">
        <v>28</v>
      </c>
      <c r="I3288" s="6" t="s">
        <v>27</v>
      </c>
      <c r="J3288" s="6" t="s">
        <v>1690</v>
      </c>
      <c r="K3288" s="7">
        <v>32.370495220000002</v>
      </c>
      <c r="L3288" s="7">
        <v>-94.052577690000007</v>
      </c>
      <c r="M3288" s="6" t="s">
        <v>2695</v>
      </c>
      <c r="N3288" s="6" t="s">
        <v>65</v>
      </c>
      <c r="O3288" s="6" t="s">
        <v>65</v>
      </c>
    </row>
    <row r="3289" spans="1:15" x14ac:dyDescent="0.25">
      <c r="A3289" s="6" t="s">
        <v>2499</v>
      </c>
      <c r="B3289" s="6" t="s">
        <v>2498</v>
      </c>
      <c r="C3289" s="6" t="s">
        <v>31</v>
      </c>
      <c r="E3289" s="6" t="s">
        <v>2497</v>
      </c>
      <c r="F3289" s="6" t="s">
        <v>2496</v>
      </c>
      <c r="G3289" s="6" t="s">
        <v>16</v>
      </c>
      <c r="H3289" s="6" t="s">
        <v>15</v>
      </c>
      <c r="I3289" s="6" t="s">
        <v>46</v>
      </c>
      <c r="J3289" s="6" t="s">
        <v>274</v>
      </c>
      <c r="K3289" s="7">
        <v>29.805062270000001</v>
      </c>
      <c r="L3289" s="7">
        <v>-98.15785726</v>
      </c>
      <c r="M3289" s="6" t="s">
        <v>2495</v>
      </c>
      <c r="N3289" s="6" t="s">
        <v>559</v>
      </c>
      <c r="O3289" s="6" t="s">
        <v>231</v>
      </c>
    </row>
    <row r="3290" spans="1:15" x14ac:dyDescent="0.25">
      <c r="A3290" s="6" t="s">
        <v>3367</v>
      </c>
      <c r="B3290" s="6" t="s">
        <v>3366</v>
      </c>
      <c r="C3290" s="6" t="s">
        <v>31</v>
      </c>
      <c r="E3290" s="6" t="s">
        <v>3365</v>
      </c>
      <c r="F3290" s="6" t="s">
        <v>1370</v>
      </c>
      <c r="G3290" s="6" t="s">
        <v>16</v>
      </c>
      <c r="H3290" s="6" t="s">
        <v>15</v>
      </c>
      <c r="I3290" s="6" t="s">
        <v>27</v>
      </c>
      <c r="J3290" s="6" t="s">
        <v>853</v>
      </c>
      <c r="K3290" s="7">
        <v>29.853467169999998</v>
      </c>
      <c r="L3290" s="7">
        <v>-94.641557039999995</v>
      </c>
      <c r="M3290" s="6" t="s">
        <v>2055</v>
      </c>
      <c r="N3290" s="6" t="s">
        <v>102</v>
      </c>
      <c r="O3290" s="6" t="s">
        <v>23</v>
      </c>
    </row>
    <row r="3291" spans="1:15" x14ac:dyDescent="0.25">
      <c r="A3291" s="6" t="s">
        <v>8366</v>
      </c>
      <c r="B3291" s="6" t="s">
        <v>5582</v>
      </c>
      <c r="C3291" s="6" t="s">
        <v>31</v>
      </c>
      <c r="E3291" s="6" t="s">
        <v>5581</v>
      </c>
      <c r="F3291" s="6" t="s">
        <v>5580</v>
      </c>
      <c r="G3291" s="6" t="s">
        <v>16</v>
      </c>
      <c r="H3291" s="6" t="s">
        <v>15</v>
      </c>
      <c r="I3291" s="6" t="s">
        <v>36</v>
      </c>
      <c r="J3291" s="6" t="s">
        <v>471</v>
      </c>
      <c r="K3291" s="7">
        <v>32.736934099999999</v>
      </c>
      <c r="L3291" s="7">
        <v>-96.819331739999996</v>
      </c>
      <c r="M3291" s="6" t="s">
        <v>103</v>
      </c>
      <c r="N3291" s="6" t="s">
        <v>102</v>
      </c>
      <c r="O3291" s="6" t="s">
        <v>42</v>
      </c>
    </row>
    <row r="3292" spans="1:15" x14ac:dyDescent="0.25">
      <c r="A3292" s="6" t="s">
        <v>6186</v>
      </c>
      <c r="B3292" s="6" t="s">
        <v>5582</v>
      </c>
      <c r="C3292" s="6" t="s">
        <v>19</v>
      </c>
      <c r="E3292" s="6" t="s">
        <v>5581</v>
      </c>
      <c r="F3292" s="6" t="s">
        <v>5580</v>
      </c>
      <c r="G3292" s="6" t="s">
        <v>16</v>
      </c>
      <c r="H3292" s="6" t="s">
        <v>15</v>
      </c>
      <c r="I3292" s="6" t="s">
        <v>36</v>
      </c>
      <c r="J3292" s="6" t="s">
        <v>471</v>
      </c>
      <c r="K3292" s="7">
        <v>32.737478240000002</v>
      </c>
      <c r="L3292" s="7">
        <v>-96.81669685</v>
      </c>
      <c r="M3292" s="6" t="s">
        <v>103</v>
      </c>
      <c r="N3292" s="6" t="s">
        <v>102</v>
      </c>
      <c r="O3292" s="6" t="s">
        <v>42</v>
      </c>
    </row>
    <row r="3293" spans="1:15" x14ac:dyDescent="0.25">
      <c r="A3293" s="6" t="s">
        <v>5583</v>
      </c>
      <c r="B3293" s="6" t="s">
        <v>5582</v>
      </c>
      <c r="C3293" s="6" t="s">
        <v>436</v>
      </c>
      <c r="E3293" s="6" t="s">
        <v>5581</v>
      </c>
      <c r="F3293" s="6" t="s">
        <v>5580</v>
      </c>
      <c r="G3293" s="6" t="s">
        <v>16</v>
      </c>
      <c r="H3293" s="6" t="s">
        <v>15</v>
      </c>
      <c r="I3293" s="6" t="s">
        <v>36</v>
      </c>
      <c r="J3293" s="6" t="s">
        <v>471</v>
      </c>
      <c r="K3293" s="7">
        <v>32.735592539999999</v>
      </c>
      <c r="L3293" s="7">
        <v>-96.818896690000003</v>
      </c>
      <c r="M3293" s="6" t="s">
        <v>103</v>
      </c>
      <c r="N3293" s="6" t="s">
        <v>102</v>
      </c>
      <c r="O3293" s="6" t="s">
        <v>42</v>
      </c>
    </row>
    <row r="3294" spans="1:15" x14ac:dyDescent="0.25">
      <c r="A3294" s="6" t="s">
        <v>6187</v>
      </c>
      <c r="B3294" s="6" t="s">
        <v>5582</v>
      </c>
      <c r="C3294" s="6" t="s">
        <v>597</v>
      </c>
      <c r="E3294" s="6" t="s">
        <v>5581</v>
      </c>
      <c r="F3294" s="6" t="s">
        <v>5580</v>
      </c>
      <c r="G3294" s="6" t="s">
        <v>16</v>
      </c>
      <c r="H3294" s="6" t="s">
        <v>15</v>
      </c>
      <c r="I3294" s="6" t="s">
        <v>36</v>
      </c>
      <c r="J3294" s="6" t="s">
        <v>471</v>
      </c>
      <c r="K3294" s="7">
        <v>32.734732880000003</v>
      </c>
      <c r="L3294" s="7">
        <v>-96.819413429999997</v>
      </c>
      <c r="M3294" s="6" t="s">
        <v>103</v>
      </c>
      <c r="N3294" s="6" t="s">
        <v>102</v>
      </c>
      <c r="O3294" s="6" t="s">
        <v>42</v>
      </c>
    </row>
    <row r="3295" spans="1:15" x14ac:dyDescent="0.25">
      <c r="A3295" s="6" t="s">
        <v>9669</v>
      </c>
      <c r="B3295" s="6" t="s">
        <v>9668</v>
      </c>
      <c r="C3295" s="6" t="s">
        <v>31</v>
      </c>
      <c r="E3295" s="6" t="s">
        <v>9667</v>
      </c>
      <c r="F3295" s="6" t="s">
        <v>9666</v>
      </c>
      <c r="G3295" s="6" t="s">
        <v>16</v>
      </c>
      <c r="H3295" s="6" t="s">
        <v>15</v>
      </c>
      <c r="I3295" s="6" t="s">
        <v>14</v>
      </c>
      <c r="J3295" s="6" t="s">
        <v>35</v>
      </c>
      <c r="K3295" s="7">
        <v>29.724052830000002</v>
      </c>
      <c r="L3295" s="7">
        <v>-95.055027730000006</v>
      </c>
      <c r="M3295" s="6" t="s">
        <v>599</v>
      </c>
      <c r="N3295" s="6" t="s">
        <v>160</v>
      </c>
      <c r="O3295" s="6" t="s">
        <v>23</v>
      </c>
    </row>
    <row r="3296" spans="1:15" x14ac:dyDescent="0.25">
      <c r="A3296" s="6" t="s">
        <v>1266</v>
      </c>
      <c r="B3296" s="6" t="s">
        <v>1265</v>
      </c>
      <c r="C3296" s="6" t="s">
        <v>31</v>
      </c>
      <c r="E3296" s="6" t="s">
        <v>1264</v>
      </c>
      <c r="F3296" s="6" t="s">
        <v>1263</v>
      </c>
      <c r="G3296" s="6" t="s">
        <v>16</v>
      </c>
      <c r="H3296" s="6" t="s">
        <v>591</v>
      </c>
      <c r="I3296" s="6" t="s">
        <v>46</v>
      </c>
      <c r="J3296" s="6" t="s">
        <v>781</v>
      </c>
      <c r="K3296" s="7">
        <v>32.346940379999999</v>
      </c>
      <c r="L3296" s="7">
        <v>-94.321431439999998</v>
      </c>
      <c r="M3296" s="6" t="s">
        <v>1218</v>
      </c>
      <c r="N3296" s="6" t="s">
        <v>65</v>
      </c>
      <c r="O3296" s="6" t="s">
        <v>65</v>
      </c>
    </row>
    <row r="3297" spans="1:15" x14ac:dyDescent="0.25">
      <c r="A3297" s="6" t="s">
        <v>6896</v>
      </c>
      <c r="B3297" s="6" t="s">
        <v>6687</v>
      </c>
      <c r="C3297" s="6" t="s">
        <v>1098</v>
      </c>
      <c r="E3297" s="6" t="s">
        <v>6686</v>
      </c>
      <c r="F3297" s="6" t="s">
        <v>6685</v>
      </c>
      <c r="G3297" s="6" t="s">
        <v>16</v>
      </c>
      <c r="H3297" s="6" t="s">
        <v>15</v>
      </c>
      <c r="I3297" s="6" t="s">
        <v>14</v>
      </c>
      <c r="J3297" s="6" t="s">
        <v>35</v>
      </c>
      <c r="K3297" s="7">
        <v>29.74238575</v>
      </c>
      <c r="L3297" s="7">
        <v>-95.202724840000002</v>
      </c>
      <c r="M3297" s="6" t="s">
        <v>866</v>
      </c>
      <c r="N3297" s="6" t="s">
        <v>24</v>
      </c>
      <c r="O3297" s="6" t="s">
        <v>23</v>
      </c>
    </row>
    <row r="3298" spans="1:15" x14ac:dyDescent="0.25">
      <c r="A3298" s="6" t="s">
        <v>10642</v>
      </c>
      <c r="B3298" s="6" t="s">
        <v>6687</v>
      </c>
      <c r="C3298" s="6" t="s">
        <v>638</v>
      </c>
      <c r="E3298" s="6" t="s">
        <v>6686</v>
      </c>
      <c r="F3298" s="6" t="s">
        <v>6685</v>
      </c>
      <c r="G3298" s="6" t="s">
        <v>16</v>
      </c>
      <c r="H3298" s="6" t="s">
        <v>15</v>
      </c>
      <c r="I3298" s="6" t="s">
        <v>14</v>
      </c>
      <c r="J3298" s="6" t="s">
        <v>35</v>
      </c>
      <c r="K3298" s="7">
        <v>29.74215191</v>
      </c>
      <c r="L3298" s="7">
        <v>-95.206074169999994</v>
      </c>
      <c r="M3298" s="6" t="s">
        <v>866</v>
      </c>
      <c r="N3298" s="6" t="s">
        <v>24</v>
      </c>
      <c r="O3298" s="6" t="s">
        <v>23</v>
      </c>
    </row>
    <row r="3299" spans="1:15" x14ac:dyDescent="0.25">
      <c r="A3299" s="6" t="s">
        <v>6688</v>
      </c>
      <c r="B3299" s="6" t="s">
        <v>6687</v>
      </c>
      <c r="C3299" s="6" t="s">
        <v>635</v>
      </c>
      <c r="E3299" s="6" t="s">
        <v>6686</v>
      </c>
      <c r="F3299" s="6" t="s">
        <v>6685</v>
      </c>
      <c r="G3299" s="6" t="s">
        <v>16</v>
      </c>
      <c r="H3299" s="6" t="s">
        <v>15</v>
      </c>
      <c r="I3299" s="6" t="s">
        <v>14</v>
      </c>
      <c r="J3299" s="6" t="s">
        <v>35</v>
      </c>
      <c r="K3299" s="7">
        <v>29.740690879999999</v>
      </c>
      <c r="L3299" s="7">
        <v>-95.208824250000006</v>
      </c>
      <c r="M3299" s="6" t="s">
        <v>866</v>
      </c>
      <c r="N3299" s="6" t="s">
        <v>24</v>
      </c>
      <c r="O3299" s="6" t="s">
        <v>23</v>
      </c>
    </row>
    <row r="3300" spans="1:15" x14ac:dyDescent="0.25">
      <c r="A3300" s="6" t="s">
        <v>6897</v>
      </c>
      <c r="B3300" s="6" t="s">
        <v>6687</v>
      </c>
      <c r="C3300" s="6" t="s">
        <v>1092</v>
      </c>
      <c r="E3300" s="6" t="s">
        <v>6686</v>
      </c>
      <c r="F3300" s="6" t="s">
        <v>6685</v>
      </c>
      <c r="G3300" s="6" t="s">
        <v>16</v>
      </c>
      <c r="H3300" s="6" t="s">
        <v>15</v>
      </c>
      <c r="I3300" s="6" t="s">
        <v>14</v>
      </c>
      <c r="J3300" s="6" t="s">
        <v>35</v>
      </c>
      <c r="K3300" s="7">
        <v>29.7421106</v>
      </c>
      <c r="L3300" s="7">
        <v>-95.203657210000003</v>
      </c>
      <c r="M3300" s="6" t="s">
        <v>866</v>
      </c>
      <c r="N3300" s="6" t="s">
        <v>24</v>
      </c>
      <c r="O3300" s="6" t="s">
        <v>23</v>
      </c>
    </row>
    <row r="3301" spans="1:15" x14ac:dyDescent="0.25">
      <c r="A3301" s="6" t="s">
        <v>7750</v>
      </c>
      <c r="B3301" s="6" t="s">
        <v>7749</v>
      </c>
      <c r="C3301" s="6" t="s">
        <v>31</v>
      </c>
      <c r="E3301" s="6" t="s">
        <v>7748</v>
      </c>
      <c r="F3301" s="6" t="s">
        <v>7747</v>
      </c>
      <c r="G3301" s="6" t="s">
        <v>16</v>
      </c>
      <c r="H3301" s="6" t="s">
        <v>28</v>
      </c>
      <c r="I3301" s="6" t="s">
        <v>799</v>
      </c>
      <c r="J3301" s="6" t="s">
        <v>35</v>
      </c>
      <c r="K3301" s="7">
        <v>29.907270919999998</v>
      </c>
      <c r="L3301" s="7">
        <v>-95.538772539999997</v>
      </c>
      <c r="M3301" s="6" t="s">
        <v>77</v>
      </c>
      <c r="N3301" s="6" t="s">
        <v>24</v>
      </c>
      <c r="O3301" s="6" t="s">
        <v>23</v>
      </c>
    </row>
    <row r="3302" spans="1:15" x14ac:dyDescent="0.25">
      <c r="A3302" s="6" t="s">
        <v>10187</v>
      </c>
      <c r="B3302" s="6" t="s">
        <v>10186</v>
      </c>
      <c r="C3302" s="6" t="s">
        <v>1844</v>
      </c>
      <c r="E3302" s="6" t="s">
        <v>10185</v>
      </c>
      <c r="F3302" s="6" t="s">
        <v>10184</v>
      </c>
      <c r="G3302" s="6" t="s">
        <v>16</v>
      </c>
      <c r="H3302" s="6" t="s">
        <v>15</v>
      </c>
      <c r="I3302" s="6" t="s">
        <v>14</v>
      </c>
      <c r="J3302" s="6" t="s">
        <v>35</v>
      </c>
      <c r="K3302" s="7">
        <v>29.759267000000001</v>
      </c>
      <c r="L3302" s="7">
        <v>-95.095892890000002</v>
      </c>
      <c r="M3302" s="6" t="s">
        <v>34</v>
      </c>
      <c r="N3302" s="6" t="s">
        <v>24</v>
      </c>
      <c r="O3302" s="6" t="s">
        <v>23</v>
      </c>
    </row>
    <row r="3303" spans="1:15" x14ac:dyDescent="0.25">
      <c r="A3303" s="6" t="s">
        <v>7941</v>
      </c>
      <c r="B3303" s="6" t="s">
        <v>7940</v>
      </c>
      <c r="C3303" s="6" t="s">
        <v>31</v>
      </c>
      <c r="E3303" s="6" t="s">
        <v>7939</v>
      </c>
      <c r="F3303" s="6" t="s">
        <v>7938</v>
      </c>
      <c r="G3303" s="6" t="s">
        <v>16</v>
      </c>
      <c r="H3303" s="6" t="s">
        <v>28</v>
      </c>
      <c r="I3303" s="6" t="s">
        <v>27</v>
      </c>
      <c r="J3303" s="6" t="s">
        <v>26</v>
      </c>
      <c r="K3303" s="7">
        <v>30.249923559999999</v>
      </c>
      <c r="L3303" s="7">
        <v>-95.754297910000005</v>
      </c>
      <c r="M3303" s="6" t="s">
        <v>731</v>
      </c>
      <c r="N3303" s="6" t="s">
        <v>24</v>
      </c>
      <c r="O3303" s="6" t="s">
        <v>23</v>
      </c>
    </row>
    <row r="3304" spans="1:15" x14ac:dyDescent="0.25">
      <c r="A3304" s="6" t="s">
        <v>9400</v>
      </c>
      <c r="B3304" s="6" t="s">
        <v>9399</v>
      </c>
      <c r="C3304" s="6" t="s">
        <v>31</v>
      </c>
      <c r="E3304" s="6" t="s">
        <v>9398</v>
      </c>
      <c r="F3304" s="6" t="s">
        <v>9397</v>
      </c>
      <c r="G3304" s="6" t="s">
        <v>16</v>
      </c>
      <c r="H3304" s="6" t="s">
        <v>28</v>
      </c>
      <c r="I3304" s="6" t="s">
        <v>27</v>
      </c>
      <c r="J3304" s="6" t="s">
        <v>1676</v>
      </c>
      <c r="K3304" s="7">
        <v>29.011193859999999</v>
      </c>
      <c r="L3304" s="7">
        <v>-99.064852439999996</v>
      </c>
      <c r="M3304" s="6" t="s">
        <v>1644</v>
      </c>
      <c r="N3304" s="6" t="s">
        <v>524</v>
      </c>
      <c r="O3304" s="6" t="s">
        <v>231</v>
      </c>
    </row>
    <row r="3305" spans="1:15" x14ac:dyDescent="0.25">
      <c r="A3305" s="6" t="s">
        <v>4118</v>
      </c>
      <c r="B3305" s="6" t="s">
        <v>4117</v>
      </c>
      <c r="C3305" s="6" t="s">
        <v>31</v>
      </c>
      <c r="E3305" s="6" t="s">
        <v>4116</v>
      </c>
      <c r="F3305" s="6" t="s">
        <v>4115</v>
      </c>
      <c r="G3305" s="6" t="s">
        <v>16</v>
      </c>
      <c r="H3305" s="6" t="s">
        <v>15</v>
      </c>
      <c r="I3305" s="6" t="s">
        <v>14</v>
      </c>
      <c r="J3305" s="6" t="s">
        <v>4114</v>
      </c>
      <c r="K3305" s="7">
        <v>28.534444069999999</v>
      </c>
      <c r="L3305" s="7">
        <v>-99.228057579999998</v>
      </c>
      <c r="M3305" s="6" t="s">
        <v>1644</v>
      </c>
      <c r="N3305" s="6" t="s">
        <v>524</v>
      </c>
      <c r="O3305" s="6" t="s">
        <v>510</v>
      </c>
    </row>
    <row r="3306" spans="1:15" x14ac:dyDescent="0.25">
      <c r="A3306" s="6" t="s">
        <v>9534</v>
      </c>
      <c r="B3306" s="6" t="s">
        <v>9533</v>
      </c>
      <c r="C3306" s="6" t="s">
        <v>31</v>
      </c>
      <c r="E3306" s="6" t="s">
        <v>9532</v>
      </c>
      <c r="F3306" s="6" t="s">
        <v>9531</v>
      </c>
      <c r="G3306" s="6" t="s">
        <v>16</v>
      </c>
      <c r="H3306" s="6" t="s">
        <v>28</v>
      </c>
      <c r="I3306" s="6" t="s">
        <v>27</v>
      </c>
      <c r="J3306" s="6" t="s">
        <v>2137</v>
      </c>
      <c r="K3306" s="7">
        <v>29.845194840000001</v>
      </c>
      <c r="L3306" s="7">
        <v>-97.531522420000002</v>
      </c>
      <c r="M3306" s="6" t="s">
        <v>752</v>
      </c>
      <c r="N3306" s="6" t="s">
        <v>559</v>
      </c>
      <c r="O3306" s="6" t="s">
        <v>160</v>
      </c>
    </row>
    <row r="3307" spans="1:15" x14ac:dyDescent="0.25">
      <c r="A3307" s="6" t="s">
        <v>7258</v>
      </c>
      <c r="B3307" s="6" t="s">
        <v>7257</v>
      </c>
      <c r="C3307" s="6" t="s">
        <v>31</v>
      </c>
      <c r="E3307" s="6" t="s">
        <v>7256</v>
      </c>
      <c r="F3307" s="6" t="s">
        <v>606</v>
      </c>
      <c r="G3307" s="6" t="s">
        <v>16</v>
      </c>
      <c r="H3307" s="6" t="s">
        <v>28</v>
      </c>
      <c r="I3307" s="6" t="s">
        <v>27</v>
      </c>
      <c r="J3307" s="6" t="s">
        <v>605</v>
      </c>
      <c r="K3307" s="7">
        <v>31.297745509999999</v>
      </c>
      <c r="L3307" s="7">
        <v>-103.61017574</v>
      </c>
      <c r="M3307" s="6" t="s">
        <v>604</v>
      </c>
      <c r="N3307" s="6" t="s">
        <v>373</v>
      </c>
      <c r="O3307" s="6" t="s">
        <v>383</v>
      </c>
    </row>
    <row r="3308" spans="1:15" x14ac:dyDescent="0.25">
      <c r="A3308" s="6" t="s">
        <v>10015</v>
      </c>
      <c r="B3308" s="6" t="s">
        <v>10014</v>
      </c>
      <c r="C3308" s="6" t="s">
        <v>31</v>
      </c>
      <c r="E3308" s="6" t="s">
        <v>10013</v>
      </c>
      <c r="F3308" s="6" t="s">
        <v>116</v>
      </c>
      <c r="G3308" s="6" t="s">
        <v>16</v>
      </c>
      <c r="H3308" s="6" t="s">
        <v>15</v>
      </c>
      <c r="I3308" s="6" t="s">
        <v>36</v>
      </c>
      <c r="J3308" s="6" t="s">
        <v>45</v>
      </c>
      <c r="K3308" s="7">
        <v>33.68725731</v>
      </c>
      <c r="L3308" s="7">
        <v>-96.355431640000006</v>
      </c>
      <c r="M3308" s="6" t="s">
        <v>44</v>
      </c>
      <c r="N3308" s="6" t="s">
        <v>43</v>
      </c>
      <c r="O3308" s="6" t="s">
        <v>42</v>
      </c>
    </row>
    <row r="3309" spans="1:15" x14ac:dyDescent="0.25">
      <c r="A3309" s="6" t="s">
        <v>8361</v>
      </c>
      <c r="B3309" s="6" t="s">
        <v>8360</v>
      </c>
      <c r="C3309" s="6" t="s">
        <v>31</v>
      </c>
      <c r="E3309" s="6" t="s">
        <v>8359</v>
      </c>
      <c r="F3309" s="6" t="s">
        <v>8358</v>
      </c>
      <c r="G3309" s="6" t="s">
        <v>16</v>
      </c>
      <c r="H3309" s="6" t="s">
        <v>15</v>
      </c>
      <c r="I3309" s="6" t="s">
        <v>14</v>
      </c>
      <c r="J3309" s="6" t="s">
        <v>356</v>
      </c>
      <c r="K3309" s="7">
        <v>29.79200312</v>
      </c>
      <c r="L3309" s="7">
        <v>-95.910893209999998</v>
      </c>
      <c r="M3309" s="6" t="s">
        <v>131</v>
      </c>
      <c r="N3309" s="6" t="s">
        <v>24</v>
      </c>
      <c r="O3309" s="6" t="s">
        <v>23</v>
      </c>
    </row>
    <row r="3310" spans="1:15" x14ac:dyDescent="0.25">
      <c r="A3310" s="6" t="s">
        <v>5845</v>
      </c>
      <c r="B3310" s="6" t="s">
        <v>5844</v>
      </c>
      <c r="C3310" s="6" t="s">
        <v>31</v>
      </c>
      <c r="E3310" s="6" t="s">
        <v>5843</v>
      </c>
      <c r="F3310" s="6" t="s">
        <v>606</v>
      </c>
      <c r="G3310" s="6" t="s">
        <v>16</v>
      </c>
      <c r="H3310" s="6" t="s">
        <v>28</v>
      </c>
      <c r="I3310" s="6" t="s">
        <v>799</v>
      </c>
      <c r="J3310" s="6" t="s">
        <v>5842</v>
      </c>
      <c r="K3310" s="7">
        <v>28.541998240000002</v>
      </c>
      <c r="L3310" s="7">
        <v>-99.803094860000002</v>
      </c>
      <c r="M3310" s="6" t="s">
        <v>5841</v>
      </c>
      <c r="N3310" s="6" t="s">
        <v>524</v>
      </c>
      <c r="O3310" s="6" t="s">
        <v>510</v>
      </c>
    </row>
    <row r="3311" spans="1:15" x14ac:dyDescent="0.25">
      <c r="A3311" s="6" t="s">
        <v>10674</v>
      </c>
      <c r="B3311" s="6" t="s">
        <v>10673</v>
      </c>
      <c r="C3311" s="6" t="s">
        <v>31</v>
      </c>
      <c r="E3311" s="6" t="s">
        <v>10672</v>
      </c>
      <c r="F3311" s="6" t="s">
        <v>10671</v>
      </c>
      <c r="G3311" s="6" t="s">
        <v>16</v>
      </c>
      <c r="H3311" s="6" t="s">
        <v>28</v>
      </c>
      <c r="I3311" s="6" t="s">
        <v>27</v>
      </c>
      <c r="J3311" s="6" t="s">
        <v>54</v>
      </c>
      <c r="K3311" s="7">
        <v>30.878313760000001</v>
      </c>
      <c r="L3311" s="7">
        <v>-95.384422020000002</v>
      </c>
      <c r="M3311" s="6" t="s">
        <v>317</v>
      </c>
      <c r="N3311" s="6" t="s">
        <v>102</v>
      </c>
      <c r="O3311" s="6" t="s">
        <v>24</v>
      </c>
    </row>
    <row r="3312" spans="1:15" x14ac:dyDescent="0.25">
      <c r="A3312" s="6" t="s">
        <v>10545</v>
      </c>
      <c r="B3312" s="6" t="s">
        <v>10544</v>
      </c>
      <c r="C3312" s="6" t="s">
        <v>31</v>
      </c>
      <c r="E3312" s="6" t="s">
        <v>10543</v>
      </c>
      <c r="F3312" s="6" t="s">
        <v>4880</v>
      </c>
      <c r="G3312" s="6" t="s">
        <v>16</v>
      </c>
      <c r="H3312" s="6" t="s">
        <v>15</v>
      </c>
      <c r="I3312" s="6" t="s">
        <v>27</v>
      </c>
      <c r="J3312" s="6" t="s">
        <v>290</v>
      </c>
      <c r="K3312" s="7">
        <v>28.909727449999998</v>
      </c>
      <c r="L3312" s="7">
        <v>-95.945931349999995</v>
      </c>
      <c r="M3312" s="6" t="s">
        <v>4268</v>
      </c>
      <c r="N3312" s="6" t="s">
        <v>231</v>
      </c>
      <c r="O3312" s="6" t="s">
        <v>23</v>
      </c>
    </row>
    <row r="3313" spans="1:15" x14ac:dyDescent="0.25">
      <c r="A3313" s="6" t="s">
        <v>10084</v>
      </c>
      <c r="B3313" s="6" t="s">
        <v>10083</v>
      </c>
      <c r="C3313" s="6" t="s">
        <v>31</v>
      </c>
      <c r="E3313" s="6" t="s">
        <v>10082</v>
      </c>
      <c r="F3313" s="6" t="s">
        <v>10081</v>
      </c>
      <c r="G3313" s="6" t="s">
        <v>16</v>
      </c>
      <c r="H3313" s="6" t="s">
        <v>15</v>
      </c>
      <c r="I3313" s="6" t="s">
        <v>14</v>
      </c>
      <c r="J3313" s="6" t="s">
        <v>576</v>
      </c>
      <c r="K3313" s="7">
        <v>30.347187000000002</v>
      </c>
      <c r="L3313" s="7">
        <v>-96.079388109999996</v>
      </c>
      <c r="M3313" s="6" t="s">
        <v>355</v>
      </c>
      <c r="N3313" s="6" t="s">
        <v>23</v>
      </c>
      <c r="O3313" s="6" t="s">
        <v>120</v>
      </c>
    </row>
    <row r="3314" spans="1:15" x14ac:dyDescent="0.25">
      <c r="A3314" s="6" t="s">
        <v>8365</v>
      </c>
      <c r="B3314" s="6" t="s">
        <v>8364</v>
      </c>
      <c r="C3314" s="6" t="s">
        <v>31</v>
      </c>
      <c r="E3314" s="6" t="s">
        <v>8363</v>
      </c>
      <c r="F3314" s="6" t="s">
        <v>8362</v>
      </c>
      <c r="G3314" s="6" t="s">
        <v>16</v>
      </c>
      <c r="H3314" s="6" t="s">
        <v>15</v>
      </c>
      <c r="I3314" s="6" t="s">
        <v>799</v>
      </c>
      <c r="J3314" s="6" t="s">
        <v>853</v>
      </c>
      <c r="K3314" s="7">
        <v>29.8302604</v>
      </c>
      <c r="L3314" s="7">
        <v>-94.806820680000001</v>
      </c>
      <c r="M3314" s="6" t="s">
        <v>894</v>
      </c>
      <c r="N3314" s="6" t="s">
        <v>120</v>
      </c>
      <c r="O3314" s="6" t="s">
        <v>23</v>
      </c>
    </row>
    <row r="3315" spans="1:15" x14ac:dyDescent="0.25">
      <c r="A3315" s="6" t="s">
        <v>11068</v>
      </c>
      <c r="B3315" s="6" t="s">
        <v>11067</v>
      </c>
      <c r="C3315" s="6" t="s">
        <v>31</v>
      </c>
      <c r="E3315" s="6" t="s">
        <v>11066</v>
      </c>
      <c r="F3315" s="6" t="s">
        <v>6518</v>
      </c>
      <c r="G3315" s="6" t="s">
        <v>16</v>
      </c>
      <c r="H3315" s="6" t="s">
        <v>15</v>
      </c>
      <c r="I3315" s="6" t="s">
        <v>799</v>
      </c>
      <c r="J3315" s="6" t="s">
        <v>1787</v>
      </c>
      <c r="K3315" s="7">
        <v>32.708418000000002</v>
      </c>
      <c r="L3315" s="7">
        <v>-95.901031000000003</v>
      </c>
      <c r="M3315" s="6" t="s">
        <v>423</v>
      </c>
      <c r="N3315" s="6" t="s">
        <v>65</v>
      </c>
      <c r="O3315" s="6" t="s">
        <v>65</v>
      </c>
    </row>
    <row r="3316" spans="1:15" x14ac:dyDescent="0.25">
      <c r="A3316" s="6" t="s">
        <v>2976</v>
      </c>
      <c r="B3316" s="6" t="s">
        <v>2975</v>
      </c>
      <c r="C3316" s="6" t="s">
        <v>31</v>
      </c>
      <c r="E3316" s="6" t="s">
        <v>2974</v>
      </c>
      <c r="F3316" s="6" t="s">
        <v>2973</v>
      </c>
      <c r="G3316" s="6" t="s">
        <v>16</v>
      </c>
      <c r="H3316" s="6" t="s">
        <v>28</v>
      </c>
      <c r="I3316" s="6" t="s">
        <v>27</v>
      </c>
      <c r="J3316" s="6" t="s">
        <v>1451</v>
      </c>
      <c r="K3316" s="7">
        <v>32.050722229999998</v>
      </c>
      <c r="L3316" s="7">
        <v>-96.889504160000001</v>
      </c>
      <c r="M3316" s="6" t="s">
        <v>1904</v>
      </c>
      <c r="N3316" s="6" t="s">
        <v>102</v>
      </c>
      <c r="O3316" s="6" t="s">
        <v>120</v>
      </c>
    </row>
    <row r="3317" spans="1:15" x14ac:dyDescent="0.25">
      <c r="A3317" s="6" t="s">
        <v>8912</v>
      </c>
      <c r="B3317" s="6" t="s">
        <v>8911</v>
      </c>
      <c r="C3317" s="6" t="s">
        <v>31</v>
      </c>
      <c r="E3317" s="6" t="s">
        <v>8910</v>
      </c>
      <c r="F3317" s="6" t="s">
        <v>8909</v>
      </c>
      <c r="G3317" s="6" t="s">
        <v>16</v>
      </c>
      <c r="H3317" s="6" t="s">
        <v>28</v>
      </c>
      <c r="I3317" s="6" t="s">
        <v>27</v>
      </c>
      <c r="J3317" s="6" t="s">
        <v>132</v>
      </c>
      <c r="K3317" s="7">
        <v>29.679663260000002</v>
      </c>
      <c r="L3317" s="7">
        <v>-95.685598510000005</v>
      </c>
      <c r="M3317" s="6" t="s">
        <v>866</v>
      </c>
      <c r="N3317" s="6" t="s">
        <v>24</v>
      </c>
      <c r="O3317" s="6" t="s">
        <v>23</v>
      </c>
    </row>
    <row r="3318" spans="1:15" x14ac:dyDescent="0.25">
      <c r="A3318" s="6" t="s">
        <v>5277</v>
      </c>
      <c r="B3318" s="6" t="s">
        <v>5276</v>
      </c>
      <c r="C3318" s="6" t="s">
        <v>31</v>
      </c>
      <c r="E3318" s="6" t="s">
        <v>5275</v>
      </c>
      <c r="F3318" s="6" t="s">
        <v>5274</v>
      </c>
      <c r="G3318" s="6" t="s">
        <v>16</v>
      </c>
      <c r="H3318" s="6" t="s">
        <v>28</v>
      </c>
      <c r="I3318" s="6" t="s">
        <v>799</v>
      </c>
      <c r="J3318" s="6" t="s">
        <v>318</v>
      </c>
      <c r="K3318" s="7">
        <v>30.998797</v>
      </c>
      <c r="L3318" s="7">
        <v>-94.821252000000001</v>
      </c>
      <c r="M3318" s="6" t="s">
        <v>53</v>
      </c>
      <c r="N3318" s="6" t="s">
        <v>52</v>
      </c>
      <c r="O3318" s="6" t="s">
        <v>24</v>
      </c>
    </row>
    <row r="3319" spans="1:15" x14ac:dyDescent="0.25">
      <c r="A3319" s="6" t="s">
        <v>8916</v>
      </c>
      <c r="B3319" s="6" t="s">
        <v>8915</v>
      </c>
      <c r="C3319" s="6" t="s">
        <v>31</v>
      </c>
      <c r="E3319" s="6" t="s">
        <v>8914</v>
      </c>
      <c r="F3319" s="6" t="s">
        <v>8913</v>
      </c>
      <c r="G3319" s="6" t="s">
        <v>16</v>
      </c>
      <c r="H3319" s="6" t="s">
        <v>28</v>
      </c>
      <c r="I3319" s="6" t="s">
        <v>27</v>
      </c>
      <c r="J3319" s="6" t="s">
        <v>2301</v>
      </c>
      <c r="K3319" s="7">
        <v>33.033895809999997</v>
      </c>
      <c r="L3319" s="7">
        <v>-98.058887380000002</v>
      </c>
      <c r="M3319" s="6" t="s">
        <v>775</v>
      </c>
      <c r="N3319" s="6" t="s">
        <v>23</v>
      </c>
      <c r="O3319" s="6" t="s">
        <v>95</v>
      </c>
    </row>
    <row r="3320" spans="1:15" x14ac:dyDescent="0.25">
      <c r="A3320" s="6" t="s">
        <v>5579</v>
      </c>
      <c r="B3320" s="6" t="s">
        <v>5578</v>
      </c>
      <c r="C3320" s="6" t="s">
        <v>31</v>
      </c>
      <c r="E3320" s="6" t="s">
        <v>5577</v>
      </c>
      <c r="F3320" s="6" t="s">
        <v>29</v>
      </c>
      <c r="G3320" s="6" t="s">
        <v>16</v>
      </c>
      <c r="H3320" s="6" t="s">
        <v>15</v>
      </c>
      <c r="I3320" s="6" t="s">
        <v>27</v>
      </c>
      <c r="J3320" s="6" t="s">
        <v>1519</v>
      </c>
      <c r="K3320" s="7">
        <v>30.251582079999999</v>
      </c>
      <c r="L3320" s="7">
        <v>-95.058718970000001</v>
      </c>
      <c r="M3320" s="6" t="s">
        <v>1766</v>
      </c>
      <c r="N3320" s="6" t="s">
        <v>24</v>
      </c>
      <c r="O3320" s="6" t="s">
        <v>23</v>
      </c>
    </row>
    <row r="3321" spans="1:15" x14ac:dyDescent="0.25">
      <c r="A3321" s="6" t="s">
        <v>4904</v>
      </c>
      <c r="B3321" s="6" t="s">
        <v>4903</v>
      </c>
      <c r="C3321" s="6" t="s">
        <v>31</v>
      </c>
      <c r="E3321" s="6" t="s">
        <v>4902</v>
      </c>
      <c r="F3321" s="6" t="s">
        <v>4901</v>
      </c>
      <c r="G3321" s="6" t="s">
        <v>16</v>
      </c>
      <c r="H3321" s="6" t="s">
        <v>28</v>
      </c>
      <c r="I3321" s="6" t="s">
        <v>799</v>
      </c>
      <c r="J3321" s="6" t="s">
        <v>274</v>
      </c>
      <c r="K3321" s="7">
        <v>29.75465973</v>
      </c>
      <c r="L3321" s="7">
        <v>-98.421724679999997</v>
      </c>
      <c r="M3321" s="6" t="s">
        <v>273</v>
      </c>
      <c r="N3321" s="6" t="s">
        <v>232</v>
      </c>
      <c r="O3321" s="6" t="s">
        <v>231</v>
      </c>
    </row>
    <row r="3322" spans="1:15" x14ac:dyDescent="0.25">
      <c r="A3322" s="6" t="s">
        <v>4892</v>
      </c>
      <c r="B3322" s="6" t="s">
        <v>4891</v>
      </c>
      <c r="C3322" s="6" t="s">
        <v>31</v>
      </c>
      <c r="E3322" s="6" t="s">
        <v>4890</v>
      </c>
      <c r="F3322" s="6" t="s">
        <v>4889</v>
      </c>
      <c r="G3322" s="6" t="s">
        <v>16</v>
      </c>
      <c r="H3322" s="6" t="s">
        <v>15</v>
      </c>
      <c r="I3322" s="6" t="s">
        <v>14</v>
      </c>
      <c r="J3322" s="6" t="s">
        <v>385</v>
      </c>
      <c r="K3322" s="7">
        <v>29.827463259999998</v>
      </c>
      <c r="L3322" s="7">
        <v>-93.953443149999998</v>
      </c>
      <c r="M3322" s="6" t="s">
        <v>610</v>
      </c>
      <c r="N3322" s="6" t="s">
        <v>383</v>
      </c>
      <c r="O3322" s="6" t="s">
        <v>24</v>
      </c>
    </row>
    <row r="3323" spans="1:15" x14ac:dyDescent="0.25">
      <c r="A3323" s="6" t="s">
        <v>8908</v>
      </c>
      <c r="B3323" s="6" t="s">
        <v>8907</v>
      </c>
      <c r="C3323" s="6" t="s">
        <v>31</v>
      </c>
      <c r="E3323" s="6" t="s">
        <v>8906</v>
      </c>
      <c r="F3323" s="6" t="s">
        <v>8905</v>
      </c>
      <c r="G3323" s="6" t="s">
        <v>16</v>
      </c>
      <c r="H3323" s="6" t="s">
        <v>15</v>
      </c>
      <c r="I3323" s="6" t="s">
        <v>46</v>
      </c>
      <c r="J3323" s="6" t="s">
        <v>480</v>
      </c>
      <c r="K3323" s="7">
        <v>26.207530340000002</v>
      </c>
      <c r="L3323" s="7">
        <v>-98.395168179999999</v>
      </c>
      <c r="M3323" s="6" t="s">
        <v>179</v>
      </c>
      <c r="N3323" s="6" t="s">
        <v>11</v>
      </c>
      <c r="O3323" s="6" t="s">
        <v>22</v>
      </c>
    </row>
    <row r="3324" spans="1:15" x14ac:dyDescent="0.25">
      <c r="A3324" s="6" t="s">
        <v>4899</v>
      </c>
      <c r="B3324" s="6" t="s">
        <v>4897</v>
      </c>
      <c r="C3324" s="6" t="s">
        <v>31</v>
      </c>
      <c r="E3324" s="6" t="s">
        <v>4896</v>
      </c>
      <c r="F3324" s="6" t="s">
        <v>4895</v>
      </c>
      <c r="G3324" s="6" t="s">
        <v>16</v>
      </c>
      <c r="H3324" s="6" t="s">
        <v>430</v>
      </c>
      <c r="I3324" s="6" t="s">
        <v>36</v>
      </c>
      <c r="J3324" s="6" t="s">
        <v>4894</v>
      </c>
      <c r="K3324" s="7">
        <v>30.543743119999998</v>
      </c>
      <c r="L3324" s="7">
        <v>-100.67107623</v>
      </c>
      <c r="M3324" s="6" t="s">
        <v>4893</v>
      </c>
      <c r="N3324" s="6" t="s">
        <v>373</v>
      </c>
      <c r="O3324" s="6" t="s">
        <v>102</v>
      </c>
    </row>
    <row r="3325" spans="1:15" x14ac:dyDescent="0.25">
      <c r="A3325" s="6" t="s">
        <v>4898</v>
      </c>
      <c r="B3325" s="6" t="s">
        <v>4897</v>
      </c>
      <c r="C3325" s="6" t="s">
        <v>19</v>
      </c>
      <c r="E3325" s="6" t="s">
        <v>4896</v>
      </c>
      <c r="F3325" s="6" t="s">
        <v>4895</v>
      </c>
      <c r="G3325" s="6" t="s">
        <v>16</v>
      </c>
      <c r="H3325" s="6" t="s">
        <v>430</v>
      </c>
      <c r="I3325" s="6" t="s">
        <v>36</v>
      </c>
      <c r="J3325" s="6" t="s">
        <v>4894</v>
      </c>
      <c r="K3325" s="7">
        <v>30.543383760000001</v>
      </c>
      <c r="L3325" s="7">
        <v>-100.67060947</v>
      </c>
      <c r="M3325" s="6" t="s">
        <v>4893</v>
      </c>
      <c r="N3325" s="6" t="s">
        <v>373</v>
      </c>
      <c r="O3325" s="6" t="s">
        <v>102</v>
      </c>
    </row>
    <row r="3326" spans="1:15" x14ac:dyDescent="0.25">
      <c r="A3326" s="6" t="s">
        <v>4900</v>
      </c>
      <c r="B3326" s="6" t="s">
        <v>4897</v>
      </c>
      <c r="C3326" s="6" t="s">
        <v>436</v>
      </c>
      <c r="E3326" s="6" t="s">
        <v>4896</v>
      </c>
      <c r="F3326" s="6" t="s">
        <v>4895</v>
      </c>
      <c r="G3326" s="6" t="s">
        <v>16</v>
      </c>
      <c r="H3326" s="6" t="s">
        <v>15</v>
      </c>
      <c r="I3326" s="6" t="s">
        <v>36</v>
      </c>
      <c r="J3326" s="6" t="s">
        <v>4894</v>
      </c>
      <c r="K3326" s="7">
        <v>30.544148209999999</v>
      </c>
      <c r="L3326" s="7">
        <v>-100.6714786</v>
      </c>
      <c r="M3326" s="6" t="s">
        <v>4893</v>
      </c>
      <c r="N3326" s="6" t="s">
        <v>373</v>
      </c>
      <c r="O3326" s="6" t="s">
        <v>102</v>
      </c>
    </row>
    <row r="3327" spans="1:15" x14ac:dyDescent="0.25">
      <c r="A3327" s="6" t="s">
        <v>7599</v>
      </c>
      <c r="B3327" s="6" t="s">
        <v>7598</v>
      </c>
      <c r="C3327" s="6" t="s">
        <v>31</v>
      </c>
      <c r="E3327" s="6" t="s">
        <v>7597</v>
      </c>
      <c r="F3327" s="6" t="s">
        <v>1104</v>
      </c>
      <c r="G3327" s="6" t="s">
        <v>16</v>
      </c>
      <c r="H3327" s="6" t="s">
        <v>15</v>
      </c>
      <c r="I3327" s="6" t="s">
        <v>14</v>
      </c>
      <c r="J3327" s="6" t="s">
        <v>2137</v>
      </c>
      <c r="K3327" s="7">
        <v>29.900587120000001</v>
      </c>
      <c r="L3327" s="7">
        <v>-97.763888159999993</v>
      </c>
      <c r="M3327" s="6" t="s">
        <v>752</v>
      </c>
      <c r="N3327" s="6" t="s">
        <v>559</v>
      </c>
      <c r="O3327" s="6" t="s">
        <v>160</v>
      </c>
    </row>
    <row r="3328" spans="1:15" x14ac:dyDescent="0.25">
      <c r="A3328" s="6" t="s">
        <v>3320</v>
      </c>
      <c r="B3328" s="6" t="s">
        <v>3319</v>
      </c>
      <c r="C3328" s="6" t="s">
        <v>31</v>
      </c>
      <c r="E3328" s="6" t="s">
        <v>3318</v>
      </c>
      <c r="F3328" s="6" t="s">
        <v>3317</v>
      </c>
      <c r="G3328" s="6" t="s">
        <v>16</v>
      </c>
      <c r="H3328" s="6" t="s">
        <v>28</v>
      </c>
      <c r="I3328" s="6" t="s">
        <v>27</v>
      </c>
      <c r="J3328" s="6" t="s">
        <v>26</v>
      </c>
      <c r="K3328" s="7">
        <v>30.171589669999999</v>
      </c>
      <c r="L3328" s="7">
        <v>-95.190801239999999</v>
      </c>
      <c r="M3328" s="6" t="s">
        <v>59</v>
      </c>
      <c r="N3328" s="6" t="s">
        <v>24</v>
      </c>
      <c r="O3328" s="6" t="s">
        <v>23</v>
      </c>
    </row>
    <row r="3329" spans="1:15" x14ac:dyDescent="0.25">
      <c r="A3329" s="6" t="s">
        <v>5083</v>
      </c>
      <c r="B3329" s="6" t="s">
        <v>5082</v>
      </c>
      <c r="C3329" s="6" t="s">
        <v>31</v>
      </c>
      <c r="E3329" s="6" t="s">
        <v>5081</v>
      </c>
      <c r="F3329" s="6" t="s">
        <v>5080</v>
      </c>
      <c r="G3329" s="6" t="s">
        <v>16</v>
      </c>
      <c r="H3329" s="6" t="s">
        <v>28</v>
      </c>
      <c r="I3329" s="6" t="s">
        <v>46</v>
      </c>
      <c r="J3329" s="6" t="s">
        <v>274</v>
      </c>
      <c r="K3329" s="7">
        <v>29.8115916</v>
      </c>
      <c r="L3329" s="7">
        <v>-98.422375720000005</v>
      </c>
      <c r="M3329" s="6" t="s">
        <v>560</v>
      </c>
      <c r="N3329" s="6" t="s">
        <v>559</v>
      </c>
      <c r="O3329" s="6" t="s">
        <v>231</v>
      </c>
    </row>
    <row r="3330" spans="1:15" x14ac:dyDescent="0.25">
      <c r="A3330" s="6" t="s">
        <v>4123</v>
      </c>
      <c r="B3330" s="6" t="s">
        <v>4122</v>
      </c>
      <c r="C3330" s="6" t="s">
        <v>31</v>
      </c>
      <c r="E3330" s="6" t="s">
        <v>4121</v>
      </c>
      <c r="F3330" s="6" t="s">
        <v>489</v>
      </c>
      <c r="G3330" s="6" t="s">
        <v>16</v>
      </c>
      <c r="H3330" s="6" t="s">
        <v>28</v>
      </c>
      <c r="I3330" s="6" t="s">
        <v>27</v>
      </c>
      <c r="J3330" s="6" t="s">
        <v>215</v>
      </c>
      <c r="K3330" s="7">
        <v>29.336981690000002</v>
      </c>
      <c r="L3330" s="7">
        <v>-94.777766729999996</v>
      </c>
      <c r="M3330" s="6" t="s">
        <v>496</v>
      </c>
      <c r="N3330" s="6" t="s">
        <v>160</v>
      </c>
      <c r="O3330" s="6" t="s">
        <v>23</v>
      </c>
    </row>
    <row r="3331" spans="1:15" x14ac:dyDescent="0.25">
      <c r="A3331" s="6" t="s">
        <v>3065</v>
      </c>
      <c r="B3331" s="6" t="s">
        <v>3064</v>
      </c>
      <c r="C3331" s="6" t="s">
        <v>31</v>
      </c>
      <c r="E3331" s="6" t="s">
        <v>3063</v>
      </c>
      <c r="F3331" s="6" t="s">
        <v>3062</v>
      </c>
      <c r="G3331" s="6" t="s">
        <v>16</v>
      </c>
      <c r="H3331" s="6" t="s">
        <v>15</v>
      </c>
      <c r="I3331" s="6" t="s">
        <v>46</v>
      </c>
      <c r="J3331" s="6" t="s">
        <v>1249</v>
      </c>
      <c r="K3331" s="7">
        <v>31.873499930000001</v>
      </c>
      <c r="L3331" s="7">
        <v>-95.96865468</v>
      </c>
      <c r="M3331" s="6" t="s">
        <v>1031</v>
      </c>
      <c r="N3331" s="6" t="s">
        <v>102</v>
      </c>
      <c r="O3331" s="6" t="s">
        <v>65</v>
      </c>
    </row>
    <row r="3332" spans="1:15" x14ac:dyDescent="0.25">
      <c r="A3332" s="6" t="s">
        <v>9530</v>
      </c>
      <c r="B3332" s="6" t="s">
        <v>9529</v>
      </c>
      <c r="C3332" s="6" t="s">
        <v>31</v>
      </c>
      <c r="E3332" s="6" t="s">
        <v>9528</v>
      </c>
      <c r="F3332" s="6" t="s">
        <v>606</v>
      </c>
      <c r="G3332" s="6" t="s">
        <v>16</v>
      </c>
      <c r="H3332" s="6" t="s">
        <v>28</v>
      </c>
      <c r="I3332" s="6" t="s">
        <v>27</v>
      </c>
      <c r="J3332" s="6" t="s">
        <v>3250</v>
      </c>
      <c r="K3332" s="7">
        <v>32.171568229999998</v>
      </c>
      <c r="L3332" s="7">
        <v>-101.67198983999999</v>
      </c>
      <c r="M3332" s="6" t="s">
        <v>1119</v>
      </c>
      <c r="N3332" s="6" t="s">
        <v>10</v>
      </c>
      <c r="O3332" s="6" t="s">
        <v>383</v>
      </c>
    </row>
    <row r="3333" spans="1:15" x14ac:dyDescent="0.25">
      <c r="A3333" s="6" t="s">
        <v>4468</v>
      </c>
      <c r="B3333" s="6" t="s">
        <v>4467</v>
      </c>
      <c r="C3333" s="6" t="s">
        <v>31</v>
      </c>
      <c r="E3333" s="6" t="s">
        <v>4466</v>
      </c>
      <c r="F3333" s="6" t="s">
        <v>4465</v>
      </c>
      <c r="G3333" s="6" t="s">
        <v>16</v>
      </c>
      <c r="H3333" s="6" t="s">
        <v>28</v>
      </c>
      <c r="I3333" s="6" t="s">
        <v>27</v>
      </c>
      <c r="J3333" s="6" t="s">
        <v>1240</v>
      </c>
      <c r="K3333" s="7">
        <v>28.762806749999999</v>
      </c>
      <c r="L3333" s="7">
        <v>-97.045200789999996</v>
      </c>
      <c r="M3333" s="6" t="s">
        <v>1739</v>
      </c>
      <c r="N3333" s="6" t="s">
        <v>559</v>
      </c>
      <c r="O3333" s="6" t="s">
        <v>10</v>
      </c>
    </row>
    <row r="3334" spans="1:15" x14ac:dyDescent="0.25">
      <c r="A3334" s="6" t="s">
        <v>3434</v>
      </c>
      <c r="B3334" s="6" t="s">
        <v>3433</v>
      </c>
      <c r="C3334" s="6" t="s">
        <v>31</v>
      </c>
      <c r="E3334" s="6" t="s">
        <v>3432</v>
      </c>
      <c r="F3334" s="6" t="s">
        <v>3431</v>
      </c>
      <c r="G3334" s="6" t="s">
        <v>16</v>
      </c>
      <c r="H3334" s="6" t="s">
        <v>28</v>
      </c>
      <c r="I3334" s="6" t="s">
        <v>27</v>
      </c>
      <c r="J3334" s="6" t="s">
        <v>45</v>
      </c>
      <c r="K3334" s="7">
        <v>33.425106210000003</v>
      </c>
      <c r="L3334" s="7">
        <v>-96.346646320000005</v>
      </c>
      <c r="M3334" s="6" t="s">
        <v>349</v>
      </c>
      <c r="N3334" s="6" t="s">
        <v>102</v>
      </c>
      <c r="O3334" s="6" t="s">
        <v>42</v>
      </c>
    </row>
    <row r="3335" spans="1:15" x14ac:dyDescent="0.25">
      <c r="A3335" s="6" t="s">
        <v>1635</v>
      </c>
      <c r="B3335" s="6" t="s">
        <v>1634</v>
      </c>
      <c r="C3335" s="6" t="s">
        <v>31</v>
      </c>
      <c r="E3335" s="6" t="s">
        <v>1633</v>
      </c>
      <c r="F3335" s="6" t="s">
        <v>1632</v>
      </c>
      <c r="G3335" s="6" t="s">
        <v>16</v>
      </c>
      <c r="H3335" s="6" t="s">
        <v>28</v>
      </c>
      <c r="I3335" s="6" t="s">
        <v>46</v>
      </c>
      <c r="J3335" s="6" t="s">
        <v>132</v>
      </c>
      <c r="K3335" s="7">
        <v>29.768881499999999</v>
      </c>
      <c r="L3335" s="7">
        <v>-95.861977049999993</v>
      </c>
      <c r="M3335" s="6" t="s">
        <v>131</v>
      </c>
      <c r="N3335" s="6" t="s">
        <v>24</v>
      </c>
      <c r="O3335" s="6" t="s">
        <v>23</v>
      </c>
    </row>
    <row r="3336" spans="1:15" x14ac:dyDescent="0.25">
      <c r="A3336" s="6" t="s">
        <v>769</v>
      </c>
      <c r="B3336" s="6" t="s">
        <v>768</v>
      </c>
      <c r="C3336" s="6" t="s">
        <v>31</v>
      </c>
      <c r="E3336" s="6" t="s">
        <v>767</v>
      </c>
      <c r="F3336" s="6" t="s">
        <v>766</v>
      </c>
      <c r="G3336" s="6" t="s">
        <v>16</v>
      </c>
      <c r="H3336" s="6" t="s">
        <v>28</v>
      </c>
      <c r="I3336" s="6" t="s">
        <v>27</v>
      </c>
      <c r="J3336" s="6" t="s">
        <v>67</v>
      </c>
      <c r="K3336" s="7">
        <v>32.366299120000001</v>
      </c>
      <c r="L3336" s="7">
        <v>-95.42101443</v>
      </c>
      <c r="M3336" s="6" t="s">
        <v>765</v>
      </c>
      <c r="N3336" s="6" t="s">
        <v>52</v>
      </c>
      <c r="O3336" s="6" t="s">
        <v>65</v>
      </c>
    </row>
    <row r="3337" spans="1:15" x14ac:dyDescent="0.25">
      <c r="A3337" s="6" t="s">
        <v>903</v>
      </c>
      <c r="B3337" s="6" t="s">
        <v>902</v>
      </c>
      <c r="C3337" s="6" t="s">
        <v>31</v>
      </c>
      <c r="E3337" s="6" t="s">
        <v>901</v>
      </c>
      <c r="F3337" s="6" t="s">
        <v>900</v>
      </c>
      <c r="G3337" s="6" t="s">
        <v>16</v>
      </c>
      <c r="H3337" s="6" t="s">
        <v>28</v>
      </c>
      <c r="I3337" s="6" t="s">
        <v>27</v>
      </c>
      <c r="J3337" s="6" t="s">
        <v>290</v>
      </c>
      <c r="K3337" s="7">
        <v>28.954549839999999</v>
      </c>
      <c r="L3337" s="7">
        <v>-96.067442459999995</v>
      </c>
      <c r="M3337" s="6" t="s">
        <v>899</v>
      </c>
      <c r="N3337" s="6" t="s">
        <v>22</v>
      </c>
      <c r="O3337" s="6" t="s">
        <v>23</v>
      </c>
    </row>
    <row r="3338" spans="1:15" x14ac:dyDescent="0.25">
      <c r="A3338" s="6" t="s">
        <v>1926</v>
      </c>
      <c r="B3338" s="6" t="s">
        <v>1925</v>
      </c>
      <c r="C3338" s="6" t="s">
        <v>31</v>
      </c>
      <c r="E3338" s="6" t="s">
        <v>1924</v>
      </c>
      <c r="F3338" s="6" t="s">
        <v>1862</v>
      </c>
      <c r="G3338" s="6" t="s">
        <v>16</v>
      </c>
      <c r="H3338" s="6" t="s">
        <v>15</v>
      </c>
      <c r="I3338" s="6" t="s">
        <v>46</v>
      </c>
      <c r="J3338" s="6" t="s">
        <v>1249</v>
      </c>
      <c r="K3338" s="7">
        <v>31.731779280000001</v>
      </c>
      <c r="L3338" s="7">
        <v>-95.701925209999999</v>
      </c>
      <c r="M3338" s="6" t="s">
        <v>1031</v>
      </c>
      <c r="N3338" s="6" t="s">
        <v>102</v>
      </c>
      <c r="O3338" s="6" t="s">
        <v>65</v>
      </c>
    </row>
    <row r="3339" spans="1:15" x14ac:dyDescent="0.25">
      <c r="A3339" s="6" t="s">
        <v>710</v>
      </c>
      <c r="B3339" s="6" t="s">
        <v>709</v>
      </c>
      <c r="C3339" s="6" t="s">
        <v>31</v>
      </c>
      <c r="E3339" s="6" t="s">
        <v>708</v>
      </c>
      <c r="F3339" s="6" t="s">
        <v>707</v>
      </c>
      <c r="G3339" s="6" t="s">
        <v>16</v>
      </c>
      <c r="H3339" s="6" t="s">
        <v>28</v>
      </c>
      <c r="I3339" s="6" t="s">
        <v>27</v>
      </c>
      <c r="J3339" s="6" t="s">
        <v>132</v>
      </c>
      <c r="K3339" s="7">
        <v>29.55698778</v>
      </c>
      <c r="L3339" s="7">
        <v>-95.474536979999996</v>
      </c>
      <c r="M3339" s="6" t="s">
        <v>706</v>
      </c>
      <c r="N3339" s="6" t="s">
        <v>160</v>
      </c>
      <c r="O3339" s="6" t="s">
        <v>23</v>
      </c>
    </row>
    <row r="3340" spans="1:15" x14ac:dyDescent="0.25">
      <c r="A3340" s="6" t="s">
        <v>9392</v>
      </c>
      <c r="B3340" s="6" t="s">
        <v>9391</v>
      </c>
      <c r="C3340" s="6" t="s">
        <v>31</v>
      </c>
      <c r="E3340" s="6" t="s">
        <v>9390</v>
      </c>
      <c r="F3340" s="6" t="s">
        <v>1104</v>
      </c>
      <c r="G3340" s="6" t="s">
        <v>16</v>
      </c>
      <c r="H3340" s="6" t="s">
        <v>28</v>
      </c>
      <c r="I3340" s="6" t="s">
        <v>27</v>
      </c>
      <c r="J3340" s="6" t="s">
        <v>2137</v>
      </c>
      <c r="K3340" s="7">
        <v>30.012161930000001</v>
      </c>
      <c r="L3340" s="7">
        <v>-97.683852169999994</v>
      </c>
      <c r="M3340" s="6" t="s">
        <v>455</v>
      </c>
      <c r="N3340" s="6" t="s">
        <v>10</v>
      </c>
      <c r="O3340" s="6" t="s">
        <v>160</v>
      </c>
    </row>
    <row r="3341" spans="1:15" x14ac:dyDescent="0.25">
      <c r="A3341" s="6" t="s">
        <v>1923</v>
      </c>
      <c r="B3341" s="6" t="s">
        <v>1922</v>
      </c>
      <c r="C3341" s="6" t="s">
        <v>31</v>
      </c>
      <c r="E3341" s="6" t="s">
        <v>1921</v>
      </c>
      <c r="F3341" s="6" t="s">
        <v>1920</v>
      </c>
      <c r="G3341" s="6" t="s">
        <v>16</v>
      </c>
      <c r="H3341" s="6" t="s">
        <v>28</v>
      </c>
      <c r="I3341" s="6" t="s">
        <v>27</v>
      </c>
      <c r="J3341" s="6" t="s">
        <v>35</v>
      </c>
      <c r="K3341" s="7">
        <v>29.872377270000001</v>
      </c>
      <c r="L3341" s="7">
        <v>-95.592306800000003</v>
      </c>
      <c r="M3341" s="6" t="s">
        <v>131</v>
      </c>
      <c r="N3341" s="6" t="s">
        <v>24</v>
      </c>
      <c r="O3341" s="6" t="s">
        <v>23</v>
      </c>
    </row>
    <row r="3342" spans="1:15" x14ac:dyDescent="0.25">
      <c r="A3342" s="6" t="s">
        <v>3437</v>
      </c>
      <c r="B3342" s="6" t="s">
        <v>3436</v>
      </c>
      <c r="C3342" s="6" t="s">
        <v>31</v>
      </c>
      <c r="E3342" s="6" t="s">
        <v>3435</v>
      </c>
      <c r="F3342" s="6" t="s">
        <v>513</v>
      </c>
      <c r="G3342" s="6" t="s">
        <v>16</v>
      </c>
      <c r="H3342" s="6" t="s">
        <v>15</v>
      </c>
      <c r="I3342" s="6" t="s">
        <v>46</v>
      </c>
      <c r="J3342" s="6" t="s">
        <v>512</v>
      </c>
      <c r="K3342" s="7">
        <v>27.628333510000001</v>
      </c>
      <c r="L3342" s="7">
        <v>-99.556944770000001</v>
      </c>
      <c r="M3342" s="6" t="s">
        <v>511</v>
      </c>
      <c r="N3342" s="6" t="s">
        <v>373</v>
      </c>
      <c r="O3342" s="6" t="s">
        <v>510</v>
      </c>
    </row>
    <row r="3343" spans="1:15" x14ac:dyDescent="0.25">
      <c r="A3343" s="6" t="s">
        <v>3416</v>
      </c>
      <c r="B3343" s="6" t="s">
        <v>3415</v>
      </c>
      <c r="C3343" s="6" t="s">
        <v>31</v>
      </c>
      <c r="E3343" s="6" t="s">
        <v>3414</v>
      </c>
      <c r="F3343" s="6" t="s">
        <v>3413</v>
      </c>
      <c r="G3343" s="6" t="s">
        <v>16</v>
      </c>
      <c r="H3343" s="6" t="s">
        <v>28</v>
      </c>
      <c r="I3343" s="6" t="s">
        <v>46</v>
      </c>
      <c r="J3343" s="6" t="s">
        <v>26</v>
      </c>
      <c r="K3343" s="7">
        <v>30.425524559999999</v>
      </c>
      <c r="L3343" s="7">
        <v>-95.656588409999998</v>
      </c>
      <c r="M3343" s="6" t="s">
        <v>340</v>
      </c>
      <c r="N3343" s="6" t="s">
        <v>24</v>
      </c>
      <c r="O3343" s="6" t="s">
        <v>23</v>
      </c>
    </row>
    <row r="3344" spans="1:15" x14ac:dyDescent="0.25">
      <c r="A3344" s="6" t="s">
        <v>6649</v>
      </c>
      <c r="B3344" s="6" t="s">
        <v>636</v>
      </c>
      <c r="C3344" s="6" t="s">
        <v>19</v>
      </c>
      <c r="E3344" s="6" t="s">
        <v>634</v>
      </c>
      <c r="F3344" s="6" t="s">
        <v>633</v>
      </c>
      <c r="G3344" s="6" t="s">
        <v>16</v>
      </c>
      <c r="H3344" s="6" t="s">
        <v>15</v>
      </c>
      <c r="I3344" s="6" t="s">
        <v>14</v>
      </c>
      <c r="J3344" s="6" t="s">
        <v>632</v>
      </c>
      <c r="K3344" s="7">
        <v>30.084451519999998</v>
      </c>
      <c r="L3344" s="7">
        <v>-93.733966289999998</v>
      </c>
      <c r="M3344" s="6" t="s">
        <v>631</v>
      </c>
      <c r="N3344" s="6" t="s">
        <v>65</v>
      </c>
      <c r="O3344" s="6" t="s">
        <v>24</v>
      </c>
    </row>
    <row r="3345" spans="1:15" x14ac:dyDescent="0.25">
      <c r="A3345" s="6" t="s">
        <v>639</v>
      </c>
      <c r="B3345" s="6" t="s">
        <v>636</v>
      </c>
      <c r="C3345" s="6" t="s">
        <v>638</v>
      </c>
      <c r="E3345" s="6" t="s">
        <v>634</v>
      </c>
      <c r="F3345" s="6" t="s">
        <v>633</v>
      </c>
      <c r="G3345" s="6" t="s">
        <v>16</v>
      </c>
      <c r="H3345" s="6" t="s">
        <v>15</v>
      </c>
      <c r="I3345" s="6" t="s">
        <v>14</v>
      </c>
      <c r="J3345" s="6" t="s">
        <v>632</v>
      </c>
      <c r="K3345" s="7">
        <v>30.0857782</v>
      </c>
      <c r="L3345" s="7">
        <v>-93.734642199999996</v>
      </c>
      <c r="M3345" s="6" t="s">
        <v>631</v>
      </c>
      <c r="N3345" s="6" t="s">
        <v>65</v>
      </c>
      <c r="O3345" s="6" t="s">
        <v>24</v>
      </c>
    </row>
    <row r="3346" spans="1:15" x14ac:dyDescent="0.25">
      <c r="A3346" s="6" t="s">
        <v>637</v>
      </c>
      <c r="B3346" s="6" t="s">
        <v>636</v>
      </c>
      <c r="C3346" s="6" t="s">
        <v>635</v>
      </c>
      <c r="E3346" s="6" t="s">
        <v>634</v>
      </c>
      <c r="F3346" s="6" t="s">
        <v>633</v>
      </c>
      <c r="G3346" s="6" t="s">
        <v>16</v>
      </c>
      <c r="H3346" s="6" t="s">
        <v>15</v>
      </c>
      <c r="I3346" s="6" t="s">
        <v>14</v>
      </c>
      <c r="J3346" s="6" t="s">
        <v>632</v>
      </c>
      <c r="K3346" s="7">
        <v>30.085132779999999</v>
      </c>
      <c r="L3346" s="7">
        <v>-93.734391970000004</v>
      </c>
      <c r="M3346" s="6" t="s">
        <v>631</v>
      </c>
      <c r="N3346" s="6" t="s">
        <v>65</v>
      </c>
      <c r="O3346" s="6" t="s">
        <v>24</v>
      </c>
    </row>
    <row r="3347" spans="1:15" x14ac:dyDescent="0.25">
      <c r="A3347" s="6" t="s">
        <v>6648</v>
      </c>
      <c r="B3347" s="6" t="s">
        <v>636</v>
      </c>
      <c r="C3347" s="6" t="s">
        <v>1092</v>
      </c>
      <c r="E3347" s="6" t="s">
        <v>634</v>
      </c>
      <c r="F3347" s="6" t="s">
        <v>6647</v>
      </c>
      <c r="G3347" s="6" t="s">
        <v>16</v>
      </c>
      <c r="H3347" s="6" t="s">
        <v>15</v>
      </c>
      <c r="I3347" s="6" t="s">
        <v>14</v>
      </c>
      <c r="J3347" s="6" t="s">
        <v>632</v>
      </c>
      <c r="K3347" s="7">
        <v>30.0831838</v>
      </c>
      <c r="L3347" s="7">
        <v>-93.733473910000001</v>
      </c>
      <c r="M3347" s="6" t="s">
        <v>631</v>
      </c>
      <c r="N3347" s="6" t="s">
        <v>65</v>
      </c>
      <c r="O3347" s="6" t="s">
        <v>24</v>
      </c>
    </row>
    <row r="3348" spans="1:15" x14ac:dyDescent="0.25">
      <c r="A3348" s="6" t="s">
        <v>649</v>
      </c>
      <c r="B3348" s="6" t="s">
        <v>648</v>
      </c>
      <c r="C3348" s="6" t="s">
        <v>31</v>
      </c>
      <c r="E3348" s="6" t="s">
        <v>647</v>
      </c>
      <c r="F3348" s="6" t="s">
        <v>646</v>
      </c>
      <c r="G3348" s="6" t="s">
        <v>16</v>
      </c>
      <c r="H3348" s="6" t="s">
        <v>28</v>
      </c>
      <c r="I3348" s="6" t="s">
        <v>46</v>
      </c>
      <c r="J3348" s="6" t="s">
        <v>645</v>
      </c>
      <c r="K3348" s="7">
        <v>31.504398599999998</v>
      </c>
      <c r="L3348" s="7">
        <v>-94.52269038</v>
      </c>
      <c r="M3348" s="6" t="s">
        <v>644</v>
      </c>
      <c r="N3348" s="6" t="s">
        <v>52</v>
      </c>
      <c r="O3348" s="6" t="s">
        <v>24</v>
      </c>
    </row>
    <row r="3349" spans="1:15" x14ac:dyDescent="0.25">
      <c r="A3349" s="6" t="s">
        <v>2148</v>
      </c>
      <c r="B3349" s="6" t="s">
        <v>2144</v>
      </c>
      <c r="C3349" s="6" t="s">
        <v>31</v>
      </c>
      <c r="E3349" s="6" t="s">
        <v>2143</v>
      </c>
      <c r="F3349" s="6" t="s">
        <v>2142</v>
      </c>
      <c r="G3349" s="6" t="s">
        <v>16</v>
      </c>
      <c r="H3349" s="6" t="s">
        <v>15</v>
      </c>
      <c r="I3349" s="6" t="s">
        <v>14</v>
      </c>
      <c r="J3349" s="6" t="s">
        <v>853</v>
      </c>
      <c r="K3349" s="7">
        <v>29.86973858</v>
      </c>
      <c r="L3349" s="7">
        <v>-94.924999139999997</v>
      </c>
      <c r="M3349" s="6" t="s">
        <v>914</v>
      </c>
      <c r="N3349" s="6" t="s">
        <v>120</v>
      </c>
      <c r="O3349" s="6" t="s">
        <v>23</v>
      </c>
    </row>
    <row r="3350" spans="1:15" x14ac:dyDescent="0.25">
      <c r="A3350" s="6" t="s">
        <v>2147</v>
      </c>
      <c r="B3350" s="6" t="s">
        <v>2144</v>
      </c>
      <c r="C3350" s="6" t="s">
        <v>19</v>
      </c>
      <c r="E3350" s="6" t="s">
        <v>2143</v>
      </c>
      <c r="F3350" s="6" t="s">
        <v>2142</v>
      </c>
      <c r="G3350" s="6" t="s">
        <v>16</v>
      </c>
      <c r="H3350" s="6" t="s">
        <v>430</v>
      </c>
      <c r="I3350" s="6" t="s">
        <v>14</v>
      </c>
      <c r="J3350" s="6" t="s">
        <v>853</v>
      </c>
      <c r="K3350" s="7">
        <v>29.868328439999999</v>
      </c>
      <c r="L3350" s="7">
        <v>-94.924998119999998</v>
      </c>
      <c r="M3350" s="6" t="s">
        <v>914</v>
      </c>
      <c r="N3350" s="6" t="s">
        <v>120</v>
      </c>
      <c r="O3350" s="6" t="s">
        <v>23</v>
      </c>
    </row>
    <row r="3351" spans="1:15" x14ac:dyDescent="0.25">
      <c r="A3351" s="6" t="s">
        <v>2146</v>
      </c>
      <c r="B3351" s="6" t="s">
        <v>2144</v>
      </c>
      <c r="C3351" s="6" t="s">
        <v>436</v>
      </c>
      <c r="E3351" s="6" t="s">
        <v>2143</v>
      </c>
      <c r="F3351" s="6" t="s">
        <v>2142</v>
      </c>
      <c r="G3351" s="6" t="s">
        <v>16</v>
      </c>
      <c r="H3351" s="6" t="s">
        <v>15</v>
      </c>
      <c r="I3351" s="6" t="s">
        <v>14</v>
      </c>
      <c r="J3351" s="6" t="s">
        <v>853</v>
      </c>
      <c r="K3351" s="7">
        <v>29.866636020000001</v>
      </c>
      <c r="L3351" s="7">
        <v>-94.928079089999997</v>
      </c>
      <c r="M3351" s="6" t="s">
        <v>914</v>
      </c>
      <c r="N3351" s="6" t="s">
        <v>120</v>
      </c>
      <c r="O3351" s="6" t="s">
        <v>23</v>
      </c>
    </row>
    <row r="3352" spans="1:15" x14ac:dyDescent="0.25">
      <c r="A3352" s="6" t="s">
        <v>2145</v>
      </c>
      <c r="B3352" s="6" t="s">
        <v>2144</v>
      </c>
      <c r="C3352" s="6" t="s">
        <v>597</v>
      </c>
      <c r="E3352" s="6" t="s">
        <v>2143</v>
      </c>
      <c r="F3352" s="6" t="s">
        <v>2142</v>
      </c>
      <c r="G3352" s="6" t="s">
        <v>16</v>
      </c>
      <c r="H3352" s="6" t="s">
        <v>430</v>
      </c>
      <c r="I3352" s="6" t="s">
        <v>14</v>
      </c>
      <c r="J3352" s="6" t="s">
        <v>853</v>
      </c>
      <c r="K3352" s="7">
        <v>29.86663909</v>
      </c>
      <c r="L3352" s="7">
        <v>-94.928103500000006</v>
      </c>
      <c r="M3352" s="6" t="s">
        <v>914</v>
      </c>
      <c r="N3352" s="6" t="s">
        <v>120</v>
      </c>
      <c r="O3352" s="6" t="s">
        <v>23</v>
      </c>
    </row>
    <row r="3353" spans="1:15" x14ac:dyDescent="0.25">
      <c r="A3353" s="6" t="s">
        <v>5883</v>
      </c>
      <c r="B3353" s="6" t="s">
        <v>2144</v>
      </c>
      <c r="C3353" s="6" t="s">
        <v>557</v>
      </c>
      <c r="E3353" s="6" t="s">
        <v>2143</v>
      </c>
      <c r="F3353" s="6" t="s">
        <v>2142</v>
      </c>
      <c r="G3353" s="6" t="s">
        <v>284</v>
      </c>
      <c r="H3353" s="6" t="s">
        <v>430</v>
      </c>
      <c r="I3353" s="6" t="s">
        <v>14</v>
      </c>
      <c r="J3353" s="6" t="s">
        <v>853</v>
      </c>
      <c r="K3353" s="7">
        <v>29.8711001</v>
      </c>
      <c r="L3353" s="7">
        <v>-94.924460510000003</v>
      </c>
      <c r="M3353" s="6" t="s">
        <v>914</v>
      </c>
      <c r="N3353" s="6" t="s">
        <v>120</v>
      </c>
      <c r="O3353" s="6" t="s">
        <v>23</v>
      </c>
    </row>
    <row r="3354" spans="1:15" x14ac:dyDescent="0.25">
      <c r="A3354" s="6" t="s">
        <v>5882</v>
      </c>
      <c r="B3354" s="6" t="s">
        <v>2144</v>
      </c>
      <c r="C3354" s="6" t="s">
        <v>433</v>
      </c>
      <c r="E3354" s="6" t="s">
        <v>2143</v>
      </c>
      <c r="F3354" s="6" t="s">
        <v>2142</v>
      </c>
      <c r="G3354" s="6" t="s">
        <v>284</v>
      </c>
      <c r="H3354" s="6" t="s">
        <v>15</v>
      </c>
      <c r="I3354" s="6" t="s">
        <v>14</v>
      </c>
      <c r="J3354" s="6" t="s">
        <v>853</v>
      </c>
      <c r="K3354" s="7">
        <v>29.871664339999999</v>
      </c>
      <c r="L3354" s="7">
        <v>-94.924163879999995</v>
      </c>
      <c r="M3354" s="6" t="s">
        <v>914</v>
      </c>
      <c r="N3354" s="6" t="s">
        <v>120</v>
      </c>
      <c r="O3354" s="6" t="s">
        <v>23</v>
      </c>
    </row>
    <row r="3355" spans="1:15" x14ac:dyDescent="0.25">
      <c r="A3355" s="6" t="s">
        <v>2141</v>
      </c>
      <c r="B3355" s="6" t="s">
        <v>2140</v>
      </c>
      <c r="C3355" s="6" t="s">
        <v>31</v>
      </c>
      <c r="E3355" s="6" t="s">
        <v>2139</v>
      </c>
      <c r="F3355" s="6" t="s">
        <v>2138</v>
      </c>
      <c r="G3355" s="6" t="s">
        <v>16</v>
      </c>
      <c r="H3355" s="6" t="s">
        <v>28</v>
      </c>
      <c r="I3355" s="6" t="s">
        <v>27</v>
      </c>
      <c r="J3355" s="6" t="s">
        <v>2137</v>
      </c>
      <c r="K3355" s="7">
        <v>29.9068042</v>
      </c>
      <c r="L3355" s="7">
        <v>-97.571308340000002</v>
      </c>
      <c r="M3355" s="6" t="s">
        <v>752</v>
      </c>
      <c r="N3355" s="6" t="s">
        <v>559</v>
      </c>
      <c r="O3355" s="6" t="s">
        <v>160</v>
      </c>
    </row>
    <row r="3356" spans="1:15" x14ac:dyDescent="0.25">
      <c r="A3356" s="6" t="s">
        <v>3430</v>
      </c>
      <c r="B3356" s="6" t="s">
        <v>3429</v>
      </c>
      <c r="C3356" s="6" t="s">
        <v>31</v>
      </c>
      <c r="E3356" s="6" t="s">
        <v>3428</v>
      </c>
      <c r="F3356" s="6" t="s">
        <v>3427</v>
      </c>
      <c r="G3356" s="6" t="s">
        <v>16</v>
      </c>
      <c r="H3356" s="6" t="s">
        <v>28</v>
      </c>
      <c r="I3356" s="6" t="s">
        <v>46</v>
      </c>
      <c r="J3356" s="6" t="s">
        <v>2106</v>
      </c>
      <c r="K3356" s="7">
        <v>32.861504609999997</v>
      </c>
      <c r="L3356" s="7">
        <v>-94.661140939999996</v>
      </c>
      <c r="M3356" s="6" t="s">
        <v>2105</v>
      </c>
      <c r="N3356" s="6" t="s">
        <v>42</v>
      </c>
      <c r="O3356" s="6" t="s">
        <v>65</v>
      </c>
    </row>
    <row r="3357" spans="1:15" x14ac:dyDescent="0.25">
      <c r="A3357" s="6" t="s">
        <v>10843</v>
      </c>
      <c r="B3357" s="6" t="s">
        <v>10842</v>
      </c>
      <c r="C3357" s="6" t="s">
        <v>31</v>
      </c>
      <c r="E3357" s="6" t="s">
        <v>10841</v>
      </c>
      <c r="F3357" s="6" t="s">
        <v>10840</v>
      </c>
      <c r="G3357" s="6" t="s">
        <v>16</v>
      </c>
      <c r="H3357" s="6" t="s">
        <v>28</v>
      </c>
      <c r="I3357" s="6" t="s">
        <v>46</v>
      </c>
      <c r="J3357" s="6" t="s">
        <v>318</v>
      </c>
      <c r="K3357" s="7">
        <v>30.857973000000001</v>
      </c>
      <c r="L3357" s="7">
        <v>-94.851275999999999</v>
      </c>
      <c r="M3357" s="6" t="s">
        <v>2355</v>
      </c>
      <c r="N3357" s="6" t="s">
        <v>102</v>
      </c>
      <c r="O3357" s="6" t="s">
        <v>24</v>
      </c>
    </row>
    <row r="3358" spans="1:15" x14ac:dyDescent="0.25">
      <c r="A3358" s="6" t="s">
        <v>653</v>
      </c>
      <c r="B3358" s="6" t="s">
        <v>652</v>
      </c>
      <c r="C3358" s="6" t="s">
        <v>31</v>
      </c>
      <c r="E3358" s="6" t="s">
        <v>651</v>
      </c>
      <c r="F3358" s="6" t="s">
        <v>650</v>
      </c>
      <c r="G3358" s="6" t="s">
        <v>16</v>
      </c>
      <c r="H3358" s="6" t="s">
        <v>28</v>
      </c>
      <c r="I3358" s="6" t="s">
        <v>36</v>
      </c>
      <c r="J3358" s="6" t="s">
        <v>26</v>
      </c>
      <c r="K3358" s="7">
        <v>30.268739719999999</v>
      </c>
      <c r="L3358" s="7">
        <v>-95.51924459</v>
      </c>
      <c r="M3358" s="6" t="s">
        <v>25</v>
      </c>
      <c r="N3358" s="6" t="s">
        <v>24</v>
      </c>
      <c r="O3358" s="6" t="s">
        <v>23</v>
      </c>
    </row>
    <row r="3359" spans="1:15" x14ac:dyDescent="0.25">
      <c r="A3359" s="6" t="s">
        <v>3412</v>
      </c>
      <c r="B3359" s="6" t="s">
        <v>3411</v>
      </c>
      <c r="C3359" s="6" t="s">
        <v>31</v>
      </c>
      <c r="E3359" s="6" t="s">
        <v>3410</v>
      </c>
      <c r="F3359" s="6" t="s">
        <v>1885</v>
      </c>
      <c r="G3359" s="6" t="s">
        <v>16</v>
      </c>
      <c r="H3359" s="6" t="s">
        <v>15</v>
      </c>
      <c r="I3359" s="6" t="s">
        <v>46</v>
      </c>
      <c r="J3359" s="6" t="s">
        <v>151</v>
      </c>
      <c r="K3359" s="7">
        <v>33.100190159999997</v>
      </c>
      <c r="L3359" s="7">
        <v>-97.468203740000007</v>
      </c>
      <c r="M3359" s="6" t="s">
        <v>156</v>
      </c>
      <c r="N3359" s="6" t="s">
        <v>102</v>
      </c>
      <c r="O3359" s="6" t="s">
        <v>3278</v>
      </c>
    </row>
    <row r="3360" spans="1:15" x14ac:dyDescent="0.25">
      <c r="A3360" s="6" t="s">
        <v>2131</v>
      </c>
      <c r="B3360" s="6" t="s">
        <v>2130</v>
      </c>
      <c r="C3360" s="6" t="s">
        <v>31</v>
      </c>
      <c r="E3360" s="6" t="s">
        <v>2129</v>
      </c>
      <c r="F3360" s="6" t="s">
        <v>2128</v>
      </c>
      <c r="G3360" s="6" t="s">
        <v>16</v>
      </c>
      <c r="H3360" s="6" t="s">
        <v>28</v>
      </c>
      <c r="I3360" s="6" t="s">
        <v>46</v>
      </c>
      <c r="J3360" s="6" t="s">
        <v>35</v>
      </c>
      <c r="K3360" s="7">
        <v>29.959319440000002</v>
      </c>
      <c r="L3360" s="7">
        <v>-95.712118500000003</v>
      </c>
      <c r="M3360" s="6" t="s">
        <v>279</v>
      </c>
      <c r="N3360" s="6" t="s">
        <v>24</v>
      </c>
      <c r="O3360" s="6" t="s">
        <v>23</v>
      </c>
    </row>
    <row r="3361" spans="1:15" x14ac:dyDescent="0.25">
      <c r="A3361" s="6" t="s">
        <v>2127</v>
      </c>
      <c r="B3361" s="6" t="s">
        <v>2126</v>
      </c>
      <c r="C3361" s="6" t="s">
        <v>31</v>
      </c>
      <c r="E3361" s="6" t="s">
        <v>2125</v>
      </c>
      <c r="F3361" s="6" t="s">
        <v>707</v>
      </c>
      <c r="G3361" s="6" t="s">
        <v>16</v>
      </c>
      <c r="H3361" s="6" t="s">
        <v>28</v>
      </c>
      <c r="I3361" s="6" t="s">
        <v>46</v>
      </c>
      <c r="J3361" s="6" t="s">
        <v>162</v>
      </c>
      <c r="K3361" s="7">
        <v>29.45507838</v>
      </c>
      <c r="L3361" s="7">
        <v>-95.425656779999997</v>
      </c>
      <c r="M3361" s="6" t="s">
        <v>161</v>
      </c>
      <c r="N3361" s="6" t="s">
        <v>160</v>
      </c>
      <c r="O3361" s="6" t="s">
        <v>23</v>
      </c>
    </row>
    <row r="3362" spans="1:15" x14ac:dyDescent="0.25">
      <c r="A3362" s="6" t="s">
        <v>3409</v>
      </c>
      <c r="B3362" s="6" t="s">
        <v>3408</v>
      </c>
      <c r="C3362" s="6" t="s">
        <v>31</v>
      </c>
      <c r="E3362" s="6" t="s">
        <v>3407</v>
      </c>
      <c r="F3362" s="6" t="s">
        <v>3406</v>
      </c>
      <c r="G3362" s="6" t="s">
        <v>16</v>
      </c>
      <c r="H3362" s="6" t="s">
        <v>28</v>
      </c>
      <c r="I3362" s="6" t="s">
        <v>46</v>
      </c>
      <c r="J3362" s="6" t="s">
        <v>72</v>
      </c>
      <c r="K3362" s="7">
        <v>31.86780624</v>
      </c>
      <c r="L3362" s="7">
        <v>-95.392259580000001</v>
      </c>
      <c r="M3362" s="6" t="s">
        <v>53</v>
      </c>
      <c r="N3362" s="6" t="s">
        <v>52</v>
      </c>
      <c r="O3362" s="6" t="s">
        <v>65</v>
      </c>
    </row>
    <row r="3363" spans="1:15" x14ac:dyDescent="0.25">
      <c r="A3363" s="6" t="s">
        <v>630</v>
      </c>
      <c r="B3363" s="6" t="s">
        <v>629</v>
      </c>
      <c r="C3363" s="6" t="s">
        <v>31</v>
      </c>
      <c r="E3363" s="6" t="s">
        <v>628</v>
      </c>
      <c r="F3363" s="6" t="s">
        <v>627</v>
      </c>
      <c r="G3363" s="6" t="s">
        <v>16</v>
      </c>
      <c r="H3363" s="6" t="s">
        <v>28</v>
      </c>
      <c r="I3363" s="6" t="s">
        <v>27</v>
      </c>
      <c r="J3363" s="6" t="s">
        <v>626</v>
      </c>
      <c r="K3363" s="7">
        <v>31.792235600000001</v>
      </c>
      <c r="L3363" s="7">
        <v>-99.043333200000006</v>
      </c>
      <c r="M3363" s="6" t="s">
        <v>625</v>
      </c>
      <c r="N3363" s="6" t="s">
        <v>95</v>
      </c>
      <c r="O3363" s="6" t="s">
        <v>10</v>
      </c>
    </row>
    <row r="3364" spans="1:15" x14ac:dyDescent="0.25">
      <c r="A3364" s="6" t="s">
        <v>1892</v>
      </c>
      <c r="B3364" s="6" t="s">
        <v>1891</v>
      </c>
      <c r="C3364" s="6" t="s">
        <v>31</v>
      </c>
      <c r="E3364" s="6" t="s">
        <v>1890</v>
      </c>
      <c r="F3364" s="6" t="s">
        <v>1889</v>
      </c>
      <c r="G3364" s="6" t="s">
        <v>16</v>
      </c>
      <c r="H3364" s="6" t="s">
        <v>430</v>
      </c>
      <c r="I3364" s="6" t="s">
        <v>14</v>
      </c>
      <c r="J3364" s="6" t="s">
        <v>35</v>
      </c>
      <c r="K3364" s="7">
        <v>29.7558249</v>
      </c>
      <c r="L3364" s="7">
        <v>-95.140323289999998</v>
      </c>
      <c r="M3364" s="6" t="s">
        <v>34</v>
      </c>
      <c r="N3364" s="6" t="s">
        <v>24</v>
      </c>
      <c r="O3364" s="6" t="s">
        <v>23</v>
      </c>
    </row>
    <row r="3365" spans="1:15" x14ac:dyDescent="0.25">
      <c r="A3365" s="6" t="s">
        <v>12284</v>
      </c>
      <c r="B3365" s="6" t="s">
        <v>12283</v>
      </c>
      <c r="C3365" s="6" t="s">
        <v>31</v>
      </c>
      <c r="E3365" s="6" t="s">
        <v>12282</v>
      </c>
      <c r="F3365" s="6" t="s">
        <v>12281</v>
      </c>
      <c r="G3365" s="6" t="s">
        <v>16</v>
      </c>
      <c r="H3365" s="6" t="s">
        <v>28</v>
      </c>
      <c r="I3365" s="6" t="s">
        <v>46</v>
      </c>
      <c r="J3365" s="6" t="s">
        <v>35</v>
      </c>
      <c r="K3365" s="7">
        <v>29.987715999999999</v>
      </c>
      <c r="L3365" s="7">
        <v>-95.627994999999999</v>
      </c>
      <c r="M3365" s="6" t="s">
        <v>279</v>
      </c>
      <c r="N3365" s="6" t="s">
        <v>24</v>
      </c>
      <c r="O3365" s="6" t="s">
        <v>23</v>
      </c>
    </row>
    <row r="3366" spans="1:15" x14ac:dyDescent="0.25">
      <c r="A3366" s="6" t="s">
        <v>1912</v>
      </c>
      <c r="B3366" s="6" t="s">
        <v>1911</v>
      </c>
      <c r="C3366" s="6" t="s">
        <v>31</v>
      </c>
      <c r="E3366" s="6" t="s">
        <v>1910</v>
      </c>
      <c r="F3366" s="6" t="s">
        <v>1909</v>
      </c>
      <c r="G3366" s="6" t="s">
        <v>16</v>
      </c>
      <c r="H3366" s="6" t="s">
        <v>15</v>
      </c>
      <c r="I3366" s="6" t="s">
        <v>36</v>
      </c>
      <c r="J3366" s="6" t="s">
        <v>13</v>
      </c>
      <c r="K3366" s="7">
        <v>27.831343820000001</v>
      </c>
      <c r="L3366" s="7">
        <v>-97.495680980000003</v>
      </c>
      <c r="M3366" s="6" t="s">
        <v>12</v>
      </c>
      <c r="N3366" s="6" t="s">
        <v>11</v>
      </c>
      <c r="O3366" s="6" t="s">
        <v>10</v>
      </c>
    </row>
    <row r="3367" spans="1:15" x14ac:dyDescent="0.25">
      <c r="A3367" s="6" t="s">
        <v>1897</v>
      </c>
      <c r="B3367" s="6" t="s">
        <v>1896</v>
      </c>
      <c r="C3367" s="6" t="s">
        <v>31</v>
      </c>
      <c r="E3367" s="6" t="s">
        <v>1895</v>
      </c>
      <c r="F3367" s="6" t="s">
        <v>606</v>
      </c>
      <c r="G3367" s="6" t="s">
        <v>16</v>
      </c>
      <c r="H3367" s="6" t="s">
        <v>28</v>
      </c>
      <c r="I3367" s="6" t="s">
        <v>46</v>
      </c>
      <c r="J3367" s="6" t="s">
        <v>1894</v>
      </c>
      <c r="K3367" s="7">
        <v>31.289798149999999</v>
      </c>
      <c r="L3367" s="7">
        <v>-101.15691789</v>
      </c>
      <c r="M3367" s="6" t="s">
        <v>1893</v>
      </c>
      <c r="N3367" s="6" t="s">
        <v>10</v>
      </c>
      <c r="O3367" s="6" t="s">
        <v>102</v>
      </c>
    </row>
    <row r="3368" spans="1:15" x14ac:dyDescent="0.25">
      <c r="A3368" s="6" t="s">
        <v>615</v>
      </c>
      <c r="B3368" s="6" t="s">
        <v>613</v>
      </c>
      <c r="C3368" s="6" t="s">
        <v>31</v>
      </c>
      <c r="E3368" s="6" t="s">
        <v>612</v>
      </c>
      <c r="F3368" s="6" t="s">
        <v>611</v>
      </c>
      <c r="G3368" s="6" t="s">
        <v>16</v>
      </c>
      <c r="H3368" s="6" t="s">
        <v>15</v>
      </c>
      <c r="I3368" s="6" t="s">
        <v>14</v>
      </c>
      <c r="J3368" s="6" t="s">
        <v>385</v>
      </c>
      <c r="K3368" s="7">
        <v>29.864787119999999</v>
      </c>
      <c r="L3368" s="7">
        <v>-93.934852739999997</v>
      </c>
      <c r="M3368" s="6" t="s">
        <v>610</v>
      </c>
      <c r="N3368" s="6" t="s">
        <v>383</v>
      </c>
      <c r="O3368" s="6" t="s">
        <v>24</v>
      </c>
    </row>
    <row r="3369" spans="1:15" x14ac:dyDescent="0.25">
      <c r="A3369" s="6" t="s">
        <v>614</v>
      </c>
      <c r="B3369" s="6" t="s">
        <v>613</v>
      </c>
      <c r="C3369" s="6" t="s">
        <v>19</v>
      </c>
      <c r="E3369" s="6" t="s">
        <v>612</v>
      </c>
      <c r="F3369" s="6" t="s">
        <v>611</v>
      </c>
      <c r="G3369" s="6" t="s">
        <v>16</v>
      </c>
      <c r="H3369" s="6" t="s">
        <v>15</v>
      </c>
      <c r="I3369" s="6" t="s">
        <v>14</v>
      </c>
      <c r="J3369" s="6" t="s">
        <v>385</v>
      </c>
      <c r="K3369" s="7">
        <v>29.86489225</v>
      </c>
      <c r="L3369" s="7">
        <v>-93.934723379999994</v>
      </c>
      <c r="M3369" s="6" t="s">
        <v>610</v>
      </c>
      <c r="N3369" s="6" t="s">
        <v>383</v>
      </c>
      <c r="O3369" s="6" t="s">
        <v>24</v>
      </c>
    </row>
    <row r="3370" spans="1:15" x14ac:dyDescent="0.25">
      <c r="A3370" s="6" t="s">
        <v>624</v>
      </c>
      <c r="B3370" s="6" t="s">
        <v>623</v>
      </c>
      <c r="C3370" s="6" t="s">
        <v>31</v>
      </c>
      <c r="E3370" s="6" t="s">
        <v>622</v>
      </c>
      <c r="F3370" s="6" t="s">
        <v>29</v>
      </c>
      <c r="G3370" s="6" t="s">
        <v>16</v>
      </c>
      <c r="H3370" s="6" t="s">
        <v>28</v>
      </c>
      <c r="I3370" s="6" t="s">
        <v>14</v>
      </c>
      <c r="J3370" s="6" t="s">
        <v>356</v>
      </c>
      <c r="K3370" s="7">
        <v>29.844230759999999</v>
      </c>
      <c r="L3370" s="7">
        <v>-95.855238850000006</v>
      </c>
      <c r="M3370" s="6" t="s">
        <v>131</v>
      </c>
      <c r="N3370" s="6" t="s">
        <v>24</v>
      </c>
      <c r="O3370" s="6" t="s">
        <v>23</v>
      </c>
    </row>
    <row r="3371" spans="1:15" x14ac:dyDescent="0.25">
      <c r="A3371" s="6" t="s">
        <v>3168</v>
      </c>
      <c r="B3371" s="6" t="s">
        <v>2113</v>
      </c>
      <c r="C3371" s="6" t="s">
        <v>31</v>
      </c>
      <c r="E3371" s="6" t="s">
        <v>2112</v>
      </c>
      <c r="F3371" s="6" t="s">
        <v>2111</v>
      </c>
      <c r="G3371" s="6" t="s">
        <v>16</v>
      </c>
      <c r="H3371" s="6" t="s">
        <v>15</v>
      </c>
      <c r="I3371" s="6" t="s">
        <v>36</v>
      </c>
      <c r="J3371" s="6" t="s">
        <v>13</v>
      </c>
      <c r="K3371" s="7">
        <v>27.826949330000001</v>
      </c>
      <c r="L3371" s="7">
        <v>-97.496949700000002</v>
      </c>
      <c r="M3371" s="6" t="s">
        <v>12</v>
      </c>
      <c r="N3371" s="6" t="s">
        <v>11</v>
      </c>
      <c r="O3371" s="6" t="s">
        <v>10</v>
      </c>
    </row>
    <row r="3372" spans="1:15" x14ac:dyDescent="0.25">
      <c r="A3372" s="6" t="s">
        <v>2114</v>
      </c>
      <c r="B3372" s="6" t="s">
        <v>2113</v>
      </c>
      <c r="C3372" s="6" t="s">
        <v>19</v>
      </c>
      <c r="E3372" s="6" t="s">
        <v>2112</v>
      </c>
      <c r="F3372" s="6" t="s">
        <v>2111</v>
      </c>
      <c r="G3372" s="6" t="s">
        <v>16</v>
      </c>
      <c r="H3372" s="6" t="s">
        <v>15</v>
      </c>
      <c r="I3372" s="6" t="s">
        <v>36</v>
      </c>
      <c r="J3372" s="6" t="s">
        <v>13</v>
      </c>
      <c r="K3372" s="7">
        <v>27.82021932</v>
      </c>
      <c r="L3372" s="7">
        <v>-97.508614870000002</v>
      </c>
      <c r="M3372" s="6" t="s">
        <v>12</v>
      </c>
      <c r="N3372" s="6" t="s">
        <v>11</v>
      </c>
      <c r="O3372" s="6" t="s">
        <v>10</v>
      </c>
    </row>
    <row r="3373" spans="1:15" x14ac:dyDescent="0.25">
      <c r="A3373" s="6" t="s">
        <v>3167</v>
      </c>
      <c r="B3373" s="6" t="s">
        <v>2113</v>
      </c>
      <c r="C3373" s="6" t="s">
        <v>597</v>
      </c>
      <c r="E3373" s="6" t="s">
        <v>2112</v>
      </c>
      <c r="F3373" s="6" t="s">
        <v>2111</v>
      </c>
      <c r="G3373" s="6" t="s">
        <v>16</v>
      </c>
      <c r="H3373" s="6" t="s">
        <v>430</v>
      </c>
      <c r="I3373" s="6" t="s">
        <v>36</v>
      </c>
      <c r="J3373" s="6" t="s">
        <v>13</v>
      </c>
      <c r="K3373" s="7">
        <v>27.82021932</v>
      </c>
      <c r="L3373" s="7">
        <v>-97.508614870000002</v>
      </c>
      <c r="M3373" s="6" t="s">
        <v>12</v>
      </c>
      <c r="N3373" s="6" t="s">
        <v>11</v>
      </c>
      <c r="O3373" s="6" t="s">
        <v>10</v>
      </c>
    </row>
    <row r="3374" spans="1:15" x14ac:dyDescent="0.25">
      <c r="A3374" s="6" t="s">
        <v>584</v>
      </c>
      <c r="B3374" s="6" t="s">
        <v>583</v>
      </c>
      <c r="C3374" s="6" t="s">
        <v>31</v>
      </c>
      <c r="E3374" s="6" t="s">
        <v>582</v>
      </c>
      <c r="F3374" s="6" t="s">
        <v>581</v>
      </c>
      <c r="G3374" s="6" t="s">
        <v>16</v>
      </c>
      <c r="H3374" s="6" t="s">
        <v>28</v>
      </c>
      <c r="I3374" s="6" t="s">
        <v>46</v>
      </c>
      <c r="J3374" s="6" t="s">
        <v>104</v>
      </c>
      <c r="K3374" s="7">
        <v>32.665277809999999</v>
      </c>
      <c r="L3374" s="7">
        <v>-96.082500109999998</v>
      </c>
      <c r="M3374" s="6" t="s">
        <v>193</v>
      </c>
      <c r="N3374" s="6" t="s">
        <v>102</v>
      </c>
      <c r="O3374" s="6" t="s">
        <v>42</v>
      </c>
    </row>
    <row r="3375" spans="1:15" x14ac:dyDescent="0.25">
      <c r="A3375" s="6" t="s">
        <v>3171</v>
      </c>
      <c r="B3375" s="6" t="s">
        <v>3170</v>
      </c>
      <c r="C3375" s="6" t="s">
        <v>31</v>
      </c>
      <c r="E3375" s="6" t="s">
        <v>3169</v>
      </c>
      <c r="F3375" s="6" t="s">
        <v>2923</v>
      </c>
      <c r="G3375" s="6" t="s">
        <v>16</v>
      </c>
      <c r="H3375" s="6" t="s">
        <v>15</v>
      </c>
      <c r="I3375" s="6" t="s">
        <v>14</v>
      </c>
      <c r="J3375" s="6" t="s">
        <v>90</v>
      </c>
      <c r="K3375" s="7">
        <v>26.055826159999999</v>
      </c>
      <c r="L3375" s="7">
        <v>-97.750504500000005</v>
      </c>
      <c r="M3375" s="6" t="s">
        <v>1254</v>
      </c>
      <c r="N3375" s="6" t="s">
        <v>11</v>
      </c>
      <c r="O3375" s="6" t="s">
        <v>22</v>
      </c>
    </row>
    <row r="3376" spans="1:15" x14ac:dyDescent="0.25">
      <c r="A3376" s="6" t="s">
        <v>3401</v>
      </c>
      <c r="B3376" s="6" t="s">
        <v>3400</v>
      </c>
      <c r="C3376" s="6" t="s">
        <v>31</v>
      </c>
      <c r="E3376" s="6" t="s">
        <v>3399</v>
      </c>
      <c r="F3376" s="6" t="s">
        <v>3398</v>
      </c>
      <c r="G3376" s="6" t="s">
        <v>16</v>
      </c>
      <c r="H3376" s="6" t="s">
        <v>15</v>
      </c>
      <c r="I3376" s="6" t="s">
        <v>46</v>
      </c>
      <c r="J3376" s="6" t="s">
        <v>904</v>
      </c>
      <c r="K3376" s="7">
        <v>32.589287290000001</v>
      </c>
      <c r="L3376" s="7">
        <v>-97.818484330000004</v>
      </c>
      <c r="M3376" s="6" t="s">
        <v>311</v>
      </c>
      <c r="N3376" s="6" t="s">
        <v>23</v>
      </c>
      <c r="O3376" s="6" t="s">
        <v>3278</v>
      </c>
    </row>
    <row r="3377" spans="1:15" x14ac:dyDescent="0.25">
      <c r="A3377" s="6" t="s">
        <v>1888</v>
      </c>
      <c r="B3377" s="6" t="s">
        <v>1887</v>
      </c>
      <c r="C3377" s="6" t="s">
        <v>31</v>
      </c>
      <c r="E3377" s="6" t="s">
        <v>1886</v>
      </c>
      <c r="F3377" s="6" t="s">
        <v>1885</v>
      </c>
      <c r="G3377" s="6" t="s">
        <v>16</v>
      </c>
      <c r="H3377" s="6" t="s">
        <v>15</v>
      </c>
      <c r="I3377" s="6" t="s">
        <v>14</v>
      </c>
      <c r="J3377" s="6" t="s">
        <v>1336</v>
      </c>
      <c r="K3377" s="7">
        <v>28.467062389999999</v>
      </c>
      <c r="L3377" s="7">
        <v>-98.23159493</v>
      </c>
      <c r="M3377" s="6" t="s">
        <v>1884</v>
      </c>
      <c r="N3377" s="6" t="s">
        <v>524</v>
      </c>
      <c r="O3377" s="6" t="s">
        <v>10</v>
      </c>
    </row>
    <row r="3378" spans="1:15" x14ac:dyDescent="0.25">
      <c r="A3378" s="6" t="s">
        <v>588</v>
      </c>
      <c r="B3378" s="6" t="s">
        <v>587</v>
      </c>
      <c r="C3378" s="6" t="s">
        <v>31</v>
      </c>
      <c r="E3378" s="6" t="s">
        <v>586</v>
      </c>
      <c r="F3378" s="6" t="s">
        <v>585</v>
      </c>
      <c r="G3378" s="6" t="s">
        <v>16</v>
      </c>
      <c r="H3378" s="6" t="s">
        <v>28</v>
      </c>
      <c r="I3378" s="6" t="s">
        <v>46</v>
      </c>
      <c r="J3378" s="6" t="s">
        <v>35</v>
      </c>
      <c r="K3378" s="7">
        <v>30.05906736</v>
      </c>
      <c r="L3378" s="7">
        <v>-95.544159260000001</v>
      </c>
      <c r="M3378" s="6" t="s">
        <v>279</v>
      </c>
      <c r="N3378" s="6" t="s">
        <v>24</v>
      </c>
      <c r="O3378" s="6" t="s">
        <v>23</v>
      </c>
    </row>
    <row r="3379" spans="1:15" x14ac:dyDescent="0.25">
      <c r="A3379" s="6" t="s">
        <v>3405</v>
      </c>
      <c r="B3379" s="6" t="s">
        <v>3404</v>
      </c>
      <c r="C3379" s="6" t="s">
        <v>31</v>
      </c>
      <c r="E3379" s="6" t="s">
        <v>3403</v>
      </c>
      <c r="F3379" s="6" t="s">
        <v>3402</v>
      </c>
      <c r="G3379" s="6" t="s">
        <v>16</v>
      </c>
      <c r="H3379" s="6" t="s">
        <v>28</v>
      </c>
      <c r="I3379" s="6" t="s">
        <v>27</v>
      </c>
      <c r="J3379" s="6" t="s">
        <v>873</v>
      </c>
      <c r="K3379" s="7">
        <v>29.606976240000002</v>
      </c>
      <c r="L3379" s="7">
        <v>-98.342262180000006</v>
      </c>
      <c r="M3379" s="6" t="s">
        <v>872</v>
      </c>
      <c r="N3379" s="6" t="s">
        <v>232</v>
      </c>
      <c r="O3379" s="6" t="s">
        <v>23</v>
      </c>
    </row>
    <row r="3380" spans="1:15" x14ac:dyDescent="0.25">
      <c r="A3380" s="6" t="s">
        <v>2104</v>
      </c>
      <c r="B3380" s="6" t="s">
        <v>2103</v>
      </c>
      <c r="C3380" s="6" t="s">
        <v>31</v>
      </c>
      <c r="E3380" s="6" t="s">
        <v>2102</v>
      </c>
      <c r="F3380" s="6" t="s">
        <v>1104</v>
      </c>
      <c r="G3380" s="6" t="s">
        <v>16</v>
      </c>
      <c r="H3380" s="6" t="s">
        <v>28</v>
      </c>
      <c r="I3380" s="6" t="s">
        <v>46</v>
      </c>
      <c r="J3380" s="6" t="s">
        <v>2101</v>
      </c>
      <c r="K3380" s="7">
        <v>33.504979319999997</v>
      </c>
      <c r="L3380" s="7">
        <v>-96.655530330000005</v>
      </c>
      <c r="M3380" s="6" t="s">
        <v>349</v>
      </c>
      <c r="N3380" s="6" t="s">
        <v>102</v>
      </c>
      <c r="O3380" s="6" t="s">
        <v>42</v>
      </c>
    </row>
    <row r="3381" spans="1:15" x14ac:dyDescent="0.25">
      <c r="A3381" s="6" t="s">
        <v>1908</v>
      </c>
      <c r="B3381" s="6" t="s">
        <v>1907</v>
      </c>
      <c r="C3381" s="6" t="s">
        <v>31</v>
      </c>
      <c r="E3381" s="6" t="s">
        <v>1906</v>
      </c>
      <c r="F3381" s="6" t="s">
        <v>1905</v>
      </c>
      <c r="G3381" s="6" t="s">
        <v>16</v>
      </c>
      <c r="H3381" s="6" t="s">
        <v>28</v>
      </c>
      <c r="I3381" s="6" t="s">
        <v>27</v>
      </c>
      <c r="J3381" s="6" t="s">
        <v>1451</v>
      </c>
      <c r="K3381" s="7">
        <v>31.962433449999999</v>
      </c>
      <c r="L3381" s="7">
        <v>-96.992347929999994</v>
      </c>
      <c r="M3381" s="6" t="s">
        <v>1904</v>
      </c>
      <c r="N3381" s="6" t="s">
        <v>102</v>
      </c>
      <c r="O3381" s="6" t="s">
        <v>1903</v>
      </c>
    </row>
    <row r="3382" spans="1:15" x14ac:dyDescent="0.25">
      <c r="A3382" s="6" t="s">
        <v>11806</v>
      </c>
      <c r="B3382" s="6" t="s">
        <v>11805</v>
      </c>
      <c r="C3382" s="6" t="s">
        <v>31</v>
      </c>
      <c r="E3382" s="6" t="s">
        <v>11804</v>
      </c>
      <c r="F3382" s="6" t="s">
        <v>11799</v>
      </c>
      <c r="G3382" s="6" t="s">
        <v>16</v>
      </c>
      <c r="H3382" s="6" t="s">
        <v>15</v>
      </c>
      <c r="I3382" s="6" t="s">
        <v>36</v>
      </c>
      <c r="J3382" s="6" t="s">
        <v>35</v>
      </c>
      <c r="K3382" s="7">
        <v>29.678101330000001</v>
      </c>
      <c r="L3382" s="7">
        <v>-95.144653759999997</v>
      </c>
      <c r="M3382" s="6" t="s">
        <v>34</v>
      </c>
      <c r="N3382" s="6" t="s">
        <v>24</v>
      </c>
      <c r="O3382" s="6" t="s">
        <v>23</v>
      </c>
    </row>
    <row r="3383" spans="1:15" x14ac:dyDescent="0.25">
      <c r="A3383" s="6" t="s">
        <v>3188</v>
      </c>
      <c r="B3383" s="6" t="s">
        <v>3187</v>
      </c>
      <c r="C3383" s="6" t="s">
        <v>31</v>
      </c>
      <c r="E3383" s="6" t="s">
        <v>3186</v>
      </c>
      <c r="F3383" s="6" t="s">
        <v>3185</v>
      </c>
      <c r="G3383" s="6" t="s">
        <v>16</v>
      </c>
      <c r="H3383" s="6" t="s">
        <v>28</v>
      </c>
      <c r="I3383" s="6" t="s">
        <v>46</v>
      </c>
      <c r="J3383" s="6" t="s">
        <v>26</v>
      </c>
      <c r="K3383" s="7">
        <v>30.147500260000001</v>
      </c>
      <c r="L3383" s="7">
        <v>-95.58888838</v>
      </c>
      <c r="M3383" s="6" t="s">
        <v>731</v>
      </c>
      <c r="N3383" s="6" t="s">
        <v>24</v>
      </c>
      <c r="O3383" s="6" t="s">
        <v>23</v>
      </c>
    </row>
    <row r="3384" spans="1:15" x14ac:dyDescent="0.25">
      <c r="A3384" s="6" t="s">
        <v>3174</v>
      </c>
      <c r="B3384" s="6" t="s">
        <v>3173</v>
      </c>
      <c r="C3384" s="6" t="s">
        <v>31</v>
      </c>
      <c r="E3384" s="6" t="s">
        <v>3172</v>
      </c>
      <c r="F3384" s="6" t="s">
        <v>895</v>
      </c>
      <c r="G3384" s="6" t="s">
        <v>16</v>
      </c>
      <c r="H3384" s="6" t="s">
        <v>28</v>
      </c>
      <c r="I3384" s="6" t="s">
        <v>36</v>
      </c>
      <c r="J3384" s="6" t="s">
        <v>35</v>
      </c>
      <c r="K3384" s="7">
        <v>30.13139138</v>
      </c>
      <c r="L3384" s="7">
        <v>-95.589167140000001</v>
      </c>
      <c r="M3384" s="6" t="s">
        <v>731</v>
      </c>
      <c r="N3384" s="6" t="s">
        <v>24</v>
      </c>
      <c r="O3384" s="6" t="s">
        <v>23</v>
      </c>
    </row>
    <row r="3385" spans="1:15" x14ac:dyDescent="0.25">
      <c r="A3385" s="6" t="s">
        <v>8289</v>
      </c>
      <c r="B3385" s="6" t="s">
        <v>8288</v>
      </c>
      <c r="C3385" s="6" t="s">
        <v>31</v>
      </c>
      <c r="E3385" s="6" t="s">
        <v>8287</v>
      </c>
      <c r="F3385" s="6" t="s">
        <v>8286</v>
      </c>
      <c r="G3385" s="6" t="s">
        <v>16</v>
      </c>
      <c r="H3385" s="6" t="s">
        <v>28</v>
      </c>
      <c r="I3385" s="6" t="s">
        <v>46</v>
      </c>
      <c r="J3385" s="6" t="s">
        <v>35</v>
      </c>
      <c r="K3385" s="7">
        <v>29.759146000000001</v>
      </c>
      <c r="L3385" s="7">
        <v>-95.103415130000002</v>
      </c>
      <c r="M3385" s="6" t="s">
        <v>34</v>
      </c>
      <c r="N3385" s="6" t="s">
        <v>24</v>
      </c>
      <c r="O3385" s="6" t="s">
        <v>23</v>
      </c>
    </row>
    <row r="3386" spans="1:15" x14ac:dyDescent="0.25">
      <c r="A3386" s="6" t="s">
        <v>1879</v>
      </c>
      <c r="B3386" s="6" t="s">
        <v>1878</v>
      </c>
      <c r="C3386" s="6" t="s">
        <v>31</v>
      </c>
      <c r="E3386" s="6" t="s">
        <v>1877</v>
      </c>
      <c r="F3386" s="6" t="s">
        <v>1876</v>
      </c>
      <c r="G3386" s="6" t="s">
        <v>16</v>
      </c>
      <c r="H3386" s="6" t="s">
        <v>28</v>
      </c>
      <c r="I3386" s="6" t="s">
        <v>46</v>
      </c>
      <c r="J3386" s="6" t="s">
        <v>90</v>
      </c>
      <c r="K3386" s="7">
        <v>26.07553158</v>
      </c>
      <c r="L3386" s="7">
        <v>-97.547934159999997</v>
      </c>
      <c r="M3386" s="6" t="s">
        <v>770</v>
      </c>
      <c r="N3386" s="6" t="s">
        <v>11</v>
      </c>
      <c r="O3386" s="6" t="s">
        <v>22</v>
      </c>
    </row>
    <row r="3387" spans="1:15" x14ac:dyDescent="0.25">
      <c r="A3387" s="6" t="s">
        <v>3397</v>
      </c>
      <c r="B3387" s="6" t="s">
        <v>3396</v>
      </c>
      <c r="C3387" s="6" t="s">
        <v>31</v>
      </c>
      <c r="E3387" s="6" t="s">
        <v>3395</v>
      </c>
      <c r="F3387" s="6" t="s">
        <v>3394</v>
      </c>
      <c r="G3387" s="6" t="s">
        <v>16</v>
      </c>
      <c r="H3387" s="6" t="s">
        <v>28</v>
      </c>
      <c r="I3387" s="6" t="s">
        <v>46</v>
      </c>
      <c r="J3387" s="6" t="s">
        <v>480</v>
      </c>
      <c r="K3387" s="7">
        <v>26.228630549999998</v>
      </c>
      <c r="L3387" s="7">
        <v>-98.053241639999996</v>
      </c>
      <c r="M3387" s="6" t="s">
        <v>89</v>
      </c>
      <c r="N3387" s="6" t="s">
        <v>11</v>
      </c>
      <c r="O3387" s="6" t="s">
        <v>22</v>
      </c>
    </row>
    <row r="3388" spans="1:15" x14ac:dyDescent="0.25">
      <c r="A3388" s="6" t="s">
        <v>1883</v>
      </c>
      <c r="B3388" s="6" t="s">
        <v>1882</v>
      </c>
      <c r="C3388" s="6" t="s">
        <v>31</v>
      </c>
      <c r="E3388" s="6" t="s">
        <v>1881</v>
      </c>
      <c r="F3388" s="6" t="s">
        <v>1880</v>
      </c>
      <c r="G3388" s="6" t="s">
        <v>16</v>
      </c>
      <c r="H3388" s="6" t="s">
        <v>15</v>
      </c>
      <c r="I3388" s="6" t="s">
        <v>14</v>
      </c>
      <c r="J3388" s="6" t="s">
        <v>139</v>
      </c>
      <c r="K3388" s="7">
        <v>27.880673030000001</v>
      </c>
      <c r="L3388" s="7">
        <v>-97.275503349999994</v>
      </c>
      <c r="M3388" s="6" t="s">
        <v>1168</v>
      </c>
      <c r="N3388" s="6" t="s">
        <v>137</v>
      </c>
      <c r="O3388" s="6" t="s">
        <v>10</v>
      </c>
    </row>
    <row r="3389" spans="1:15" x14ac:dyDescent="0.25">
      <c r="A3389" s="6" t="s">
        <v>6277</v>
      </c>
      <c r="B3389" s="6" t="s">
        <v>6276</v>
      </c>
      <c r="C3389" s="6" t="s">
        <v>31</v>
      </c>
      <c r="E3389" s="6" t="s">
        <v>6275</v>
      </c>
      <c r="F3389" s="6" t="s">
        <v>6274</v>
      </c>
      <c r="G3389" s="6" t="s">
        <v>16</v>
      </c>
      <c r="H3389" s="6" t="s">
        <v>28</v>
      </c>
      <c r="I3389" s="6" t="s">
        <v>46</v>
      </c>
      <c r="J3389" s="6" t="s">
        <v>3151</v>
      </c>
      <c r="K3389" s="7">
        <v>31.40814507</v>
      </c>
      <c r="L3389" s="7">
        <v>-93.780911459999999</v>
      </c>
      <c r="M3389" s="6" t="s">
        <v>2695</v>
      </c>
      <c r="N3389" s="6" t="s">
        <v>65</v>
      </c>
      <c r="O3389" s="6" t="s">
        <v>24</v>
      </c>
    </row>
    <row r="3390" spans="1:15" x14ac:dyDescent="0.25">
      <c r="A3390" s="6" t="s">
        <v>9658</v>
      </c>
      <c r="B3390" s="6" t="s">
        <v>9657</v>
      </c>
      <c r="C3390" s="6" t="s">
        <v>31</v>
      </c>
      <c r="E3390" s="6" t="s">
        <v>9656</v>
      </c>
      <c r="F3390" s="6" t="s">
        <v>9655</v>
      </c>
      <c r="G3390" s="6" t="s">
        <v>16</v>
      </c>
      <c r="H3390" s="6" t="s">
        <v>28</v>
      </c>
      <c r="I3390" s="6" t="s">
        <v>46</v>
      </c>
      <c r="J3390" s="6" t="s">
        <v>67</v>
      </c>
      <c r="K3390" s="7">
        <v>32.53251573</v>
      </c>
      <c r="L3390" s="7">
        <v>-95.548748290000006</v>
      </c>
      <c r="M3390" s="6" t="s">
        <v>423</v>
      </c>
      <c r="N3390" s="6" t="s">
        <v>65</v>
      </c>
      <c r="O3390" s="6" t="s">
        <v>65</v>
      </c>
    </row>
    <row r="3391" spans="1:15" x14ac:dyDescent="0.25">
      <c r="A3391" s="6" t="s">
        <v>9508</v>
      </c>
      <c r="B3391" s="6" t="s">
        <v>9507</v>
      </c>
      <c r="C3391" s="6" t="s">
        <v>31</v>
      </c>
      <c r="E3391" s="6" t="s">
        <v>9506</v>
      </c>
      <c r="F3391" s="6" t="s">
        <v>9505</v>
      </c>
      <c r="G3391" s="6" t="s">
        <v>16</v>
      </c>
      <c r="H3391" s="6" t="s">
        <v>28</v>
      </c>
      <c r="I3391" s="6" t="s">
        <v>46</v>
      </c>
      <c r="J3391" s="6" t="s">
        <v>215</v>
      </c>
      <c r="K3391" s="7">
        <v>29.558513999999999</v>
      </c>
      <c r="L3391" s="7">
        <v>-94.388131000000001</v>
      </c>
      <c r="M3391" s="6" t="s">
        <v>418</v>
      </c>
      <c r="N3391" s="6" t="s">
        <v>383</v>
      </c>
      <c r="O3391" s="6" t="s">
        <v>23</v>
      </c>
    </row>
    <row r="3392" spans="1:15" x14ac:dyDescent="0.25">
      <c r="A3392" s="6" t="s">
        <v>316</v>
      </c>
      <c r="B3392" s="6" t="s">
        <v>315</v>
      </c>
      <c r="C3392" s="6" t="s">
        <v>31</v>
      </c>
      <c r="E3392" s="6" t="s">
        <v>314</v>
      </c>
      <c r="F3392" s="6" t="s">
        <v>313</v>
      </c>
      <c r="G3392" s="6" t="s">
        <v>16</v>
      </c>
      <c r="H3392" s="6" t="s">
        <v>15</v>
      </c>
      <c r="I3392" s="6" t="s">
        <v>14</v>
      </c>
      <c r="J3392" s="6" t="s">
        <v>312</v>
      </c>
      <c r="K3392" s="7">
        <v>32.440864480000002</v>
      </c>
      <c r="L3392" s="7">
        <v>-97.767569199999997</v>
      </c>
      <c r="M3392" s="6" t="s">
        <v>311</v>
      </c>
      <c r="N3392" s="6" t="s">
        <v>23</v>
      </c>
      <c r="O3392" s="6" t="s">
        <v>42</v>
      </c>
    </row>
    <row r="3393" spans="1:15" x14ac:dyDescent="0.25">
      <c r="A3393" s="6" t="s">
        <v>304</v>
      </c>
      <c r="B3393" s="6" t="s">
        <v>303</v>
      </c>
      <c r="C3393" s="6" t="s">
        <v>31</v>
      </c>
      <c r="E3393" s="6" t="s">
        <v>302</v>
      </c>
      <c r="F3393" s="6" t="s">
        <v>29</v>
      </c>
      <c r="G3393" s="6" t="s">
        <v>16</v>
      </c>
      <c r="H3393" s="6" t="s">
        <v>28</v>
      </c>
      <c r="I3393" s="6" t="s">
        <v>46</v>
      </c>
      <c r="J3393" s="6" t="s">
        <v>26</v>
      </c>
      <c r="K3393" s="7">
        <v>30.175018420000001</v>
      </c>
      <c r="L3393" s="7">
        <v>-95.109590510000004</v>
      </c>
      <c r="M3393" s="6" t="s">
        <v>301</v>
      </c>
      <c r="N3393" s="6" t="s">
        <v>24</v>
      </c>
      <c r="O3393" s="6" t="s">
        <v>23</v>
      </c>
    </row>
    <row r="3394" spans="1:15" x14ac:dyDescent="0.25">
      <c r="A3394" s="6" t="s">
        <v>9243</v>
      </c>
      <c r="B3394" s="6" t="s">
        <v>9242</v>
      </c>
      <c r="C3394" s="6" t="s">
        <v>31</v>
      </c>
      <c r="E3394" s="6" t="s">
        <v>9241</v>
      </c>
      <c r="F3394" s="6" t="s">
        <v>9240</v>
      </c>
      <c r="G3394" s="6" t="s">
        <v>16</v>
      </c>
      <c r="H3394" s="6" t="s">
        <v>28</v>
      </c>
      <c r="I3394" s="6" t="s">
        <v>46</v>
      </c>
      <c r="J3394" s="6" t="s">
        <v>239</v>
      </c>
      <c r="K3394" s="7">
        <v>33.137001570000002</v>
      </c>
      <c r="L3394" s="7">
        <v>-96.496924539999995</v>
      </c>
      <c r="M3394" s="6" t="s">
        <v>349</v>
      </c>
      <c r="N3394" s="6" t="s">
        <v>102</v>
      </c>
      <c r="O3394" s="6" t="s">
        <v>42</v>
      </c>
    </row>
    <row r="3395" spans="1:15" x14ac:dyDescent="0.25">
      <c r="A3395" s="6" t="s">
        <v>1869</v>
      </c>
      <c r="B3395" s="6" t="s">
        <v>1868</v>
      </c>
      <c r="C3395" s="6" t="s">
        <v>31</v>
      </c>
      <c r="E3395" s="6" t="s">
        <v>1867</v>
      </c>
      <c r="F3395" s="6" t="s">
        <v>1866</v>
      </c>
      <c r="G3395" s="6" t="s">
        <v>16</v>
      </c>
      <c r="H3395" s="6" t="s">
        <v>15</v>
      </c>
      <c r="I3395" s="6" t="s">
        <v>46</v>
      </c>
      <c r="J3395" s="6" t="s">
        <v>35</v>
      </c>
      <c r="K3395" s="7">
        <v>29.96853591</v>
      </c>
      <c r="L3395" s="7">
        <v>-95.422248069999995</v>
      </c>
      <c r="M3395" s="6" t="s">
        <v>198</v>
      </c>
      <c r="N3395" s="6" t="s">
        <v>24</v>
      </c>
      <c r="O3395" s="6" t="s">
        <v>23</v>
      </c>
    </row>
    <row r="3396" spans="1:15" x14ac:dyDescent="0.25">
      <c r="A3396" s="6" t="s">
        <v>3422</v>
      </c>
      <c r="B3396" s="6" t="s">
        <v>3421</v>
      </c>
      <c r="C3396" s="6" t="s">
        <v>31</v>
      </c>
      <c r="E3396" s="6" t="s">
        <v>3420</v>
      </c>
      <c r="F3396" s="6" t="s">
        <v>3419</v>
      </c>
      <c r="G3396" s="6" t="s">
        <v>16</v>
      </c>
      <c r="H3396" s="6" t="s">
        <v>15</v>
      </c>
      <c r="I3396" s="6" t="s">
        <v>36</v>
      </c>
      <c r="J3396" s="6" t="s">
        <v>3418</v>
      </c>
      <c r="K3396" s="7">
        <v>35.444964720000002</v>
      </c>
      <c r="L3396" s="7">
        <v>-100.29751241</v>
      </c>
      <c r="M3396" s="6" t="s">
        <v>3417</v>
      </c>
      <c r="N3396" s="6" t="s">
        <v>43</v>
      </c>
      <c r="O3396" s="6" t="s">
        <v>535</v>
      </c>
    </row>
    <row r="3397" spans="1:15" x14ac:dyDescent="0.25">
      <c r="A3397" s="6" t="s">
        <v>3202</v>
      </c>
      <c r="B3397" s="6" t="s">
        <v>3201</v>
      </c>
      <c r="C3397" s="6" t="s">
        <v>31</v>
      </c>
      <c r="E3397" s="6" t="s">
        <v>3200</v>
      </c>
      <c r="F3397" s="6" t="s">
        <v>3199</v>
      </c>
      <c r="G3397" s="6" t="s">
        <v>16</v>
      </c>
      <c r="H3397" s="6" t="s">
        <v>15</v>
      </c>
      <c r="I3397" s="6" t="s">
        <v>14</v>
      </c>
      <c r="J3397" s="6" t="s">
        <v>3198</v>
      </c>
      <c r="K3397" s="7">
        <v>33.620889320000003</v>
      </c>
      <c r="L3397" s="7">
        <v>-101.88021607</v>
      </c>
      <c r="M3397" s="6" t="s">
        <v>3197</v>
      </c>
      <c r="N3397" s="6" t="s">
        <v>23</v>
      </c>
      <c r="O3397" s="6" t="s">
        <v>43</v>
      </c>
    </row>
    <row r="3398" spans="1:15" x14ac:dyDescent="0.25">
      <c r="A3398" s="6" t="s">
        <v>747</v>
      </c>
      <c r="B3398" s="6" t="s">
        <v>746</v>
      </c>
      <c r="C3398" s="6" t="s">
        <v>31</v>
      </c>
      <c r="E3398" s="6" t="s">
        <v>745</v>
      </c>
      <c r="F3398" s="6" t="s">
        <v>744</v>
      </c>
      <c r="G3398" s="6" t="s">
        <v>16</v>
      </c>
      <c r="H3398" s="6" t="s">
        <v>28</v>
      </c>
      <c r="I3398" s="6" t="s">
        <v>46</v>
      </c>
      <c r="J3398" s="6" t="s">
        <v>35</v>
      </c>
      <c r="K3398" s="7">
        <v>29.812462</v>
      </c>
      <c r="L3398" s="7">
        <v>-95.202877999999998</v>
      </c>
      <c r="M3398" s="6" t="s">
        <v>34</v>
      </c>
      <c r="N3398" s="6" t="s">
        <v>24</v>
      </c>
      <c r="O3398" s="6" t="s">
        <v>23</v>
      </c>
    </row>
    <row r="3399" spans="1:15" x14ac:dyDescent="0.25">
      <c r="A3399" s="6" t="s">
        <v>580</v>
      </c>
      <c r="B3399" s="6" t="s">
        <v>579</v>
      </c>
      <c r="C3399" s="6" t="s">
        <v>31</v>
      </c>
      <c r="E3399" s="6" t="s">
        <v>578</v>
      </c>
      <c r="F3399" s="6" t="s">
        <v>577</v>
      </c>
      <c r="G3399" s="6" t="s">
        <v>16</v>
      </c>
      <c r="H3399" s="6" t="s">
        <v>15</v>
      </c>
      <c r="I3399" s="6" t="s">
        <v>46</v>
      </c>
      <c r="J3399" s="6" t="s">
        <v>576</v>
      </c>
      <c r="K3399" s="7">
        <v>30.583979759999998</v>
      </c>
      <c r="L3399" s="7">
        <v>-95.921770730000006</v>
      </c>
      <c r="M3399" s="6" t="s">
        <v>25</v>
      </c>
      <c r="N3399" s="6" t="s">
        <v>24</v>
      </c>
      <c r="O3399" s="6" t="s">
        <v>120</v>
      </c>
    </row>
    <row r="3400" spans="1:15" x14ac:dyDescent="0.25">
      <c r="A3400" s="6" t="s">
        <v>3196</v>
      </c>
      <c r="B3400" s="6" t="s">
        <v>3195</v>
      </c>
      <c r="C3400" s="6" t="s">
        <v>31</v>
      </c>
      <c r="E3400" s="6" t="s">
        <v>3194</v>
      </c>
      <c r="F3400" s="6" t="s">
        <v>3193</v>
      </c>
      <c r="G3400" s="6" t="s">
        <v>16</v>
      </c>
      <c r="H3400" s="6" t="s">
        <v>28</v>
      </c>
      <c r="I3400" s="6" t="s">
        <v>46</v>
      </c>
      <c r="J3400" s="6" t="s">
        <v>1013</v>
      </c>
      <c r="K3400" s="7">
        <v>31.202773059999998</v>
      </c>
      <c r="L3400" s="7">
        <v>-94.338058309999994</v>
      </c>
      <c r="M3400" s="6" t="s">
        <v>644</v>
      </c>
      <c r="N3400" s="6" t="s">
        <v>52</v>
      </c>
      <c r="O3400" s="6" t="s">
        <v>24</v>
      </c>
    </row>
    <row r="3401" spans="1:15" x14ac:dyDescent="0.25">
      <c r="A3401" s="6" t="s">
        <v>603</v>
      </c>
      <c r="B3401" s="6" t="s">
        <v>602</v>
      </c>
      <c r="C3401" s="6" t="s">
        <v>31</v>
      </c>
      <c r="E3401" s="6" t="s">
        <v>601</v>
      </c>
      <c r="F3401" s="6" t="s">
        <v>600</v>
      </c>
      <c r="G3401" s="6" t="s">
        <v>16</v>
      </c>
      <c r="H3401" s="6" t="s">
        <v>15</v>
      </c>
      <c r="I3401" s="6" t="s">
        <v>14</v>
      </c>
      <c r="J3401" s="6" t="s">
        <v>35</v>
      </c>
      <c r="K3401" s="7">
        <v>29.706027509999998</v>
      </c>
      <c r="L3401" s="7">
        <v>-95.052260970000006</v>
      </c>
      <c r="M3401" s="6" t="s">
        <v>599</v>
      </c>
      <c r="N3401" s="6" t="s">
        <v>24</v>
      </c>
      <c r="O3401" s="6" t="s">
        <v>23</v>
      </c>
    </row>
    <row r="3402" spans="1:15" x14ac:dyDescent="0.25">
      <c r="A3402" s="6" t="s">
        <v>3142</v>
      </c>
      <c r="B3402" s="6" t="s">
        <v>3141</v>
      </c>
      <c r="C3402" s="6" t="s">
        <v>31</v>
      </c>
      <c r="E3402" s="6" t="s">
        <v>3140</v>
      </c>
      <c r="F3402" s="6" t="s">
        <v>3139</v>
      </c>
      <c r="G3402" s="6" t="s">
        <v>16</v>
      </c>
      <c r="H3402" s="6" t="s">
        <v>28</v>
      </c>
      <c r="I3402" s="6" t="s">
        <v>27</v>
      </c>
      <c r="J3402" s="6" t="s">
        <v>35</v>
      </c>
      <c r="K3402" s="7">
        <v>30.021753350000001</v>
      </c>
      <c r="L3402" s="7">
        <v>-95.730753980000003</v>
      </c>
      <c r="M3402" s="6" t="s">
        <v>279</v>
      </c>
      <c r="N3402" s="6" t="s">
        <v>160</v>
      </c>
      <c r="O3402" s="6" t="s">
        <v>23</v>
      </c>
    </row>
    <row r="3403" spans="1:15" x14ac:dyDescent="0.25">
      <c r="A3403" s="6" t="s">
        <v>932</v>
      </c>
      <c r="B3403" s="6" t="s">
        <v>931</v>
      </c>
      <c r="C3403" s="6" t="s">
        <v>31</v>
      </c>
      <c r="E3403" s="6" t="s">
        <v>930</v>
      </c>
      <c r="F3403" s="6" t="s">
        <v>929</v>
      </c>
      <c r="G3403" s="6" t="s">
        <v>16</v>
      </c>
      <c r="H3403" s="6" t="s">
        <v>28</v>
      </c>
      <c r="I3403" s="6" t="s">
        <v>27</v>
      </c>
      <c r="J3403" s="6" t="s">
        <v>928</v>
      </c>
      <c r="K3403" s="7">
        <v>31.320555840000001</v>
      </c>
      <c r="L3403" s="7">
        <v>-96.209254569999999</v>
      </c>
      <c r="M3403" s="6" t="s">
        <v>927</v>
      </c>
      <c r="N3403" s="6" t="s">
        <v>23</v>
      </c>
      <c r="O3403" s="6" t="s">
        <v>120</v>
      </c>
    </row>
    <row r="3404" spans="1:15" x14ac:dyDescent="0.25">
      <c r="A3404" s="6" t="s">
        <v>278</v>
      </c>
      <c r="B3404" s="6" t="s">
        <v>277</v>
      </c>
      <c r="C3404" s="6" t="s">
        <v>31</v>
      </c>
      <c r="E3404" s="6" t="s">
        <v>276</v>
      </c>
      <c r="F3404" s="6" t="s">
        <v>275</v>
      </c>
      <c r="G3404" s="6" t="s">
        <v>16</v>
      </c>
      <c r="H3404" s="6" t="s">
        <v>28</v>
      </c>
      <c r="I3404" s="6" t="s">
        <v>46</v>
      </c>
      <c r="J3404" s="6" t="s">
        <v>274</v>
      </c>
      <c r="K3404" s="7">
        <v>29.803512470000001</v>
      </c>
      <c r="L3404" s="7">
        <v>-98.51659257</v>
      </c>
      <c r="M3404" s="6" t="s">
        <v>273</v>
      </c>
      <c r="N3404" s="6" t="s">
        <v>232</v>
      </c>
      <c r="O3404" s="6" t="s">
        <v>231</v>
      </c>
    </row>
    <row r="3405" spans="1:15" x14ac:dyDescent="0.25">
      <c r="A3405" s="6" t="s">
        <v>3393</v>
      </c>
      <c r="B3405" s="6" t="s">
        <v>3392</v>
      </c>
      <c r="C3405" s="6" t="s">
        <v>31</v>
      </c>
      <c r="E3405" s="6" t="s">
        <v>3391</v>
      </c>
      <c r="F3405" s="6" t="s">
        <v>3390</v>
      </c>
      <c r="G3405" s="6" t="s">
        <v>16</v>
      </c>
      <c r="H3405" s="6" t="s">
        <v>28</v>
      </c>
      <c r="I3405" s="6" t="s">
        <v>46</v>
      </c>
      <c r="J3405" s="6" t="s">
        <v>35</v>
      </c>
      <c r="K3405" s="7">
        <v>29.8537459</v>
      </c>
      <c r="L3405" s="7">
        <v>-95.791307360000005</v>
      </c>
      <c r="M3405" s="6" t="s">
        <v>131</v>
      </c>
      <c r="N3405" s="6" t="s">
        <v>24</v>
      </c>
      <c r="O3405" s="6" t="s">
        <v>23</v>
      </c>
    </row>
    <row r="3406" spans="1:15" x14ac:dyDescent="0.25">
      <c r="A3406" s="6" t="s">
        <v>3635</v>
      </c>
      <c r="B3406" s="6" t="s">
        <v>3634</v>
      </c>
      <c r="C3406" s="6" t="s">
        <v>31</v>
      </c>
      <c r="E3406" s="6" t="s">
        <v>3633</v>
      </c>
      <c r="F3406" s="6" t="s">
        <v>3632</v>
      </c>
      <c r="G3406" s="6" t="s">
        <v>16</v>
      </c>
      <c r="H3406" s="6" t="s">
        <v>15</v>
      </c>
      <c r="I3406" s="6" t="s">
        <v>36</v>
      </c>
      <c r="J3406" s="6" t="s">
        <v>35</v>
      </c>
      <c r="K3406" s="7">
        <v>29.745617339999999</v>
      </c>
      <c r="L3406" s="7">
        <v>-95.196231089999998</v>
      </c>
      <c r="M3406" s="6" t="s">
        <v>866</v>
      </c>
      <c r="N3406" s="6" t="s">
        <v>24</v>
      </c>
      <c r="O3406" s="6" t="s">
        <v>23</v>
      </c>
    </row>
    <row r="3407" spans="1:15" x14ac:dyDescent="0.25">
      <c r="A3407" s="6" t="s">
        <v>3155</v>
      </c>
      <c r="B3407" s="6" t="s">
        <v>3154</v>
      </c>
      <c r="C3407" s="6" t="s">
        <v>31</v>
      </c>
      <c r="E3407" s="6" t="s">
        <v>3153</v>
      </c>
      <c r="F3407" s="6" t="s">
        <v>3152</v>
      </c>
      <c r="G3407" s="6" t="s">
        <v>16</v>
      </c>
      <c r="H3407" s="6" t="s">
        <v>28</v>
      </c>
      <c r="I3407" s="6" t="s">
        <v>46</v>
      </c>
      <c r="J3407" s="6" t="s">
        <v>3151</v>
      </c>
      <c r="K3407" s="7">
        <v>31.45305428</v>
      </c>
      <c r="L3407" s="7">
        <v>-93.768484580000006</v>
      </c>
      <c r="M3407" s="6" t="s">
        <v>2695</v>
      </c>
      <c r="N3407" s="6" t="s">
        <v>65</v>
      </c>
      <c r="O3407" s="6" t="s">
        <v>24</v>
      </c>
    </row>
    <row r="3408" spans="1:15" x14ac:dyDescent="0.25">
      <c r="A3408" s="6" t="s">
        <v>936</v>
      </c>
      <c r="B3408" s="6" t="s">
        <v>935</v>
      </c>
      <c r="C3408" s="6" t="s">
        <v>31</v>
      </c>
      <c r="E3408" s="6" t="s">
        <v>934</v>
      </c>
      <c r="F3408" s="6" t="s">
        <v>933</v>
      </c>
      <c r="G3408" s="6" t="s">
        <v>16</v>
      </c>
      <c r="H3408" s="6" t="s">
        <v>15</v>
      </c>
      <c r="I3408" s="6" t="s">
        <v>14</v>
      </c>
      <c r="J3408" s="6" t="s">
        <v>35</v>
      </c>
      <c r="K3408" s="7">
        <v>29.761641130000001</v>
      </c>
      <c r="L3408" s="7">
        <v>-95.142885109999995</v>
      </c>
      <c r="M3408" s="6" t="s">
        <v>34</v>
      </c>
      <c r="N3408" s="6" t="s">
        <v>24</v>
      </c>
      <c r="O3408" s="6" t="s">
        <v>23</v>
      </c>
    </row>
    <row r="3409" spans="1:15" x14ac:dyDescent="0.25">
      <c r="A3409" s="6" t="s">
        <v>922</v>
      </c>
      <c r="B3409" s="6" t="s">
        <v>921</v>
      </c>
      <c r="C3409" s="6" t="s">
        <v>31</v>
      </c>
      <c r="E3409" s="6" t="s">
        <v>920</v>
      </c>
      <c r="F3409" s="6" t="s">
        <v>919</v>
      </c>
      <c r="G3409" s="6" t="s">
        <v>16</v>
      </c>
      <c r="H3409" s="6" t="s">
        <v>15</v>
      </c>
      <c r="I3409" s="6" t="s">
        <v>36</v>
      </c>
      <c r="J3409" s="6" t="s">
        <v>132</v>
      </c>
      <c r="K3409" s="7">
        <v>29.713769639999999</v>
      </c>
      <c r="L3409" s="7">
        <v>-95.739038859999994</v>
      </c>
      <c r="M3409" s="6" t="s">
        <v>131</v>
      </c>
      <c r="N3409" s="6" t="s">
        <v>24</v>
      </c>
      <c r="O3409" s="6" t="s">
        <v>23</v>
      </c>
    </row>
    <row r="3410" spans="1:15" x14ac:dyDescent="0.25">
      <c r="A3410" s="6" t="s">
        <v>1689</v>
      </c>
      <c r="B3410" s="6" t="s">
        <v>1688</v>
      </c>
      <c r="C3410" s="6" t="s">
        <v>31</v>
      </c>
      <c r="E3410" s="6" t="s">
        <v>1687</v>
      </c>
      <c r="F3410" s="6" t="s">
        <v>1686</v>
      </c>
      <c r="G3410" s="6" t="s">
        <v>16</v>
      </c>
      <c r="H3410" s="6" t="s">
        <v>15</v>
      </c>
      <c r="I3410" s="6" t="s">
        <v>36</v>
      </c>
      <c r="J3410" s="6" t="s">
        <v>1288</v>
      </c>
      <c r="K3410" s="7">
        <v>32.448109369999997</v>
      </c>
      <c r="L3410" s="7">
        <v>-97.040474320000001</v>
      </c>
      <c r="M3410" s="6" t="s">
        <v>1287</v>
      </c>
      <c r="N3410" s="6" t="s">
        <v>102</v>
      </c>
      <c r="O3410" s="6" t="s">
        <v>42</v>
      </c>
    </row>
    <row r="3411" spans="1:15" x14ac:dyDescent="0.25">
      <c r="A3411" s="6" t="s">
        <v>941</v>
      </c>
      <c r="B3411" s="6" t="s">
        <v>940</v>
      </c>
      <c r="C3411" s="6" t="s">
        <v>31</v>
      </c>
      <c r="E3411" s="6" t="s">
        <v>939</v>
      </c>
      <c r="F3411" s="6" t="s">
        <v>938</v>
      </c>
      <c r="G3411" s="6" t="s">
        <v>16</v>
      </c>
      <c r="H3411" s="6" t="s">
        <v>15</v>
      </c>
      <c r="I3411" s="6" t="s">
        <v>14</v>
      </c>
      <c r="J3411" s="6" t="s">
        <v>84</v>
      </c>
      <c r="K3411" s="7">
        <v>28.424588620000002</v>
      </c>
      <c r="L3411" s="7">
        <v>-96.449862670000002</v>
      </c>
      <c r="M3411" s="6" t="s">
        <v>937</v>
      </c>
      <c r="N3411" s="6" t="s">
        <v>82</v>
      </c>
      <c r="O3411" s="6" t="s">
        <v>10</v>
      </c>
    </row>
    <row r="3412" spans="1:15" x14ac:dyDescent="0.25">
      <c r="A3412" s="6" t="s">
        <v>283</v>
      </c>
      <c r="B3412" s="6" t="s">
        <v>282</v>
      </c>
      <c r="C3412" s="6" t="s">
        <v>31</v>
      </c>
      <c r="E3412" s="6" t="s">
        <v>281</v>
      </c>
      <c r="F3412" s="6" t="s">
        <v>280</v>
      </c>
      <c r="G3412" s="6" t="s">
        <v>16</v>
      </c>
      <c r="H3412" s="6" t="s">
        <v>28</v>
      </c>
      <c r="I3412" s="6" t="s">
        <v>27</v>
      </c>
      <c r="J3412" s="6" t="s">
        <v>35</v>
      </c>
      <c r="K3412" s="7">
        <v>30.02700548</v>
      </c>
      <c r="L3412" s="7">
        <v>-95.798932059999999</v>
      </c>
      <c r="M3412" s="6" t="s">
        <v>279</v>
      </c>
      <c r="N3412" s="6" t="s">
        <v>24</v>
      </c>
      <c r="O3412" s="6" t="s">
        <v>23</v>
      </c>
    </row>
    <row r="3413" spans="1:15" x14ac:dyDescent="0.25">
      <c r="A3413" s="6" t="s">
        <v>3150</v>
      </c>
      <c r="B3413" s="6" t="s">
        <v>3149</v>
      </c>
      <c r="C3413" s="6" t="s">
        <v>31</v>
      </c>
      <c r="E3413" s="6" t="s">
        <v>3148</v>
      </c>
      <c r="F3413" s="6" t="s">
        <v>3147</v>
      </c>
      <c r="G3413" s="6" t="s">
        <v>16</v>
      </c>
      <c r="H3413" s="6" t="s">
        <v>28</v>
      </c>
      <c r="I3413" s="6" t="s">
        <v>46</v>
      </c>
      <c r="J3413" s="6" t="s">
        <v>132</v>
      </c>
      <c r="K3413" s="7">
        <v>29.684966429999999</v>
      </c>
      <c r="L3413" s="7">
        <v>-95.700094070000006</v>
      </c>
      <c r="M3413" s="6" t="s">
        <v>131</v>
      </c>
      <c r="N3413" s="6" t="s">
        <v>24</v>
      </c>
      <c r="O3413" s="6" t="s">
        <v>23</v>
      </c>
    </row>
    <row r="3414" spans="1:15" x14ac:dyDescent="0.25">
      <c r="A3414" s="6" t="s">
        <v>3332</v>
      </c>
      <c r="B3414" s="6" t="s">
        <v>3331</v>
      </c>
      <c r="C3414" s="6" t="s">
        <v>31</v>
      </c>
      <c r="E3414" s="6" t="s">
        <v>3330</v>
      </c>
      <c r="F3414" s="6" t="s">
        <v>3329</v>
      </c>
      <c r="G3414" s="6" t="s">
        <v>16</v>
      </c>
      <c r="H3414" s="6" t="s">
        <v>28</v>
      </c>
      <c r="I3414" s="6" t="s">
        <v>27</v>
      </c>
      <c r="J3414" s="6" t="s">
        <v>72</v>
      </c>
      <c r="K3414" s="7">
        <v>31.524737529999999</v>
      </c>
      <c r="L3414" s="7">
        <v>-94.985290969999994</v>
      </c>
      <c r="M3414" s="6" t="s">
        <v>53</v>
      </c>
      <c r="N3414" s="6" t="s">
        <v>52</v>
      </c>
      <c r="O3414" s="6" t="s">
        <v>65</v>
      </c>
    </row>
    <row r="3415" spans="1:15" x14ac:dyDescent="0.25">
      <c r="A3415" s="6" t="s">
        <v>546</v>
      </c>
      <c r="B3415" s="6" t="s">
        <v>545</v>
      </c>
      <c r="C3415" s="6" t="s">
        <v>31</v>
      </c>
      <c r="E3415" s="6" t="s">
        <v>544</v>
      </c>
      <c r="F3415" s="6" t="s">
        <v>543</v>
      </c>
      <c r="G3415" s="6" t="s">
        <v>16</v>
      </c>
      <c r="H3415" s="6" t="s">
        <v>28</v>
      </c>
      <c r="I3415" s="6" t="s">
        <v>27</v>
      </c>
      <c r="J3415" s="6" t="s">
        <v>162</v>
      </c>
      <c r="K3415" s="7">
        <v>29.503905</v>
      </c>
      <c r="L3415" s="7">
        <v>-95.283564999999996</v>
      </c>
      <c r="M3415" s="6" t="s">
        <v>542</v>
      </c>
      <c r="N3415" s="6" t="s">
        <v>160</v>
      </c>
      <c r="O3415" s="6" t="s">
        <v>23</v>
      </c>
    </row>
    <row r="3416" spans="1:15" x14ac:dyDescent="0.25">
      <c r="A3416" s="6" t="s">
        <v>3146</v>
      </c>
      <c r="B3416" s="6" t="s">
        <v>3145</v>
      </c>
      <c r="C3416" s="6" t="s">
        <v>31</v>
      </c>
      <c r="E3416" s="6" t="s">
        <v>3144</v>
      </c>
      <c r="F3416" s="6" t="s">
        <v>3143</v>
      </c>
      <c r="G3416" s="6" t="s">
        <v>16</v>
      </c>
      <c r="H3416" s="6" t="s">
        <v>28</v>
      </c>
      <c r="I3416" s="6" t="s">
        <v>14</v>
      </c>
      <c r="J3416" s="6" t="s">
        <v>132</v>
      </c>
      <c r="K3416" s="7">
        <v>29.64286375</v>
      </c>
      <c r="L3416" s="7">
        <v>-95.770177869999998</v>
      </c>
      <c r="M3416" s="6" t="s">
        <v>355</v>
      </c>
      <c r="N3416" s="6" t="s">
        <v>23</v>
      </c>
      <c r="O3416" s="6" t="s">
        <v>23</v>
      </c>
    </row>
    <row r="3417" spans="1:15" x14ac:dyDescent="0.25">
      <c r="A3417" s="6" t="s">
        <v>272</v>
      </c>
      <c r="B3417" s="6" t="s">
        <v>271</v>
      </c>
      <c r="C3417" s="6" t="s">
        <v>31</v>
      </c>
      <c r="E3417" s="6" t="s">
        <v>270</v>
      </c>
      <c r="F3417" s="6" t="s">
        <v>269</v>
      </c>
      <c r="G3417" s="6" t="s">
        <v>16</v>
      </c>
      <c r="H3417" s="6" t="s">
        <v>15</v>
      </c>
      <c r="I3417" s="6" t="s">
        <v>36</v>
      </c>
      <c r="J3417" s="6" t="s">
        <v>268</v>
      </c>
      <c r="K3417" s="7">
        <v>32.908086679999997</v>
      </c>
      <c r="L3417" s="7">
        <v>-97.47929542</v>
      </c>
      <c r="M3417" s="6" t="s">
        <v>267</v>
      </c>
      <c r="N3417" s="6" t="s">
        <v>102</v>
      </c>
      <c r="O3417" s="6" t="s">
        <v>23</v>
      </c>
    </row>
    <row r="3418" spans="1:15" x14ac:dyDescent="0.25">
      <c r="A3418" s="6" t="s">
        <v>926</v>
      </c>
      <c r="B3418" s="6" t="s">
        <v>925</v>
      </c>
      <c r="C3418" s="6" t="s">
        <v>31</v>
      </c>
      <c r="E3418" s="6" t="s">
        <v>924</v>
      </c>
      <c r="F3418" s="6" t="s">
        <v>923</v>
      </c>
      <c r="G3418" s="6" t="s">
        <v>16</v>
      </c>
      <c r="H3418" s="6" t="s">
        <v>28</v>
      </c>
      <c r="I3418" s="6" t="s">
        <v>46</v>
      </c>
      <c r="J3418" s="6" t="s">
        <v>35</v>
      </c>
      <c r="K3418" s="7">
        <v>30.02118231</v>
      </c>
      <c r="L3418" s="7">
        <v>-95.716966439999993</v>
      </c>
      <c r="M3418" s="6" t="s">
        <v>279</v>
      </c>
      <c r="N3418" s="6" t="s">
        <v>24</v>
      </c>
      <c r="O3418" s="6" t="s">
        <v>23</v>
      </c>
    </row>
    <row r="3419" spans="1:15" x14ac:dyDescent="0.25">
      <c r="A3419" s="6" t="s">
        <v>3631</v>
      </c>
      <c r="B3419" s="6" t="s">
        <v>3630</v>
      </c>
      <c r="C3419" s="6" t="s">
        <v>31</v>
      </c>
      <c r="E3419" s="6" t="s">
        <v>3629</v>
      </c>
      <c r="F3419" s="6" t="s">
        <v>3628</v>
      </c>
      <c r="G3419" s="6" t="s">
        <v>16</v>
      </c>
      <c r="H3419" s="6" t="s">
        <v>28</v>
      </c>
      <c r="I3419" s="6" t="s">
        <v>46</v>
      </c>
      <c r="J3419" s="6" t="s">
        <v>853</v>
      </c>
      <c r="K3419" s="7">
        <v>29.795482079999999</v>
      </c>
      <c r="L3419" s="7">
        <v>-94.851395269999998</v>
      </c>
      <c r="M3419" s="6" t="s">
        <v>894</v>
      </c>
      <c r="N3419" s="6" t="s">
        <v>120</v>
      </c>
      <c r="O3419" s="6" t="s">
        <v>23</v>
      </c>
    </row>
    <row r="3420" spans="1:15" x14ac:dyDescent="0.25">
      <c r="A3420" s="6" t="s">
        <v>3639</v>
      </c>
      <c r="B3420" s="6" t="s">
        <v>3638</v>
      </c>
      <c r="C3420" s="6" t="s">
        <v>31</v>
      </c>
      <c r="E3420" s="6" t="s">
        <v>3637</v>
      </c>
      <c r="F3420" s="6" t="s">
        <v>3636</v>
      </c>
      <c r="G3420" s="6" t="s">
        <v>16</v>
      </c>
      <c r="H3420" s="6" t="s">
        <v>28</v>
      </c>
      <c r="I3420" s="6" t="s">
        <v>46</v>
      </c>
      <c r="J3420" s="6" t="s">
        <v>26</v>
      </c>
      <c r="K3420" s="7">
        <v>30.144513589999999</v>
      </c>
      <c r="L3420" s="7">
        <v>-95.423424600000004</v>
      </c>
      <c r="M3420" s="6" t="s">
        <v>731</v>
      </c>
      <c r="N3420" s="6" t="s">
        <v>24</v>
      </c>
      <c r="O3420" s="6" t="s">
        <v>23</v>
      </c>
    </row>
    <row r="3421" spans="1:15" x14ac:dyDescent="0.25">
      <c r="A3421" s="6" t="s">
        <v>2367</v>
      </c>
      <c r="B3421" s="6" t="s">
        <v>2366</v>
      </c>
      <c r="C3421" s="6" t="s">
        <v>31</v>
      </c>
      <c r="E3421" s="6" t="s">
        <v>2365</v>
      </c>
      <c r="F3421" s="6" t="s">
        <v>2364</v>
      </c>
      <c r="G3421" s="6" t="s">
        <v>16</v>
      </c>
      <c r="H3421" s="6" t="s">
        <v>28</v>
      </c>
      <c r="I3421" s="6" t="s">
        <v>46</v>
      </c>
      <c r="J3421" s="6" t="s">
        <v>35</v>
      </c>
      <c r="K3421" s="7">
        <v>29.900419979999999</v>
      </c>
      <c r="L3421" s="7">
        <v>-95.412844579999998</v>
      </c>
      <c r="M3421" s="6" t="s">
        <v>34</v>
      </c>
      <c r="N3421" s="6" t="s">
        <v>24</v>
      </c>
      <c r="O3421" s="6" t="s">
        <v>23</v>
      </c>
    </row>
    <row r="3422" spans="1:15" x14ac:dyDescent="0.25">
      <c r="A3422" s="6" t="s">
        <v>3388</v>
      </c>
      <c r="B3422" s="6" t="s">
        <v>3387</v>
      </c>
      <c r="C3422" s="6" t="s">
        <v>31</v>
      </c>
      <c r="E3422" s="6" t="s">
        <v>3386</v>
      </c>
      <c r="F3422" s="6" t="s">
        <v>3385</v>
      </c>
      <c r="G3422" s="6" t="s">
        <v>16</v>
      </c>
      <c r="H3422" s="6" t="s">
        <v>28</v>
      </c>
      <c r="I3422" s="6" t="s">
        <v>46</v>
      </c>
      <c r="J3422" s="6" t="s">
        <v>571</v>
      </c>
      <c r="K3422" s="7">
        <v>32.159146030000002</v>
      </c>
      <c r="L3422" s="7">
        <v>-97.795911110000006</v>
      </c>
      <c r="M3422" s="6" t="s">
        <v>1681</v>
      </c>
      <c r="N3422" s="6" t="s">
        <v>23</v>
      </c>
      <c r="O3422" s="6" t="s">
        <v>42</v>
      </c>
    </row>
    <row r="3423" spans="1:15" x14ac:dyDescent="0.25">
      <c r="A3423" s="6" t="s">
        <v>3341</v>
      </c>
      <c r="B3423" s="6" t="s">
        <v>3340</v>
      </c>
      <c r="C3423" s="6" t="s">
        <v>31</v>
      </c>
      <c r="E3423" s="6" t="s">
        <v>3339</v>
      </c>
      <c r="F3423" s="6" t="s">
        <v>3338</v>
      </c>
      <c r="G3423" s="6" t="s">
        <v>16</v>
      </c>
      <c r="H3423" s="6" t="s">
        <v>28</v>
      </c>
      <c r="I3423" s="6" t="s">
        <v>46</v>
      </c>
      <c r="J3423" s="6" t="s">
        <v>2768</v>
      </c>
      <c r="K3423" s="7">
        <v>32.225943999999998</v>
      </c>
      <c r="L3423" s="7">
        <v>-97.364919999999998</v>
      </c>
      <c r="M3423" s="6" t="s">
        <v>3337</v>
      </c>
      <c r="N3423" s="6" t="s">
        <v>23</v>
      </c>
      <c r="O3423" s="6" t="s">
        <v>42</v>
      </c>
    </row>
    <row r="3424" spans="1:15" x14ac:dyDescent="0.25">
      <c r="A3424" s="6" t="s">
        <v>3458</v>
      </c>
      <c r="B3424" s="6" t="s">
        <v>3457</v>
      </c>
      <c r="C3424" s="6" t="s">
        <v>31</v>
      </c>
      <c r="E3424" s="6" t="s">
        <v>3456</v>
      </c>
      <c r="F3424" s="6" t="s">
        <v>3455</v>
      </c>
      <c r="G3424" s="6" t="s">
        <v>16</v>
      </c>
      <c r="H3424" s="6" t="s">
        <v>28</v>
      </c>
      <c r="I3424" s="6" t="s">
        <v>46</v>
      </c>
      <c r="J3424" s="6" t="s">
        <v>385</v>
      </c>
      <c r="K3424" s="7">
        <v>29.900642900000001</v>
      </c>
      <c r="L3424" s="7">
        <v>-94.22331432</v>
      </c>
      <c r="M3424" s="6" t="s">
        <v>384</v>
      </c>
      <c r="N3424" s="6" t="s">
        <v>383</v>
      </c>
      <c r="O3424" s="6" t="s">
        <v>24</v>
      </c>
    </row>
    <row r="3425" spans="1:15" x14ac:dyDescent="0.25">
      <c r="A3425" s="6" t="s">
        <v>3454</v>
      </c>
      <c r="B3425" s="6" t="s">
        <v>3453</v>
      </c>
      <c r="C3425" s="6" t="s">
        <v>31</v>
      </c>
      <c r="E3425" s="6" t="s">
        <v>3452</v>
      </c>
      <c r="F3425" s="6" t="s">
        <v>3451</v>
      </c>
      <c r="G3425" s="6" t="s">
        <v>16</v>
      </c>
      <c r="H3425" s="6" t="s">
        <v>28</v>
      </c>
      <c r="I3425" s="6" t="s">
        <v>46</v>
      </c>
      <c r="J3425" s="6" t="s">
        <v>753</v>
      </c>
      <c r="K3425" s="7">
        <v>30.004165230000002</v>
      </c>
      <c r="L3425" s="7">
        <v>-98.083875300000003</v>
      </c>
      <c r="M3425" s="6" t="s">
        <v>3450</v>
      </c>
      <c r="N3425" s="6" t="s">
        <v>559</v>
      </c>
      <c r="O3425" s="6" t="s">
        <v>160</v>
      </c>
    </row>
    <row r="3426" spans="1:15" x14ac:dyDescent="0.25">
      <c r="A3426" s="6" t="s">
        <v>3642</v>
      </c>
      <c r="B3426" s="6" t="s">
        <v>3641</v>
      </c>
      <c r="C3426" s="6" t="s">
        <v>31</v>
      </c>
      <c r="E3426" s="6" t="s">
        <v>3640</v>
      </c>
      <c r="F3426" s="6" t="s">
        <v>61</v>
      </c>
      <c r="G3426" s="6" t="s">
        <v>16</v>
      </c>
      <c r="H3426" s="6" t="s">
        <v>28</v>
      </c>
      <c r="I3426" s="6" t="s">
        <v>14</v>
      </c>
      <c r="J3426" s="6" t="s">
        <v>26</v>
      </c>
      <c r="K3426" s="7">
        <v>30.309605120000001</v>
      </c>
      <c r="L3426" s="7">
        <v>-95.332370960000006</v>
      </c>
      <c r="M3426" s="6" t="s">
        <v>59</v>
      </c>
      <c r="N3426" s="6" t="s">
        <v>24</v>
      </c>
      <c r="O3426" s="6" t="s">
        <v>23</v>
      </c>
    </row>
    <row r="3427" spans="1:15" x14ac:dyDescent="0.25">
      <c r="A3427" s="6" t="s">
        <v>2472</v>
      </c>
      <c r="B3427" s="6" t="s">
        <v>2471</v>
      </c>
      <c r="C3427" s="6" t="s">
        <v>31</v>
      </c>
      <c r="E3427" s="6" t="s">
        <v>2470</v>
      </c>
      <c r="F3427" s="6" t="s">
        <v>2469</v>
      </c>
      <c r="G3427" s="6" t="s">
        <v>16</v>
      </c>
      <c r="H3427" s="6" t="s">
        <v>28</v>
      </c>
      <c r="I3427" s="6" t="s">
        <v>14</v>
      </c>
      <c r="J3427" s="6" t="s">
        <v>35</v>
      </c>
      <c r="K3427" s="7">
        <v>29.859149250000002</v>
      </c>
      <c r="L3427" s="7">
        <v>-95.783697009999997</v>
      </c>
      <c r="M3427" s="6" t="s">
        <v>131</v>
      </c>
      <c r="N3427" s="6" t="s">
        <v>24</v>
      </c>
      <c r="O3427" s="6" t="s">
        <v>23</v>
      </c>
    </row>
    <row r="3428" spans="1:15" x14ac:dyDescent="0.25">
      <c r="A3428" s="6" t="s">
        <v>2468</v>
      </c>
      <c r="B3428" s="6" t="s">
        <v>2353</v>
      </c>
      <c r="C3428" s="6" t="s">
        <v>31</v>
      </c>
      <c r="E3428" s="6" t="s">
        <v>2352</v>
      </c>
      <c r="F3428" s="6" t="s">
        <v>2351</v>
      </c>
      <c r="G3428" s="6" t="s">
        <v>16</v>
      </c>
      <c r="H3428" s="6" t="s">
        <v>15</v>
      </c>
      <c r="I3428" s="6" t="s">
        <v>46</v>
      </c>
      <c r="J3428" s="6" t="s">
        <v>90</v>
      </c>
      <c r="K3428" s="7">
        <v>26.17486989</v>
      </c>
      <c r="L3428" s="7">
        <v>-97.625119240000004</v>
      </c>
      <c r="M3428" s="6" t="s">
        <v>179</v>
      </c>
      <c r="N3428" s="6" t="s">
        <v>11</v>
      </c>
      <c r="O3428" s="6" t="s">
        <v>22</v>
      </c>
    </row>
    <row r="3429" spans="1:15" x14ac:dyDescent="0.25">
      <c r="A3429" s="6" t="s">
        <v>2354</v>
      </c>
      <c r="B3429" s="6" t="s">
        <v>2353</v>
      </c>
      <c r="C3429" s="6" t="s">
        <v>19</v>
      </c>
      <c r="E3429" s="6" t="s">
        <v>2352</v>
      </c>
      <c r="F3429" s="6" t="s">
        <v>2351</v>
      </c>
      <c r="G3429" s="6" t="s">
        <v>16</v>
      </c>
      <c r="H3429" s="6" t="s">
        <v>28</v>
      </c>
      <c r="I3429" s="6" t="s">
        <v>46</v>
      </c>
      <c r="J3429" s="6" t="s">
        <v>90</v>
      </c>
      <c r="K3429" s="7">
        <v>26.174796820000001</v>
      </c>
      <c r="L3429" s="7">
        <v>-97.625037649999996</v>
      </c>
      <c r="M3429" s="6" t="s">
        <v>179</v>
      </c>
      <c r="N3429" s="6" t="s">
        <v>11</v>
      </c>
      <c r="O3429" s="6" t="s">
        <v>22</v>
      </c>
    </row>
    <row r="3430" spans="1:15" x14ac:dyDescent="0.25">
      <c r="A3430" s="6" t="s">
        <v>2378</v>
      </c>
      <c r="B3430" s="6" t="s">
        <v>2377</v>
      </c>
      <c r="C3430" s="6" t="s">
        <v>31</v>
      </c>
      <c r="E3430" s="6" t="s">
        <v>2376</v>
      </c>
      <c r="F3430" s="6" t="s">
        <v>2375</v>
      </c>
      <c r="G3430" s="6" t="s">
        <v>16</v>
      </c>
      <c r="H3430" s="6" t="s">
        <v>28</v>
      </c>
      <c r="I3430" s="6" t="s">
        <v>14</v>
      </c>
      <c r="J3430" s="6" t="s">
        <v>274</v>
      </c>
      <c r="K3430" s="7">
        <v>29.779693009999999</v>
      </c>
      <c r="L3430" s="7">
        <v>-98.054780210000004</v>
      </c>
      <c r="M3430" s="6" t="s">
        <v>2149</v>
      </c>
      <c r="N3430" s="6" t="s">
        <v>559</v>
      </c>
      <c r="O3430" s="6" t="s">
        <v>231</v>
      </c>
    </row>
    <row r="3431" spans="1:15" x14ac:dyDescent="0.25">
      <c r="A3431" s="6" t="s">
        <v>2374</v>
      </c>
      <c r="B3431" s="6" t="s">
        <v>2373</v>
      </c>
      <c r="C3431" s="6" t="s">
        <v>31</v>
      </c>
      <c r="E3431" s="6" t="s">
        <v>2372</v>
      </c>
      <c r="F3431" s="6" t="s">
        <v>2371</v>
      </c>
      <c r="G3431" s="6" t="s">
        <v>16</v>
      </c>
      <c r="H3431" s="6" t="s">
        <v>28</v>
      </c>
      <c r="I3431" s="6" t="s">
        <v>46</v>
      </c>
      <c r="J3431" s="6" t="s">
        <v>461</v>
      </c>
      <c r="K3431" s="7">
        <v>33.159942360000002</v>
      </c>
      <c r="L3431" s="7">
        <v>-96.25281726</v>
      </c>
      <c r="M3431" s="6" t="s">
        <v>109</v>
      </c>
      <c r="N3431" s="6" t="s">
        <v>65</v>
      </c>
      <c r="O3431" s="6" t="s">
        <v>42</v>
      </c>
    </row>
    <row r="3432" spans="1:15" x14ac:dyDescent="0.25">
      <c r="A3432" s="6" t="s">
        <v>3117</v>
      </c>
      <c r="B3432" s="6" t="s">
        <v>3116</v>
      </c>
      <c r="C3432" s="6" t="s">
        <v>31</v>
      </c>
      <c r="E3432" s="6" t="s">
        <v>3115</v>
      </c>
      <c r="F3432" s="6" t="s">
        <v>3114</v>
      </c>
      <c r="G3432" s="6" t="s">
        <v>16</v>
      </c>
      <c r="H3432" s="6" t="s">
        <v>15</v>
      </c>
      <c r="I3432" s="6" t="s">
        <v>27</v>
      </c>
      <c r="J3432" s="6" t="s">
        <v>2178</v>
      </c>
      <c r="K3432" s="7">
        <v>31.75201315</v>
      </c>
      <c r="L3432" s="7">
        <v>-106.49324794</v>
      </c>
      <c r="M3432" s="6" t="s">
        <v>945</v>
      </c>
      <c r="N3432" s="6" t="s">
        <v>373</v>
      </c>
      <c r="O3432" s="6" t="s">
        <v>52</v>
      </c>
    </row>
    <row r="3433" spans="1:15" x14ac:dyDescent="0.25">
      <c r="A3433" s="6" t="s">
        <v>3446</v>
      </c>
      <c r="B3433" s="6" t="s">
        <v>3445</v>
      </c>
      <c r="C3433" s="6" t="s">
        <v>31</v>
      </c>
      <c r="E3433" s="6" t="s">
        <v>3444</v>
      </c>
      <c r="F3433" s="6" t="s">
        <v>3443</v>
      </c>
      <c r="G3433" s="6" t="s">
        <v>16</v>
      </c>
      <c r="H3433" s="6" t="s">
        <v>15</v>
      </c>
      <c r="I3433" s="6" t="s">
        <v>14</v>
      </c>
      <c r="J3433" s="6" t="s">
        <v>1405</v>
      </c>
      <c r="K3433" s="7">
        <v>35.838731420000002</v>
      </c>
      <c r="L3433" s="7">
        <v>-101.95559298000001</v>
      </c>
      <c r="M3433" s="6" t="s">
        <v>3442</v>
      </c>
      <c r="N3433" s="6" t="s">
        <v>535</v>
      </c>
      <c r="O3433" s="6" t="s">
        <v>535</v>
      </c>
    </row>
    <row r="3434" spans="1:15" x14ac:dyDescent="0.25">
      <c r="A3434" s="6" t="s">
        <v>2370</v>
      </c>
      <c r="B3434" s="6" t="s">
        <v>2369</v>
      </c>
      <c r="C3434" s="6" t="s">
        <v>31</v>
      </c>
      <c r="E3434" s="6" t="s">
        <v>2368</v>
      </c>
      <c r="F3434" s="6" t="s">
        <v>2142</v>
      </c>
      <c r="G3434" s="6" t="s">
        <v>16</v>
      </c>
      <c r="H3434" s="6" t="s">
        <v>15</v>
      </c>
      <c r="I3434" s="6" t="s">
        <v>36</v>
      </c>
      <c r="J3434" s="6" t="s">
        <v>35</v>
      </c>
      <c r="K3434" s="7">
        <v>29.73780876</v>
      </c>
      <c r="L3434" s="7">
        <v>-95.131128200000006</v>
      </c>
      <c r="M3434" s="6" t="s">
        <v>34</v>
      </c>
      <c r="N3434" s="6" t="s">
        <v>24</v>
      </c>
      <c r="O3434" s="6" t="s">
        <v>23</v>
      </c>
    </row>
    <row r="3435" spans="1:15" x14ac:dyDescent="0.25">
      <c r="A3435" s="6" t="s">
        <v>51</v>
      </c>
      <c r="B3435" s="6" t="s">
        <v>49</v>
      </c>
      <c r="C3435" s="6" t="s">
        <v>31</v>
      </c>
      <c r="E3435" s="6" t="s">
        <v>48</v>
      </c>
      <c r="F3435" s="6" t="s">
        <v>47</v>
      </c>
      <c r="G3435" s="6" t="s">
        <v>16</v>
      </c>
      <c r="H3435" s="6" t="s">
        <v>28</v>
      </c>
      <c r="I3435" s="6" t="s">
        <v>46</v>
      </c>
      <c r="J3435" s="6" t="s">
        <v>45</v>
      </c>
      <c r="K3435" s="7">
        <v>33.640277779999998</v>
      </c>
      <c r="L3435" s="7">
        <v>-96.168611110000001</v>
      </c>
      <c r="M3435" s="6" t="s">
        <v>44</v>
      </c>
      <c r="N3435" s="6" t="s">
        <v>43</v>
      </c>
      <c r="O3435" s="6" t="s">
        <v>42</v>
      </c>
    </row>
    <row r="3436" spans="1:15" x14ac:dyDescent="0.25">
      <c r="A3436" s="6" t="s">
        <v>50</v>
      </c>
      <c r="B3436" s="6" t="s">
        <v>49</v>
      </c>
      <c r="C3436" s="6" t="s">
        <v>19</v>
      </c>
      <c r="E3436" s="6" t="s">
        <v>48</v>
      </c>
      <c r="F3436" s="6" t="s">
        <v>47</v>
      </c>
      <c r="G3436" s="6" t="s">
        <v>16</v>
      </c>
      <c r="H3436" s="6" t="s">
        <v>28</v>
      </c>
      <c r="I3436" s="6" t="s">
        <v>46</v>
      </c>
      <c r="J3436" s="6" t="s">
        <v>45</v>
      </c>
      <c r="K3436" s="7">
        <v>33.63999999</v>
      </c>
      <c r="L3436" s="7">
        <v>-96.169166450000006</v>
      </c>
      <c r="M3436" s="6" t="s">
        <v>44</v>
      </c>
      <c r="N3436" s="6" t="s">
        <v>43</v>
      </c>
      <c r="O3436" s="6" t="s">
        <v>42</v>
      </c>
    </row>
    <row r="3437" spans="1:15" x14ac:dyDescent="0.25">
      <c r="A3437" s="6" t="s">
        <v>2320</v>
      </c>
      <c r="B3437" s="6" t="s">
        <v>2319</v>
      </c>
      <c r="C3437" s="6" t="s">
        <v>31</v>
      </c>
      <c r="E3437" s="6" t="s">
        <v>2318</v>
      </c>
      <c r="F3437" s="6" t="s">
        <v>2317</v>
      </c>
      <c r="G3437" s="6" t="s">
        <v>16</v>
      </c>
      <c r="H3437" s="6" t="s">
        <v>28</v>
      </c>
      <c r="I3437" s="6" t="s">
        <v>27</v>
      </c>
      <c r="J3437" s="6" t="s">
        <v>162</v>
      </c>
      <c r="K3437" s="7">
        <v>29.4943761</v>
      </c>
      <c r="L3437" s="7">
        <v>-95.382359390000005</v>
      </c>
      <c r="M3437" s="6" t="s">
        <v>161</v>
      </c>
      <c r="N3437" s="6" t="s">
        <v>160</v>
      </c>
      <c r="O3437" s="6" t="s">
        <v>23</v>
      </c>
    </row>
    <row r="3438" spans="1:15" x14ac:dyDescent="0.25">
      <c r="A3438" s="6" t="s">
        <v>2600</v>
      </c>
      <c r="B3438" s="6" t="s">
        <v>2599</v>
      </c>
      <c r="C3438" s="6" t="s">
        <v>31</v>
      </c>
      <c r="E3438" s="6" t="s">
        <v>2598</v>
      </c>
      <c r="F3438" s="6" t="s">
        <v>2597</v>
      </c>
      <c r="G3438" s="6" t="s">
        <v>16</v>
      </c>
      <c r="H3438" s="6" t="s">
        <v>15</v>
      </c>
      <c r="I3438" s="6" t="s">
        <v>14</v>
      </c>
      <c r="J3438" s="6" t="s">
        <v>776</v>
      </c>
      <c r="K3438" s="7">
        <v>32.641315319999997</v>
      </c>
      <c r="L3438" s="7">
        <v>-98.101194980000002</v>
      </c>
      <c r="M3438" s="6" t="s">
        <v>775</v>
      </c>
      <c r="N3438" s="6" t="s">
        <v>23</v>
      </c>
      <c r="O3438" s="6" t="s">
        <v>42</v>
      </c>
    </row>
    <row r="3439" spans="1:15" x14ac:dyDescent="0.25">
      <c r="A3439" s="6" t="s">
        <v>40</v>
      </c>
      <c r="B3439" s="6" t="s">
        <v>39</v>
      </c>
      <c r="C3439" s="6" t="s">
        <v>31</v>
      </c>
      <c r="E3439" s="6" t="s">
        <v>38</v>
      </c>
      <c r="F3439" s="6" t="s">
        <v>37</v>
      </c>
      <c r="G3439" s="6" t="s">
        <v>16</v>
      </c>
      <c r="H3439" s="6" t="s">
        <v>15</v>
      </c>
      <c r="I3439" s="6" t="s">
        <v>36</v>
      </c>
      <c r="J3439" s="6" t="s">
        <v>35</v>
      </c>
      <c r="K3439" s="7">
        <v>29.73820186</v>
      </c>
      <c r="L3439" s="7">
        <v>-95.164072730000001</v>
      </c>
      <c r="M3439" s="6" t="s">
        <v>34</v>
      </c>
      <c r="N3439" s="6" t="s">
        <v>24</v>
      </c>
      <c r="O3439" s="6" t="s">
        <v>23</v>
      </c>
    </row>
    <row r="3440" spans="1:15" x14ac:dyDescent="0.25">
      <c r="A3440" s="6" t="s">
        <v>41</v>
      </c>
      <c r="B3440" s="6" t="s">
        <v>39</v>
      </c>
      <c r="C3440" s="6" t="s">
        <v>19</v>
      </c>
      <c r="E3440" s="6" t="s">
        <v>38</v>
      </c>
      <c r="F3440" s="6" t="s">
        <v>37</v>
      </c>
      <c r="G3440" s="6" t="s">
        <v>16</v>
      </c>
      <c r="H3440" s="6" t="s">
        <v>15</v>
      </c>
      <c r="I3440" s="6" t="s">
        <v>36</v>
      </c>
      <c r="J3440" s="6" t="s">
        <v>35</v>
      </c>
      <c r="K3440" s="7">
        <v>29.738197830000001</v>
      </c>
      <c r="L3440" s="7">
        <v>-95.162639560000002</v>
      </c>
      <c r="M3440" s="6" t="s">
        <v>34</v>
      </c>
      <c r="N3440" s="6" t="s">
        <v>24</v>
      </c>
      <c r="O3440" s="6" t="s">
        <v>23</v>
      </c>
    </row>
    <row r="3441" spans="1:15" x14ac:dyDescent="0.25">
      <c r="A3441" s="6" t="s">
        <v>2007</v>
      </c>
      <c r="B3441" s="6" t="s">
        <v>2006</v>
      </c>
      <c r="C3441" s="6" t="s">
        <v>31</v>
      </c>
      <c r="E3441" s="6" t="s">
        <v>2005</v>
      </c>
      <c r="F3441" s="6" t="s">
        <v>2004</v>
      </c>
      <c r="G3441" s="6" t="s">
        <v>16</v>
      </c>
      <c r="H3441" s="6" t="s">
        <v>15</v>
      </c>
      <c r="I3441" s="6" t="s">
        <v>36</v>
      </c>
      <c r="J3441" s="6" t="s">
        <v>90</v>
      </c>
      <c r="K3441" s="7">
        <v>26.21583699</v>
      </c>
      <c r="L3441" s="7">
        <v>-97.591669019999998</v>
      </c>
      <c r="M3441" s="6" t="s">
        <v>1254</v>
      </c>
      <c r="N3441" s="6" t="s">
        <v>11</v>
      </c>
      <c r="O3441" s="6" t="s">
        <v>22</v>
      </c>
    </row>
    <row r="3442" spans="1:15" x14ac:dyDescent="0.25">
      <c r="A3442" s="6" t="s">
        <v>9415</v>
      </c>
      <c r="B3442" s="6" t="s">
        <v>9414</v>
      </c>
      <c r="C3442" s="6" t="s">
        <v>31</v>
      </c>
      <c r="E3442" s="6" t="s">
        <v>9413</v>
      </c>
      <c r="F3442" s="6" t="s">
        <v>9412</v>
      </c>
      <c r="G3442" s="6" t="s">
        <v>16</v>
      </c>
      <c r="H3442" s="6" t="s">
        <v>15</v>
      </c>
      <c r="I3442" s="6" t="s">
        <v>14</v>
      </c>
      <c r="J3442" s="6" t="s">
        <v>3459</v>
      </c>
      <c r="K3442" s="7">
        <v>31.09178825</v>
      </c>
      <c r="L3442" s="7">
        <v>-96.402466930000003</v>
      </c>
      <c r="M3442" s="6" t="s">
        <v>927</v>
      </c>
      <c r="N3442" s="6" t="s">
        <v>23</v>
      </c>
      <c r="O3442" s="6" t="s">
        <v>120</v>
      </c>
    </row>
    <row r="3443" spans="1:15" x14ac:dyDescent="0.25">
      <c r="A3443" s="6" t="s">
        <v>2359</v>
      </c>
      <c r="B3443" s="6" t="s">
        <v>2358</v>
      </c>
      <c r="C3443" s="6" t="s">
        <v>31</v>
      </c>
      <c r="E3443" s="6" t="s">
        <v>2357</v>
      </c>
      <c r="F3443" s="6" t="s">
        <v>2356</v>
      </c>
      <c r="G3443" s="6" t="s">
        <v>16</v>
      </c>
      <c r="H3443" s="6" t="s">
        <v>28</v>
      </c>
      <c r="I3443" s="6" t="s">
        <v>27</v>
      </c>
      <c r="J3443" s="6" t="s">
        <v>1519</v>
      </c>
      <c r="K3443" s="7">
        <v>30.452291750000001</v>
      </c>
      <c r="L3443" s="7">
        <v>-94.829179049999993</v>
      </c>
      <c r="M3443" s="6" t="s">
        <v>2355</v>
      </c>
      <c r="N3443" s="6" t="s">
        <v>102</v>
      </c>
      <c r="O3443" s="6" t="s">
        <v>23</v>
      </c>
    </row>
    <row r="3444" spans="1:15" x14ac:dyDescent="0.25">
      <c r="A3444" s="6" t="s">
        <v>2592</v>
      </c>
      <c r="B3444" s="6" t="s">
        <v>2381</v>
      </c>
      <c r="C3444" s="6" t="s">
        <v>31</v>
      </c>
      <c r="E3444" s="6" t="s">
        <v>2380</v>
      </c>
      <c r="F3444" s="6" t="s">
        <v>2379</v>
      </c>
      <c r="G3444" s="6" t="s">
        <v>16</v>
      </c>
      <c r="H3444" s="6" t="s">
        <v>430</v>
      </c>
      <c r="I3444" s="6" t="s">
        <v>14</v>
      </c>
      <c r="J3444" s="6" t="s">
        <v>35</v>
      </c>
      <c r="K3444" s="7">
        <v>29.739846979999999</v>
      </c>
      <c r="L3444" s="7">
        <v>-95.217568220000004</v>
      </c>
      <c r="M3444" s="6" t="s">
        <v>866</v>
      </c>
      <c r="N3444" s="6" t="s">
        <v>24</v>
      </c>
      <c r="O3444" s="6" t="s">
        <v>23</v>
      </c>
    </row>
    <row r="3445" spans="1:15" x14ac:dyDescent="0.25">
      <c r="A3445" s="6" t="s">
        <v>2382</v>
      </c>
      <c r="B3445" s="6" t="s">
        <v>2381</v>
      </c>
      <c r="C3445" s="6" t="s">
        <v>19</v>
      </c>
      <c r="E3445" s="6" t="s">
        <v>2380</v>
      </c>
      <c r="F3445" s="6" t="s">
        <v>2379</v>
      </c>
      <c r="G3445" s="6" t="s">
        <v>16</v>
      </c>
      <c r="H3445" s="6" t="s">
        <v>430</v>
      </c>
      <c r="I3445" s="6" t="s">
        <v>14</v>
      </c>
      <c r="J3445" s="6" t="s">
        <v>35</v>
      </c>
      <c r="K3445" s="7">
        <v>29.739720049999999</v>
      </c>
      <c r="L3445" s="7">
        <v>-95.220302489999995</v>
      </c>
      <c r="M3445" s="6" t="s">
        <v>866</v>
      </c>
      <c r="N3445" s="6" t="s">
        <v>24</v>
      </c>
      <c r="O3445" s="6" t="s">
        <v>23</v>
      </c>
    </row>
    <row r="3446" spans="1:15" x14ac:dyDescent="0.25">
      <c r="A3446" s="6" t="s">
        <v>3113</v>
      </c>
      <c r="B3446" s="6" t="s">
        <v>3112</v>
      </c>
      <c r="C3446" s="6" t="s">
        <v>31</v>
      </c>
      <c r="E3446" s="6" t="s">
        <v>3111</v>
      </c>
      <c r="F3446" s="6" t="s">
        <v>3110</v>
      </c>
      <c r="G3446" s="6" t="s">
        <v>16</v>
      </c>
      <c r="H3446" s="6" t="s">
        <v>28</v>
      </c>
      <c r="I3446" s="6" t="s">
        <v>36</v>
      </c>
      <c r="J3446" s="6" t="s">
        <v>26</v>
      </c>
      <c r="K3446" s="7">
        <v>30.304877659999999</v>
      </c>
      <c r="L3446" s="7">
        <v>-95.772019360000002</v>
      </c>
      <c r="M3446" s="6" t="s">
        <v>25</v>
      </c>
      <c r="N3446" s="6" t="s">
        <v>24</v>
      </c>
      <c r="O3446" s="6" t="s">
        <v>23</v>
      </c>
    </row>
    <row r="3447" spans="1:15" x14ac:dyDescent="0.25">
      <c r="A3447" s="6" t="s">
        <v>3449</v>
      </c>
      <c r="B3447" s="6" t="s">
        <v>3448</v>
      </c>
      <c r="C3447" s="6" t="s">
        <v>31</v>
      </c>
      <c r="E3447" s="6" t="s">
        <v>3447</v>
      </c>
      <c r="F3447" s="6" t="s">
        <v>895</v>
      </c>
      <c r="G3447" s="6" t="s">
        <v>16</v>
      </c>
      <c r="H3447" s="6" t="s">
        <v>28</v>
      </c>
      <c r="I3447" s="6" t="s">
        <v>46</v>
      </c>
      <c r="J3447" s="6" t="s">
        <v>35</v>
      </c>
      <c r="K3447" s="7">
        <v>30.07010902</v>
      </c>
      <c r="L3447" s="7">
        <v>-95.642951650000001</v>
      </c>
      <c r="M3447" s="6" t="s">
        <v>731</v>
      </c>
      <c r="N3447" s="6" t="s">
        <v>24</v>
      </c>
      <c r="O3447" s="6" t="s">
        <v>23</v>
      </c>
    </row>
    <row r="3448" spans="1:15" x14ac:dyDescent="0.25">
      <c r="A3448" s="6" t="s">
        <v>2363</v>
      </c>
      <c r="B3448" s="6" t="s">
        <v>2362</v>
      </c>
      <c r="C3448" s="6" t="s">
        <v>31</v>
      </c>
      <c r="E3448" s="6" t="s">
        <v>2361</v>
      </c>
      <c r="F3448" s="6" t="s">
        <v>2360</v>
      </c>
      <c r="G3448" s="6" t="s">
        <v>16</v>
      </c>
      <c r="H3448" s="6" t="s">
        <v>28</v>
      </c>
      <c r="I3448" s="6" t="s">
        <v>46</v>
      </c>
      <c r="J3448" s="6" t="s">
        <v>26</v>
      </c>
      <c r="K3448" s="7">
        <v>30.071796920000001</v>
      </c>
      <c r="L3448" s="7">
        <v>-95.261938889999996</v>
      </c>
      <c r="M3448" s="6" t="s">
        <v>1022</v>
      </c>
      <c r="N3448" s="6" t="s">
        <v>24</v>
      </c>
      <c r="O3448" s="6" t="s">
        <v>23</v>
      </c>
    </row>
    <row r="3449" spans="1:15" x14ac:dyDescent="0.25">
      <c r="A3449" s="6" t="s">
        <v>3103</v>
      </c>
      <c r="B3449" s="6" t="s">
        <v>3102</v>
      </c>
      <c r="C3449" s="6" t="s">
        <v>31</v>
      </c>
      <c r="E3449" s="6" t="s">
        <v>3101</v>
      </c>
      <c r="F3449" s="6" t="s">
        <v>3100</v>
      </c>
      <c r="G3449" s="6" t="s">
        <v>16</v>
      </c>
      <c r="H3449" s="6" t="s">
        <v>28</v>
      </c>
      <c r="I3449" s="6" t="s">
        <v>14</v>
      </c>
      <c r="J3449" s="6" t="s">
        <v>274</v>
      </c>
      <c r="K3449" s="7">
        <v>29.77071789</v>
      </c>
      <c r="L3449" s="7">
        <v>-98.399246120000001</v>
      </c>
      <c r="M3449" s="6" t="s">
        <v>273</v>
      </c>
      <c r="N3449" s="6" t="s">
        <v>232</v>
      </c>
      <c r="O3449" s="6" t="s">
        <v>231</v>
      </c>
    </row>
    <row r="3450" spans="1:15" x14ac:dyDescent="0.25">
      <c r="A3450" s="6" t="s">
        <v>2347</v>
      </c>
      <c r="B3450" s="6" t="s">
        <v>2346</v>
      </c>
      <c r="C3450" s="6" t="s">
        <v>31</v>
      </c>
      <c r="E3450" s="6" t="s">
        <v>2345</v>
      </c>
      <c r="F3450" s="6" t="s">
        <v>2344</v>
      </c>
      <c r="G3450" s="6" t="s">
        <v>16</v>
      </c>
      <c r="H3450" s="6" t="s">
        <v>28</v>
      </c>
      <c r="I3450" s="6" t="s">
        <v>14</v>
      </c>
      <c r="J3450" s="6" t="s">
        <v>35</v>
      </c>
      <c r="K3450" s="7">
        <v>29.823939729999999</v>
      </c>
      <c r="L3450" s="7">
        <v>-95.799002459999997</v>
      </c>
      <c r="M3450" s="6" t="s">
        <v>131</v>
      </c>
      <c r="N3450" s="6" t="s">
        <v>24</v>
      </c>
      <c r="O3450" s="6" t="s">
        <v>23</v>
      </c>
    </row>
    <row r="3451" spans="1:15" x14ac:dyDescent="0.25">
      <c r="A3451" s="6" t="s">
        <v>2596</v>
      </c>
      <c r="B3451" s="6" t="s">
        <v>2595</v>
      </c>
      <c r="C3451" s="6" t="s">
        <v>31</v>
      </c>
      <c r="E3451" s="6" t="s">
        <v>2594</v>
      </c>
      <c r="F3451" s="6" t="s">
        <v>2593</v>
      </c>
      <c r="G3451" s="6" t="s">
        <v>16</v>
      </c>
      <c r="H3451" s="6" t="s">
        <v>28</v>
      </c>
      <c r="I3451" s="6" t="s">
        <v>46</v>
      </c>
      <c r="J3451" s="6" t="s">
        <v>753</v>
      </c>
      <c r="K3451" s="7">
        <v>29.92828609</v>
      </c>
      <c r="L3451" s="7">
        <v>-97.859484929999994</v>
      </c>
      <c r="M3451" s="6" t="s">
        <v>2149</v>
      </c>
      <c r="N3451" s="6" t="s">
        <v>559</v>
      </c>
      <c r="O3451" s="6" t="s">
        <v>160</v>
      </c>
    </row>
    <row r="3452" spans="1:15" x14ac:dyDescent="0.25">
      <c r="A3452" s="6" t="s">
        <v>4052</v>
      </c>
      <c r="B3452" s="6" t="s">
        <v>4051</v>
      </c>
      <c r="C3452" s="6" t="s">
        <v>31</v>
      </c>
      <c r="E3452" s="6" t="s">
        <v>4050</v>
      </c>
      <c r="F3452" s="6" t="s">
        <v>4049</v>
      </c>
      <c r="G3452" s="6" t="s">
        <v>16</v>
      </c>
      <c r="H3452" s="6" t="s">
        <v>28</v>
      </c>
      <c r="I3452" s="6" t="s">
        <v>46</v>
      </c>
      <c r="J3452" s="6" t="s">
        <v>26</v>
      </c>
      <c r="K3452" s="7">
        <v>30.1936599</v>
      </c>
      <c r="L3452" s="7">
        <v>-95.18303453</v>
      </c>
      <c r="M3452" s="6" t="s">
        <v>4048</v>
      </c>
      <c r="N3452" s="6" t="s">
        <v>24</v>
      </c>
      <c r="O3452" s="6" t="s">
        <v>23</v>
      </c>
    </row>
    <row r="3453" spans="1:15" x14ac:dyDescent="0.25">
      <c r="A3453" s="6" t="s">
        <v>2467</v>
      </c>
      <c r="B3453" s="6" t="s">
        <v>2466</v>
      </c>
      <c r="C3453" s="6" t="s">
        <v>31</v>
      </c>
      <c r="E3453" s="6" t="s">
        <v>2465</v>
      </c>
      <c r="F3453" s="6" t="s">
        <v>2464</v>
      </c>
      <c r="G3453" s="6" t="s">
        <v>16</v>
      </c>
      <c r="H3453" s="6" t="s">
        <v>28</v>
      </c>
      <c r="I3453" s="6" t="s">
        <v>27</v>
      </c>
      <c r="J3453" s="6" t="s">
        <v>132</v>
      </c>
      <c r="K3453" s="7">
        <v>29.507250620000001</v>
      </c>
      <c r="L3453" s="7">
        <v>-95.722724049999997</v>
      </c>
      <c r="M3453" s="6" t="s">
        <v>355</v>
      </c>
      <c r="N3453" s="6" t="s">
        <v>22</v>
      </c>
      <c r="O3453" s="6" t="s">
        <v>23</v>
      </c>
    </row>
    <row r="3454" spans="1:15" x14ac:dyDescent="0.25">
      <c r="A3454" s="6" t="s">
        <v>2338</v>
      </c>
      <c r="B3454" s="6" t="s">
        <v>2337</v>
      </c>
      <c r="C3454" s="6" t="s">
        <v>31</v>
      </c>
      <c r="E3454" s="6" t="s">
        <v>2336</v>
      </c>
      <c r="F3454" s="6" t="s">
        <v>2335</v>
      </c>
      <c r="G3454" s="6" t="s">
        <v>16</v>
      </c>
      <c r="H3454" s="6" t="s">
        <v>28</v>
      </c>
      <c r="I3454" s="6" t="s">
        <v>27</v>
      </c>
      <c r="J3454" s="6" t="s">
        <v>26</v>
      </c>
      <c r="K3454" s="7">
        <v>30.35103814</v>
      </c>
      <c r="L3454" s="7">
        <v>-95.373177040000002</v>
      </c>
      <c r="M3454" s="6" t="s">
        <v>1022</v>
      </c>
      <c r="N3454" s="6" t="s">
        <v>24</v>
      </c>
      <c r="O3454" s="6" t="s">
        <v>23</v>
      </c>
    </row>
    <row r="3455" spans="1:15" x14ac:dyDescent="0.25">
      <c r="A3455" s="6" t="s">
        <v>2091</v>
      </c>
      <c r="B3455" s="6" t="s">
        <v>2090</v>
      </c>
      <c r="C3455" s="6" t="s">
        <v>31</v>
      </c>
      <c r="E3455" s="6" t="s">
        <v>2089</v>
      </c>
      <c r="F3455" s="6" t="s">
        <v>2088</v>
      </c>
      <c r="G3455" s="6" t="s">
        <v>16</v>
      </c>
      <c r="H3455" s="6" t="s">
        <v>15</v>
      </c>
      <c r="I3455" s="6" t="s">
        <v>14</v>
      </c>
      <c r="J3455" s="6" t="s">
        <v>132</v>
      </c>
      <c r="K3455" s="7">
        <v>29.478984730000001</v>
      </c>
      <c r="L3455" s="7">
        <v>-95.63988157</v>
      </c>
      <c r="M3455" s="6" t="s">
        <v>355</v>
      </c>
      <c r="N3455" s="6" t="s">
        <v>23</v>
      </c>
      <c r="O3455" s="6" t="s">
        <v>23</v>
      </c>
    </row>
    <row r="3456" spans="1:15" x14ac:dyDescent="0.25">
      <c r="A3456" s="6" t="s">
        <v>2316</v>
      </c>
      <c r="B3456" s="6" t="s">
        <v>2315</v>
      </c>
      <c r="C3456" s="6" t="s">
        <v>31</v>
      </c>
      <c r="E3456" s="6" t="s">
        <v>2314</v>
      </c>
      <c r="F3456" s="6" t="s">
        <v>2313</v>
      </c>
      <c r="G3456" s="6" t="s">
        <v>16</v>
      </c>
      <c r="H3456" s="6" t="s">
        <v>28</v>
      </c>
      <c r="I3456" s="6" t="s">
        <v>46</v>
      </c>
      <c r="J3456" s="6" t="s">
        <v>35</v>
      </c>
      <c r="K3456" s="7">
        <v>30.136417680000001</v>
      </c>
      <c r="L3456" s="7">
        <v>-95.505025979999999</v>
      </c>
      <c r="M3456" s="6" t="s">
        <v>731</v>
      </c>
      <c r="N3456" s="6" t="s">
        <v>24</v>
      </c>
      <c r="O3456" s="6" t="s">
        <v>23</v>
      </c>
    </row>
    <row r="3457" spans="1:15" x14ac:dyDescent="0.25">
      <c r="A3457" s="6" t="s">
        <v>2350</v>
      </c>
      <c r="B3457" s="6" t="s">
        <v>2349</v>
      </c>
      <c r="C3457" s="6" t="s">
        <v>31</v>
      </c>
      <c r="E3457" s="6" t="s">
        <v>2348</v>
      </c>
      <c r="F3457" s="6" t="s">
        <v>61</v>
      </c>
      <c r="G3457" s="6" t="s">
        <v>16</v>
      </c>
      <c r="H3457" s="6" t="s">
        <v>28</v>
      </c>
      <c r="I3457" s="6" t="s">
        <v>27</v>
      </c>
      <c r="J3457" s="6" t="s">
        <v>26</v>
      </c>
      <c r="K3457" s="7">
        <v>30.172632929999999</v>
      </c>
      <c r="L3457" s="7">
        <v>-95.193017220000002</v>
      </c>
      <c r="M3457" s="6" t="s">
        <v>59</v>
      </c>
      <c r="N3457" s="6" t="s">
        <v>24</v>
      </c>
      <c r="O3457" s="6" t="s">
        <v>23</v>
      </c>
    </row>
    <row r="3458" spans="1:15" x14ac:dyDescent="0.25">
      <c r="A3458" s="6" t="s">
        <v>2096</v>
      </c>
      <c r="B3458" s="6" t="s">
        <v>2095</v>
      </c>
      <c r="C3458" s="6" t="s">
        <v>31</v>
      </c>
      <c r="E3458" s="6" t="s">
        <v>2094</v>
      </c>
      <c r="F3458" s="6" t="s">
        <v>2093</v>
      </c>
      <c r="G3458" s="6" t="s">
        <v>16</v>
      </c>
      <c r="H3458" s="6" t="s">
        <v>28</v>
      </c>
      <c r="I3458" s="6" t="s">
        <v>46</v>
      </c>
      <c r="J3458" s="6" t="s">
        <v>290</v>
      </c>
      <c r="K3458" s="7">
        <v>28.70729017</v>
      </c>
      <c r="L3458" s="7">
        <v>-95.962684839999994</v>
      </c>
      <c r="M3458" s="6" t="s">
        <v>2092</v>
      </c>
      <c r="N3458" s="6" t="s">
        <v>10</v>
      </c>
      <c r="O3458" s="6" t="s">
        <v>23</v>
      </c>
    </row>
    <row r="3459" spans="1:15" x14ac:dyDescent="0.25">
      <c r="A3459" s="6" t="s">
        <v>4056</v>
      </c>
      <c r="B3459" s="6" t="s">
        <v>4055</v>
      </c>
      <c r="C3459" s="6" t="s">
        <v>31</v>
      </c>
      <c r="E3459" s="6" t="s">
        <v>4054</v>
      </c>
      <c r="F3459" s="6" t="s">
        <v>4053</v>
      </c>
      <c r="G3459" s="6" t="s">
        <v>16</v>
      </c>
      <c r="H3459" s="6" t="s">
        <v>28</v>
      </c>
      <c r="I3459" s="6" t="s">
        <v>46</v>
      </c>
      <c r="J3459" s="6" t="s">
        <v>162</v>
      </c>
      <c r="K3459" s="7">
        <v>29.02859844</v>
      </c>
      <c r="L3459" s="7">
        <v>-95.189377309999998</v>
      </c>
      <c r="M3459" s="6" t="s">
        <v>3816</v>
      </c>
      <c r="N3459" s="6" t="s">
        <v>160</v>
      </c>
      <c r="O3459" s="6" t="s">
        <v>23</v>
      </c>
    </row>
    <row r="3460" spans="1:15" x14ac:dyDescent="0.25">
      <c r="A3460" s="6" t="s">
        <v>2334</v>
      </c>
      <c r="B3460" s="6" t="s">
        <v>2332</v>
      </c>
      <c r="C3460" s="6" t="s">
        <v>31</v>
      </c>
      <c r="E3460" s="6" t="s">
        <v>2331</v>
      </c>
      <c r="F3460" s="6" t="s">
        <v>2330</v>
      </c>
      <c r="G3460" s="6" t="s">
        <v>16</v>
      </c>
      <c r="H3460" s="6" t="s">
        <v>15</v>
      </c>
      <c r="I3460" s="6" t="s">
        <v>14</v>
      </c>
      <c r="J3460" s="6" t="s">
        <v>385</v>
      </c>
      <c r="K3460" s="7">
        <v>30.03842582</v>
      </c>
      <c r="L3460" s="7">
        <v>-94.036218730000002</v>
      </c>
      <c r="M3460" s="6" t="s">
        <v>429</v>
      </c>
      <c r="N3460" s="6" t="s">
        <v>52</v>
      </c>
      <c r="O3460" s="6" t="s">
        <v>24</v>
      </c>
    </row>
    <row r="3461" spans="1:15" x14ac:dyDescent="0.25">
      <c r="A3461" s="6" t="s">
        <v>2333</v>
      </c>
      <c r="B3461" s="6" t="s">
        <v>2332</v>
      </c>
      <c r="C3461" s="6" t="s">
        <v>19</v>
      </c>
      <c r="E3461" s="6" t="s">
        <v>2331</v>
      </c>
      <c r="F3461" s="6" t="s">
        <v>2330</v>
      </c>
      <c r="G3461" s="6" t="s">
        <v>16</v>
      </c>
      <c r="H3461" s="6" t="s">
        <v>430</v>
      </c>
      <c r="I3461" s="6" t="s">
        <v>14</v>
      </c>
      <c r="J3461" s="6" t="s">
        <v>385</v>
      </c>
      <c r="K3461" s="7">
        <v>30.03726271</v>
      </c>
      <c r="L3461" s="7">
        <v>-94.043394449999994</v>
      </c>
      <c r="M3461" s="6" t="s">
        <v>429</v>
      </c>
      <c r="N3461" s="6" t="s">
        <v>52</v>
      </c>
      <c r="O3461" s="6" t="s">
        <v>24</v>
      </c>
    </row>
    <row r="3462" spans="1:15" x14ac:dyDescent="0.25">
      <c r="A3462" s="6" t="s">
        <v>2343</v>
      </c>
      <c r="B3462" s="6" t="s">
        <v>2342</v>
      </c>
      <c r="C3462" s="6" t="s">
        <v>31</v>
      </c>
      <c r="E3462" s="6" t="s">
        <v>2341</v>
      </c>
      <c r="F3462" s="6" t="s">
        <v>2072</v>
      </c>
      <c r="G3462" s="6" t="s">
        <v>16</v>
      </c>
      <c r="H3462" s="6" t="s">
        <v>28</v>
      </c>
      <c r="I3462" s="6" t="s">
        <v>27</v>
      </c>
      <c r="J3462" s="6" t="s">
        <v>2340</v>
      </c>
      <c r="K3462" s="7">
        <v>30.48332289</v>
      </c>
      <c r="L3462" s="7">
        <v>-96.629950750000006</v>
      </c>
      <c r="M3462" s="6" t="s">
        <v>2339</v>
      </c>
      <c r="N3462" s="6" t="s">
        <v>23</v>
      </c>
      <c r="O3462" s="6" t="s">
        <v>120</v>
      </c>
    </row>
    <row r="3463" spans="1:15" x14ac:dyDescent="0.25">
      <c r="A3463" s="6" t="s">
        <v>2075</v>
      </c>
      <c r="B3463" s="6" t="s">
        <v>2074</v>
      </c>
      <c r="C3463" s="6" t="s">
        <v>31</v>
      </c>
      <c r="E3463" s="6" t="s">
        <v>2073</v>
      </c>
      <c r="F3463" s="6" t="s">
        <v>2072</v>
      </c>
      <c r="G3463" s="6" t="s">
        <v>16</v>
      </c>
      <c r="H3463" s="6" t="s">
        <v>28</v>
      </c>
      <c r="I3463" s="6" t="s">
        <v>27</v>
      </c>
      <c r="J3463" s="6" t="s">
        <v>35</v>
      </c>
      <c r="K3463" s="7">
        <v>29.88304982</v>
      </c>
      <c r="L3463" s="7">
        <v>-95.18998397</v>
      </c>
      <c r="M3463" s="6" t="s">
        <v>34</v>
      </c>
      <c r="N3463" s="6" t="s">
        <v>24</v>
      </c>
      <c r="O3463" s="6" t="s">
        <v>23</v>
      </c>
    </row>
    <row r="3464" spans="1:15" x14ac:dyDescent="0.25">
      <c r="A3464" s="6" t="s">
        <v>2087</v>
      </c>
      <c r="B3464" s="6" t="s">
        <v>2086</v>
      </c>
      <c r="C3464" s="6" t="s">
        <v>31</v>
      </c>
      <c r="E3464" s="6" t="s">
        <v>2085</v>
      </c>
      <c r="F3464" s="6" t="s">
        <v>2084</v>
      </c>
      <c r="G3464" s="6" t="s">
        <v>16</v>
      </c>
      <c r="H3464" s="6" t="s">
        <v>15</v>
      </c>
      <c r="I3464" s="6" t="s">
        <v>46</v>
      </c>
      <c r="J3464" s="6" t="s">
        <v>72</v>
      </c>
      <c r="K3464" s="7">
        <v>32.02917034</v>
      </c>
      <c r="L3464" s="7">
        <v>-95.399998460000006</v>
      </c>
      <c r="M3464" s="6" t="s">
        <v>53</v>
      </c>
      <c r="N3464" s="6" t="s">
        <v>52</v>
      </c>
      <c r="O3464" s="6" t="s">
        <v>65</v>
      </c>
    </row>
    <row r="3465" spans="1:15" x14ac:dyDescent="0.25">
      <c r="A3465" s="6" t="s">
        <v>621</v>
      </c>
      <c r="B3465" s="6" t="s">
        <v>620</v>
      </c>
      <c r="C3465" s="6" t="s">
        <v>31</v>
      </c>
      <c r="D3465" s="6" t="s">
        <v>907</v>
      </c>
      <c r="E3465" s="6" t="s">
        <v>618</v>
      </c>
      <c r="F3465" s="6" t="s">
        <v>617</v>
      </c>
      <c r="G3465" s="6" t="s">
        <v>16</v>
      </c>
      <c r="H3465" s="6" t="s">
        <v>15</v>
      </c>
      <c r="I3465" s="6" t="s">
        <v>14</v>
      </c>
      <c r="J3465" s="6" t="s">
        <v>132</v>
      </c>
      <c r="K3465" s="7">
        <v>29.676240369999999</v>
      </c>
      <c r="L3465" s="7">
        <v>-95.829501109999995</v>
      </c>
      <c r="M3465" s="6" t="s">
        <v>616</v>
      </c>
      <c r="N3465" s="6" t="s">
        <v>23</v>
      </c>
      <c r="O3465" s="6" t="s">
        <v>23</v>
      </c>
    </row>
    <row r="3466" spans="1:15" x14ac:dyDescent="0.25">
      <c r="A3466" s="6" t="s">
        <v>621</v>
      </c>
      <c r="B3466" s="6" t="s">
        <v>620</v>
      </c>
      <c r="C3466" s="6" t="s">
        <v>31</v>
      </c>
      <c r="D3466" s="6" t="s">
        <v>619</v>
      </c>
      <c r="E3466" s="6" t="s">
        <v>618</v>
      </c>
      <c r="F3466" s="6" t="s">
        <v>617</v>
      </c>
      <c r="G3466" s="6" t="s">
        <v>16</v>
      </c>
      <c r="H3466" s="6" t="s">
        <v>15</v>
      </c>
      <c r="I3466" s="6" t="s">
        <v>36</v>
      </c>
      <c r="J3466" s="6" t="s">
        <v>132</v>
      </c>
      <c r="K3466" s="7">
        <v>29.677863179999999</v>
      </c>
      <c r="L3466" s="7">
        <v>-95.826664579999999</v>
      </c>
      <c r="M3466" s="6" t="s">
        <v>616</v>
      </c>
      <c r="N3466" s="6" t="s">
        <v>23</v>
      </c>
      <c r="O3466" s="6" t="s">
        <v>23</v>
      </c>
    </row>
    <row r="3467" spans="1:15" x14ac:dyDescent="0.25">
      <c r="A3467" s="6" t="s">
        <v>2463</v>
      </c>
      <c r="B3467" s="6" t="s">
        <v>2462</v>
      </c>
      <c r="C3467" s="6" t="s">
        <v>31</v>
      </c>
      <c r="E3467" s="6" t="s">
        <v>2461</v>
      </c>
      <c r="F3467" s="6" t="s">
        <v>2460</v>
      </c>
      <c r="G3467" s="6" t="s">
        <v>16</v>
      </c>
      <c r="H3467" s="6" t="s">
        <v>15</v>
      </c>
      <c r="I3467" s="6" t="s">
        <v>14</v>
      </c>
      <c r="J3467" s="6" t="s">
        <v>162</v>
      </c>
      <c r="K3467" s="7">
        <v>29.027324920000002</v>
      </c>
      <c r="L3467" s="7">
        <v>-95.476211969999994</v>
      </c>
      <c r="M3467" s="6" t="s">
        <v>244</v>
      </c>
      <c r="N3467" s="6" t="s">
        <v>23</v>
      </c>
      <c r="O3467" s="6" t="s">
        <v>23</v>
      </c>
    </row>
    <row r="3468" spans="1:15" x14ac:dyDescent="0.25">
      <c r="A3468" s="6" t="s">
        <v>2329</v>
      </c>
      <c r="B3468" s="6" t="s">
        <v>2328</v>
      </c>
      <c r="C3468" s="6" t="s">
        <v>31</v>
      </c>
      <c r="E3468" s="6" t="s">
        <v>2327</v>
      </c>
      <c r="F3468" s="6" t="s">
        <v>2326</v>
      </c>
      <c r="G3468" s="6" t="s">
        <v>16</v>
      </c>
      <c r="H3468" s="6" t="s">
        <v>15</v>
      </c>
      <c r="I3468" s="6" t="s">
        <v>14</v>
      </c>
      <c r="J3468" s="6" t="s">
        <v>253</v>
      </c>
      <c r="K3468" s="7">
        <v>31.020260969999999</v>
      </c>
      <c r="L3468" s="7">
        <v>-97.649275639999999</v>
      </c>
      <c r="M3468" s="6" t="s">
        <v>2325</v>
      </c>
      <c r="N3468" s="6" t="s">
        <v>23</v>
      </c>
      <c r="O3468" s="6" t="s">
        <v>120</v>
      </c>
    </row>
    <row r="3469" spans="1:15" x14ac:dyDescent="0.25">
      <c r="A3469" s="6" t="s">
        <v>2100</v>
      </c>
      <c r="B3469" s="6" t="s">
        <v>2099</v>
      </c>
      <c r="C3469" s="6" t="s">
        <v>31</v>
      </c>
      <c r="E3469" s="6" t="s">
        <v>2098</v>
      </c>
      <c r="F3469" s="6" t="s">
        <v>2097</v>
      </c>
      <c r="G3469" s="6" t="s">
        <v>16</v>
      </c>
      <c r="H3469" s="6" t="s">
        <v>28</v>
      </c>
      <c r="I3469" s="6" t="s">
        <v>46</v>
      </c>
      <c r="J3469" s="6" t="s">
        <v>132</v>
      </c>
      <c r="K3469" s="7">
        <v>29.689943880000001</v>
      </c>
      <c r="L3469" s="7">
        <v>-95.936749430000006</v>
      </c>
      <c r="M3469" s="6" t="s">
        <v>355</v>
      </c>
      <c r="N3469" s="6" t="s">
        <v>23</v>
      </c>
      <c r="O3469" s="6" t="s">
        <v>23</v>
      </c>
    </row>
    <row r="3470" spans="1:15" x14ac:dyDescent="0.25">
      <c r="A3470" s="6" t="s">
        <v>6119</v>
      </c>
      <c r="B3470" s="6" t="s">
        <v>6116</v>
      </c>
      <c r="C3470" s="6" t="s">
        <v>31</v>
      </c>
      <c r="E3470" s="6" t="s">
        <v>6115</v>
      </c>
      <c r="F3470" s="6" t="s">
        <v>6114</v>
      </c>
      <c r="G3470" s="6" t="s">
        <v>16</v>
      </c>
      <c r="H3470" s="6" t="s">
        <v>15</v>
      </c>
      <c r="I3470" s="6" t="s">
        <v>14</v>
      </c>
      <c r="J3470" s="6" t="s">
        <v>162</v>
      </c>
      <c r="K3470" s="7">
        <v>29.07636604</v>
      </c>
      <c r="L3470" s="7">
        <v>-95.766109900000004</v>
      </c>
      <c r="M3470" s="6" t="s">
        <v>6113</v>
      </c>
      <c r="N3470" s="6" t="s">
        <v>231</v>
      </c>
      <c r="O3470" s="6" t="s">
        <v>23</v>
      </c>
    </row>
    <row r="3471" spans="1:15" x14ac:dyDescent="0.25">
      <c r="A3471" s="6" t="s">
        <v>6118</v>
      </c>
      <c r="B3471" s="6" t="s">
        <v>6116</v>
      </c>
      <c r="C3471" s="6" t="s">
        <v>19</v>
      </c>
      <c r="E3471" s="6" t="s">
        <v>6115</v>
      </c>
      <c r="F3471" s="6" t="s">
        <v>6114</v>
      </c>
      <c r="G3471" s="6" t="s">
        <v>16</v>
      </c>
      <c r="H3471" s="6" t="s">
        <v>15</v>
      </c>
      <c r="I3471" s="6" t="s">
        <v>14</v>
      </c>
      <c r="J3471" s="6" t="s">
        <v>162</v>
      </c>
      <c r="K3471" s="7">
        <v>28.941798599999998</v>
      </c>
      <c r="L3471" s="7">
        <v>-95.382064080000006</v>
      </c>
      <c r="M3471" s="6" t="s">
        <v>244</v>
      </c>
      <c r="N3471" s="6" t="s">
        <v>23</v>
      </c>
      <c r="O3471" s="6" t="s">
        <v>23</v>
      </c>
    </row>
    <row r="3472" spans="1:15" x14ac:dyDescent="0.25">
      <c r="A3472" s="6" t="s">
        <v>6117</v>
      </c>
      <c r="B3472" s="6" t="s">
        <v>6116</v>
      </c>
      <c r="C3472" s="6" t="s">
        <v>436</v>
      </c>
      <c r="E3472" s="6" t="s">
        <v>6115</v>
      </c>
      <c r="F3472" s="6" t="s">
        <v>6114</v>
      </c>
      <c r="G3472" s="6" t="s">
        <v>16</v>
      </c>
      <c r="H3472" s="6" t="s">
        <v>15</v>
      </c>
      <c r="I3472" s="6" t="s">
        <v>14</v>
      </c>
      <c r="J3472" s="6" t="s">
        <v>162</v>
      </c>
      <c r="K3472" s="7">
        <v>29.074323119999999</v>
      </c>
      <c r="L3472" s="7">
        <v>-95.76616258</v>
      </c>
      <c r="M3472" s="6" t="s">
        <v>6113</v>
      </c>
      <c r="N3472" s="6" t="s">
        <v>231</v>
      </c>
      <c r="O3472" s="6" t="s">
        <v>23</v>
      </c>
    </row>
    <row r="3473" spans="1:15" x14ac:dyDescent="0.25">
      <c r="A3473" s="6" t="s">
        <v>2324</v>
      </c>
      <c r="B3473" s="6" t="s">
        <v>2323</v>
      </c>
      <c r="C3473" s="6" t="s">
        <v>31</v>
      </c>
      <c r="E3473" s="6" t="s">
        <v>2322</v>
      </c>
      <c r="F3473" s="6" t="s">
        <v>2321</v>
      </c>
      <c r="G3473" s="6" t="s">
        <v>16</v>
      </c>
      <c r="H3473" s="6" t="s">
        <v>28</v>
      </c>
      <c r="I3473" s="6" t="s">
        <v>46</v>
      </c>
      <c r="J3473" s="6" t="s">
        <v>35</v>
      </c>
      <c r="K3473" s="7">
        <v>30.066623020000002</v>
      </c>
      <c r="L3473" s="7">
        <v>-95.714719419999994</v>
      </c>
      <c r="M3473" s="6" t="s">
        <v>731</v>
      </c>
      <c r="N3473" s="6" t="s">
        <v>24</v>
      </c>
      <c r="O3473" s="6" t="s">
        <v>23</v>
      </c>
    </row>
    <row r="3474" spans="1:15" x14ac:dyDescent="0.25">
      <c r="A3474" s="6" t="s">
        <v>2083</v>
      </c>
      <c r="B3474" s="6" t="s">
        <v>2082</v>
      </c>
      <c r="C3474" s="6" t="s">
        <v>31</v>
      </c>
      <c r="E3474" s="6" t="s">
        <v>2081</v>
      </c>
      <c r="F3474" s="6" t="s">
        <v>2080</v>
      </c>
      <c r="G3474" s="6" t="s">
        <v>16</v>
      </c>
      <c r="H3474" s="6" t="s">
        <v>28</v>
      </c>
      <c r="I3474" s="6" t="s">
        <v>36</v>
      </c>
      <c r="J3474" s="6" t="s">
        <v>26</v>
      </c>
      <c r="K3474" s="7">
        <v>30.137314709999998</v>
      </c>
      <c r="L3474" s="7">
        <v>-95.372876829999996</v>
      </c>
      <c r="M3474" s="6" t="s">
        <v>1022</v>
      </c>
      <c r="N3474" s="6" t="s">
        <v>24</v>
      </c>
      <c r="O3474" s="6" t="s">
        <v>23</v>
      </c>
    </row>
    <row r="3475" spans="1:15" x14ac:dyDescent="0.25">
      <c r="A3475" s="6" t="s">
        <v>2003</v>
      </c>
      <c r="B3475" s="6" t="s">
        <v>2002</v>
      </c>
      <c r="C3475" s="6" t="s">
        <v>31</v>
      </c>
      <c r="E3475" s="6" t="s">
        <v>2001</v>
      </c>
      <c r="F3475" s="6" t="s">
        <v>2000</v>
      </c>
      <c r="G3475" s="6" t="s">
        <v>16</v>
      </c>
      <c r="H3475" s="6" t="s">
        <v>15</v>
      </c>
      <c r="I3475" s="6" t="s">
        <v>14</v>
      </c>
      <c r="J3475" s="6" t="s">
        <v>162</v>
      </c>
      <c r="K3475" s="7">
        <v>29.295689629999998</v>
      </c>
      <c r="L3475" s="7">
        <v>-95.440867760000003</v>
      </c>
      <c r="M3475" s="6" t="s">
        <v>1999</v>
      </c>
      <c r="N3475" s="6" t="s">
        <v>160</v>
      </c>
      <c r="O3475" s="6" t="s">
        <v>23</v>
      </c>
    </row>
    <row r="3476" spans="1:15" x14ac:dyDescent="0.25">
      <c r="A3476" s="6" t="s">
        <v>893</v>
      </c>
      <c r="B3476" s="6" t="s">
        <v>892</v>
      </c>
      <c r="C3476" s="6" t="s">
        <v>31</v>
      </c>
      <c r="E3476" s="6" t="s">
        <v>891</v>
      </c>
      <c r="F3476" s="6" t="s">
        <v>890</v>
      </c>
      <c r="G3476" s="6" t="s">
        <v>16</v>
      </c>
      <c r="H3476" s="6" t="s">
        <v>28</v>
      </c>
      <c r="I3476" s="6" t="s">
        <v>46</v>
      </c>
      <c r="J3476" s="6" t="s">
        <v>889</v>
      </c>
      <c r="K3476" s="7">
        <v>30.74796911</v>
      </c>
      <c r="L3476" s="7">
        <v>-98.654670620000005</v>
      </c>
      <c r="M3476" s="6" t="s">
        <v>888</v>
      </c>
      <c r="N3476" s="6" t="s">
        <v>10</v>
      </c>
      <c r="O3476" s="6" t="s">
        <v>160</v>
      </c>
    </row>
    <row r="3477" spans="1:15" x14ac:dyDescent="0.25">
      <c r="A3477" s="6" t="s">
        <v>6112</v>
      </c>
      <c r="B3477" s="6" t="s">
        <v>6111</v>
      </c>
      <c r="C3477" s="6" t="s">
        <v>31</v>
      </c>
      <c r="E3477" s="6" t="s">
        <v>6110</v>
      </c>
      <c r="F3477" s="6" t="s">
        <v>6109</v>
      </c>
      <c r="G3477" s="6" t="s">
        <v>16</v>
      </c>
      <c r="H3477" s="6" t="s">
        <v>28</v>
      </c>
      <c r="I3477" s="6" t="s">
        <v>27</v>
      </c>
      <c r="J3477" s="6" t="s">
        <v>274</v>
      </c>
      <c r="K3477" s="7">
        <v>29.794781969999999</v>
      </c>
      <c r="L3477" s="7">
        <v>-98.295199280000006</v>
      </c>
      <c r="M3477" s="6" t="s">
        <v>2748</v>
      </c>
      <c r="N3477" s="6" t="s">
        <v>559</v>
      </c>
      <c r="O3477" s="6" t="s">
        <v>231</v>
      </c>
    </row>
    <row r="3478" spans="1:15" x14ac:dyDescent="0.25">
      <c r="A3478" s="6" t="s">
        <v>1118</v>
      </c>
      <c r="B3478" s="6" t="s">
        <v>1117</v>
      </c>
      <c r="C3478" s="6" t="s">
        <v>31</v>
      </c>
      <c r="E3478" s="6" t="s">
        <v>1116</v>
      </c>
      <c r="F3478" s="6" t="s">
        <v>1115</v>
      </c>
      <c r="G3478" s="6" t="s">
        <v>16</v>
      </c>
      <c r="H3478" s="6" t="s">
        <v>28</v>
      </c>
      <c r="I3478" s="6" t="s">
        <v>27</v>
      </c>
      <c r="J3478" s="6" t="s">
        <v>883</v>
      </c>
      <c r="K3478" s="7">
        <v>32.995163550000001</v>
      </c>
      <c r="L3478" s="7">
        <v>-94.37531946</v>
      </c>
      <c r="M3478" s="6" t="s">
        <v>1114</v>
      </c>
      <c r="N3478" s="6" t="s">
        <v>42</v>
      </c>
      <c r="O3478" s="6" t="s">
        <v>65</v>
      </c>
    </row>
    <row r="3479" spans="1:15" x14ac:dyDescent="0.25">
      <c r="A3479" s="6" t="s">
        <v>2071</v>
      </c>
      <c r="B3479" s="6" t="s">
        <v>2070</v>
      </c>
      <c r="C3479" s="6" t="s">
        <v>31</v>
      </c>
      <c r="E3479" s="6" t="s">
        <v>2069</v>
      </c>
      <c r="F3479" s="6" t="s">
        <v>2068</v>
      </c>
      <c r="G3479" s="6" t="s">
        <v>16</v>
      </c>
      <c r="H3479" s="6" t="s">
        <v>28</v>
      </c>
      <c r="I3479" s="6" t="s">
        <v>27</v>
      </c>
      <c r="J3479" s="6" t="s">
        <v>928</v>
      </c>
      <c r="K3479" s="7">
        <v>31.093051460000002</v>
      </c>
      <c r="L3479" s="7">
        <v>-95.963020119999996</v>
      </c>
      <c r="M3479" s="6" t="s">
        <v>317</v>
      </c>
      <c r="N3479" s="6" t="s">
        <v>102</v>
      </c>
      <c r="O3479" s="6" t="s">
        <v>120</v>
      </c>
    </row>
    <row r="3480" spans="1:15" x14ac:dyDescent="0.25">
      <c r="A3480" s="6" t="s">
        <v>33</v>
      </c>
      <c r="B3480" s="6" t="s">
        <v>32</v>
      </c>
      <c r="C3480" s="6" t="s">
        <v>31</v>
      </c>
      <c r="E3480" s="6" t="s">
        <v>30</v>
      </c>
      <c r="F3480" s="6" t="s">
        <v>29</v>
      </c>
      <c r="G3480" s="6" t="s">
        <v>16</v>
      </c>
      <c r="H3480" s="6" t="s">
        <v>28</v>
      </c>
      <c r="I3480" s="6" t="s">
        <v>27</v>
      </c>
      <c r="J3480" s="6" t="s">
        <v>26</v>
      </c>
      <c r="K3480" s="7">
        <v>30.280376319999998</v>
      </c>
      <c r="L3480" s="7">
        <v>-95.705239329999998</v>
      </c>
      <c r="M3480" s="6" t="s">
        <v>25</v>
      </c>
      <c r="N3480" s="6" t="s">
        <v>24</v>
      </c>
      <c r="O3480" s="6" t="s">
        <v>23</v>
      </c>
    </row>
    <row r="3481" spans="1:15" x14ac:dyDescent="0.25">
      <c r="A3481" s="6" t="s">
        <v>881</v>
      </c>
      <c r="B3481" s="6" t="s">
        <v>880</v>
      </c>
      <c r="C3481" s="6" t="s">
        <v>31</v>
      </c>
      <c r="E3481" s="6" t="s">
        <v>879</v>
      </c>
      <c r="F3481" s="6" t="s">
        <v>878</v>
      </c>
      <c r="G3481" s="6" t="s">
        <v>16</v>
      </c>
      <c r="H3481" s="6" t="s">
        <v>28</v>
      </c>
      <c r="I3481" s="6" t="s">
        <v>46</v>
      </c>
      <c r="J3481" s="6" t="s">
        <v>132</v>
      </c>
      <c r="K3481" s="7">
        <v>29.720291</v>
      </c>
      <c r="L3481" s="7">
        <v>-95.919994020000004</v>
      </c>
      <c r="M3481" s="6" t="s">
        <v>355</v>
      </c>
      <c r="N3481" s="6" t="s">
        <v>23</v>
      </c>
      <c r="O3481" s="6" t="s">
        <v>23</v>
      </c>
    </row>
    <row r="3482" spans="1:15" x14ac:dyDescent="0.25">
      <c r="A3482" s="6" t="s">
        <v>1103</v>
      </c>
      <c r="B3482" s="6" t="s">
        <v>1102</v>
      </c>
      <c r="C3482" s="6" t="s">
        <v>31</v>
      </c>
      <c r="E3482" s="6" t="s">
        <v>1101</v>
      </c>
      <c r="F3482" s="6" t="s">
        <v>1100</v>
      </c>
      <c r="G3482" s="6" t="s">
        <v>16</v>
      </c>
      <c r="H3482" s="6" t="s">
        <v>28</v>
      </c>
      <c r="I3482" s="6" t="s">
        <v>46</v>
      </c>
      <c r="J3482" s="6" t="s">
        <v>385</v>
      </c>
      <c r="K3482" s="7">
        <v>29.826457170000001</v>
      </c>
      <c r="L3482" s="7">
        <v>-93.96268963</v>
      </c>
      <c r="M3482" s="6" t="s">
        <v>610</v>
      </c>
      <c r="N3482" s="6" t="s">
        <v>383</v>
      </c>
      <c r="O3482" s="6" t="s">
        <v>24</v>
      </c>
    </row>
    <row r="3483" spans="1:15" x14ac:dyDescent="0.25">
      <c r="A3483" s="6" t="s">
        <v>1998</v>
      </c>
      <c r="B3483" s="6" t="s">
        <v>1997</v>
      </c>
      <c r="C3483" s="6" t="s">
        <v>31</v>
      </c>
      <c r="E3483" s="6" t="s">
        <v>1996</v>
      </c>
      <c r="F3483" s="6" t="s">
        <v>1995</v>
      </c>
      <c r="G3483" s="6" t="s">
        <v>16</v>
      </c>
      <c r="H3483" s="6" t="s">
        <v>28</v>
      </c>
      <c r="I3483" s="6" t="s">
        <v>46</v>
      </c>
      <c r="J3483" s="6" t="s">
        <v>35</v>
      </c>
      <c r="K3483" s="7">
        <v>29.824398550000002</v>
      </c>
      <c r="L3483" s="7">
        <v>-95.776497739999996</v>
      </c>
      <c r="M3483" s="6" t="s">
        <v>131</v>
      </c>
      <c r="N3483" s="6" t="s">
        <v>24</v>
      </c>
      <c r="O3483" s="6" t="s">
        <v>23</v>
      </c>
    </row>
    <row r="3484" spans="1:15" x14ac:dyDescent="0.25">
      <c r="A3484" s="6" t="s">
        <v>1107</v>
      </c>
      <c r="B3484" s="6" t="s">
        <v>1106</v>
      </c>
      <c r="C3484" s="6" t="s">
        <v>31</v>
      </c>
      <c r="E3484" s="6" t="s">
        <v>1105</v>
      </c>
      <c r="F3484" s="6" t="s">
        <v>1104</v>
      </c>
      <c r="G3484" s="6" t="s">
        <v>16</v>
      </c>
      <c r="H3484" s="6" t="s">
        <v>28</v>
      </c>
      <c r="I3484" s="6" t="s">
        <v>46</v>
      </c>
      <c r="J3484" s="6" t="s">
        <v>753</v>
      </c>
      <c r="K3484" s="7">
        <v>29.98972105</v>
      </c>
      <c r="L3484" s="7">
        <v>-97.771959609999996</v>
      </c>
      <c r="M3484" s="6" t="s">
        <v>752</v>
      </c>
      <c r="N3484" s="6" t="s">
        <v>559</v>
      </c>
      <c r="O3484" s="6" t="s">
        <v>160</v>
      </c>
    </row>
    <row r="3485" spans="1:15" x14ac:dyDescent="0.25">
      <c r="A3485" s="6" t="s">
        <v>865</v>
      </c>
      <c r="B3485" s="6" t="s">
        <v>864</v>
      </c>
      <c r="C3485" s="6" t="s">
        <v>31</v>
      </c>
      <c r="E3485" s="6" t="s">
        <v>863</v>
      </c>
      <c r="F3485" s="6" t="s">
        <v>862</v>
      </c>
      <c r="G3485" s="6" t="s">
        <v>16</v>
      </c>
      <c r="H3485" s="6" t="s">
        <v>28</v>
      </c>
      <c r="I3485" s="6" t="s">
        <v>27</v>
      </c>
      <c r="J3485" s="6" t="s">
        <v>26</v>
      </c>
      <c r="K3485" s="7">
        <v>30.447540719999999</v>
      </c>
      <c r="L3485" s="7">
        <v>-95.636274029999996</v>
      </c>
      <c r="M3485" s="6" t="s">
        <v>340</v>
      </c>
      <c r="N3485" s="6" t="s">
        <v>24</v>
      </c>
      <c r="O3485" s="6" t="s">
        <v>23</v>
      </c>
    </row>
    <row r="3486" spans="1:15" x14ac:dyDescent="0.25">
      <c r="A3486" s="6" t="s">
        <v>570</v>
      </c>
      <c r="B3486" s="6" t="s">
        <v>569</v>
      </c>
      <c r="C3486" s="6" t="s">
        <v>31</v>
      </c>
      <c r="E3486" s="6" t="s">
        <v>568</v>
      </c>
      <c r="F3486" s="6" t="s">
        <v>567</v>
      </c>
      <c r="G3486" s="6" t="s">
        <v>16</v>
      </c>
      <c r="H3486" s="6" t="s">
        <v>15</v>
      </c>
      <c r="I3486" s="6" t="s">
        <v>14</v>
      </c>
      <c r="J3486" s="6" t="s">
        <v>566</v>
      </c>
      <c r="K3486" s="7">
        <v>32.157218229999998</v>
      </c>
      <c r="L3486" s="7">
        <v>-94.791899569999998</v>
      </c>
      <c r="M3486" s="6" t="s">
        <v>203</v>
      </c>
      <c r="N3486" s="6" t="s">
        <v>52</v>
      </c>
      <c r="O3486" s="6" t="s">
        <v>65</v>
      </c>
    </row>
    <row r="3487" spans="1:15" x14ac:dyDescent="0.25">
      <c r="A3487" s="6" t="s">
        <v>857</v>
      </c>
      <c r="B3487" s="6" t="s">
        <v>856</v>
      </c>
      <c r="C3487" s="6" t="s">
        <v>31</v>
      </c>
      <c r="E3487" s="6" t="s">
        <v>855</v>
      </c>
      <c r="F3487" s="6" t="s">
        <v>854</v>
      </c>
      <c r="G3487" s="6" t="s">
        <v>16</v>
      </c>
      <c r="H3487" s="6" t="s">
        <v>28</v>
      </c>
      <c r="I3487" s="6" t="s">
        <v>46</v>
      </c>
      <c r="J3487" s="6" t="s">
        <v>853</v>
      </c>
      <c r="K3487" s="7">
        <v>29.833326629999998</v>
      </c>
      <c r="L3487" s="7">
        <v>-94.508325429999999</v>
      </c>
      <c r="M3487" s="6" t="s">
        <v>852</v>
      </c>
      <c r="N3487" s="6" t="s">
        <v>383</v>
      </c>
      <c r="O3487" s="6" t="s">
        <v>23</v>
      </c>
    </row>
    <row r="3488" spans="1:15" x14ac:dyDescent="0.25">
      <c r="A3488" s="6" t="s">
        <v>887</v>
      </c>
      <c r="B3488" s="6" t="s">
        <v>886</v>
      </c>
      <c r="C3488" s="6" t="s">
        <v>31</v>
      </c>
      <c r="E3488" s="6" t="s">
        <v>885</v>
      </c>
      <c r="F3488" s="6" t="s">
        <v>884</v>
      </c>
      <c r="G3488" s="6" t="s">
        <v>16</v>
      </c>
      <c r="H3488" s="6" t="s">
        <v>28</v>
      </c>
      <c r="I3488" s="6" t="s">
        <v>46</v>
      </c>
      <c r="J3488" s="6" t="s">
        <v>883</v>
      </c>
      <c r="K3488" s="7">
        <v>33.260555590000003</v>
      </c>
      <c r="L3488" s="7">
        <v>-94.128888880000005</v>
      </c>
      <c r="M3488" s="6" t="s">
        <v>882</v>
      </c>
      <c r="N3488" s="6" t="s">
        <v>95</v>
      </c>
      <c r="O3488" s="6" t="s">
        <v>65</v>
      </c>
    </row>
    <row r="3489" spans="1:15" x14ac:dyDescent="0.25">
      <c r="A3489" s="6" t="s">
        <v>877</v>
      </c>
      <c r="B3489" s="6" t="s">
        <v>876</v>
      </c>
      <c r="C3489" s="6" t="s">
        <v>31</v>
      </c>
      <c r="E3489" s="6" t="s">
        <v>875</v>
      </c>
      <c r="F3489" s="6" t="s">
        <v>874</v>
      </c>
      <c r="G3489" s="6" t="s">
        <v>16</v>
      </c>
      <c r="H3489" s="6" t="s">
        <v>15</v>
      </c>
      <c r="I3489" s="6" t="s">
        <v>14</v>
      </c>
      <c r="J3489" s="6" t="s">
        <v>873</v>
      </c>
      <c r="K3489" s="7">
        <v>29.503899950000001</v>
      </c>
      <c r="L3489" s="7">
        <v>-98.189000579999998</v>
      </c>
      <c r="M3489" s="6" t="s">
        <v>872</v>
      </c>
      <c r="N3489" s="6" t="s">
        <v>232</v>
      </c>
      <c r="O3489" s="6" t="s">
        <v>231</v>
      </c>
    </row>
    <row r="3490" spans="1:15" x14ac:dyDescent="0.25">
      <c r="A3490" s="6" t="s">
        <v>3099</v>
      </c>
      <c r="B3490" s="6" t="s">
        <v>3098</v>
      </c>
      <c r="C3490" s="6" t="s">
        <v>31</v>
      </c>
      <c r="E3490" s="6" t="s">
        <v>3097</v>
      </c>
      <c r="F3490" s="6" t="s">
        <v>3096</v>
      </c>
      <c r="G3490" s="6" t="s">
        <v>16</v>
      </c>
      <c r="H3490" s="6" t="s">
        <v>28</v>
      </c>
      <c r="I3490" s="6" t="s">
        <v>46</v>
      </c>
      <c r="J3490" s="6" t="s">
        <v>132</v>
      </c>
      <c r="K3490" s="7">
        <v>29.630000689999999</v>
      </c>
      <c r="L3490" s="7">
        <v>-95.718889279999999</v>
      </c>
      <c r="M3490" s="6" t="s">
        <v>355</v>
      </c>
      <c r="N3490" s="6" t="s">
        <v>23</v>
      </c>
      <c r="O3490" s="6" t="s">
        <v>23</v>
      </c>
    </row>
    <row r="3491" spans="1:15" x14ac:dyDescent="0.25">
      <c r="A3491" s="6" t="s">
        <v>1991</v>
      </c>
      <c r="B3491" s="6" t="s">
        <v>1815</v>
      </c>
      <c r="C3491" s="6" t="s">
        <v>31</v>
      </c>
      <c r="E3491" s="6" t="s">
        <v>1814</v>
      </c>
      <c r="F3491" s="6" t="s">
        <v>1813</v>
      </c>
      <c r="G3491" s="6" t="s">
        <v>16</v>
      </c>
      <c r="H3491" s="6" t="s">
        <v>15</v>
      </c>
      <c r="I3491" s="6" t="s">
        <v>14</v>
      </c>
      <c r="J3491" s="6" t="s">
        <v>35</v>
      </c>
      <c r="K3491" s="7">
        <v>29.911361169999999</v>
      </c>
      <c r="L3491" s="7">
        <v>-95.206742809999994</v>
      </c>
      <c r="M3491" s="6" t="s">
        <v>198</v>
      </c>
      <c r="N3491" s="6" t="s">
        <v>24</v>
      </c>
      <c r="O3491" s="6" t="s">
        <v>23</v>
      </c>
    </row>
    <row r="3492" spans="1:15" x14ac:dyDescent="0.25">
      <c r="A3492" s="6" t="s">
        <v>1816</v>
      </c>
      <c r="B3492" s="6" t="s">
        <v>1815</v>
      </c>
      <c r="C3492" s="6" t="s">
        <v>19</v>
      </c>
      <c r="E3492" s="6" t="s">
        <v>1814</v>
      </c>
      <c r="F3492" s="6" t="s">
        <v>1813</v>
      </c>
      <c r="G3492" s="6" t="s">
        <v>16</v>
      </c>
      <c r="H3492" s="6" t="s">
        <v>15</v>
      </c>
      <c r="I3492" s="6" t="s">
        <v>14</v>
      </c>
      <c r="J3492" s="6" t="s">
        <v>35</v>
      </c>
      <c r="K3492" s="7">
        <v>29.911371590000002</v>
      </c>
      <c r="L3492" s="7">
        <v>-95.210576520000004</v>
      </c>
      <c r="M3492" s="6" t="s">
        <v>198</v>
      </c>
      <c r="N3492" s="6" t="s">
        <v>24</v>
      </c>
      <c r="O3492" s="6" t="s">
        <v>23</v>
      </c>
    </row>
    <row r="3493" spans="1:15" x14ac:dyDescent="0.25">
      <c r="A3493" s="6" t="s">
        <v>4664</v>
      </c>
      <c r="B3493" s="6" t="s">
        <v>1815</v>
      </c>
      <c r="C3493" s="6" t="s">
        <v>436</v>
      </c>
      <c r="E3493" s="6" t="s">
        <v>1814</v>
      </c>
      <c r="F3493" s="6" t="s">
        <v>1813</v>
      </c>
      <c r="G3493" s="6" t="s">
        <v>16</v>
      </c>
      <c r="H3493" s="6" t="s">
        <v>15</v>
      </c>
      <c r="I3493" s="6" t="s">
        <v>14</v>
      </c>
      <c r="J3493" s="6" t="s">
        <v>35</v>
      </c>
      <c r="K3493" s="7">
        <v>29.91136118</v>
      </c>
      <c r="L3493" s="7">
        <v>-95.206742829999996</v>
      </c>
      <c r="M3493" s="6" t="s">
        <v>198</v>
      </c>
      <c r="N3493" s="6" t="s">
        <v>24</v>
      </c>
      <c r="O3493" s="6" t="s">
        <v>23</v>
      </c>
    </row>
    <row r="3494" spans="1:15" x14ac:dyDescent="0.25">
      <c r="A3494" s="6" t="s">
        <v>4663</v>
      </c>
      <c r="B3494" s="6" t="s">
        <v>1815</v>
      </c>
      <c r="C3494" s="6" t="s">
        <v>597</v>
      </c>
      <c r="E3494" s="6" t="s">
        <v>1814</v>
      </c>
      <c r="F3494" s="6" t="s">
        <v>1813</v>
      </c>
      <c r="G3494" s="6" t="s">
        <v>16</v>
      </c>
      <c r="H3494" s="6" t="s">
        <v>15</v>
      </c>
      <c r="I3494" s="6" t="s">
        <v>14</v>
      </c>
      <c r="J3494" s="6" t="s">
        <v>35</v>
      </c>
      <c r="K3494" s="7">
        <v>29.911371580000001</v>
      </c>
      <c r="L3494" s="7">
        <v>-95.210576520000004</v>
      </c>
      <c r="M3494" s="6" t="s">
        <v>198</v>
      </c>
      <c r="N3494" s="6" t="s">
        <v>24</v>
      </c>
      <c r="O3494" s="6" t="s">
        <v>23</v>
      </c>
    </row>
    <row r="3495" spans="1:15" x14ac:dyDescent="0.25">
      <c r="A3495" s="6" t="s">
        <v>1994</v>
      </c>
      <c r="B3495" s="6" t="s">
        <v>1993</v>
      </c>
      <c r="C3495" s="6" t="s">
        <v>31</v>
      </c>
      <c r="E3495" s="6" t="s">
        <v>1992</v>
      </c>
      <c r="F3495" s="6" t="s">
        <v>29</v>
      </c>
      <c r="G3495" s="6" t="s">
        <v>16</v>
      </c>
      <c r="H3495" s="6" t="s">
        <v>28</v>
      </c>
      <c r="I3495" s="6" t="s">
        <v>46</v>
      </c>
      <c r="J3495" s="6" t="s">
        <v>35</v>
      </c>
      <c r="K3495" s="7">
        <v>29.955435139999999</v>
      </c>
      <c r="L3495" s="7">
        <v>-95.653669350000001</v>
      </c>
      <c r="M3495" s="6" t="s">
        <v>279</v>
      </c>
      <c r="N3495" s="6" t="s">
        <v>24</v>
      </c>
      <c r="O3495" s="6" t="s">
        <v>23</v>
      </c>
    </row>
    <row r="3496" spans="1:15" x14ac:dyDescent="0.25">
      <c r="A3496" s="6" t="s">
        <v>861</v>
      </c>
      <c r="B3496" s="6" t="s">
        <v>860</v>
      </c>
      <c r="C3496" s="6" t="s">
        <v>31</v>
      </c>
      <c r="E3496" s="6" t="s">
        <v>859</v>
      </c>
      <c r="F3496" s="6" t="s">
        <v>858</v>
      </c>
      <c r="G3496" s="6" t="s">
        <v>16</v>
      </c>
      <c r="H3496" s="6" t="s">
        <v>28</v>
      </c>
      <c r="I3496" s="6" t="s">
        <v>27</v>
      </c>
      <c r="J3496" s="6" t="s">
        <v>35</v>
      </c>
      <c r="K3496" s="7">
        <v>29.88522472</v>
      </c>
      <c r="L3496" s="7">
        <v>-95.060053890000006</v>
      </c>
      <c r="M3496" s="6" t="s">
        <v>716</v>
      </c>
      <c r="N3496" s="6" t="s">
        <v>24</v>
      </c>
      <c r="O3496" s="6" t="s">
        <v>23</v>
      </c>
    </row>
    <row r="3497" spans="1:15" x14ac:dyDescent="0.25">
      <c r="A3497" s="6" t="s">
        <v>827</v>
      </c>
      <c r="B3497" s="6" t="s">
        <v>826</v>
      </c>
      <c r="C3497" s="6" t="s">
        <v>31</v>
      </c>
      <c r="E3497" s="6" t="s">
        <v>825</v>
      </c>
      <c r="F3497" s="6" t="s">
        <v>824</v>
      </c>
      <c r="G3497" s="6" t="s">
        <v>16</v>
      </c>
      <c r="H3497" s="6" t="s">
        <v>28</v>
      </c>
      <c r="I3497" s="6" t="s">
        <v>46</v>
      </c>
      <c r="J3497" s="6" t="s">
        <v>810</v>
      </c>
      <c r="K3497" s="7">
        <v>31.571388880000001</v>
      </c>
      <c r="L3497" s="7">
        <v>-94.189166700000001</v>
      </c>
      <c r="M3497" s="6" t="s">
        <v>644</v>
      </c>
      <c r="N3497" s="6" t="s">
        <v>52</v>
      </c>
      <c r="O3497" s="6" t="s">
        <v>24</v>
      </c>
    </row>
    <row r="3498" spans="1:15" x14ac:dyDescent="0.25">
      <c r="A3498" s="6" t="s">
        <v>839</v>
      </c>
      <c r="B3498" s="6" t="s">
        <v>838</v>
      </c>
      <c r="C3498" s="6" t="s">
        <v>31</v>
      </c>
      <c r="E3498" s="6" t="s">
        <v>837</v>
      </c>
      <c r="F3498" s="6" t="s">
        <v>836</v>
      </c>
      <c r="G3498" s="6" t="s">
        <v>16</v>
      </c>
      <c r="H3498" s="6" t="s">
        <v>28</v>
      </c>
      <c r="I3498" s="6" t="s">
        <v>46</v>
      </c>
      <c r="J3498" s="6" t="s">
        <v>26</v>
      </c>
      <c r="K3498" s="7">
        <v>30.353569629999999</v>
      </c>
      <c r="L3498" s="7">
        <v>-95.662287919999997</v>
      </c>
      <c r="M3498" s="6" t="s">
        <v>25</v>
      </c>
      <c r="N3498" s="6" t="s">
        <v>24</v>
      </c>
      <c r="O3498" s="6" t="s">
        <v>23</v>
      </c>
    </row>
    <row r="3499" spans="1:15" x14ac:dyDescent="0.25">
      <c r="A3499" s="6" t="s">
        <v>847</v>
      </c>
      <c r="B3499" s="6" t="s">
        <v>846</v>
      </c>
      <c r="C3499" s="6" t="s">
        <v>31</v>
      </c>
      <c r="E3499" s="6" t="s">
        <v>845</v>
      </c>
      <c r="F3499" s="6" t="s">
        <v>844</v>
      </c>
      <c r="G3499" s="6" t="s">
        <v>16</v>
      </c>
      <c r="H3499" s="6" t="s">
        <v>28</v>
      </c>
      <c r="I3499" s="6" t="s">
        <v>46</v>
      </c>
      <c r="J3499" s="6" t="s">
        <v>151</v>
      </c>
      <c r="K3499" s="7">
        <v>33.216091230000004</v>
      </c>
      <c r="L3499" s="7">
        <v>-97.591967609999998</v>
      </c>
      <c r="M3499" s="6" t="s">
        <v>150</v>
      </c>
      <c r="N3499" s="6" t="s">
        <v>102</v>
      </c>
      <c r="O3499" s="6" t="s">
        <v>42</v>
      </c>
    </row>
    <row r="3500" spans="1:15" x14ac:dyDescent="0.25">
      <c r="A3500" s="6" t="s">
        <v>851</v>
      </c>
      <c r="B3500" s="6" t="s">
        <v>850</v>
      </c>
      <c r="C3500" s="6" t="s">
        <v>31</v>
      </c>
      <c r="E3500" s="6" t="s">
        <v>849</v>
      </c>
      <c r="F3500" s="6" t="s">
        <v>848</v>
      </c>
      <c r="G3500" s="6" t="s">
        <v>16</v>
      </c>
      <c r="H3500" s="6" t="s">
        <v>28</v>
      </c>
      <c r="I3500" s="6" t="s">
        <v>46</v>
      </c>
      <c r="J3500" s="6" t="s">
        <v>35</v>
      </c>
      <c r="K3500" s="7">
        <v>30.156388840000002</v>
      </c>
      <c r="L3500" s="7">
        <v>-95.545000669999993</v>
      </c>
      <c r="M3500" s="6" t="s">
        <v>731</v>
      </c>
      <c r="N3500" s="6" t="s">
        <v>24</v>
      </c>
      <c r="O3500" s="6" t="s">
        <v>23</v>
      </c>
    </row>
    <row r="3501" spans="1:15" x14ac:dyDescent="0.25">
      <c r="A3501" s="6" t="s">
        <v>843</v>
      </c>
      <c r="B3501" s="6" t="s">
        <v>842</v>
      </c>
      <c r="C3501" s="6" t="s">
        <v>31</v>
      </c>
      <c r="E3501" s="6" t="s">
        <v>841</v>
      </c>
      <c r="F3501" s="6" t="s">
        <v>840</v>
      </c>
      <c r="G3501" s="6" t="s">
        <v>16</v>
      </c>
      <c r="H3501" s="6" t="s">
        <v>28</v>
      </c>
      <c r="I3501" s="6" t="s">
        <v>46</v>
      </c>
      <c r="J3501" s="6" t="s">
        <v>35</v>
      </c>
      <c r="K3501" s="7">
        <v>30.044645800000001</v>
      </c>
      <c r="L3501" s="7">
        <v>-95.866093939999999</v>
      </c>
      <c r="M3501" s="6" t="s">
        <v>279</v>
      </c>
      <c r="N3501" s="6" t="s">
        <v>24</v>
      </c>
      <c r="O3501" s="6" t="s">
        <v>23</v>
      </c>
    </row>
    <row r="3502" spans="1:15" x14ac:dyDescent="0.25">
      <c r="A3502" s="6" t="s">
        <v>3581</v>
      </c>
      <c r="B3502" s="6" t="s">
        <v>3580</v>
      </c>
      <c r="C3502" s="6" t="s">
        <v>31</v>
      </c>
      <c r="E3502" s="6" t="s">
        <v>3579</v>
      </c>
      <c r="F3502" s="6" t="s">
        <v>3578</v>
      </c>
      <c r="G3502" s="6" t="s">
        <v>16</v>
      </c>
      <c r="H3502" s="6" t="s">
        <v>28</v>
      </c>
      <c r="I3502" s="6" t="s">
        <v>46</v>
      </c>
      <c r="J3502" s="6" t="s">
        <v>26</v>
      </c>
      <c r="K3502" s="7">
        <v>30.431972219999999</v>
      </c>
      <c r="L3502" s="7">
        <v>-95.562032720000005</v>
      </c>
      <c r="M3502" s="6" t="s">
        <v>340</v>
      </c>
      <c r="N3502" s="6" t="s">
        <v>24</v>
      </c>
      <c r="O3502" s="6" t="s">
        <v>23</v>
      </c>
    </row>
    <row r="3503" spans="1:15" x14ac:dyDescent="0.25">
      <c r="A3503" s="6" t="s">
        <v>818</v>
      </c>
      <c r="B3503" s="6" t="s">
        <v>817</v>
      </c>
      <c r="C3503" s="6" t="s">
        <v>31</v>
      </c>
      <c r="E3503" s="6" t="s">
        <v>816</v>
      </c>
      <c r="F3503" s="6" t="s">
        <v>815</v>
      </c>
      <c r="G3503" s="6" t="s">
        <v>16</v>
      </c>
      <c r="H3503" s="6" t="s">
        <v>28</v>
      </c>
      <c r="I3503" s="6" t="s">
        <v>27</v>
      </c>
      <c r="J3503" s="6" t="s">
        <v>26</v>
      </c>
      <c r="K3503" s="7">
        <v>30.329986640000001</v>
      </c>
      <c r="L3503" s="7">
        <v>-95.290236039999996</v>
      </c>
      <c r="M3503" s="6" t="s">
        <v>59</v>
      </c>
      <c r="N3503" s="6" t="s">
        <v>24</v>
      </c>
      <c r="O3503" s="6" t="s">
        <v>23</v>
      </c>
    </row>
    <row r="3504" spans="1:15" x14ac:dyDescent="0.25">
      <c r="A3504" s="6" t="s">
        <v>823</v>
      </c>
      <c r="B3504" s="6" t="s">
        <v>822</v>
      </c>
      <c r="C3504" s="6" t="s">
        <v>31</v>
      </c>
      <c r="E3504" s="6" t="s">
        <v>821</v>
      </c>
      <c r="F3504" s="6" t="s">
        <v>820</v>
      </c>
      <c r="G3504" s="6" t="s">
        <v>16</v>
      </c>
      <c r="H3504" s="6" t="s">
        <v>15</v>
      </c>
      <c r="I3504" s="6" t="s">
        <v>46</v>
      </c>
      <c r="J3504" s="6" t="s">
        <v>139</v>
      </c>
      <c r="K3504" s="7">
        <v>27.89819782</v>
      </c>
      <c r="L3504" s="7">
        <v>-97.137676929999998</v>
      </c>
      <c r="M3504" s="6" t="s">
        <v>819</v>
      </c>
      <c r="N3504" s="6" t="s">
        <v>137</v>
      </c>
      <c r="O3504" s="6" t="s">
        <v>10</v>
      </c>
    </row>
    <row r="3505" spans="1:15" x14ac:dyDescent="0.25">
      <c r="A3505" s="6" t="s">
        <v>4047</v>
      </c>
      <c r="B3505" s="6" t="s">
        <v>4046</v>
      </c>
      <c r="C3505" s="6" t="s">
        <v>31</v>
      </c>
      <c r="E3505" s="6" t="s">
        <v>4045</v>
      </c>
      <c r="F3505" s="6" t="s">
        <v>4044</v>
      </c>
      <c r="G3505" s="6" t="s">
        <v>16</v>
      </c>
      <c r="H3505" s="6" t="s">
        <v>28</v>
      </c>
      <c r="I3505" s="6" t="s">
        <v>46</v>
      </c>
      <c r="J3505" s="6" t="s">
        <v>290</v>
      </c>
      <c r="K3505" s="7">
        <v>28.8972038</v>
      </c>
      <c r="L3505" s="7">
        <v>-96.13630105</v>
      </c>
      <c r="M3505" s="6" t="s">
        <v>2446</v>
      </c>
      <c r="N3505" s="6" t="s">
        <v>22</v>
      </c>
      <c r="O3505" s="6" t="s">
        <v>23</v>
      </c>
    </row>
    <row r="3506" spans="1:15" x14ac:dyDescent="0.25">
      <c r="A3506" s="6" t="s">
        <v>565</v>
      </c>
      <c r="B3506" s="6" t="s">
        <v>564</v>
      </c>
      <c r="C3506" s="6" t="s">
        <v>31</v>
      </c>
      <c r="E3506" s="6" t="s">
        <v>563</v>
      </c>
      <c r="F3506" s="6" t="s">
        <v>562</v>
      </c>
      <c r="G3506" s="6" t="s">
        <v>16</v>
      </c>
      <c r="H3506" s="6" t="s">
        <v>28</v>
      </c>
      <c r="I3506" s="6" t="s">
        <v>46</v>
      </c>
      <c r="J3506" s="6" t="s">
        <v>561</v>
      </c>
      <c r="K3506" s="7">
        <v>30.113903010000001</v>
      </c>
      <c r="L3506" s="7">
        <v>-99.148315510000003</v>
      </c>
      <c r="M3506" s="6" t="s">
        <v>560</v>
      </c>
      <c r="N3506" s="6" t="s">
        <v>559</v>
      </c>
      <c r="O3506" s="6" t="s">
        <v>231</v>
      </c>
    </row>
    <row r="3507" spans="1:15" x14ac:dyDescent="0.25">
      <c r="A3507" s="6" t="s">
        <v>831</v>
      </c>
      <c r="B3507" s="6" t="s">
        <v>830</v>
      </c>
      <c r="C3507" s="6" t="s">
        <v>31</v>
      </c>
      <c r="E3507" s="6" t="s">
        <v>829</v>
      </c>
      <c r="F3507" s="6" t="s">
        <v>828</v>
      </c>
      <c r="G3507" s="6" t="s">
        <v>284</v>
      </c>
      <c r="H3507" s="6" t="s">
        <v>28</v>
      </c>
      <c r="I3507" s="6" t="s">
        <v>46</v>
      </c>
      <c r="J3507" s="6" t="s">
        <v>35</v>
      </c>
      <c r="K3507" s="7">
        <v>30.076662020000001</v>
      </c>
      <c r="L3507" s="7">
        <v>-95.433059729999997</v>
      </c>
      <c r="M3507" s="6" t="s">
        <v>279</v>
      </c>
      <c r="N3507" s="6" t="s">
        <v>24</v>
      </c>
      <c r="O3507" s="6" t="s">
        <v>23</v>
      </c>
    </row>
    <row r="3508" spans="1:15" x14ac:dyDescent="0.25">
      <c r="A3508" s="6" t="s">
        <v>814</v>
      </c>
      <c r="B3508" s="6" t="s">
        <v>813</v>
      </c>
      <c r="C3508" s="6" t="s">
        <v>31</v>
      </c>
      <c r="E3508" s="6" t="s">
        <v>812</v>
      </c>
      <c r="F3508" s="6" t="s">
        <v>811</v>
      </c>
      <c r="G3508" s="6" t="s">
        <v>16</v>
      </c>
      <c r="H3508" s="6" t="s">
        <v>28</v>
      </c>
      <c r="I3508" s="6" t="s">
        <v>27</v>
      </c>
      <c r="J3508" s="6" t="s">
        <v>810</v>
      </c>
      <c r="K3508" s="7">
        <v>31.445002500000001</v>
      </c>
      <c r="L3508" s="7">
        <v>-94.107777619999993</v>
      </c>
      <c r="M3508" s="6" t="s">
        <v>644</v>
      </c>
      <c r="N3508" s="6" t="s">
        <v>52</v>
      </c>
      <c r="O3508" s="6" t="s">
        <v>24</v>
      </c>
    </row>
    <row r="3509" spans="1:15" x14ac:dyDescent="0.25">
      <c r="A3509" s="6" t="s">
        <v>835</v>
      </c>
      <c r="B3509" s="6" t="s">
        <v>834</v>
      </c>
      <c r="C3509" s="6" t="s">
        <v>436</v>
      </c>
      <c r="E3509" s="6" t="s">
        <v>833</v>
      </c>
      <c r="F3509" s="6" t="s">
        <v>832</v>
      </c>
      <c r="G3509" s="6" t="s">
        <v>16</v>
      </c>
      <c r="H3509" s="6" t="s">
        <v>15</v>
      </c>
      <c r="I3509" s="6" t="s">
        <v>46</v>
      </c>
      <c r="J3509" s="6" t="s">
        <v>692</v>
      </c>
      <c r="K3509" s="7">
        <v>35.700012999999998</v>
      </c>
      <c r="L3509" s="7">
        <v>-101.35250698999999</v>
      </c>
      <c r="M3509" s="6" t="s">
        <v>691</v>
      </c>
      <c r="N3509" s="6" t="s">
        <v>535</v>
      </c>
      <c r="O3509" s="6" t="s">
        <v>535</v>
      </c>
    </row>
    <row r="3510" spans="1:15" x14ac:dyDescent="0.25">
      <c r="A3510" s="6" t="s">
        <v>3586</v>
      </c>
      <c r="B3510" s="6" t="s">
        <v>3585</v>
      </c>
      <c r="C3510" s="6" t="s">
        <v>31</v>
      </c>
      <c r="E3510" s="6" t="s">
        <v>3584</v>
      </c>
      <c r="F3510" s="6" t="s">
        <v>3583</v>
      </c>
      <c r="G3510" s="6" t="s">
        <v>16</v>
      </c>
      <c r="H3510" s="6" t="s">
        <v>15</v>
      </c>
      <c r="I3510" s="6" t="s">
        <v>14</v>
      </c>
      <c r="J3510" s="6" t="s">
        <v>1032</v>
      </c>
      <c r="K3510" s="7">
        <v>29.525674160000001</v>
      </c>
      <c r="L3510" s="7">
        <v>-98.116699729999993</v>
      </c>
      <c r="M3510" s="6" t="s">
        <v>3582</v>
      </c>
      <c r="N3510" s="6" t="s">
        <v>232</v>
      </c>
      <c r="O3510" s="6" t="s">
        <v>231</v>
      </c>
    </row>
    <row r="3511" spans="1:15" x14ac:dyDescent="0.25">
      <c r="A3511" s="6" t="s">
        <v>5047</v>
      </c>
      <c r="B3511" s="6" t="s">
        <v>5046</v>
      </c>
      <c r="C3511" s="6" t="s">
        <v>31</v>
      </c>
      <c r="E3511" s="6" t="s">
        <v>5045</v>
      </c>
      <c r="F3511" s="6" t="s">
        <v>5044</v>
      </c>
      <c r="G3511" s="6" t="s">
        <v>16</v>
      </c>
      <c r="H3511" s="6" t="s">
        <v>28</v>
      </c>
      <c r="I3511" s="6" t="s">
        <v>14</v>
      </c>
      <c r="J3511" s="6" t="s">
        <v>873</v>
      </c>
      <c r="K3511" s="7">
        <v>29.508754369999998</v>
      </c>
      <c r="L3511" s="7">
        <v>-98.256536929999996</v>
      </c>
      <c r="M3511" s="6" t="s">
        <v>3582</v>
      </c>
      <c r="N3511" s="6" t="s">
        <v>232</v>
      </c>
      <c r="O3511" s="6" t="s">
        <v>231</v>
      </c>
    </row>
    <row r="3512" spans="1:15" x14ac:dyDescent="0.25">
      <c r="A3512" s="6" t="s">
        <v>3384</v>
      </c>
      <c r="B3512" s="6" t="s">
        <v>3383</v>
      </c>
      <c r="C3512" s="6" t="s">
        <v>31</v>
      </c>
      <c r="E3512" s="6" t="s">
        <v>3382</v>
      </c>
      <c r="F3512" s="6" t="s">
        <v>3381</v>
      </c>
      <c r="G3512" s="6" t="s">
        <v>16</v>
      </c>
      <c r="H3512" s="6" t="s">
        <v>28</v>
      </c>
      <c r="I3512" s="6" t="s">
        <v>27</v>
      </c>
      <c r="J3512" s="6" t="s">
        <v>26</v>
      </c>
      <c r="K3512" s="7">
        <v>30.38065499</v>
      </c>
      <c r="L3512" s="7">
        <v>-95.674432060000001</v>
      </c>
      <c r="M3512" s="6" t="s">
        <v>340</v>
      </c>
      <c r="N3512" s="6" t="s">
        <v>24</v>
      </c>
      <c r="O3512" s="6" t="s">
        <v>23</v>
      </c>
    </row>
    <row r="3513" spans="1:15" x14ac:dyDescent="0.25">
      <c r="A3513" s="6" t="s">
        <v>3577</v>
      </c>
      <c r="B3513" s="6" t="s">
        <v>3576</v>
      </c>
      <c r="C3513" s="6" t="s">
        <v>31</v>
      </c>
      <c r="E3513" s="6" t="s">
        <v>3575</v>
      </c>
      <c r="F3513" s="6" t="s">
        <v>3574</v>
      </c>
      <c r="G3513" s="6" t="s">
        <v>16</v>
      </c>
      <c r="H3513" s="6" t="s">
        <v>28</v>
      </c>
      <c r="I3513" s="6" t="s">
        <v>46</v>
      </c>
      <c r="J3513" s="6" t="s">
        <v>424</v>
      </c>
      <c r="K3513" s="7">
        <v>32.878900000000002</v>
      </c>
      <c r="L3513" s="7">
        <v>-95.664500000000004</v>
      </c>
      <c r="M3513" s="6" t="s">
        <v>956</v>
      </c>
      <c r="N3513" s="6" t="s">
        <v>65</v>
      </c>
      <c r="O3513" s="6" t="s">
        <v>65</v>
      </c>
    </row>
    <row r="3514" spans="1:15" x14ac:dyDescent="0.25">
      <c r="A3514" s="6" t="s">
        <v>575</v>
      </c>
      <c r="B3514" s="6" t="s">
        <v>574</v>
      </c>
      <c r="C3514" s="6" t="s">
        <v>31</v>
      </c>
      <c r="E3514" s="6" t="s">
        <v>573</v>
      </c>
      <c r="F3514" s="6" t="s">
        <v>572</v>
      </c>
      <c r="G3514" s="6" t="s">
        <v>16</v>
      </c>
      <c r="H3514" s="6" t="s">
        <v>28</v>
      </c>
      <c r="I3514" s="6" t="s">
        <v>46</v>
      </c>
      <c r="J3514" s="6" t="s">
        <v>571</v>
      </c>
      <c r="K3514" s="7">
        <v>32.24821815</v>
      </c>
      <c r="L3514" s="7">
        <v>-97.719164980000002</v>
      </c>
      <c r="M3514" s="6" t="s">
        <v>466</v>
      </c>
      <c r="N3514" s="6" t="s">
        <v>23</v>
      </c>
      <c r="O3514" s="6" t="s">
        <v>42</v>
      </c>
    </row>
    <row r="3515" spans="1:15" x14ac:dyDescent="0.25">
      <c r="A3515" s="6" t="s">
        <v>552</v>
      </c>
      <c r="B3515" s="6" t="s">
        <v>551</v>
      </c>
      <c r="C3515" s="6" t="s">
        <v>31</v>
      </c>
      <c r="E3515" s="6" t="s">
        <v>550</v>
      </c>
      <c r="F3515" s="6" t="s">
        <v>549</v>
      </c>
      <c r="G3515" s="6" t="s">
        <v>16</v>
      </c>
      <c r="H3515" s="6" t="s">
        <v>28</v>
      </c>
      <c r="I3515" s="6" t="s">
        <v>27</v>
      </c>
      <c r="J3515" s="6" t="s">
        <v>548</v>
      </c>
      <c r="K3515" s="7">
        <v>33.420010949999998</v>
      </c>
      <c r="L3515" s="7">
        <v>-94.462493330000001</v>
      </c>
      <c r="M3515" s="6" t="s">
        <v>547</v>
      </c>
      <c r="N3515" s="6" t="s">
        <v>95</v>
      </c>
      <c r="O3515" s="6" t="s">
        <v>65</v>
      </c>
    </row>
    <row r="3516" spans="1:15" x14ac:dyDescent="0.25">
      <c r="A3516" s="6" t="s">
        <v>3380</v>
      </c>
      <c r="B3516" s="6" t="s">
        <v>3379</v>
      </c>
      <c r="C3516" s="6" t="s">
        <v>31</v>
      </c>
      <c r="E3516" s="6" t="s">
        <v>3378</v>
      </c>
      <c r="F3516" s="6" t="s">
        <v>3377</v>
      </c>
      <c r="G3516" s="6" t="s">
        <v>16</v>
      </c>
      <c r="H3516" s="6" t="s">
        <v>15</v>
      </c>
      <c r="I3516" s="6" t="s">
        <v>46</v>
      </c>
      <c r="J3516" s="6" t="s">
        <v>424</v>
      </c>
      <c r="K3516" s="7">
        <v>32.918997470000001</v>
      </c>
      <c r="L3516" s="7">
        <v>-95.434156939999994</v>
      </c>
      <c r="M3516" s="6" t="s">
        <v>3376</v>
      </c>
      <c r="N3516" s="6" t="s">
        <v>65</v>
      </c>
      <c r="O3516" s="6" t="s">
        <v>65</v>
      </c>
    </row>
    <row r="3517" spans="1:15" x14ac:dyDescent="0.25">
      <c r="A3517" s="6" t="s">
        <v>1808</v>
      </c>
      <c r="B3517" s="6" t="s">
        <v>1807</v>
      </c>
      <c r="C3517" s="6" t="s">
        <v>31</v>
      </c>
      <c r="E3517" s="6" t="s">
        <v>1806</v>
      </c>
      <c r="F3517" s="6" t="s">
        <v>1104</v>
      </c>
      <c r="G3517" s="6" t="s">
        <v>16</v>
      </c>
      <c r="H3517" s="6" t="s">
        <v>28</v>
      </c>
      <c r="I3517" s="6" t="s">
        <v>46</v>
      </c>
      <c r="J3517" s="6" t="s">
        <v>461</v>
      </c>
      <c r="K3517" s="7">
        <v>33.145999949999997</v>
      </c>
      <c r="L3517" s="7">
        <v>-96.223799470000003</v>
      </c>
      <c r="M3517" s="6" t="s">
        <v>109</v>
      </c>
      <c r="N3517" s="6" t="s">
        <v>65</v>
      </c>
      <c r="O3517" s="6" t="s">
        <v>42</v>
      </c>
    </row>
    <row r="3518" spans="1:15" x14ac:dyDescent="0.25">
      <c r="A3518" s="6" t="s">
        <v>4043</v>
      </c>
      <c r="B3518" s="6" t="s">
        <v>4042</v>
      </c>
      <c r="C3518" s="6" t="s">
        <v>31</v>
      </c>
      <c r="E3518" s="6" t="s">
        <v>4041</v>
      </c>
      <c r="F3518" s="6" t="s">
        <v>4040</v>
      </c>
      <c r="G3518" s="6" t="s">
        <v>16</v>
      </c>
      <c r="H3518" s="6" t="s">
        <v>28</v>
      </c>
      <c r="I3518" s="6" t="s">
        <v>46</v>
      </c>
      <c r="J3518" s="6" t="s">
        <v>35</v>
      </c>
      <c r="K3518" s="7">
        <v>29.961196730000001</v>
      </c>
      <c r="L3518" s="7">
        <v>-95.631346679999993</v>
      </c>
      <c r="M3518" s="6" t="s">
        <v>279</v>
      </c>
      <c r="N3518" s="6" t="s">
        <v>24</v>
      </c>
      <c r="O3518" s="6" t="s">
        <v>23</v>
      </c>
    </row>
    <row r="3519" spans="1:15" x14ac:dyDescent="0.25">
      <c r="A3519" s="6" t="s">
        <v>3360</v>
      </c>
      <c r="B3519" s="6" t="s">
        <v>3359</v>
      </c>
      <c r="C3519" s="6" t="s">
        <v>31</v>
      </c>
      <c r="E3519" s="6" t="s">
        <v>3358</v>
      </c>
      <c r="F3519" s="6" t="s">
        <v>3357</v>
      </c>
      <c r="G3519" s="6" t="s">
        <v>16</v>
      </c>
      <c r="H3519" s="6" t="s">
        <v>28</v>
      </c>
      <c r="I3519" s="6" t="s">
        <v>14</v>
      </c>
      <c r="J3519" s="6" t="s">
        <v>356</v>
      </c>
      <c r="K3519" s="7">
        <v>29.768423210000002</v>
      </c>
      <c r="L3519" s="7">
        <v>-95.936479930000004</v>
      </c>
      <c r="M3519" s="6" t="s">
        <v>355</v>
      </c>
      <c r="N3519" s="6" t="s">
        <v>23</v>
      </c>
      <c r="O3519" s="6" t="s">
        <v>23</v>
      </c>
    </row>
    <row r="3520" spans="1:15" x14ac:dyDescent="0.25">
      <c r="A3520" s="6" t="s">
        <v>3364</v>
      </c>
      <c r="B3520" s="6" t="s">
        <v>3363</v>
      </c>
      <c r="C3520" s="6" t="s">
        <v>31</v>
      </c>
      <c r="E3520" s="6" t="s">
        <v>3362</v>
      </c>
      <c r="F3520" s="6" t="s">
        <v>3361</v>
      </c>
      <c r="G3520" s="6" t="s">
        <v>16</v>
      </c>
      <c r="H3520" s="6" t="s">
        <v>28</v>
      </c>
      <c r="I3520" s="6" t="s">
        <v>46</v>
      </c>
      <c r="J3520" s="6" t="s">
        <v>35</v>
      </c>
      <c r="K3520" s="7">
        <v>30.079140599999999</v>
      </c>
      <c r="L3520" s="7">
        <v>-95.541479960000004</v>
      </c>
      <c r="M3520" s="6" t="s">
        <v>731</v>
      </c>
      <c r="N3520" s="6" t="s">
        <v>24</v>
      </c>
      <c r="O3520" s="6" t="s">
        <v>23</v>
      </c>
    </row>
    <row r="3521" spans="1:15" x14ac:dyDescent="0.25">
      <c r="A3521" s="6" t="s">
        <v>4272</v>
      </c>
      <c r="B3521" s="6" t="s">
        <v>4271</v>
      </c>
      <c r="C3521" s="6" t="s">
        <v>31</v>
      </c>
      <c r="E3521" s="6" t="s">
        <v>4270</v>
      </c>
      <c r="F3521" s="6" t="s">
        <v>4269</v>
      </c>
      <c r="G3521" s="6" t="s">
        <v>16</v>
      </c>
      <c r="H3521" s="6" t="s">
        <v>28</v>
      </c>
      <c r="I3521" s="6" t="s">
        <v>46</v>
      </c>
      <c r="J3521" s="6" t="s">
        <v>290</v>
      </c>
      <c r="K3521" s="7">
        <v>28.764458749999999</v>
      </c>
      <c r="L3521" s="7">
        <v>-95.94303026</v>
      </c>
      <c r="M3521" s="6" t="s">
        <v>4268</v>
      </c>
      <c r="N3521" s="6" t="s">
        <v>231</v>
      </c>
      <c r="O3521" s="6" t="s">
        <v>23</v>
      </c>
    </row>
    <row r="3522" spans="1:15" x14ac:dyDescent="0.25">
      <c r="A3522" s="6" t="s">
        <v>3356</v>
      </c>
      <c r="B3522" s="6" t="s">
        <v>3355</v>
      </c>
      <c r="C3522" s="6" t="s">
        <v>31</v>
      </c>
      <c r="E3522" s="6" t="s">
        <v>3354</v>
      </c>
      <c r="F3522" s="6" t="s">
        <v>3353</v>
      </c>
      <c r="G3522" s="6" t="s">
        <v>16</v>
      </c>
      <c r="H3522" s="6" t="s">
        <v>28</v>
      </c>
      <c r="I3522" s="6" t="s">
        <v>27</v>
      </c>
      <c r="J3522" s="6" t="s">
        <v>35</v>
      </c>
      <c r="K3522" s="7">
        <v>29.918628460000001</v>
      </c>
      <c r="L3522" s="7">
        <v>-95.7741659</v>
      </c>
      <c r="M3522" s="6" t="s">
        <v>131</v>
      </c>
      <c r="N3522" s="6" t="s">
        <v>24</v>
      </c>
      <c r="O3522" s="6" t="s">
        <v>23</v>
      </c>
    </row>
    <row r="3523" spans="1:15" x14ac:dyDescent="0.25">
      <c r="A3523" s="6" t="s">
        <v>3328</v>
      </c>
      <c r="B3523" s="6" t="s">
        <v>3327</v>
      </c>
      <c r="C3523" s="6" t="s">
        <v>31</v>
      </c>
      <c r="E3523" s="6" t="s">
        <v>3326</v>
      </c>
      <c r="F3523" s="6" t="s">
        <v>3325</v>
      </c>
      <c r="G3523" s="6" t="s">
        <v>16</v>
      </c>
      <c r="H3523" s="6" t="s">
        <v>28</v>
      </c>
      <c r="I3523" s="6" t="s">
        <v>46</v>
      </c>
      <c r="J3523" s="6" t="s">
        <v>853</v>
      </c>
      <c r="K3523" s="7">
        <v>29.67849524</v>
      </c>
      <c r="L3523" s="7">
        <v>-94.867577819999994</v>
      </c>
      <c r="M3523" s="6" t="s">
        <v>894</v>
      </c>
      <c r="N3523" s="6" t="s">
        <v>120</v>
      </c>
      <c r="O3523" s="6" t="s">
        <v>23</v>
      </c>
    </row>
    <row r="3524" spans="1:15" x14ac:dyDescent="0.25">
      <c r="A3524" s="6" t="s">
        <v>4279</v>
      </c>
      <c r="B3524" s="6" t="s">
        <v>4278</v>
      </c>
      <c r="C3524" s="6" t="s">
        <v>31</v>
      </c>
      <c r="E3524" s="6" t="s">
        <v>4277</v>
      </c>
      <c r="F3524" s="6" t="s">
        <v>4276</v>
      </c>
      <c r="G3524" s="6" t="s">
        <v>16</v>
      </c>
      <c r="H3524" s="6" t="s">
        <v>28</v>
      </c>
      <c r="I3524" s="6" t="s">
        <v>46</v>
      </c>
      <c r="J3524" s="6" t="s">
        <v>4135</v>
      </c>
      <c r="K3524" s="7">
        <v>28.688890010000001</v>
      </c>
      <c r="L3524" s="7">
        <v>-96.373572940000003</v>
      </c>
      <c r="M3524" s="6" t="s">
        <v>1388</v>
      </c>
      <c r="N3524" s="6" t="s">
        <v>22</v>
      </c>
      <c r="O3524" s="6" t="s">
        <v>10</v>
      </c>
    </row>
    <row r="3525" spans="1:15" x14ac:dyDescent="0.25">
      <c r="A3525" s="6" t="s">
        <v>9831</v>
      </c>
      <c r="B3525" s="6" t="s">
        <v>9830</v>
      </c>
      <c r="C3525" s="6" t="s">
        <v>31</v>
      </c>
      <c r="E3525" s="6" t="s">
        <v>9829</v>
      </c>
      <c r="F3525" s="6" t="s">
        <v>9828</v>
      </c>
      <c r="G3525" s="6" t="s">
        <v>16</v>
      </c>
      <c r="H3525" s="6" t="s">
        <v>28</v>
      </c>
      <c r="I3525" s="6" t="s">
        <v>27</v>
      </c>
      <c r="J3525" s="6" t="s">
        <v>3105</v>
      </c>
      <c r="K3525" s="7">
        <v>29.077175</v>
      </c>
      <c r="L3525" s="7">
        <v>-98.690094999999999</v>
      </c>
      <c r="M3525" s="6" t="s">
        <v>3104</v>
      </c>
      <c r="N3525" s="6" t="s">
        <v>524</v>
      </c>
      <c r="O3525" s="6" t="s">
        <v>231</v>
      </c>
    </row>
    <row r="3526" spans="1:15" x14ac:dyDescent="0.25">
      <c r="A3526" s="6" t="s">
        <v>1796</v>
      </c>
      <c r="B3526" s="6" t="s">
        <v>1795</v>
      </c>
      <c r="C3526" s="6" t="s">
        <v>31</v>
      </c>
      <c r="E3526" s="6" t="s">
        <v>1794</v>
      </c>
      <c r="F3526" s="6" t="s">
        <v>1793</v>
      </c>
      <c r="G3526" s="6" t="s">
        <v>16</v>
      </c>
      <c r="H3526" s="6" t="s">
        <v>15</v>
      </c>
      <c r="I3526" s="6" t="s">
        <v>46</v>
      </c>
      <c r="J3526" s="6" t="s">
        <v>873</v>
      </c>
      <c r="K3526" s="7">
        <v>29.394436550000002</v>
      </c>
      <c r="L3526" s="7">
        <v>-98.366259119999995</v>
      </c>
      <c r="M3526" s="6" t="s">
        <v>1792</v>
      </c>
      <c r="N3526" s="6" t="s">
        <v>232</v>
      </c>
      <c r="O3526" s="6" t="s">
        <v>231</v>
      </c>
    </row>
    <row r="3527" spans="1:15" x14ac:dyDescent="0.25">
      <c r="A3527" s="6" t="s">
        <v>3352</v>
      </c>
      <c r="B3527" s="6" t="s">
        <v>3348</v>
      </c>
      <c r="C3527" s="6" t="s">
        <v>31</v>
      </c>
      <c r="E3527" s="6" t="s">
        <v>3347</v>
      </c>
      <c r="F3527" s="6" t="s">
        <v>3346</v>
      </c>
      <c r="G3527" s="6" t="s">
        <v>16</v>
      </c>
      <c r="H3527" s="6" t="s">
        <v>430</v>
      </c>
      <c r="I3527" s="6" t="s">
        <v>14</v>
      </c>
      <c r="J3527" s="6" t="s">
        <v>35</v>
      </c>
      <c r="K3527" s="7">
        <v>29.762083969999999</v>
      </c>
      <c r="L3527" s="7">
        <v>-95.102195050000006</v>
      </c>
      <c r="M3527" s="6" t="s">
        <v>34</v>
      </c>
      <c r="N3527" s="6" t="s">
        <v>24</v>
      </c>
      <c r="O3527" s="6" t="s">
        <v>23</v>
      </c>
    </row>
    <row r="3528" spans="1:15" x14ac:dyDescent="0.25">
      <c r="A3528" s="6" t="s">
        <v>3351</v>
      </c>
      <c r="B3528" s="6" t="s">
        <v>3348</v>
      </c>
      <c r="C3528" s="6" t="s">
        <v>19</v>
      </c>
      <c r="E3528" s="6" t="s">
        <v>3347</v>
      </c>
      <c r="F3528" s="6" t="s">
        <v>3346</v>
      </c>
      <c r="G3528" s="6" t="s">
        <v>16</v>
      </c>
      <c r="H3528" s="6" t="s">
        <v>15</v>
      </c>
      <c r="I3528" s="6" t="s">
        <v>14</v>
      </c>
      <c r="J3528" s="6" t="s">
        <v>35</v>
      </c>
      <c r="K3528" s="7">
        <v>29.758982280000001</v>
      </c>
      <c r="L3528" s="7">
        <v>-95.099799180000005</v>
      </c>
      <c r="M3528" s="6" t="s">
        <v>34</v>
      </c>
      <c r="N3528" s="6" t="s">
        <v>24</v>
      </c>
      <c r="O3528" s="6" t="s">
        <v>23</v>
      </c>
    </row>
    <row r="3529" spans="1:15" x14ac:dyDescent="0.25">
      <c r="A3529" s="6" t="s">
        <v>3350</v>
      </c>
      <c r="B3529" s="6" t="s">
        <v>3348</v>
      </c>
      <c r="C3529" s="6" t="s">
        <v>436</v>
      </c>
      <c r="E3529" s="6" t="s">
        <v>3347</v>
      </c>
      <c r="F3529" s="6" t="s">
        <v>3346</v>
      </c>
      <c r="G3529" s="6" t="s">
        <v>16</v>
      </c>
      <c r="H3529" s="6" t="s">
        <v>430</v>
      </c>
      <c r="I3529" s="6" t="s">
        <v>14</v>
      </c>
      <c r="J3529" s="6" t="s">
        <v>35</v>
      </c>
      <c r="K3529" s="7">
        <v>29.762138889999999</v>
      </c>
      <c r="L3529" s="7">
        <v>-95.102388880000007</v>
      </c>
      <c r="M3529" s="6" t="s">
        <v>34</v>
      </c>
      <c r="N3529" s="6" t="s">
        <v>24</v>
      </c>
      <c r="O3529" s="6" t="s">
        <v>23</v>
      </c>
    </row>
    <row r="3530" spans="1:15" x14ac:dyDescent="0.25">
      <c r="A3530" s="6" t="s">
        <v>3349</v>
      </c>
      <c r="B3530" s="6" t="s">
        <v>3348</v>
      </c>
      <c r="C3530" s="6" t="s">
        <v>597</v>
      </c>
      <c r="E3530" s="6" t="s">
        <v>3347</v>
      </c>
      <c r="F3530" s="6" t="s">
        <v>3346</v>
      </c>
      <c r="G3530" s="6" t="s">
        <v>16</v>
      </c>
      <c r="H3530" s="6" t="s">
        <v>430</v>
      </c>
      <c r="I3530" s="6" t="s">
        <v>14</v>
      </c>
      <c r="J3530" s="6" t="s">
        <v>35</v>
      </c>
      <c r="K3530" s="7">
        <v>29.761146589999999</v>
      </c>
      <c r="L3530" s="7">
        <v>-95.101869649999998</v>
      </c>
      <c r="M3530" s="6" t="s">
        <v>34</v>
      </c>
      <c r="N3530" s="6" t="s">
        <v>24</v>
      </c>
      <c r="O3530" s="6" t="s">
        <v>23</v>
      </c>
    </row>
    <row r="3531" spans="1:15" x14ac:dyDescent="0.25">
      <c r="A3531" s="6" t="s">
        <v>4039</v>
      </c>
      <c r="B3531" s="6" t="s">
        <v>4038</v>
      </c>
      <c r="C3531" s="6" t="s">
        <v>31</v>
      </c>
      <c r="E3531" s="6" t="s">
        <v>4037</v>
      </c>
      <c r="F3531" s="6" t="s">
        <v>1802</v>
      </c>
      <c r="G3531" s="6" t="s">
        <v>16</v>
      </c>
      <c r="H3531" s="6" t="s">
        <v>15</v>
      </c>
      <c r="I3531" s="6" t="s">
        <v>36</v>
      </c>
      <c r="J3531" s="6" t="s">
        <v>1120</v>
      </c>
      <c r="K3531" s="7">
        <v>32.698977650000003</v>
      </c>
      <c r="L3531" s="7">
        <v>-102.65751048</v>
      </c>
      <c r="M3531" s="6" t="s">
        <v>1801</v>
      </c>
      <c r="N3531" s="6" t="s">
        <v>10</v>
      </c>
      <c r="O3531" s="6" t="s">
        <v>383</v>
      </c>
    </row>
    <row r="3532" spans="1:15" x14ac:dyDescent="0.25">
      <c r="A3532" s="6" t="s">
        <v>3133</v>
      </c>
      <c r="B3532" s="6" t="s">
        <v>3132</v>
      </c>
      <c r="C3532" s="6" t="s">
        <v>31</v>
      </c>
      <c r="E3532" s="6" t="s">
        <v>3131</v>
      </c>
      <c r="F3532" s="6" t="s">
        <v>3130</v>
      </c>
      <c r="G3532" s="6" t="s">
        <v>16</v>
      </c>
      <c r="H3532" s="6" t="s">
        <v>15</v>
      </c>
      <c r="I3532" s="6" t="s">
        <v>14</v>
      </c>
      <c r="J3532" s="6" t="s">
        <v>1120</v>
      </c>
      <c r="K3532" s="7">
        <v>32.71099967</v>
      </c>
      <c r="L3532" s="7">
        <v>-102.6687019</v>
      </c>
      <c r="M3532" s="6" t="s">
        <v>1801</v>
      </c>
      <c r="N3532" s="6" t="s">
        <v>10</v>
      </c>
      <c r="O3532" s="6" t="s">
        <v>383</v>
      </c>
    </row>
    <row r="3533" spans="1:15" x14ac:dyDescent="0.25">
      <c r="A3533" s="6" t="s">
        <v>1805</v>
      </c>
      <c r="B3533" s="6" t="s">
        <v>1804</v>
      </c>
      <c r="C3533" s="6" t="s">
        <v>31</v>
      </c>
      <c r="E3533" s="6" t="s">
        <v>1803</v>
      </c>
      <c r="F3533" s="6" t="s">
        <v>1802</v>
      </c>
      <c r="G3533" s="6" t="s">
        <v>16</v>
      </c>
      <c r="H3533" s="6" t="s">
        <v>28</v>
      </c>
      <c r="I3533" s="6" t="s">
        <v>46</v>
      </c>
      <c r="J3533" s="6" t="s">
        <v>1120</v>
      </c>
      <c r="K3533" s="7">
        <v>32.717686239999999</v>
      </c>
      <c r="L3533" s="7">
        <v>-102.66749222999999</v>
      </c>
      <c r="M3533" s="6" t="s">
        <v>1801</v>
      </c>
      <c r="N3533" s="6" t="s">
        <v>23</v>
      </c>
      <c r="O3533" s="6" t="s">
        <v>383</v>
      </c>
    </row>
    <row r="3534" spans="1:15" x14ac:dyDescent="0.25">
      <c r="A3534" s="6" t="s">
        <v>3137</v>
      </c>
      <c r="B3534" s="6" t="s">
        <v>3136</v>
      </c>
      <c r="C3534" s="6" t="s">
        <v>31</v>
      </c>
      <c r="E3534" s="6" t="s">
        <v>3135</v>
      </c>
      <c r="F3534" s="6" t="s">
        <v>3134</v>
      </c>
      <c r="G3534" s="6" t="s">
        <v>16</v>
      </c>
      <c r="H3534" s="6" t="s">
        <v>28</v>
      </c>
      <c r="I3534" s="6" t="s">
        <v>14</v>
      </c>
      <c r="J3534" s="6" t="s">
        <v>35</v>
      </c>
      <c r="K3534" s="7">
        <v>29.910222220000001</v>
      </c>
      <c r="L3534" s="7">
        <v>-95.741088320000003</v>
      </c>
      <c r="M3534" s="6" t="s">
        <v>131</v>
      </c>
      <c r="N3534" s="6" t="s">
        <v>24</v>
      </c>
      <c r="O3534" s="6" t="s">
        <v>23</v>
      </c>
    </row>
    <row r="3535" spans="1:15" x14ac:dyDescent="0.25">
      <c r="A3535" s="6" t="s">
        <v>4289</v>
      </c>
      <c r="B3535" s="6" t="s">
        <v>4288</v>
      </c>
      <c r="C3535" s="6" t="s">
        <v>31</v>
      </c>
      <c r="E3535" s="6" t="s">
        <v>4287</v>
      </c>
      <c r="F3535" s="6" t="s">
        <v>4286</v>
      </c>
      <c r="G3535" s="6" t="s">
        <v>16</v>
      </c>
      <c r="H3535" s="6" t="s">
        <v>15</v>
      </c>
      <c r="I3535" s="6" t="s">
        <v>14</v>
      </c>
      <c r="J3535" s="6" t="s">
        <v>35</v>
      </c>
      <c r="K3535" s="7">
        <v>29.70238823</v>
      </c>
      <c r="L3535" s="7">
        <v>-95.048976580000001</v>
      </c>
      <c r="M3535" s="6" t="s">
        <v>599</v>
      </c>
      <c r="N3535" s="6" t="s">
        <v>24</v>
      </c>
      <c r="O3535" s="6" t="s">
        <v>23</v>
      </c>
    </row>
    <row r="3536" spans="1:15" x14ac:dyDescent="0.25">
      <c r="A3536" s="6" t="s">
        <v>3125</v>
      </c>
      <c r="B3536" s="6" t="s">
        <v>3124</v>
      </c>
      <c r="C3536" s="6" t="s">
        <v>31</v>
      </c>
      <c r="E3536" s="6" t="s">
        <v>3123</v>
      </c>
      <c r="F3536" s="6" t="s">
        <v>3122</v>
      </c>
      <c r="G3536" s="6" t="s">
        <v>16</v>
      </c>
      <c r="H3536" s="6" t="s">
        <v>28</v>
      </c>
      <c r="I3536" s="6" t="s">
        <v>46</v>
      </c>
      <c r="J3536" s="6" t="s">
        <v>2768</v>
      </c>
      <c r="K3536" s="7">
        <v>32.412897819999998</v>
      </c>
      <c r="L3536" s="7">
        <v>-97.159649540000004</v>
      </c>
      <c r="M3536" s="6" t="s">
        <v>1287</v>
      </c>
      <c r="N3536" s="6" t="s">
        <v>102</v>
      </c>
      <c r="O3536" s="6" t="s">
        <v>42</v>
      </c>
    </row>
    <row r="3537" spans="1:15" x14ac:dyDescent="0.25">
      <c r="A3537" s="6" t="s">
        <v>3129</v>
      </c>
      <c r="B3537" s="6" t="s">
        <v>3128</v>
      </c>
      <c r="C3537" s="6" t="s">
        <v>31</v>
      </c>
      <c r="E3537" s="6" t="s">
        <v>3127</v>
      </c>
      <c r="F3537" s="6" t="s">
        <v>3126</v>
      </c>
      <c r="G3537" s="6" t="s">
        <v>16</v>
      </c>
      <c r="H3537" s="6" t="s">
        <v>15</v>
      </c>
      <c r="I3537" s="6" t="s">
        <v>14</v>
      </c>
      <c r="J3537" s="6" t="s">
        <v>409</v>
      </c>
      <c r="K3537" s="7">
        <v>30.248983389999999</v>
      </c>
      <c r="L3537" s="7">
        <v>-97.62595924</v>
      </c>
      <c r="M3537" s="6" t="s">
        <v>408</v>
      </c>
      <c r="N3537" s="6" t="s">
        <v>10</v>
      </c>
      <c r="O3537" s="6" t="s">
        <v>160</v>
      </c>
    </row>
    <row r="3538" spans="1:15" x14ac:dyDescent="0.25">
      <c r="A3538" s="6" t="s">
        <v>10744</v>
      </c>
      <c r="B3538" s="6" t="s">
        <v>10743</v>
      </c>
      <c r="C3538" s="6" t="s">
        <v>31</v>
      </c>
      <c r="E3538" s="6" t="s">
        <v>10742</v>
      </c>
      <c r="F3538" s="6" t="s">
        <v>10741</v>
      </c>
      <c r="G3538" s="6" t="s">
        <v>16</v>
      </c>
      <c r="H3538" s="6" t="s">
        <v>28</v>
      </c>
      <c r="I3538" s="6" t="s">
        <v>27</v>
      </c>
      <c r="J3538" s="6" t="s">
        <v>2178</v>
      </c>
      <c r="K3538" s="7">
        <v>31.990385119999999</v>
      </c>
      <c r="L3538" s="7">
        <v>-106.61095722</v>
      </c>
      <c r="M3538" s="6" t="s">
        <v>2177</v>
      </c>
      <c r="N3538" s="6" t="s">
        <v>373</v>
      </c>
      <c r="O3538" s="6" t="s">
        <v>52</v>
      </c>
    </row>
    <row r="3539" spans="1:15" x14ac:dyDescent="0.25">
      <c r="A3539" s="6" t="s">
        <v>4275</v>
      </c>
      <c r="B3539" s="6" t="s">
        <v>4274</v>
      </c>
      <c r="C3539" s="6" t="s">
        <v>31</v>
      </c>
      <c r="E3539" s="6" t="s">
        <v>4273</v>
      </c>
      <c r="F3539" s="6" t="s">
        <v>4175</v>
      </c>
      <c r="G3539" s="6" t="s">
        <v>16</v>
      </c>
      <c r="H3539" s="6" t="s">
        <v>15</v>
      </c>
      <c r="I3539" s="6" t="s">
        <v>14</v>
      </c>
      <c r="J3539" s="6" t="s">
        <v>162</v>
      </c>
      <c r="K3539" s="7">
        <v>28.987784120000001</v>
      </c>
      <c r="L3539" s="7">
        <v>-95.356294910000003</v>
      </c>
      <c r="M3539" s="6" t="s">
        <v>1606</v>
      </c>
      <c r="N3539" s="6" t="s">
        <v>160</v>
      </c>
      <c r="O3539" s="6" t="s">
        <v>23</v>
      </c>
    </row>
    <row r="3540" spans="1:15" x14ac:dyDescent="0.25">
      <c r="A3540" s="6" t="s">
        <v>4285</v>
      </c>
      <c r="B3540" s="6" t="s">
        <v>4284</v>
      </c>
      <c r="C3540" s="6" t="s">
        <v>31</v>
      </c>
      <c r="E3540" s="6" t="s">
        <v>4283</v>
      </c>
      <c r="F3540" s="6" t="s">
        <v>4282</v>
      </c>
      <c r="G3540" s="6" t="s">
        <v>16</v>
      </c>
      <c r="H3540" s="6" t="s">
        <v>15</v>
      </c>
      <c r="I3540" s="6" t="s">
        <v>46</v>
      </c>
      <c r="J3540" s="6" t="s">
        <v>90</v>
      </c>
      <c r="K3540" s="7">
        <v>26.05495092</v>
      </c>
      <c r="L3540" s="7">
        <v>-97.21269839</v>
      </c>
      <c r="M3540" s="6" t="s">
        <v>89</v>
      </c>
      <c r="N3540" s="6" t="s">
        <v>11</v>
      </c>
      <c r="O3540" s="6" t="s">
        <v>22</v>
      </c>
    </row>
    <row r="3541" spans="1:15" x14ac:dyDescent="0.25">
      <c r="A3541" s="6" t="s">
        <v>3121</v>
      </c>
      <c r="B3541" s="6" t="s">
        <v>3120</v>
      </c>
      <c r="C3541" s="6" t="s">
        <v>31</v>
      </c>
      <c r="E3541" s="6" t="s">
        <v>3119</v>
      </c>
      <c r="F3541" s="6" t="s">
        <v>3118</v>
      </c>
      <c r="G3541" s="6" t="s">
        <v>16</v>
      </c>
      <c r="H3541" s="6" t="s">
        <v>28</v>
      </c>
      <c r="I3541" s="6" t="s">
        <v>14</v>
      </c>
      <c r="J3541" s="6" t="s">
        <v>409</v>
      </c>
      <c r="K3541" s="7">
        <v>30.182175430000001</v>
      </c>
      <c r="L3541" s="7">
        <v>-97.581166550000006</v>
      </c>
      <c r="M3541" s="6" t="s">
        <v>408</v>
      </c>
      <c r="N3541" s="6" t="s">
        <v>10</v>
      </c>
      <c r="O3541" s="6" t="s">
        <v>160</v>
      </c>
    </row>
    <row r="3542" spans="1:15" x14ac:dyDescent="0.25">
      <c r="A3542" s="6" t="s">
        <v>1786</v>
      </c>
      <c r="B3542" s="6" t="s">
        <v>1785</v>
      </c>
      <c r="C3542" s="6" t="s">
        <v>31</v>
      </c>
      <c r="E3542" s="6" t="s">
        <v>1784</v>
      </c>
      <c r="F3542" s="6" t="s">
        <v>840</v>
      </c>
      <c r="G3542" s="6" t="s">
        <v>16</v>
      </c>
      <c r="H3542" s="6" t="s">
        <v>15</v>
      </c>
      <c r="I3542" s="6" t="s">
        <v>14</v>
      </c>
      <c r="J3542" s="6" t="s">
        <v>35</v>
      </c>
      <c r="K3542" s="7">
        <v>30.046004700000001</v>
      </c>
      <c r="L3542" s="7">
        <v>-95.864779330000005</v>
      </c>
      <c r="M3542" s="6" t="s">
        <v>279</v>
      </c>
      <c r="N3542" s="6" t="s">
        <v>24</v>
      </c>
      <c r="O3542" s="6" t="s">
        <v>23</v>
      </c>
    </row>
    <row r="3543" spans="1:15" x14ac:dyDescent="0.25">
      <c r="A3543" s="6" t="s">
        <v>1791</v>
      </c>
      <c r="B3543" s="6" t="s">
        <v>1790</v>
      </c>
      <c r="C3543" s="6" t="s">
        <v>31</v>
      </c>
      <c r="E3543" s="6" t="s">
        <v>1789</v>
      </c>
      <c r="F3543" s="6" t="s">
        <v>1788</v>
      </c>
      <c r="G3543" s="6" t="s">
        <v>16</v>
      </c>
      <c r="H3543" s="6" t="s">
        <v>28</v>
      </c>
      <c r="I3543" s="6" t="s">
        <v>46</v>
      </c>
      <c r="J3543" s="6" t="s">
        <v>1787</v>
      </c>
      <c r="K3543" s="7">
        <v>32.422500120000002</v>
      </c>
      <c r="L3543" s="7">
        <v>-95.866499739999995</v>
      </c>
      <c r="M3543" s="6" t="s">
        <v>66</v>
      </c>
      <c r="N3543" s="6" t="s">
        <v>52</v>
      </c>
      <c r="O3543" s="6" t="s">
        <v>65</v>
      </c>
    </row>
    <row r="3544" spans="1:15" x14ac:dyDescent="0.25">
      <c r="A3544" s="6" t="s">
        <v>1765</v>
      </c>
      <c r="B3544" s="6" t="s">
        <v>1764</v>
      </c>
      <c r="C3544" s="6" t="s">
        <v>31</v>
      </c>
      <c r="E3544" s="6" t="s">
        <v>1763</v>
      </c>
      <c r="F3544" s="6" t="s">
        <v>1762</v>
      </c>
      <c r="G3544" s="6" t="s">
        <v>16</v>
      </c>
      <c r="H3544" s="6" t="s">
        <v>15</v>
      </c>
      <c r="I3544" s="6" t="s">
        <v>46</v>
      </c>
      <c r="J3544" s="6" t="s">
        <v>1281</v>
      </c>
      <c r="K3544" s="7">
        <v>31.64594219</v>
      </c>
      <c r="L3544" s="7">
        <v>-96.576307049999997</v>
      </c>
      <c r="M3544" s="6" t="s">
        <v>1761</v>
      </c>
      <c r="N3544" s="6" t="s">
        <v>23</v>
      </c>
      <c r="O3544" s="6" t="s">
        <v>120</v>
      </c>
    </row>
    <row r="3545" spans="1:15" x14ac:dyDescent="0.25">
      <c r="A3545" s="6" t="s">
        <v>7956</v>
      </c>
      <c r="B3545" s="6" t="s">
        <v>7955</v>
      </c>
      <c r="C3545" s="6" t="s">
        <v>31</v>
      </c>
      <c r="E3545" s="6" t="s">
        <v>7954</v>
      </c>
      <c r="F3545" s="6" t="s">
        <v>7953</v>
      </c>
      <c r="G3545" s="6" t="s">
        <v>16</v>
      </c>
      <c r="H3545" s="6" t="s">
        <v>28</v>
      </c>
      <c r="I3545" s="6" t="s">
        <v>46</v>
      </c>
      <c r="J3545" s="6" t="s">
        <v>853</v>
      </c>
      <c r="K3545" s="7">
        <v>29.823309510000001</v>
      </c>
      <c r="L3545" s="7">
        <v>-94.87449522</v>
      </c>
      <c r="M3545" s="6" t="s">
        <v>1445</v>
      </c>
      <c r="N3545" s="6" t="s">
        <v>120</v>
      </c>
      <c r="O3545" s="6" t="s">
        <v>23</v>
      </c>
    </row>
    <row r="3546" spans="1:15" x14ac:dyDescent="0.25">
      <c r="A3546" s="6" t="s">
        <v>1537</v>
      </c>
      <c r="B3546" s="6" t="s">
        <v>1536</v>
      </c>
      <c r="C3546" s="6" t="s">
        <v>31</v>
      </c>
      <c r="E3546" s="6" t="s">
        <v>1535</v>
      </c>
      <c r="F3546" s="6" t="s">
        <v>1534</v>
      </c>
      <c r="G3546" s="6" t="s">
        <v>16</v>
      </c>
      <c r="H3546" s="6" t="s">
        <v>15</v>
      </c>
      <c r="I3546" s="6" t="s">
        <v>46</v>
      </c>
      <c r="J3546" s="6" t="s">
        <v>753</v>
      </c>
      <c r="K3546" s="7">
        <v>30.17734441</v>
      </c>
      <c r="L3546" s="7">
        <v>-98.090946419999995</v>
      </c>
      <c r="M3546" s="6" t="s">
        <v>1533</v>
      </c>
      <c r="N3546" s="6" t="s">
        <v>10</v>
      </c>
      <c r="O3546" s="6" t="s">
        <v>160</v>
      </c>
    </row>
    <row r="3547" spans="1:15" x14ac:dyDescent="0.25">
      <c r="A3547" s="6" t="s">
        <v>7470</v>
      </c>
      <c r="B3547" s="6" t="s">
        <v>7469</v>
      </c>
      <c r="C3547" s="6" t="s">
        <v>31</v>
      </c>
      <c r="E3547" s="6" t="s">
        <v>7468</v>
      </c>
      <c r="F3547" s="6" t="s">
        <v>7467</v>
      </c>
      <c r="G3547" s="6" t="s">
        <v>16</v>
      </c>
      <c r="H3547" s="6" t="s">
        <v>28</v>
      </c>
      <c r="I3547" s="6" t="s">
        <v>46</v>
      </c>
      <c r="J3547" s="6" t="s">
        <v>1178</v>
      </c>
      <c r="K3547" s="7">
        <v>35.565902000000001</v>
      </c>
      <c r="L3547" s="7">
        <v>-101.181988</v>
      </c>
      <c r="M3547" s="6" t="s">
        <v>691</v>
      </c>
      <c r="N3547" s="6" t="s">
        <v>535</v>
      </c>
      <c r="O3547" s="6" t="s">
        <v>535</v>
      </c>
    </row>
    <row r="3548" spans="1:15" x14ac:dyDescent="0.25">
      <c r="A3548" s="6" t="s">
        <v>1770</v>
      </c>
      <c r="B3548" s="6" t="s">
        <v>1769</v>
      </c>
      <c r="C3548" s="6" t="s">
        <v>31</v>
      </c>
      <c r="E3548" s="6" t="s">
        <v>1768</v>
      </c>
      <c r="F3548" s="6" t="s">
        <v>1767</v>
      </c>
      <c r="G3548" s="6" t="s">
        <v>16</v>
      </c>
      <c r="H3548" s="6" t="s">
        <v>28</v>
      </c>
      <c r="I3548" s="6" t="s">
        <v>46</v>
      </c>
      <c r="J3548" s="6" t="s">
        <v>35</v>
      </c>
      <c r="K3548" s="7">
        <v>29.953611089999999</v>
      </c>
      <c r="L3548" s="7">
        <v>-95.120555479999993</v>
      </c>
      <c r="M3548" s="6" t="s">
        <v>1766</v>
      </c>
      <c r="N3548" s="6" t="s">
        <v>24</v>
      </c>
      <c r="O3548" s="6" t="s">
        <v>23</v>
      </c>
    </row>
    <row r="3549" spans="1:15" x14ac:dyDescent="0.25">
      <c r="A3549" s="6" t="s">
        <v>1783</v>
      </c>
      <c r="B3549" s="6" t="s">
        <v>1777</v>
      </c>
      <c r="C3549" s="6" t="s">
        <v>31</v>
      </c>
      <c r="E3549" s="6" t="s">
        <v>1776</v>
      </c>
      <c r="F3549" s="6" t="s">
        <v>1775</v>
      </c>
      <c r="G3549" s="6" t="s">
        <v>16</v>
      </c>
      <c r="H3549" s="6" t="s">
        <v>15</v>
      </c>
      <c r="I3549" s="6" t="s">
        <v>46</v>
      </c>
      <c r="J3549" s="6" t="s">
        <v>632</v>
      </c>
      <c r="K3549" s="7">
        <v>30.079409170000002</v>
      </c>
      <c r="L3549" s="7">
        <v>-94.077274090000003</v>
      </c>
      <c r="M3549" s="6" t="s">
        <v>429</v>
      </c>
      <c r="N3549" s="6" t="s">
        <v>52</v>
      </c>
      <c r="O3549" s="6" t="s">
        <v>24</v>
      </c>
    </row>
    <row r="3550" spans="1:15" x14ac:dyDescent="0.25">
      <c r="A3550" s="6" t="s">
        <v>1778</v>
      </c>
      <c r="B3550" s="6" t="s">
        <v>1777</v>
      </c>
      <c r="C3550" s="6" t="s">
        <v>19</v>
      </c>
      <c r="E3550" s="6" t="s">
        <v>1776</v>
      </c>
      <c r="F3550" s="6" t="s">
        <v>1775</v>
      </c>
      <c r="G3550" s="6" t="s">
        <v>16</v>
      </c>
      <c r="H3550" s="6" t="s">
        <v>15</v>
      </c>
      <c r="I3550" s="6" t="s">
        <v>46</v>
      </c>
      <c r="J3550" s="6" t="s">
        <v>632</v>
      </c>
      <c r="K3550" s="7">
        <v>30.085972600000002</v>
      </c>
      <c r="L3550" s="7">
        <v>-94.083972239999994</v>
      </c>
      <c r="M3550" s="6" t="s">
        <v>429</v>
      </c>
      <c r="N3550" s="6" t="s">
        <v>52</v>
      </c>
      <c r="O3550" s="6" t="s">
        <v>24</v>
      </c>
    </row>
    <row r="3551" spans="1:15" x14ac:dyDescent="0.25">
      <c r="A3551" s="6" t="s">
        <v>1760</v>
      </c>
      <c r="B3551" s="6" t="s">
        <v>1759</v>
      </c>
      <c r="C3551" s="6" t="s">
        <v>31</v>
      </c>
      <c r="E3551" s="6" t="s">
        <v>1758</v>
      </c>
      <c r="F3551" s="6" t="s">
        <v>1757</v>
      </c>
      <c r="G3551" s="6" t="s">
        <v>16</v>
      </c>
      <c r="H3551" s="6" t="s">
        <v>28</v>
      </c>
      <c r="I3551" s="6" t="s">
        <v>46</v>
      </c>
      <c r="J3551" s="6" t="s">
        <v>132</v>
      </c>
      <c r="K3551" s="7">
        <v>29.721941099999999</v>
      </c>
      <c r="L3551" s="7">
        <v>-95.940842419999996</v>
      </c>
      <c r="M3551" s="6" t="s">
        <v>355</v>
      </c>
      <c r="N3551" s="6" t="s">
        <v>23</v>
      </c>
      <c r="O3551" s="6" t="s">
        <v>23</v>
      </c>
    </row>
    <row r="3552" spans="1:15" x14ac:dyDescent="0.25">
      <c r="A3552" s="6" t="s">
        <v>1774</v>
      </c>
      <c r="B3552" s="6" t="s">
        <v>1773</v>
      </c>
      <c r="C3552" s="6" t="s">
        <v>31</v>
      </c>
      <c r="E3552" s="6" t="s">
        <v>1772</v>
      </c>
      <c r="F3552" s="6" t="s">
        <v>1771</v>
      </c>
      <c r="G3552" s="6" t="s">
        <v>16</v>
      </c>
      <c r="H3552" s="6" t="s">
        <v>28</v>
      </c>
      <c r="I3552" s="6" t="s">
        <v>46</v>
      </c>
      <c r="J3552" s="6" t="s">
        <v>35</v>
      </c>
      <c r="K3552" s="7">
        <v>30.07930052</v>
      </c>
      <c r="L3552" s="7">
        <v>-95.891700150000005</v>
      </c>
      <c r="M3552" s="6" t="s">
        <v>731</v>
      </c>
      <c r="N3552" s="6" t="s">
        <v>24</v>
      </c>
      <c r="O3552" s="6" t="s">
        <v>23</v>
      </c>
    </row>
    <row r="3553" spans="1:15" x14ac:dyDescent="0.25">
      <c r="A3553" s="6" t="s">
        <v>5934</v>
      </c>
      <c r="B3553" s="6" t="s">
        <v>5933</v>
      </c>
      <c r="C3553" s="6" t="s">
        <v>31</v>
      </c>
      <c r="E3553" s="6" t="s">
        <v>5932</v>
      </c>
      <c r="F3553" s="6" t="s">
        <v>5931</v>
      </c>
      <c r="G3553" s="6" t="s">
        <v>16</v>
      </c>
      <c r="H3553" s="6" t="s">
        <v>28</v>
      </c>
      <c r="I3553" s="6" t="s">
        <v>27</v>
      </c>
      <c r="J3553" s="6" t="s">
        <v>35</v>
      </c>
      <c r="K3553" s="7">
        <v>30.160276509999999</v>
      </c>
      <c r="L3553" s="7">
        <v>-95.099133679999994</v>
      </c>
      <c r="M3553" s="6" t="s">
        <v>301</v>
      </c>
      <c r="N3553" s="6" t="s">
        <v>24</v>
      </c>
      <c r="O3553" s="6" t="s">
        <v>23</v>
      </c>
    </row>
    <row r="3554" spans="1:15" x14ac:dyDescent="0.25">
      <c r="A3554" s="6" t="s">
        <v>1751</v>
      </c>
      <c r="B3554" s="6" t="s">
        <v>1750</v>
      </c>
      <c r="C3554" s="6" t="s">
        <v>31</v>
      </c>
      <c r="E3554" s="6" t="s">
        <v>1749</v>
      </c>
      <c r="F3554" s="6" t="s">
        <v>1748</v>
      </c>
      <c r="G3554" s="6" t="s">
        <v>16</v>
      </c>
      <c r="H3554" s="6" t="s">
        <v>28</v>
      </c>
      <c r="I3554" s="6" t="s">
        <v>46</v>
      </c>
      <c r="J3554" s="6" t="s">
        <v>132</v>
      </c>
      <c r="K3554" s="7">
        <v>29.63827903</v>
      </c>
      <c r="L3554" s="7">
        <v>-95.703446740000004</v>
      </c>
      <c r="M3554" s="6" t="s">
        <v>616</v>
      </c>
      <c r="N3554" s="6" t="s">
        <v>23</v>
      </c>
      <c r="O3554" s="6" t="s">
        <v>23</v>
      </c>
    </row>
    <row r="3555" spans="1:15" x14ac:dyDescent="0.25">
      <c r="A3555" s="6" t="s">
        <v>1553</v>
      </c>
      <c r="B3555" s="6" t="s">
        <v>1552</v>
      </c>
      <c r="C3555" s="6" t="s">
        <v>31</v>
      </c>
      <c r="E3555" s="6" t="s">
        <v>1551</v>
      </c>
      <c r="F3555" s="6" t="s">
        <v>1550</v>
      </c>
      <c r="G3555" s="6" t="s">
        <v>16</v>
      </c>
      <c r="H3555" s="6" t="s">
        <v>28</v>
      </c>
      <c r="I3555" s="6" t="s">
        <v>46</v>
      </c>
      <c r="J3555" s="6" t="s">
        <v>356</v>
      </c>
      <c r="K3555" s="7">
        <v>29.75594216</v>
      </c>
      <c r="L3555" s="7">
        <v>-95.911758460000001</v>
      </c>
      <c r="M3555" s="6" t="s">
        <v>131</v>
      </c>
      <c r="N3555" s="6" t="s">
        <v>24</v>
      </c>
      <c r="O3555" s="6" t="s">
        <v>23</v>
      </c>
    </row>
    <row r="3556" spans="1:15" x14ac:dyDescent="0.25">
      <c r="A3556" s="6" t="s">
        <v>1541</v>
      </c>
      <c r="B3556" s="6" t="s">
        <v>1540</v>
      </c>
      <c r="C3556" s="6" t="s">
        <v>31</v>
      </c>
      <c r="E3556" s="6" t="s">
        <v>1539</v>
      </c>
      <c r="F3556" s="6" t="s">
        <v>1538</v>
      </c>
      <c r="G3556" s="6" t="s">
        <v>16</v>
      </c>
      <c r="H3556" s="6" t="s">
        <v>28</v>
      </c>
      <c r="I3556" s="6" t="s">
        <v>46</v>
      </c>
      <c r="J3556" s="6" t="s">
        <v>215</v>
      </c>
      <c r="K3556" s="7">
        <v>29.526165330000001</v>
      </c>
      <c r="L3556" s="7">
        <v>-95.021775860000005</v>
      </c>
      <c r="M3556" s="6" t="s">
        <v>804</v>
      </c>
      <c r="N3556" s="6" t="s">
        <v>160</v>
      </c>
      <c r="O3556" s="6" t="s">
        <v>23</v>
      </c>
    </row>
    <row r="3557" spans="1:15" x14ac:dyDescent="0.25">
      <c r="A3557" s="6" t="s">
        <v>8921</v>
      </c>
      <c r="B3557" s="6" t="s">
        <v>8920</v>
      </c>
      <c r="C3557" s="6" t="s">
        <v>31</v>
      </c>
      <c r="E3557" s="6" t="s">
        <v>8919</v>
      </c>
      <c r="F3557" s="6" t="s">
        <v>8918</v>
      </c>
      <c r="G3557" s="6" t="s">
        <v>16</v>
      </c>
      <c r="H3557" s="6" t="s">
        <v>28</v>
      </c>
      <c r="I3557" s="6" t="s">
        <v>46</v>
      </c>
      <c r="J3557" s="6" t="s">
        <v>8917</v>
      </c>
      <c r="K3557" s="7">
        <v>34.417006550000004</v>
      </c>
      <c r="L3557" s="7">
        <v>-100.17672084</v>
      </c>
      <c r="M3557" s="6" t="s">
        <v>3203</v>
      </c>
      <c r="N3557" s="6" t="s">
        <v>43</v>
      </c>
      <c r="O3557" s="6" t="s">
        <v>535</v>
      </c>
    </row>
    <row r="3558" spans="1:15" x14ac:dyDescent="0.25">
      <c r="A3558" s="6" t="s">
        <v>1782</v>
      </c>
      <c r="B3558" s="6" t="s">
        <v>1781</v>
      </c>
      <c r="C3558" s="6" t="s">
        <v>31</v>
      </c>
      <c r="E3558" s="6" t="s">
        <v>1780</v>
      </c>
      <c r="F3558" s="6" t="s">
        <v>1779</v>
      </c>
      <c r="G3558" s="6" t="s">
        <v>16</v>
      </c>
      <c r="H3558" s="6" t="s">
        <v>28</v>
      </c>
      <c r="I3558" s="6" t="s">
        <v>46</v>
      </c>
      <c r="J3558" s="6" t="s">
        <v>132</v>
      </c>
      <c r="K3558" s="7">
        <v>29.442506689999998</v>
      </c>
      <c r="L3558" s="7">
        <v>-95.746265249999993</v>
      </c>
      <c r="M3558" s="6" t="s">
        <v>355</v>
      </c>
      <c r="N3558" s="6" t="s">
        <v>23</v>
      </c>
      <c r="O3558" s="6" t="s">
        <v>23</v>
      </c>
    </row>
    <row r="3559" spans="1:15" x14ac:dyDescent="0.25">
      <c r="A3559" s="6" t="s">
        <v>1522</v>
      </c>
      <c r="B3559" s="6" t="s">
        <v>1521</v>
      </c>
      <c r="C3559" s="6" t="s">
        <v>31</v>
      </c>
      <c r="E3559" s="6" t="s">
        <v>1520</v>
      </c>
      <c r="F3559" s="6" t="s">
        <v>29</v>
      </c>
      <c r="G3559" s="6" t="s">
        <v>16</v>
      </c>
      <c r="H3559" s="6" t="s">
        <v>28</v>
      </c>
      <c r="I3559" s="6" t="s">
        <v>46</v>
      </c>
      <c r="J3559" s="6" t="s">
        <v>1519</v>
      </c>
      <c r="K3559" s="7">
        <v>30.197505119999999</v>
      </c>
      <c r="L3559" s="7">
        <v>-95.087361419999993</v>
      </c>
      <c r="M3559" s="6" t="s">
        <v>301</v>
      </c>
      <c r="N3559" s="6" t="s">
        <v>24</v>
      </c>
      <c r="O3559" s="6" t="s">
        <v>23</v>
      </c>
    </row>
    <row r="3560" spans="1:15" x14ac:dyDescent="0.25">
      <c r="A3560" s="6" t="s">
        <v>2795</v>
      </c>
      <c r="B3560" s="6" t="s">
        <v>2794</v>
      </c>
      <c r="C3560" s="6" t="s">
        <v>31</v>
      </c>
      <c r="E3560" s="6" t="s">
        <v>2793</v>
      </c>
      <c r="F3560" s="6" t="s">
        <v>2792</v>
      </c>
      <c r="G3560" s="6" t="s">
        <v>16</v>
      </c>
      <c r="H3560" s="6" t="s">
        <v>28</v>
      </c>
      <c r="I3560" s="6" t="s">
        <v>46</v>
      </c>
      <c r="J3560" s="6" t="s">
        <v>97</v>
      </c>
      <c r="K3560" s="7">
        <v>33.521665710000001</v>
      </c>
      <c r="L3560" s="7">
        <v>-95.317025220000005</v>
      </c>
      <c r="M3560" s="6" t="s">
        <v>96</v>
      </c>
      <c r="N3560" s="6" t="s">
        <v>95</v>
      </c>
      <c r="O3560" s="6" t="s">
        <v>65</v>
      </c>
    </row>
    <row r="3561" spans="1:15" x14ac:dyDescent="0.25">
      <c r="A3561" s="6" t="s">
        <v>1756</v>
      </c>
      <c r="B3561" s="6" t="s">
        <v>1755</v>
      </c>
      <c r="C3561" s="6" t="s">
        <v>31</v>
      </c>
      <c r="E3561" s="6" t="s">
        <v>1754</v>
      </c>
      <c r="F3561" s="6" t="s">
        <v>1753</v>
      </c>
      <c r="G3561" s="6" t="s">
        <v>16</v>
      </c>
      <c r="H3561" s="6" t="s">
        <v>28</v>
      </c>
      <c r="I3561" s="6" t="s">
        <v>46</v>
      </c>
      <c r="J3561" s="6" t="s">
        <v>1752</v>
      </c>
      <c r="K3561" s="7">
        <v>30.610277799999999</v>
      </c>
      <c r="L3561" s="7">
        <v>-95.258888920000004</v>
      </c>
      <c r="M3561" s="6" t="s">
        <v>301</v>
      </c>
      <c r="N3561" s="6" t="s">
        <v>24</v>
      </c>
      <c r="O3561" s="6" t="s">
        <v>24</v>
      </c>
    </row>
    <row r="3562" spans="1:15" x14ac:dyDescent="0.25">
      <c r="A3562" s="6" t="s">
        <v>1545</v>
      </c>
      <c r="B3562" s="6" t="s">
        <v>1544</v>
      </c>
      <c r="C3562" s="6" t="s">
        <v>31</v>
      </c>
      <c r="E3562" s="6" t="s">
        <v>1543</v>
      </c>
      <c r="F3562" s="6" t="s">
        <v>1542</v>
      </c>
      <c r="G3562" s="6" t="s">
        <v>16</v>
      </c>
      <c r="H3562" s="6" t="s">
        <v>28</v>
      </c>
      <c r="I3562" s="6" t="s">
        <v>46</v>
      </c>
      <c r="J3562" s="6" t="s">
        <v>632</v>
      </c>
      <c r="K3562" s="7">
        <v>30.09860346</v>
      </c>
      <c r="L3562" s="7">
        <v>-94.060576749999996</v>
      </c>
      <c r="M3562" s="6" t="s">
        <v>429</v>
      </c>
      <c r="N3562" s="6" t="s">
        <v>52</v>
      </c>
      <c r="O3562" s="6" t="s">
        <v>24</v>
      </c>
    </row>
    <row r="3563" spans="1:15" x14ac:dyDescent="0.25">
      <c r="A3563" s="6" t="s">
        <v>1531</v>
      </c>
      <c r="B3563" s="6" t="s">
        <v>1529</v>
      </c>
      <c r="C3563" s="6" t="s">
        <v>31</v>
      </c>
      <c r="E3563" s="6" t="s">
        <v>1528</v>
      </c>
      <c r="F3563" s="6" t="s">
        <v>1527</v>
      </c>
      <c r="G3563" s="6" t="s">
        <v>16</v>
      </c>
      <c r="H3563" s="6" t="s">
        <v>430</v>
      </c>
      <c r="I3563" s="6" t="s">
        <v>46</v>
      </c>
      <c r="J3563" s="6" t="s">
        <v>645</v>
      </c>
      <c r="K3563" s="7">
        <v>31.565368410000001</v>
      </c>
      <c r="L3563" s="7">
        <v>-94.619022479999998</v>
      </c>
      <c r="M3563" s="6" t="s">
        <v>1012</v>
      </c>
      <c r="N3563" s="6" t="s">
        <v>52</v>
      </c>
      <c r="O3563" s="6" t="s">
        <v>24</v>
      </c>
    </row>
    <row r="3564" spans="1:15" x14ac:dyDescent="0.25">
      <c r="A3564" s="6" t="s">
        <v>1530</v>
      </c>
      <c r="B3564" s="6" t="s">
        <v>1529</v>
      </c>
      <c r="C3564" s="6" t="s">
        <v>19</v>
      </c>
      <c r="E3564" s="6" t="s">
        <v>1528</v>
      </c>
      <c r="F3564" s="6" t="s">
        <v>1527</v>
      </c>
      <c r="G3564" s="6" t="s">
        <v>16</v>
      </c>
      <c r="H3564" s="6" t="s">
        <v>430</v>
      </c>
      <c r="I3564" s="6" t="s">
        <v>46</v>
      </c>
      <c r="J3564" s="6" t="s">
        <v>645</v>
      </c>
      <c r="K3564" s="7">
        <v>31.563628770000001</v>
      </c>
      <c r="L3564" s="7">
        <v>-94.616704540000001</v>
      </c>
      <c r="M3564" s="6" t="s">
        <v>1012</v>
      </c>
      <c r="N3564" s="6" t="s">
        <v>52</v>
      </c>
      <c r="O3564" s="6" t="s">
        <v>24</v>
      </c>
    </row>
    <row r="3565" spans="1:15" x14ac:dyDescent="0.25">
      <c r="A3565" s="6" t="s">
        <v>7734</v>
      </c>
      <c r="B3565" s="6" t="s">
        <v>7733</v>
      </c>
      <c r="C3565" s="6" t="s">
        <v>31</v>
      </c>
      <c r="E3565" s="6" t="s">
        <v>7732</v>
      </c>
      <c r="F3565" s="6" t="s">
        <v>7731</v>
      </c>
      <c r="G3565" s="6" t="s">
        <v>16</v>
      </c>
      <c r="H3565" s="6" t="s">
        <v>28</v>
      </c>
      <c r="I3565" s="6" t="s">
        <v>46</v>
      </c>
      <c r="J3565" s="6" t="s">
        <v>480</v>
      </c>
      <c r="K3565" s="7">
        <v>26.265231570000001</v>
      </c>
      <c r="L3565" s="7">
        <v>-98.550631120000006</v>
      </c>
      <c r="M3565" s="6" t="s">
        <v>374</v>
      </c>
      <c r="N3565" s="6" t="s">
        <v>373</v>
      </c>
      <c r="O3565" s="6" t="s">
        <v>22</v>
      </c>
    </row>
    <row r="3566" spans="1:15" x14ac:dyDescent="0.25">
      <c r="A3566" s="6" t="s">
        <v>1513</v>
      </c>
      <c r="B3566" s="6" t="s">
        <v>1512</v>
      </c>
      <c r="C3566" s="6" t="s">
        <v>19</v>
      </c>
      <c r="E3566" s="6" t="s">
        <v>1511</v>
      </c>
      <c r="F3566" s="6" t="s">
        <v>1510</v>
      </c>
      <c r="G3566" s="6" t="s">
        <v>16</v>
      </c>
      <c r="H3566" s="6" t="s">
        <v>28</v>
      </c>
      <c r="I3566" s="6" t="s">
        <v>46</v>
      </c>
      <c r="J3566" s="6" t="s">
        <v>776</v>
      </c>
      <c r="K3566" s="7">
        <v>32.541197619999998</v>
      </c>
      <c r="L3566" s="7">
        <v>-98.382343829999996</v>
      </c>
      <c r="M3566" s="6" t="s">
        <v>1509</v>
      </c>
      <c r="N3566" s="6" t="s">
        <v>23</v>
      </c>
      <c r="O3566" s="6" t="s">
        <v>42</v>
      </c>
    </row>
    <row r="3567" spans="1:15" x14ac:dyDescent="0.25">
      <c r="A3567" s="6" t="s">
        <v>1549</v>
      </c>
      <c r="B3567" s="6" t="s">
        <v>1548</v>
      </c>
      <c r="C3567" s="6" t="s">
        <v>31</v>
      </c>
      <c r="E3567" s="6" t="s">
        <v>1547</v>
      </c>
      <c r="F3567" s="6" t="s">
        <v>1546</v>
      </c>
      <c r="G3567" s="6" t="s">
        <v>16</v>
      </c>
      <c r="H3567" s="6" t="s">
        <v>15</v>
      </c>
      <c r="I3567" s="6" t="s">
        <v>46</v>
      </c>
      <c r="J3567" s="6" t="s">
        <v>35</v>
      </c>
      <c r="K3567" s="7">
        <v>29.96347651</v>
      </c>
      <c r="L3567" s="7">
        <v>-95.631612009999998</v>
      </c>
      <c r="M3567" s="6" t="s">
        <v>279</v>
      </c>
      <c r="N3567" s="6" t="s">
        <v>24</v>
      </c>
      <c r="O3567" s="6" t="s">
        <v>23</v>
      </c>
    </row>
    <row r="3568" spans="1:15" x14ac:dyDescent="0.25">
      <c r="A3568" s="6" t="s">
        <v>3815</v>
      </c>
      <c r="B3568" s="6" t="s">
        <v>3814</v>
      </c>
      <c r="C3568" s="6" t="s">
        <v>31</v>
      </c>
      <c r="E3568" s="6" t="s">
        <v>3813</v>
      </c>
      <c r="F3568" s="6" t="s">
        <v>3812</v>
      </c>
      <c r="G3568" s="6" t="s">
        <v>16</v>
      </c>
      <c r="H3568" s="6" t="s">
        <v>430</v>
      </c>
      <c r="I3568" s="6" t="s">
        <v>46</v>
      </c>
      <c r="J3568" s="6" t="s">
        <v>35</v>
      </c>
      <c r="K3568" s="7">
        <v>29.720157319999998</v>
      </c>
      <c r="L3568" s="7">
        <v>-95.565786849999995</v>
      </c>
      <c r="M3568" s="6" t="s">
        <v>866</v>
      </c>
      <c r="N3568" s="6" t="s">
        <v>24</v>
      </c>
      <c r="O3568" s="6" t="s">
        <v>23</v>
      </c>
    </row>
    <row r="3569" spans="1:15" x14ac:dyDescent="0.25">
      <c r="A3569" s="6" t="s">
        <v>3825</v>
      </c>
      <c r="B3569" s="6" t="s">
        <v>3814</v>
      </c>
      <c r="C3569" s="6" t="s">
        <v>19</v>
      </c>
      <c r="E3569" s="6" t="s">
        <v>3813</v>
      </c>
      <c r="F3569" s="6" t="s">
        <v>3812</v>
      </c>
      <c r="G3569" s="6" t="s">
        <v>16</v>
      </c>
      <c r="H3569" s="6" t="s">
        <v>430</v>
      </c>
      <c r="I3569" s="6" t="s">
        <v>46</v>
      </c>
      <c r="J3569" s="6" t="s">
        <v>35</v>
      </c>
      <c r="K3569" s="7">
        <v>29.71912674</v>
      </c>
      <c r="L3569" s="7">
        <v>-95.565934690000006</v>
      </c>
      <c r="M3569" s="6" t="s">
        <v>866</v>
      </c>
      <c r="N3569" s="6" t="s">
        <v>24</v>
      </c>
      <c r="O3569" s="6" t="s">
        <v>23</v>
      </c>
    </row>
    <row r="3570" spans="1:15" x14ac:dyDescent="0.25">
      <c r="A3570" s="6" t="s">
        <v>4036</v>
      </c>
      <c r="B3570" s="6" t="s">
        <v>4035</v>
      </c>
      <c r="C3570" s="6" t="s">
        <v>31</v>
      </c>
      <c r="E3570" s="6" t="s">
        <v>4034</v>
      </c>
      <c r="F3570" s="6" t="s">
        <v>4033</v>
      </c>
      <c r="G3570" s="6" t="s">
        <v>16</v>
      </c>
      <c r="H3570" s="6" t="s">
        <v>15</v>
      </c>
      <c r="I3570" s="6" t="s">
        <v>46</v>
      </c>
      <c r="J3570" s="6" t="s">
        <v>26</v>
      </c>
      <c r="K3570" s="7">
        <v>30.121800319999998</v>
      </c>
      <c r="L3570" s="7">
        <v>-95.312816490000003</v>
      </c>
      <c r="M3570" s="6" t="s">
        <v>1022</v>
      </c>
      <c r="N3570" s="6" t="s">
        <v>24</v>
      </c>
      <c r="O3570" s="6" t="s">
        <v>23</v>
      </c>
    </row>
    <row r="3571" spans="1:15" x14ac:dyDescent="0.25">
      <c r="A3571" s="6" t="s">
        <v>4262</v>
      </c>
      <c r="B3571" s="6" t="s">
        <v>4261</v>
      </c>
      <c r="C3571" s="6" t="s">
        <v>31</v>
      </c>
      <c r="E3571" s="6" t="s">
        <v>4260</v>
      </c>
      <c r="F3571" s="6" t="s">
        <v>4259</v>
      </c>
      <c r="G3571" s="6" t="s">
        <v>16</v>
      </c>
      <c r="H3571" s="6" t="s">
        <v>28</v>
      </c>
      <c r="I3571" s="6" t="s">
        <v>46</v>
      </c>
      <c r="J3571" s="6" t="s">
        <v>162</v>
      </c>
      <c r="K3571" s="7">
        <v>29.2743669</v>
      </c>
      <c r="L3571" s="7">
        <v>-95.423425069999993</v>
      </c>
      <c r="M3571" s="6" t="s">
        <v>1999</v>
      </c>
      <c r="N3571" s="6" t="s">
        <v>160</v>
      </c>
      <c r="O3571" s="6" t="s">
        <v>23</v>
      </c>
    </row>
    <row r="3572" spans="1:15" x14ac:dyDescent="0.25">
      <c r="A3572" s="6" t="s">
        <v>4258</v>
      </c>
      <c r="B3572" s="6" t="s">
        <v>4257</v>
      </c>
      <c r="C3572" s="6" t="s">
        <v>31</v>
      </c>
      <c r="E3572" s="6" t="s">
        <v>4256</v>
      </c>
      <c r="F3572" s="6" t="s">
        <v>4255</v>
      </c>
      <c r="G3572" s="6" t="s">
        <v>16</v>
      </c>
      <c r="H3572" s="6" t="s">
        <v>28</v>
      </c>
      <c r="I3572" s="6" t="s">
        <v>14</v>
      </c>
      <c r="J3572" s="6" t="s">
        <v>753</v>
      </c>
      <c r="K3572" s="7">
        <v>30.044796460000001</v>
      </c>
      <c r="L3572" s="7">
        <v>-97.806466909999997</v>
      </c>
      <c r="M3572" s="6" t="s">
        <v>752</v>
      </c>
      <c r="N3572" s="6" t="s">
        <v>559</v>
      </c>
      <c r="O3572" s="6" t="s">
        <v>160</v>
      </c>
    </row>
    <row r="3573" spans="1:15" x14ac:dyDescent="0.25">
      <c r="A3573" s="6" t="s">
        <v>4254</v>
      </c>
      <c r="B3573" s="6" t="s">
        <v>4253</v>
      </c>
      <c r="C3573" s="6" t="s">
        <v>31</v>
      </c>
      <c r="E3573" s="6" t="s">
        <v>4252</v>
      </c>
      <c r="F3573" s="6" t="s">
        <v>4251</v>
      </c>
      <c r="G3573" s="6" t="s">
        <v>16</v>
      </c>
      <c r="H3573" s="6" t="s">
        <v>28</v>
      </c>
      <c r="I3573" s="6" t="s">
        <v>46</v>
      </c>
      <c r="J3573" s="6" t="s">
        <v>168</v>
      </c>
      <c r="K3573" s="7">
        <v>33.254722319999999</v>
      </c>
      <c r="L3573" s="7">
        <v>-97.368611060000006</v>
      </c>
      <c r="M3573" s="6" t="s">
        <v>156</v>
      </c>
      <c r="N3573" s="6" t="s">
        <v>102</v>
      </c>
      <c r="O3573" s="6" t="s">
        <v>42</v>
      </c>
    </row>
    <row r="3574" spans="1:15" x14ac:dyDescent="0.25">
      <c r="A3574" s="6" t="s">
        <v>2182</v>
      </c>
      <c r="B3574" s="6" t="s">
        <v>2181</v>
      </c>
      <c r="C3574" s="6" t="s">
        <v>31</v>
      </c>
      <c r="E3574" s="6" t="s">
        <v>2180</v>
      </c>
      <c r="F3574" s="6" t="s">
        <v>2179</v>
      </c>
      <c r="G3574" s="6" t="s">
        <v>16</v>
      </c>
      <c r="H3574" s="6" t="s">
        <v>28</v>
      </c>
      <c r="I3574" s="6" t="s">
        <v>46</v>
      </c>
      <c r="J3574" s="6" t="s">
        <v>2178</v>
      </c>
      <c r="K3574" s="7">
        <v>31.925472419999998</v>
      </c>
      <c r="L3574" s="7">
        <v>-106.60352521</v>
      </c>
      <c r="M3574" s="6" t="s">
        <v>2177</v>
      </c>
      <c r="N3574" s="6" t="s">
        <v>373</v>
      </c>
      <c r="O3574" s="6" t="s">
        <v>52</v>
      </c>
    </row>
    <row r="3575" spans="1:15" x14ac:dyDescent="0.25">
      <c r="A3575" s="6" t="s">
        <v>4250</v>
      </c>
      <c r="B3575" s="6" t="s">
        <v>4249</v>
      </c>
      <c r="C3575" s="6" t="s">
        <v>31</v>
      </c>
      <c r="E3575" s="6" t="s">
        <v>4248</v>
      </c>
      <c r="F3575" s="6" t="s">
        <v>4247</v>
      </c>
      <c r="G3575" s="6" t="s">
        <v>16</v>
      </c>
      <c r="H3575" s="6" t="s">
        <v>28</v>
      </c>
      <c r="I3575" s="6" t="s">
        <v>46</v>
      </c>
      <c r="J3575" s="6" t="s">
        <v>104</v>
      </c>
      <c r="K3575" s="7">
        <v>32.67689919</v>
      </c>
      <c r="L3575" s="7">
        <v>-96.373723929999997</v>
      </c>
      <c r="M3575" s="6" t="s">
        <v>193</v>
      </c>
      <c r="N3575" s="6" t="s">
        <v>102</v>
      </c>
      <c r="O3575" s="6" t="s">
        <v>42</v>
      </c>
    </row>
    <row r="3576" spans="1:15" x14ac:dyDescent="0.25">
      <c r="A3576" s="6" t="s">
        <v>4245</v>
      </c>
      <c r="B3576" s="6" t="s">
        <v>4244</v>
      </c>
      <c r="C3576" s="6" t="s">
        <v>31</v>
      </c>
      <c r="E3576" s="6" t="s">
        <v>4243</v>
      </c>
      <c r="F3576" s="6" t="s">
        <v>4242</v>
      </c>
      <c r="G3576" s="6" t="s">
        <v>16</v>
      </c>
      <c r="H3576" s="6" t="s">
        <v>28</v>
      </c>
      <c r="I3576" s="6" t="s">
        <v>14</v>
      </c>
      <c r="J3576" s="6" t="s">
        <v>35</v>
      </c>
      <c r="K3576" s="7">
        <v>30.043050099999999</v>
      </c>
      <c r="L3576" s="7">
        <v>-95.877742389999995</v>
      </c>
      <c r="M3576" s="6" t="s">
        <v>279</v>
      </c>
      <c r="N3576" s="6" t="s">
        <v>24</v>
      </c>
      <c r="O3576" s="6" t="s">
        <v>23</v>
      </c>
    </row>
    <row r="3577" spans="1:15" x14ac:dyDescent="0.25">
      <c r="A3577" s="6" t="s">
        <v>4237</v>
      </c>
      <c r="B3577" s="6" t="s">
        <v>4236</v>
      </c>
      <c r="C3577" s="6" t="s">
        <v>31</v>
      </c>
      <c r="E3577" s="6" t="s">
        <v>4235</v>
      </c>
      <c r="F3577" s="6" t="s">
        <v>4234</v>
      </c>
      <c r="G3577" s="6" t="s">
        <v>16</v>
      </c>
      <c r="H3577" s="6" t="s">
        <v>28</v>
      </c>
      <c r="I3577" s="6" t="s">
        <v>46</v>
      </c>
      <c r="J3577" s="6" t="s">
        <v>162</v>
      </c>
      <c r="K3577" s="7">
        <v>29.489559109999998</v>
      </c>
      <c r="L3577" s="7">
        <v>-95.403328509999994</v>
      </c>
      <c r="M3577" s="6" t="s">
        <v>161</v>
      </c>
      <c r="N3577" s="6" t="s">
        <v>160</v>
      </c>
      <c r="O3577" s="6" t="s">
        <v>23</v>
      </c>
    </row>
    <row r="3578" spans="1:15" x14ac:dyDescent="0.25">
      <c r="A3578" s="6" t="s">
        <v>1021</v>
      </c>
      <c r="B3578" s="6" t="s">
        <v>1020</v>
      </c>
      <c r="C3578" s="6" t="s">
        <v>31</v>
      </c>
      <c r="E3578" s="6" t="s">
        <v>1019</v>
      </c>
      <c r="F3578" s="6" t="s">
        <v>1018</v>
      </c>
      <c r="G3578" s="6" t="s">
        <v>16</v>
      </c>
      <c r="H3578" s="6" t="s">
        <v>28</v>
      </c>
      <c r="I3578" s="6" t="s">
        <v>46</v>
      </c>
      <c r="J3578" s="6" t="s">
        <v>13</v>
      </c>
      <c r="K3578" s="7">
        <v>27.803186</v>
      </c>
      <c r="L3578" s="7">
        <v>-97.780231999999998</v>
      </c>
      <c r="M3578" s="6" t="s">
        <v>792</v>
      </c>
      <c r="N3578" s="6" t="s">
        <v>11</v>
      </c>
      <c r="O3578" s="6" t="s">
        <v>10</v>
      </c>
    </row>
    <row r="3579" spans="1:15" x14ac:dyDescent="0.25">
      <c r="A3579" s="6" t="s">
        <v>4241</v>
      </c>
      <c r="B3579" s="6" t="s">
        <v>4240</v>
      </c>
      <c r="C3579" s="6" t="s">
        <v>31</v>
      </c>
      <c r="E3579" s="6" t="s">
        <v>4239</v>
      </c>
      <c r="F3579" s="6" t="s">
        <v>4238</v>
      </c>
      <c r="G3579" s="6" t="s">
        <v>16</v>
      </c>
      <c r="H3579" s="6" t="s">
        <v>28</v>
      </c>
      <c r="I3579" s="6" t="s">
        <v>14</v>
      </c>
      <c r="J3579" s="6" t="s">
        <v>35</v>
      </c>
      <c r="K3579" s="7">
        <v>29.97121362</v>
      </c>
      <c r="L3579" s="7">
        <v>-95.727305360000003</v>
      </c>
      <c r="M3579" s="6" t="s">
        <v>279</v>
      </c>
      <c r="N3579" s="6" t="s">
        <v>24</v>
      </c>
      <c r="O3579" s="6" t="s">
        <v>23</v>
      </c>
    </row>
    <row r="3580" spans="1:15" x14ac:dyDescent="0.25">
      <c r="A3580" s="6" t="s">
        <v>1340</v>
      </c>
      <c r="B3580" s="6" t="s">
        <v>1339</v>
      </c>
      <c r="C3580" s="6" t="s">
        <v>31</v>
      </c>
      <c r="E3580" s="6" t="s">
        <v>1338</v>
      </c>
      <c r="F3580" s="6" t="s">
        <v>1337</v>
      </c>
      <c r="G3580" s="6" t="s">
        <v>16</v>
      </c>
      <c r="H3580" s="6" t="s">
        <v>28</v>
      </c>
      <c r="I3580" s="6" t="s">
        <v>46</v>
      </c>
      <c r="J3580" s="6" t="s">
        <v>1336</v>
      </c>
      <c r="K3580" s="7">
        <v>28.460457999999999</v>
      </c>
      <c r="L3580" s="7">
        <v>-98.191066000000006</v>
      </c>
      <c r="M3580" s="6" t="s">
        <v>1335</v>
      </c>
      <c r="N3580" s="6" t="s">
        <v>524</v>
      </c>
      <c r="O3580" s="6" t="s">
        <v>10</v>
      </c>
    </row>
    <row r="3581" spans="1:15" x14ac:dyDescent="0.25">
      <c r="A3581" s="6" t="s">
        <v>3820</v>
      </c>
      <c r="B3581" s="6" t="s">
        <v>3819</v>
      </c>
      <c r="C3581" s="6" t="s">
        <v>31</v>
      </c>
      <c r="E3581" s="6" t="s">
        <v>3818</v>
      </c>
      <c r="F3581" s="6" t="s">
        <v>3817</v>
      </c>
      <c r="G3581" s="6" t="s">
        <v>16</v>
      </c>
      <c r="H3581" s="6" t="s">
        <v>28</v>
      </c>
      <c r="I3581" s="6" t="s">
        <v>46</v>
      </c>
      <c r="J3581" s="6" t="s">
        <v>162</v>
      </c>
      <c r="K3581" s="7">
        <v>29.05783443</v>
      </c>
      <c r="L3581" s="7">
        <v>-95.144849989999997</v>
      </c>
      <c r="M3581" s="6" t="s">
        <v>3816</v>
      </c>
      <c r="N3581" s="6" t="s">
        <v>160</v>
      </c>
      <c r="O3581" s="6" t="s">
        <v>23</v>
      </c>
    </row>
    <row r="3582" spans="1:15" x14ac:dyDescent="0.25">
      <c r="A3582" s="6" t="s">
        <v>3824</v>
      </c>
      <c r="B3582" s="6" t="s">
        <v>3823</v>
      </c>
      <c r="C3582" s="6" t="s">
        <v>31</v>
      </c>
      <c r="E3582" s="6" t="s">
        <v>3822</v>
      </c>
      <c r="F3582" s="6" t="s">
        <v>3821</v>
      </c>
      <c r="G3582" s="6" t="s">
        <v>16</v>
      </c>
      <c r="H3582" s="6" t="s">
        <v>28</v>
      </c>
      <c r="I3582" s="6" t="s">
        <v>46</v>
      </c>
      <c r="J3582" s="6" t="s">
        <v>26</v>
      </c>
      <c r="K3582" s="7">
        <v>30.115649560000001</v>
      </c>
      <c r="L3582" s="7">
        <v>-95.776272430000006</v>
      </c>
      <c r="M3582" s="6" t="s">
        <v>731</v>
      </c>
      <c r="N3582" s="6" t="s">
        <v>24</v>
      </c>
      <c r="O3582" s="6" t="s">
        <v>23</v>
      </c>
    </row>
    <row r="3583" spans="1:15" x14ac:dyDescent="0.25">
      <c r="A3583" s="6" t="s">
        <v>3811</v>
      </c>
      <c r="B3583" s="6" t="s">
        <v>3810</v>
      </c>
      <c r="C3583" s="6" t="s">
        <v>31</v>
      </c>
      <c r="E3583" s="6" t="s">
        <v>3809</v>
      </c>
      <c r="F3583" s="6" t="s">
        <v>513</v>
      </c>
      <c r="G3583" s="6" t="s">
        <v>16</v>
      </c>
      <c r="H3583" s="6" t="s">
        <v>15</v>
      </c>
      <c r="I3583" s="6" t="s">
        <v>36</v>
      </c>
      <c r="J3583" s="6" t="s">
        <v>512</v>
      </c>
      <c r="K3583" s="7">
        <v>27.580034229999999</v>
      </c>
      <c r="L3583" s="7">
        <v>-99.506430879999996</v>
      </c>
      <c r="M3583" s="6" t="s">
        <v>511</v>
      </c>
      <c r="N3583" s="6" t="s">
        <v>373</v>
      </c>
      <c r="O3583" s="6" t="s">
        <v>510</v>
      </c>
    </row>
    <row r="3584" spans="1:15" x14ac:dyDescent="0.25">
      <c r="A3584" s="6" t="s">
        <v>3829</v>
      </c>
      <c r="B3584" s="6" t="s">
        <v>3828</v>
      </c>
      <c r="C3584" s="6" t="s">
        <v>31</v>
      </c>
      <c r="E3584" s="6" t="s">
        <v>3827</v>
      </c>
      <c r="F3584" s="6" t="s">
        <v>3826</v>
      </c>
      <c r="G3584" s="6" t="s">
        <v>16</v>
      </c>
      <c r="H3584" s="6" t="s">
        <v>15</v>
      </c>
      <c r="I3584" s="6" t="s">
        <v>46</v>
      </c>
      <c r="J3584" s="6" t="s">
        <v>215</v>
      </c>
      <c r="K3584" s="7">
        <v>29.358736440000001</v>
      </c>
      <c r="L3584" s="7">
        <v>-94.939831060000003</v>
      </c>
      <c r="M3584" s="6" t="s">
        <v>672</v>
      </c>
      <c r="N3584" s="6" t="s">
        <v>160</v>
      </c>
      <c r="O3584" s="6" t="s">
        <v>23</v>
      </c>
    </row>
    <row r="3585" spans="1:15" x14ac:dyDescent="0.25">
      <c r="A3585" s="6" t="s">
        <v>4869</v>
      </c>
      <c r="B3585" s="6" t="s">
        <v>4868</v>
      </c>
      <c r="C3585" s="6" t="s">
        <v>31</v>
      </c>
      <c r="E3585" s="6" t="s">
        <v>4867</v>
      </c>
      <c r="F3585" s="6" t="s">
        <v>199</v>
      </c>
      <c r="G3585" s="6" t="s">
        <v>284</v>
      </c>
      <c r="H3585" s="6" t="s">
        <v>15</v>
      </c>
      <c r="I3585" s="6" t="s">
        <v>14</v>
      </c>
      <c r="J3585" s="6" t="s">
        <v>234</v>
      </c>
      <c r="K3585" s="7">
        <v>29.635801390000001</v>
      </c>
      <c r="L3585" s="7">
        <v>-98.847384009999999</v>
      </c>
      <c r="M3585" s="6" t="s">
        <v>233</v>
      </c>
      <c r="N3585" s="6" t="s">
        <v>232</v>
      </c>
      <c r="O3585" s="6" t="s">
        <v>231</v>
      </c>
    </row>
    <row r="3586" spans="1:15" x14ac:dyDescent="0.25">
      <c r="A3586" s="6" t="s">
        <v>4012</v>
      </c>
      <c r="B3586" s="6" t="s">
        <v>4011</v>
      </c>
      <c r="C3586" s="6" t="s">
        <v>31</v>
      </c>
      <c r="E3586" s="6" t="s">
        <v>4010</v>
      </c>
      <c r="F3586" s="6" t="s">
        <v>4009</v>
      </c>
      <c r="G3586" s="6" t="s">
        <v>284</v>
      </c>
      <c r="H3586" s="6" t="s">
        <v>15</v>
      </c>
      <c r="I3586" s="6" t="s">
        <v>46</v>
      </c>
      <c r="J3586" s="6" t="s">
        <v>90</v>
      </c>
      <c r="K3586" s="7">
        <v>25.959737400000002</v>
      </c>
      <c r="L3586" s="7">
        <v>-97.373536779999995</v>
      </c>
      <c r="M3586" s="6" t="s">
        <v>770</v>
      </c>
      <c r="N3586" s="6" t="s">
        <v>11</v>
      </c>
      <c r="O3586" s="6" t="s">
        <v>22</v>
      </c>
    </row>
    <row r="3587" spans="1:15" x14ac:dyDescent="0.25">
      <c r="A3587" s="6" t="s">
        <v>4032</v>
      </c>
      <c r="B3587" s="6" t="s">
        <v>4031</v>
      </c>
      <c r="C3587" s="6" t="s">
        <v>31</v>
      </c>
      <c r="E3587" s="6" t="s">
        <v>4030</v>
      </c>
      <c r="F3587" s="6" t="s">
        <v>4029</v>
      </c>
      <c r="G3587" s="6" t="s">
        <v>284</v>
      </c>
      <c r="H3587" s="6" t="s">
        <v>15</v>
      </c>
      <c r="I3587" s="6" t="s">
        <v>46</v>
      </c>
      <c r="J3587" s="6" t="s">
        <v>90</v>
      </c>
      <c r="K3587" s="7">
        <v>25.96193778</v>
      </c>
      <c r="L3587" s="7">
        <v>-97.367910140000006</v>
      </c>
      <c r="M3587" s="6" t="s">
        <v>770</v>
      </c>
      <c r="N3587" s="6" t="s">
        <v>11</v>
      </c>
      <c r="O3587" s="6" t="s">
        <v>22</v>
      </c>
    </row>
    <row r="3588" spans="1:15" x14ac:dyDescent="0.25">
      <c r="A3588" s="6" t="s">
        <v>4028</v>
      </c>
      <c r="B3588" s="6" t="s">
        <v>4027</v>
      </c>
      <c r="C3588" s="6" t="s">
        <v>31</v>
      </c>
      <c r="E3588" s="6" t="s">
        <v>4026</v>
      </c>
      <c r="F3588" s="6" t="s">
        <v>194</v>
      </c>
      <c r="G3588" s="6" t="s">
        <v>16</v>
      </c>
      <c r="H3588" s="6" t="s">
        <v>28</v>
      </c>
      <c r="I3588" s="6" t="s">
        <v>46</v>
      </c>
      <c r="J3588" s="6" t="s">
        <v>104</v>
      </c>
      <c r="K3588" s="7">
        <v>32.414087189999996</v>
      </c>
      <c r="L3588" s="7">
        <v>-96.193542859999994</v>
      </c>
      <c r="M3588" s="6" t="s">
        <v>193</v>
      </c>
      <c r="N3588" s="6" t="s">
        <v>102</v>
      </c>
      <c r="O3588" s="6" t="s">
        <v>42</v>
      </c>
    </row>
    <row r="3589" spans="1:15" x14ac:dyDescent="0.25">
      <c r="A3589" s="6" t="s">
        <v>3808</v>
      </c>
      <c r="B3589" s="6" t="s">
        <v>3807</v>
      </c>
      <c r="C3589" s="6" t="s">
        <v>31</v>
      </c>
      <c r="E3589" s="6" t="s">
        <v>3806</v>
      </c>
      <c r="F3589" s="6" t="s">
        <v>240</v>
      </c>
      <c r="G3589" s="6" t="s">
        <v>16</v>
      </c>
      <c r="H3589" s="6" t="s">
        <v>15</v>
      </c>
      <c r="I3589" s="6" t="s">
        <v>46</v>
      </c>
      <c r="J3589" s="6" t="s">
        <v>461</v>
      </c>
      <c r="K3589" s="7">
        <v>33.043299779999998</v>
      </c>
      <c r="L3589" s="7">
        <v>-96.273603640000005</v>
      </c>
      <c r="M3589" s="6" t="s">
        <v>109</v>
      </c>
      <c r="N3589" s="6" t="s">
        <v>65</v>
      </c>
      <c r="O3589" s="6" t="s">
        <v>42</v>
      </c>
    </row>
    <row r="3590" spans="1:15" x14ac:dyDescent="0.25">
      <c r="A3590" s="6" t="s">
        <v>6822</v>
      </c>
      <c r="B3590" s="6" t="s">
        <v>6821</v>
      </c>
      <c r="C3590" s="6" t="s">
        <v>31</v>
      </c>
      <c r="E3590" s="6" t="s">
        <v>6820</v>
      </c>
      <c r="F3590" s="6" t="s">
        <v>481</v>
      </c>
      <c r="G3590" s="6" t="s">
        <v>16</v>
      </c>
      <c r="H3590" s="6" t="s">
        <v>28</v>
      </c>
      <c r="I3590" s="6" t="s">
        <v>46</v>
      </c>
      <c r="J3590" s="6" t="s">
        <v>480</v>
      </c>
      <c r="K3590" s="7">
        <v>26.234724530000001</v>
      </c>
      <c r="L3590" s="7">
        <v>-97.967807649999997</v>
      </c>
      <c r="M3590" s="6" t="s">
        <v>89</v>
      </c>
      <c r="N3590" s="6" t="s">
        <v>11</v>
      </c>
      <c r="O3590" s="6" t="s">
        <v>22</v>
      </c>
    </row>
    <row r="3591" spans="1:15" x14ac:dyDescent="0.25">
      <c r="A3591" s="6" t="s">
        <v>5926</v>
      </c>
      <c r="B3591" s="6" t="s">
        <v>5924</v>
      </c>
      <c r="C3591" s="6" t="s">
        <v>31</v>
      </c>
      <c r="E3591" s="6" t="s">
        <v>5923</v>
      </c>
      <c r="F3591" s="6" t="s">
        <v>5922</v>
      </c>
      <c r="G3591" s="6" t="s">
        <v>16</v>
      </c>
      <c r="H3591" s="6" t="s">
        <v>15</v>
      </c>
      <c r="I3591" s="6" t="s">
        <v>36</v>
      </c>
      <c r="J3591" s="6" t="s">
        <v>35</v>
      </c>
      <c r="K3591" s="7">
        <v>29.77699982</v>
      </c>
      <c r="L3591" s="7">
        <v>-95.016894019999995</v>
      </c>
      <c r="M3591" s="6" t="s">
        <v>2565</v>
      </c>
      <c r="N3591" s="6" t="s">
        <v>120</v>
      </c>
      <c r="O3591" s="6" t="s">
        <v>23</v>
      </c>
    </row>
    <row r="3592" spans="1:15" x14ac:dyDescent="0.25">
      <c r="A3592" s="6" t="s">
        <v>5925</v>
      </c>
      <c r="B3592" s="6" t="s">
        <v>5924</v>
      </c>
      <c r="C3592" s="6" t="s">
        <v>19</v>
      </c>
      <c r="E3592" s="6" t="s">
        <v>5923</v>
      </c>
      <c r="F3592" s="6" t="s">
        <v>5922</v>
      </c>
      <c r="G3592" s="6" t="s">
        <v>16</v>
      </c>
      <c r="H3592" s="6" t="s">
        <v>430</v>
      </c>
      <c r="I3592" s="6" t="s">
        <v>36</v>
      </c>
      <c r="J3592" s="6" t="s">
        <v>35</v>
      </c>
      <c r="K3592" s="7">
        <v>29.776974729999999</v>
      </c>
      <c r="L3592" s="7">
        <v>-95.018080609999998</v>
      </c>
      <c r="M3592" s="6" t="s">
        <v>2565</v>
      </c>
      <c r="N3592" s="6" t="s">
        <v>120</v>
      </c>
      <c r="O3592" s="6" t="s">
        <v>23</v>
      </c>
    </row>
    <row r="3593" spans="1:15" x14ac:dyDescent="0.25">
      <c r="A3593" s="6" t="s">
        <v>4025</v>
      </c>
      <c r="B3593" s="6" t="s">
        <v>4024</v>
      </c>
      <c r="C3593" s="6" t="s">
        <v>31</v>
      </c>
      <c r="E3593" s="6" t="s">
        <v>4023</v>
      </c>
      <c r="F3593" s="6" t="s">
        <v>4022</v>
      </c>
      <c r="G3593" s="6" t="s">
        <v>16</v>
      </c>
      <c r="H3593" s="6" t="s">
        <v>28</v>
      </c>
      <c r="I3593" s="6" t="s">
        <v>46</v>
      </c>
      <c r="J3593" s="6" t="s">
        <v>268</v>
      </c>
      <c r="K3593" s="7">
        <v>32.576407119999999</v>
      </c>
      <c r="L3593" s="7">
        <v>-97.183110560000003</v>
      </c>
      <c r="M3593" s="6" t="s">
        <v>1287</v>
      </c>
      <c r="N3593" s="6" t="s">
        <v>102</v>
      </c>
      <c r="O3593" s="6" t="s">
        <v>42</v>
      </c>
    </row>
    <row r="3594" spans="1:15" x14ac:dyDescent="0.25">
      <c r="A3594" s="6" t="s">
        <v>6108</v>
      </c>
      <c r="B3594" s="6" t="s">
        <v>6107</v>
      </c>
      <c r="C3594" s="6" t="s">
        <v>31</v>
      </c>
      <c r="E3594" s="6" t="s">
        <v>6106</v>
      </c>
      <c r="F3594" s="6" t="s">
        <v>3177</v>
      </c>
      <c r="G3594" s="6" t="s">
        <v>284</v>
      </c>
      <c r="H3594" s="6" t="s">
        <v>15</v>
      </c>
      <c r="I3594" s="6" t="s">
        <v>46</v>
      </c>
      <c r="J3594" s="6" t="s">
        <v>6105</v>
      </c>
      <c r="K3594" s="7">
        <v>32.886098339999997</v>
      </c>
      <c r="L3594" s="7">
        <v>-98.588000379999997</v>
      </c>
      <c r="M3594" s="6" t="s">
        <v>5071</v>
      </c>
      <c r="N3594" s="6" t="s">
        <v>23</v>
      </c>
      <c r="O3594" s="6" t="s">
        <v>95</v>
      </c>
    </row>
    <row r="3595" spans="1:15" x14ac:dyDescent="0.25">
      <c r="A3595" s="6" t="s">
        <v>5921</v>
      </c>
      <c r="B3595" s="6" t="s">
        <v>5920</v>
      </c>
      <c r="C3595" s="6" t="s">
        <v>31</v>
      </c>
      <c r="E3595" s="6" t="s">
        <v>5919</v>
      </c>
      <c r="F3595" s="6" t="s">
        <v>5918</v>
      </c>
      <c r="G3595" s="6" t="s">
        <v>16</v>
      </c>
      <c r="H3595" s="6" t="s">
        <v>28</v>
      </c>
      <c r="I3595" s="6" t="s">
        <v>46</v>
      </c>
      <c r="J3595" s="6" t="s">
        <v>1727</v>
      </c>
      <c r="K3595" s="7">
        <v>31.086973499999999</v>
      </c>
      <c r="L3595" s="7">
        <v>-95.955284000000006</v>
      </c>
      <c r="M3595" s="6" t="s">
        <v>317</v>
      </c>
      <c r="N3595" s="6" t="s">
        <v>102</v>
      </c>
      <c r="O3595" s="6" t="s">
        <v>120</v>
      </c>
    </row>
    <row r="3596" spans="1:15" x14ac:dyDescent="0.25">
      <c r="A3596" s="6" t="s">
        <v>4815</v>
      </c>
      <c r="B3596" s="6" t="s">
        <v>4814</v>
      </c>
      <c r="C3596" s="6" t="s">
        <v>31</v>
      </c>
      <c r="E3596" s="6" t="s">
        <v>4813</v>
      </c>
      <c r="F3596" s="6" t="s">
        <v>4812</v>
      </c>
      <c r="G3596" s="6" t="s">
        <v>16</v>
      </c>
      <c r="H3596" s="6" t="s">
        <v>28</v>
      </c>
      <c r="I3596" s="6" t="s">
        <v>27</v>
      </c>
      <c r="J3596" s="6" t="s">
        <v>776</v>
      </c>
      <c r="K3596" s="7">
        <v>32.551185500000003</v>
      </c>
      <c r="L3596" s="7">
        <v>-98.510516870000004</v>
      </c>
      <c r="M3596" s="6" t="s">
        <v>1509</v>
      </c>
      <c r="N3596" s="6" t="s">
        <v>23</v>
      </c>
      <c r="O3596" s="6" t="s">
        <v>42</v>
      </c>
    </row>
    <row r="3597" spans="1:15" x14ac:dyDescent="0.25">
      <c r="A3597" s="6" t="s">
        <v>4005</v>
      </c>
      <c r="B3597" s="6" t="s">
        <v>4004</v>
      </c>
      <c r="C3597" s="6" t="s">
        <v>31</v>
      </c>
      <c r="E3597" s="6" t="s">
        <v>4003</v>
      </c>
      <c r="F3597" s="6" t="s">
        <v>4002</v>
      </c>
      <c r="G3597" s="6" t="s">
        <v>284</v>
      </c>
      <c r="H3597" s="6" t="s">
        <v>430</v>
      </c>
      <c r="I3597" s="6" t="s">
        <v>14</v>
      </c>
      <c r="J3597" s="6" t="s">
        <v>35</v>
      </c>
      <c r="K3597" s="7">
        <v>29.704250250000001</v>
      </c>
      <c r="L3597" s="7">
        <v>-95.073879109999993</v>
      </c>
      <c r="M3597" s="6" t="s">
        <v>599</v>
      </c>
      <c r="N3597" s="6" t="s">
        <v>24</v>
      </c>
      <c r="O3597" s="6" t="s">
        <v>23</v>
      </c>
    </row>
    <row r="3598" spans="1:15" x14ac:dyDescent="0.25">
      <c r="A3598" s="6" t="s">
        <v>4798</v>
      </c>
      <c r="B3598" s="6" t="s">
        <v>4797</v>
      </c>
      <c r="C3598" s="6" t="s">
        <v>31</v>
      </c>
      <c r="E3598" s="6" t="s">
        <v>4796</v>
      </c>
      <c r="F3598" s="6" t="s">
        <v>4795</v>
      </c>
      <c r="G3598" s="6" t="s">
        <v>16</v>
      </c>
      <c r="H3598" s="6" t="s">
        <v>15</v>
      </c>
      <c r="I3598" s="6" t="s">
        <v>14</v>
      </c>
      <c r="J3598" s="6" t="s">
        <v>13</v>
      </c>
      <c r="K3598" s="7">
        <v>27.81842138</v>
      </c>
      <c r="L3598" s="7">
        <v>-97.458491069999994</v>
      </c>
      <c r="M3598" s="6" t="s">
        <v>12</v>
      </c>
      <c r="N3598" s="6" t="s">
        <v>11</v>
      </c>
      <c r="O3598" s="6" t="s">
        <v>10</v>
      </c>
    </row>
    <row r="3599" spans="1:15" x14ac:dyDescent="0.25">
      <c r="A3599" s="6" t="s">
        <v>4008</v>
      </c>
      <c r="B3599" s="6" t="s">
        <v>4007</v>
      </c>
      <c r="C3599" s="6" t="s">
        <v>31</v>
      </c>
      <c r="E3599" s="6" t="s">
        <v>4006</v>
      </c>
      <c r="F3599" s="6" t="s">
        <v>3797</v>
      </c>
      <c r="G3599" s="6" t="s">
        <v>16</v>
      </c>
      <c r="H3599" s="6" t="s">
        <v>28</v>
      </c>
      <c r="I3599" s="6" t="s">
        <v>14</v>
      </c>
      <c r="J3599" s="6" t="s">
        <v>409</v>
      </c>
      <c r="K3599" s="7">
        <v>30.349697720000002</v>
      </c>
      <c r="L3599" s="7">
        <v>-97.486278139999996</v>
      </c>
      <c r="M3599" s="6" t="s">
        <v>455</v>
      </c>
      <c r="N3599" s="6" t="s">
        <v>10</v>
      </c>
      <c r="O3599" s="6" t="s">
        <v>160</v>
      </c>
    </row>
    <row r="3600" spans="1:15" x14ac:dyDescent="0.25">
      <c r="A3600" s="6" t="s">
        <v>4001</v>
      </c>
      <c r="B3600" s="6" t="s">
        <v>4000</v>
      </c>
      <c r="C3600" s="6" t="s">
        <v>31</v>
      </c>
      <c r="E3600" s="6" t="s">
        <v>3999</v>
      </c>
      <c r="F3600" s="6" t="s">
        <v>3998</v>
      </c>
      <c r="G3600" s="6" t="s">
        <v>16</v>
      </c>
      <c r="H3600" s="6" t="s">
        <v>15</v>
      </c>
      <c r="I3600" s="6" t="s">
        <v>36</v>
      </c>
      <c r="J3600" s="6" t="s">
        <v>168</v>
      </c>
      <c r="K3600" s="7">
        <v>33.26965423</v>
      </c>
      <c r="L3600" s="7">
        <v>-96.915550190000005</v>
      </c>
      <c r="M3600" s="6" t="s">
        <v>167</v>
      </c>
      <c r="N3600" s="6" t="s">
        <v>102</v>
      </c>
      <c r="O3600" s="6" t="s">
        <v>42</v>
      </c>
    </row>
    <row r="3601" spans="1:15" x14ac:dyDescent="0.25">
      <c r="A3601" s="6" t="s">
        <v>4811</v>
      </c>
      <c r="B3601" s="6" t="s">
        <v>4810</v>
      </c>
      <c r="C3601" s="6" t="s">
        <v>31</v>
      </c>
      <c r="E3601" s="6" t="s">
        <v>4809</v>
      </c>
      <c r="F3601" s="6" t="s">
        <v>4808</v>
      </c>
      <c r="G3601" s="6" t="s">
        <v>16</v>
      </c>
      <c r="H3601" s="6" t="s">
        <v>28</v>
      </c>
      <c r="I3601" s="6" t="s">
        <v>36</v>
      </c>
      <c r="J3601" s="6" t="s">
        <v>35</v>
      </c>
      <c r="K3601" s="7">
        <v>30.004884189999999</v>
      </c>
      <c r="L3601" s="7">
        <v>-95.787282169999997</v>
      </c>
      <c r="M3601" s="6" t="s">
        <v>279</v>
      </c>
      <c r="N3601" s="6" t="s">
        <v>24</v>
      </c>
      <c r="O3601" s="6" t="s">
        <v>23</v>
      </c>
    </row>
    <row r="3602" spans="1:15" x14ac:dyDescent="0.25">
      <c r="A3602" s="6" t="s">
        <v>4020</v>
      </c>
      <c r="B3602" s="6" t="s">
        <v>4019</v>
      </c>
      <c r="C3602" s="6" t="s">
        <v>31</v>
      </c>
      <c r="E3602" s="6" t="s">
        <v>4018</v>
      </c>
      <c r="F3602" s="6" t="s">
        <v>4017</v>
      </c>
      <c r="G3602" s="6" t="s">
        <v>16</v>
      </c>
      <c r="H3602" s="6" t="s">
        <v>15</v>
      </c>
      <c r="I3602" s="6" t="s">
        <v>14</v>
      </c>
      <c r="J3602" s="6" t="s">
        <v>139</v>
      </c>
      <c r="K3602" s="7">
        <v>27.87836871</v>
      </c>
      <c r="L3602" s="7">
        <v>-97.257809030000004</v>
      </c>
      <c r="M3602" s="6" t="s">
        <v>1168</v>
      </c>
      <c r="N3602" s="6" t="s">
        <v>137</v>
      </c>
      <c r="O3602" s="6" t="s">
        <v>10</v>
      </c>
    </row>
    <row r="3603" spans="1:15" x14ac:dyDescent="0.25">
      <c r="A3603" s="6" t="s">
        <v>6810</v>
      </c>
      <c r="B3603" s="6" t="s">
        <v>6809</v>
      </c>
      <c r="C3603" s="6" t="s">
        <v>31</v>
      </c>
      <c r="E3603" s="6" t="s">
        <v>6808</v>
      </c>
      <c r="F3603" s="6" t="s">
        <v>6807</v>
      </c>
      <c r="G3603" s="6" t="s">
        <v>16</v>
      </c>
      <c r="H3603" s="6" t="s">
        <v>15</v>
      </c>
      <c r="I3603" s="6" t="s">
        <v>14</v>
      </c>
      <c r="J3603" s="6" t="s">
        <v>139</v>
      </c>
      <c r="K3603" s="7">
        <v>27.87836871</v>
      </c>
      <c r="L3603" s="7">
        <v>-97.257809030000004</v>
      </c>
      <c r="M3603" s="6" t="s">
        <v>1168</v>
      </c>
      <c r="N3603" s="6" t="s">
        <v>137</v>
      </c>
      <c r="O3603" s="6" t="s">
        <v>10</v>
      </c>
    </row>
    <row r="3604" spans="1:15" x14ac:dyDescent="0.25">
      <c r="A3604" s="6" t="s">
        <v>3441</v>
      </c>
      <c r="B3604" s="6" t="s">
        <v>3440</v>
      </c>
      <c r="C3604" s="6" t="s">
        <v>31</v>
      </c>
      <c r="E3604" s="6" t="s">
        <v>3439</v>
      </c>
      <c r="F3604" s="6" t="s">
        <v>3438</v>
      </c>
      <c r="G3604" s="6" t="s">
        <v>16</v>
      </c>
      <c r="H3604" s="6" t="s">
        <v>15</v>
      </c>
      <c r="I3604" s="6" t="s">
        <v>14</v>
      </c>
      <c r="J3604" s="6" t="s">
        <v>84</v>
      </c>
      <c r="K3604" s="7">
        <v>28.645961060000001</v>
      </c>
      <c r="L3604" s="7">
        <v>-96.546148479999999</v>
      </c>
      <c r="M3604" s="6" t="s">
        <v>1272</v>
      </c>
      <c r="N3604" s="6" t="s">
        <v>22</v>
      </c>
      <c r="O3604" s="6" t="s">
        <v>10</v>
      </c>
    </row>
    <row r="3605" spans="1:15" x14ac:dyDescent="0.25">
      <c r="A3605" s="6" t="s">
        <v>4802</v>
      </c>
      <c r="B3605" s="6" t="s">
        <v>4801</v>
      </c>
      <c r="C3605" s="6" t="s">
        <v>31</v>
      </c>
      <c r="E3605" s="6" t="s">
        <v>4800</v>
      </c>
      <c r="F3605" s="6" t="s">
        <v>4799</v>
      </c>
      <c r="G3605" s="6" t="s">
        <v>16</v>
      </c>
      <c r="H3605" s="6" t="s">
        <v>28</v>
      </c>
      <c r="I3605" s="6" t="s">
        <v>36</v>
      </c>
      <c r="J3605" s="6" t="s">
        <v>35</v>
      </c>
      <c r="K3605" s="7">
        <v>29.93730965</v>
      </c>
      <c r="L3605" s="7">
        <v>-95.451455039999999</v>
      </c>
      <c r="M3605" s="6" t="s">
        <v>198</v>
      </c>
      <c r="N3605" s="6" t="s">
        <v>24</v>
      </c>
      <c r="O3605" s="6" t="s">
        <v>23</v>
      </c>
    </row>
    <row r="3606" spans="1:15" x14ac:dyDescent="0.25">
      <c r="A3606" s="6" t="s">
        <v>9479</v>
      </c>
      <c r="B3606" s="6" t="s">
        <v>9478</v>
      </c>
      <c r="C3606" s="6" t="s">
        <v>31</v>
      </c>
      <c r="E3606" s="6" t="s">
        <v>9477</v>
      </c>
      <c r="F3606" s="6" t="s">
        <v>9476</v>
      </c>
      <c r="G3606" s="6" t="s">
        <v>16</v>
      </c>
      <c r="H3606" s="6" t="s">
        <v>28</v>
      </c>
      <c r="I3606" s="6" t="s">
        <v>36</v>
      </c>
      <c r="J3606" s="6" t="s">
        <v>645</v>
      </c>
      <c r="K3606" s="7">
        <v>31.493410000000001</v>
      </c>
      <c r="L3606" s="7">
        <v>-94.348951</v>
      </c>
      <c r="M3606" s="6" t="s">
        <v>2821</v>
      </c>
      <c r="N3606" s="6" t="s">
        <v>52</v>
      </c>
      <c r="O3606" s="6" t="s">
        <v>24</v>
      </c>
    </row>
    <row r="3607" spans="1:15" x14ac:dyDescent="0.25">
      <c r="A3607" s="6" t="s">
        <v>5887</v>
      </c>
      <c r="B3607" s="6" t="s">
        <v>5886</v>
      </c>
      <c r="C3607" s="6" t="s">
        <v>31</v>
      </c>
      <c r="E3607" s="6" t="s">
        <v>5885</v>
      </c>
      <c r="F3607" s="6" t="s">
        <v>4817</v>
      </c>
      <c r="G3607" s="6" t="s">
        <v>16</v>
      </c>
      <c r="H3607" s="6" t="s">
        <v>28</v>
      </c>
      <c r="I3607" s="6" t="s">
        <v>36</v>
      </c>
      <c r="J3607" s="6" t="s">
        <v>4816</v>
      </c>
      <c r="K3607" s="7">
        <v>30.093391579999999</v>
      </c>
      <c r="L3607" s="7">
        <v>-98.431139860000002</v>
      </c>
      <c r="M3607" s="6" t="s">
        <v>3450</v>
      </c>
      <c r="N3607" s="6" t="s">
        <v>559</v>
      </c>
      <c r="O3607" s="6" t="s">
        <v>160</v>
      </c>
    </row>
    <row r="3608" spans="1:15" x14ac:dyDescent="0.25">
      <c r="A3608" s="6" t="s">
        <v>6814</v>
      </c>
      <c r="B3608" s="6" t="s">
        <v>6813</v>
      </c>
      <c r="C3608" s="6" t="s">
        <v>31</v>
      </c>
      <c r="E3608" s="6" t="s">
        <v>6812</v>
      </c>
      <c r="F3608" s="6" t="s">
        <v>6811</v>
      </c>
      <c r="G3608" s="6" t="s">
        <v>16</v>
      </c>
      <c r="H3608" s="6" t="s">
        <v>28</v>
      </c>
      <c r="I3608" s="6" t="s">
        <v>36</v>
      </c>
      <c r="J3608" s="6" t="s">
        <v>168</v>
      </c>
      <c r="K3608" s="7">
        <v>33.077932130000001</v>
      </c>
      <c r="L3608" s="7">
        <v>-97.250409869999999</v>
      </c>
      <c r="M3608" s="6" t="s">
        <v>156</v>
      </c>
      <c r="N3608" s="6" t="s">
        <v>102</v>
      </c>
      <c r="O3608" s="6" t="s">
        <v>42</v>
      </c>
    </row>
    <row r="3609" spans="1:15" x14ac:dyDescent="0.25">
      <c r="A3609" s="6" t="s">
        <v>5907</v>
      </c>
      <c r="B3609" s="6" t="s">
        <v>5906</v>
      </c>
      <c r="C3609" s="6" t="s">
        <v>31</v>
      </c>
      <c r="E3609" s="6" t="s">
        <v>5905</v>
      </c>
      <c r="F3609" s="6" t="s">
        <v>5904</v>
      </c>
      <c r="G3609" s="6" t="s">
        <v>16</v>
      </c>
      <c r="H3609" s="6" t="s">
        <v>28</v>
      </c>
      <c r="I3609" s="6" t="s">
        <v>36</v>
      </c>
      <c r="J3609" s="6" t="s">
        <v>1861</v>
      </c>
      <c r="K3609" s="7">
        <v>30.471335790000001</v>
      </c>
      <c r="L3609" s="7">
        <v>-96.139138900000006</v>
      </c>
      <c r="M3609" s="6" t="s">
        <v>927</v>
      </c>
      <c r="N3609" s="6" t="s">
        <v>23</v>
      </c>
      <c r="O3609" s="6" t="s">
        <v>120</v>
      </c>
    </row>
    <row r="3610" spans="1:15" x14ac:dyDescent="0.25">
      <c r="A3610" s="6" t="s">
        <v>5801</v>
      </c>
      <c r="B3610" s="6" t="s">
        <v>5800</v>
      </c>
      <c r="C3610" s="6" t="s">
        <v>31</v>
      </c>
      <c r="E3610" s="6" t="s">
        <v>5799</v>
      </c>
      <c r="F3610" s="6" t="s">
        <v>5798</v>
      </c>
      <c r="G3610" s="6" t="s">
        <v>16</v>
      </c>
      <c r="H3610" s="6" t="s">
        <v>28</v>
      </c>
      <c r="I3610" s="6" t="s">
        <v>14</v>
      </c>
      <c r="J3610" s="6" t="s">
        <v>1861</v>
      </c>
      <c r="K3610" s="7">
        <v>30.509675430000001</v>
      </c>
      <c r="L3610" s="7">
        <v>-96.222923370000004</v>
      </c>
      <c r="M3610" s="6" t="s">
        <v>927</v>
      </c>
      <c r="N3610" s="6" t="s">
        <v>23</v>
      </c>
      <c r="O3610" s="6" t="s">
        <v>120</v>
      </c>
    </row>
    <row r="3611" spans="1:15" x14ac:dyDescent="0.25">
      <c r="A3611" s="6" t="s">
        <v>4638</v>
      </c>
      <c r="B3611" s="6" t="s">
        <v>4637</v>
      </c>
      <c r="C3611" s="6" t="s">
        <v>31</v>
      </c>
      <c r="E3611" s="6" t="s">
        <v>4636</v>
      </c>
      <c r="F3611" s="6" t="s">
        <v>4635</v>
      </c>
      <c r="G3611" s="6" t="s">
        <v>16</v>
      </c>
      <c r="H3611" s="6" t="s">
        <v>28</v>
      </c>
      <c r="I3611" s="6" t="s">
        <v>36</v>
      </c>
      <c r="J3611" s="6" t="s">
        <v>1752</v>
      </c>
      <c r="K3611" s="7">
        <v>30.488181999999998</v>
      </c>
      <c r="L3611" s="7">
        <v>-94.972969000000006</v>
      </c>
      <c r="M3611" s="6" t="s">
        <v>2355</v>
      </c>
      <c r="N3611" s="6" t="s">
        <v>102</v>
      </c>
      <c r="O3611" s="6" t="s">
        <v>24</v>
      </c>
    </row>
    <row r="3612" spans="1:15" x14ac:dyDescent="0.25">
      <c r="A3612" s="6" t="s">
        <v>5890</v>
      </c>
      <c r="B3612" s="6" t="s">
        <v>5889</v>
      </c>
      <c r="C3612" s="6" t="s">
        <v>31</v>
      </c>
      <c r="E3612" s="6" t="s">
        <v>5888</v>
      </c>
      <c r="F3612" s="6" t="s">
        <v>4988</v>
      </c>
      <c r="G3612" s="6" t="s">
        <v>16</v>
      </c>
      <c r="H3612" s="6" t="s">
        <v>28</v>
      </c>
      <c r="I3612" s="6" t="s">
        <v>36</v>
      </c>
      <c r="J3612" s="6" t="s">
        <v>132</v>
      </c>
      <c r="K3612" s="7">
        <v>29.576892350000001</v>
      </c>
      <c r="L3612" s="7">
        <v>-95.779526959999998</v>
      </c>
      <c r="M3612" s="6" t="s">
        <v>355</v>
      </c>
      <c r="N3612" s="6" t="s">
        <v>23</v>
      </c>
      <c r="O3612" s="6" t="s">
        <v>23</v>
      </c>
    </row>
    <row r="3613" spans="1:15" x14ac:dyDescent="0.25">
      <c r="A3613" s="6" t="s">
        <v>5903</v>
      </c>
      <c r="B3613" s="6" t="s">
        <v>5902</v>
      </c>
      <c r="C3613" s="6" t="s">
        <v>31</v>
      </c>
      <c r="E3613" s="6" t="s">
        <v>5901</v>
      </c>
      <c r="F3613" s="6" t="s">
        <v>5900</v>
      </c>
      <c r="G3613" s="6" t="s">
        <v>16</v>
      </c>
      <c r="H3613" s="6" t="s">
        <v>15</v>
      </c>
      <c r="I3613" s="6" t="s">
        <v>36</v>
      </c>
      <c r="J3613" s="6" t="s">
        <v>853</v>
      </c>
      <c r="K3613" s="7">
        <v>29.745084940000002</v>
      </c>
      <c r="L3613" s="7">
        <v>-94.924129930000007</v>
      </c>
      <c r="M3613" s="6" t="s">
        <v>1445</v>
      </c>
      <c r="N3613" s="6" t="s">
        <v>120</v>
      </c>
      <c r="O3613" s="6" t="s">
        <v>23</v>
      </c>
    </row>
    <row r="3614" spans="1:15" x14ac:dyDescent="0.25">
      <c r="A3614" s="6" t="s">
        <v>5899</v>
      </c>
      <c r="B3614" s="6" t="s">
        <v>5898</v>
      </c>
      <c r="C3614" s="6" t="s">
        <v>31</v>
      </c>
      <c r="E3614" s="6" t="s">
        <v>5897</v>
      </c>
      <c r="F3614" s="6" t="s">
        <v>5896</v>
      </c>
      <c r="G3614" s="6" t="s">
        <v>16</v>
      </c>
      <c r="H3614" s="6" t="s">
        <v>15</v>
      </c>
      <c r="I3614" s="6" t="s">
        <v>36</v>
      </c>
      <c r="J3614" s="6" t="s">
        <v>5895</v>
      </c>
      <c r="K3614" s="7">
        <v>34.82177111</v>
      </c>
      <c r="L3614" s="7">
        <v>-102.35743610999999</v>
      </c>
      <c r="M3614" s="6" t="s">
        <v>536</v>
      </c>
      <c r="N3614" s="6" t="s">
        <v>43</v>
      </c>
      <c r="O3614" s="6" t="s">
        <v>535</v>
      </c>
    </row>
    <row r="3615" spans="1:15" x14ac:dyDescent="0.25">
      <c r="A3615" s="6" t="s">
        <v>5894</v>
      </c>
      <c r="B3615" s="6" t="s">
        <v>5893</v>
      </c>
      <c r="C3615" s="6" t="s">
        <v>31</v>
      </c>
      <c r="E3615" s="6" t="s">
        <v>5892</v>
      </c>
      <c r="F3615" s="6" t="s">
        <v>5891</v>
      </c>
      <c r="G3615" s="6" t="s">
        <v>16</v>
      </c>
      <c r="H3615" s="6" t="s">
        <v>28</v>
      </c>
      <c r="I3615" s="6" t="s">
        <v>36</v>
      </c>
      <c r="J3615" s="6" t="s">
        <v>3523</v>
      </c>
      <c r="K3615" s="7">
        <v>29.74224203</v>
      </c>
      <c r="L3615" s="7">
        <v>-96.329501309999998</v>
      </c>
      <c r="M3615" s="6" t="s">
        <v>1063</v>
      </c>
      <c r="N3615" s="6" t="s">
        <v>231</v>
      </c>
      <c r="O3615" s="6" t="s">
        <v>23</v>
      </c>
    </row>
    <row r="3616" spans="1:15" x14ac:dyDescent="0.25">
      <c r="A3616" s="6" t="s">
        <v>1622</v>
      </c>
      <c r="B3616" s="6" t="s">
        <v>1621</v>
      </c>
      <c r="C3616" s="6" t="s">
        <v>31</v>
      </c>
      <c r="E3616" s="6" t="s">
        <v>1620</v>
      </c>
      <c r="F3616" s="6" t="s">
        <v>1619</v>
      </c>
      <c r="G3616" s="6" t="s">
        <v>16</v>
      </c>
      <c r="H3616" s="6" t="s">
        <v>15</v>
      </c>
      <c r="I3616" s="6" t="s">
        <v>36</v>
      </c>
      <c r="J3616" s="6" t="s">
        <v>239</v>
      </c>
      <c r="K3616" s="7">
        <v>33.316029630000003</v>
      </c>
      <c r="L3616" s="7">
        <v>-96.681888549999996</v>
      </c>
      <c r="M3616" s="6" t="s">
        <v>349</v>
      </c>
      <c r="N3616" s="6" t="s">
        <v>102</v>
      </c>
      <c r="O3616" s="6" t="s">
        <v>42</v>
      </c>
    </row>
    <row r="3617" spans="1:15" x14ac:dyDescent="0.25">
      <c r="A3617" s="6" t="s">
        <v>5747</v>
      </c>
      <c r="B3617" s="6" t="s">
        <v>5746</v>
      </c>
      <c r="C3617" s="6" t="s">
        <v>31</v>
      </c>
      <c r="E3617" s="6" t="s">
        <v>5745</v>
      </c>
      <c r="F3617" s="6" t="s">
        <v>2691</v>
      </c>
      <c r="G3617" s="6" t="s">
        <v>16</v>
      </c>
      <c r="H3617" s="6" t="s">
        <v>15</v>
      </c>
      <c r="I3617" s="6" t="s">
        <v>36</v>
      </c>
      <c r="J3617" s="6" t="s">
        <v>84</v>
      </c>
      <c r="K3617" s="7">
        <v>28.407632670000002</v>
      </c>
      <c r="L3617" s="7">
        <v>-96.710528490000002</v>
      </c>
      <c r="M3617" s="6" t="s">
        <v>1977</v>
      </c>
      <c r="N3617" s="6" t="s">
        <v>82</v>
      </c>
      <c r="O3617" s="6" t="s">
        <v>10</v>
      </c>
    </row>
    <row r="3618" spans="1:15" x14ac:dyDescent="0.25">
      <c r="A3618" s="6" t="s">
        <v>5831</v>
      </c>
      <c r="B3618" s="6" t="s">
        <v>5830</v>
      </c>
      <c r="C3618" s="6" t="s">
        <v>31</v>
      </c>
      <c r="E3618" s="6" t="s">
        <v>5829</v>
      </c>
      <c r="F3618" s="6" t="s">
        <v>5828</v>
      </c>
      <c r="G3618" s="6" t="s">
        <v>16</v>
      </c>
      <c r="H3618" s="6" t="s">
        <v>28</v>
      </c>
      <c r="I3618" s="6" t="s">
        <v>36</v>
      </c>
      <c r="J3618" s="6" t="s">
        <v>132</v>
      </c>
      <c r="K3618" s="7">
        <v>29.669708839999998</v>
      </c>
      <c r="L3618" s="7">
        <v>-95.96929892</v>
      </c>
      <c r="M3618" s="6" t="s">
        <v>355</v>
      </c>
      <c r="N3618" s="6" t="s">
        <v>23</v>
      </c>
      <c r="O3618" s="6" t="s">
        <v>23</v>
      </c>
    </row>
    <row r="3619" spans="1:15" x14ac:dyDescent="0.25">
      <c r="A3619" s="6" t="s">
        <v>6888</v>
      </c>
      <c r="B3619" s="6" t="s">
        <v>6887</v>
      </c>
      <c r="C3619" s="6" t="s">
        <v>31</v>
      </c>
      <c r="E3619" s="6" t="s">
        <v>6886</v>
      </c>
      <c r="F3619" s="6" t="s">
        <v>6882</v>
      </c>
      <c r="G3619" s="6" t="s">
        <v>16</v>
      </c>
      <c r="H3619" s="6" t="s">
        <v>28</v>
      </c>
      <c r="I3619" s="6" t="s">
        <v>36</v>
      </c>
      <c r="J3619" s="6" t="s">
        <v>253</v>
      </c>
      <c r="K3619" s="7">
        <v>31.239729830000002</v>
      </c>
      <c r="L3619" s="7">
        <v>-97.549732910000003</v>
      </c>
      <c r="M3619" s="6" t="s">
        <v>2272</v>
      </c>
      <c r="N3619" s="6" t="s">
        <v>23</v>
      </c>
      <c r="O3619" s="6" t="s">
        <v>120</v>
      </c>
    </row>
    <row r="3620" spans="1:15" x14ac:dyDescent="0.25">
      <c r="A3620" s="6" t="s">
        <v>5827</v>
      </c>
      <c r="B3620" s="6" t="s">
        <v>5826</v>
      </c>
      <c r="C3620" s="6" t="s">
        <v>31</v>
      </c>
      <c r="E3620" s="6" t="s">
        <v>5825</v>
      </c>
      <c r="F3620" s="6" t="s">
        <v>5824</v>
      </c>
      <c r="G3620" s="6" t="s">
        <v>16</v>
      </c>
      <c r="H3620" s="6" t="s">
        <v>28</v>
      </c>
      <c r="I3620" s="6" t="s">
        <v>36</v>
      </c>
      <c r="J3620" s="6" t="s">
        <v>268</v>
      </c>
      <c r="K3620" s="7">
        <v>32.83961351</v>
      </c>
      <c r="L3620" s="7">
        <v>-97.497322030000007</v>
      </c>
      <c r="M3620" s="6" t="s">
        <v>1649</v>
      </c>
      <c r="N3620" s="6" t="s">
        <v>102</v>
      </c>
      <c r="O3620" s="6" t="s">
        <v>42</v>
      </c>
    </row>
    <row r="3621" spans="1:15" x14ac:dyDescent="0.25">
      <c r="A3621" s="6" t="s">
        <v>3095</v>
      </c>
      <c r="B3621" s="6" t="s">
        <v>3094</v>
      </c>
      <c r="C3621" s="6" t="s">
        <v>31</v>
      </c>
      <c r="E3621" s="6" t="s">
        <v>3093</v>
      </c>
      <c r="F3621" s="6" t="s">
        <v>3092</v>
      </c>
      <c r="G3621" s="6" t="s">
        <v>16</v>
      </c>
      <c r="H3621" s="6" t="s">
        <v>15</v>
      </c>
      <c r="I3621" s="6" t="s">
        <v>36</v>
      </c>
      <c r="J3621" s="6" t="s">
        <v>605</v>
      </c>
      <c r="K3621" s="7">
        <v>31.432151860000001</v>
      </c>
      <c r="L3621" s="7">
        <v>-103.46554657999999</v>
      </c>
      <c r="M3621" s="6" t="s">
        <v>604</v>
      </c>
      <c r="N3621" s="6" t="s">
        <v>373</v>
      </c>
      <c r="O3621" s="6" t="s">
        <v>3091</v>
      </c>
    </row>
    <row r="3622" spans="1:15" x14ac:dyDescent="0.25">
      <c r="A3622" s="6" t="s">
        <v>1526</v>
      </c>
      <c r="B3622" s="6" t="s">
        <v>1525</v>
      </c>
      <c r="C3622" s="6" t="s">
        <v>31</v>
      </c>
      <c r="E3622" s="6" t="s">
        <v>1524</v>
      </c>
      <c r="F3622" s="6" t="s">
        <v>1523</v>
      </c>
      <c r="G3622" s="6" t="s">
        <v>16</v>
      </c>
      <c r="H3622" s="6" t="s">
        <v>28</v>
      </c>
      <c r="I3622" s="6" t="s">
        <v>36</v>
      </c>
      <c r="J3622" s="6" t="s">
        <v>132</v>
      </c>
      <c r="K3622" s="7">
        <v>29.683680769999999</v>
      </c>
      <c r="L3622" s="7">
        <v>-95.980813409999996</v>
      </c>
      <c r="M3622" s="6" t="s">
        <v>355</v>
      </c>
      <c r="N3622" s="6" t="s">
        <v>23</v>
      </c>
      <c r="O3622" s="6" t="s">
        <v>23</v>
      </c>
    </row>
    <row r="3623" spans="1:15" x14ac:dyDescent="0.25">
      <c r="A3623" s="6" t="s">
        <v>5823</v>
      </c>
      <c r="B3623" s="6" t="s">
        <v>5818</v>
      </c>
      <c r="C3623" s="6" t="s">
        <v>31</v>
      </c>
      <c r="E3623" s="6" t="s">
        <v>5817</v>
      </c>
      <c r="F3623" s="6" t="s">
        <v>5816</v>
      </c>
      <c r="G3623" s="6" t="s">
        <v>16</v>
      </c>
      <c r="H3623" s="6" t="s">
        <v>15</v>
      </c>
      <c r="I3623" s="6" t="s">
        <v>36</v>
      </c>
      <c r="J3623" s="6" t="s">
        <v>13</v>
      </c>
      <c r="K3623" s="7">
        <v>27.878292550000001</v>
      </c>
      <c r="L3623" s="7">
        <v>-97.286473909999998</v>
      </c>
      <c r="M3623" s="6" t="s">
        <v>1168</v>
      </c>
      <c r="N3623" s="6" t="s">
        <v>137</v>
      </c>
      <c r="O3623" s="6" t="s">
        <v>10</v>
      </c>
    </row>
    <row r="3624" spans="1:15" x14ac:dyDescent="0.25">
      <c r="A3624" s="6" t="s">
        <v>5822</v>
      </c>
      <c r="B3624" s="6" t="s">
        <v>5818</v>
      </c>
      <c r="C3624" s="6" t="s">
        <v>19</v>
      </c>
      <c r="E3624" s="6" t="s">
        <v>5817</v>
      </c>
      <c r="F3624" s="6" t="s">
        <v>5816</v>
      </c>
      <c r="G3624" s="6" t="s">
        <v>16</v>
      </c>
      <c r="H3624" s="6" t="s">
        <v>430</v>
      </c>
      <c r="I3624" s="6" t="s">
        <v>36</v>
      </c>
      <c r="J3624" s="6" t="s">
        <v>139</v>
      </c>
      <c r="K3624" s="7">
        <v>27.943281110000001</v>
      </c>
      <c r="L3624" s="7">
        <v>-97.330814480000001</v>
      </c>
      <c r="M3624" s="6" t="s">
        <v>138</v>
      </c>
      <c r="N3624" s="6" t="s">
        <v>137</v>
      </c>
      <c r="O3624" s="6" t="s">
        <v>10</v>
      </c>
    </row>
    <row r="3625" spans="1:15" x14ac:dyDescent="0.25">
      <c r="A3625" s="6" t="s">
        <v>5821</v>
      </c>
      <c r="B3625" s="6" t="s">
        <v>5818</v>
      </c>
      <c r="C3625" s="6" t="s">
        <v>436</v>
      </c>
      <c r="E3625" s="6" t="s">
        <v>5817</v>
      </c>
      <c r="F3625" s="6" t="s">
        <v>5816</v>
      </c>
      <c r="G3625" s="6" t="s">
        <v>16</v>
      </c>
      <c r="H3625" s="6" t="s">
        <v>430</v>
      </c>
      <c r="I3625" s="6" t="s">
        <v>36</v>
      </c>
      <c r="J3625" s="6" t="s">
        <v>139</v>
      </c>
      <c r="K3625" s="7">
        <v>27.938453280000001</v>
      </c>
      <c r="L3625" s="7">
        <v>-97.321636999999996</v>
      </c>
      <c r="M3625" s="6" t="s">
        <v>138</v>
      </c>
      <c r="N3625" s="6" t="s">
        <v>137</v>
      </c>
      <c r="O3625" s="6" t="s">
        <v>10</v>
      </c>
    </row>
    <row r="3626" spans="1:15" x14ac:dyDescent="0.25">
      <c r="A3626" s="6" t="s">
        <v>5820</v>
      </c>
      <c r="B3626" s="6" t="s">
        <v>5818</v>
      </c>
      <c r="C3626" s="6" t="s">
        <v>597</v>
      </c>
      <c r="E3626" s="6" t="s">
        <v>5817</v>
      </c>
      <c r="F3626" s="6" t="s">
        <v>5816</v>
      </c>
      <c r="G3626" s="6" t="s">
        <v>16</v>
      </c>
      <c r="H3626" s="6" t="s">
        <v>430</v>
      </c>
      <c r="I3626" s="6" t="s">
        <v>36</v>
      </c>
      <c r="J3626" s="6" t="s">
        <v>139</v>
      </c>
      <c r="K3626" s="7">
        <v>27.929413090000001</v>
      </c>
      <c r="L3626" s="7">
        <v>-97.304618829999995</v>
      </c>
      <c r="M3626" s="6" t="s">
        <v>1168</v>
      </c>
      <c r="N3626" s="6" t="s">
        <v>137</v>
      </c>
      <c r="O3626" s="6" t="s">
        <v>10</v>
      </c>
    </row>
    <row r="3627" spans="1:15" x14ac:dyDescent="0.25">
      <c r="A3627" s="6" t="s">
        <v>5819</v>
      </c>
      <c r="B3627" s="6" t="s">
        <v>5818</v>
      </c>
      <c r="C3627" s="6" t="s">
        <v>557</v>
      </c>
      <c r="E3627" s="6" t="s">
        <v>5817</v>
      </c>
      <c r="F3627" s="6" t="s">
        <v>5816</v>
      </c>
      <c r="G3627" s="6" t="s">
        <v>16</v>
      </c>
      <c r="H3627" s="6" t="s">
        <v>430</v>
      </c>
      <c r="I3627" s="6" t="s">
        <v>36</v>
      </c>
      <c r="J3627" s="6" t="s">
        <v>139</v>
      </c>
      <c r="K3627" s="7">
        <v>27.9168363</v>
      </c>
      <c r="L3627" s="7">
        <v>-97.312838780000007</v>
      </c>
      <c r="M3627" s="6" t="s">
        <v>1168</v>
      </c>
      <c r="N3627" s="6" t="s">
        <v>137</v>
      </c>
      <c r="O3627" s="6" t="s">
        <v>10</v>
      </c>
    </row>
    <row r="3628" spans="1:15" x14ac:dyDescent="0.25">
      <c r="A3628" s="6" t="s">
        <v>5815</v>
      </c>
      <c r="B3628" s="6" t="s">
        <v>5814</v>
      </c>
      <c r="C3628" s="6" t="s">
        <v>31</v>
      </c>
      <c r="E3628" s="6" t="s">
        <v>5813</v>
      </c>
      <c r="F3628" s="6" t="s">
        <v>5812</v>
      </c>
      <c r="G3628" s="6" t="s">
        <v>16</v>
      </c>
      <c r="H3628" s="6" t="s">
        <v>15</v>
      </c>
      <c r="I3628" s="6" t="s">
        <v>14</v>
      </c>
      <c r="J3628" s="6" t="s">
        <v>67</v>
      </c>
      <c r="K3628" s="7">
        <v>32.542496569999997</v>
      </c>
      <c r="L3628" s="7">
        <v>-95.190265819999993</v>
      </c>
      <c r="M3628" s="6" t="s">
        <v>423</v>
      </c>
      <c r="N3628" s="6" t="s">
        <v>65</v>
      </c>
      <c r="O3628" s="6" t="s">
        <v>65</v>
      </c>
    </row>
    <row r="3629" spans="1:15" x14ac:dyDescent="0.25">
      <c r="A3629" s="6" t="s">
        <v>5807</v>
      </c>
      <c r="B3629" s="6" t="s">
        <v>5806</v>
      </c>
      <c r="C3629" s="6" t="s">
        <v>31</v>
      </c>
      <c r="E3629" s="6" t="s">
        <v>5805</v>
      </c>
      <c r="F3629" s="6" t="s">
        <v>5804</v>
      </c>
      <c r="G3629" s="6" t="s">
        <v>16</v>
      </c>
      <c r="H3629" s="6" t="s">
        <v>28</v>
      </c>
      <c r="I3629" s="6" t="s">
        <v>36</v>
      </c>
      <c r="J3629" s="6" t="s">
        <v>424</v>
      </c>
      <c r="K3629" s="7">
        <v>32.715415749999998</v>
      </c>
      <c r="L3629" s="7">
        <v>-95.206917950000005</v>
      </c>
      <c r="M3629" s="6" t="s">
        <v>5803</v>
      </c>
      <c r="N3629" s="6" t="s">
        <v>65</v>
      </c>
      <c r="O3629" s="6" t="s">
        <v>65</v>
      </c>
    </row>
    <row r="3630" spans="1:15" x14ac:dyDescent="0.25">
      <c r="A3630" s="6" t="s">
        <v>2067</v>
      </c>
      <c r="B3630" s="6" t="s">
        <v>2066</v>
      </c>
      <c r="C3630" s="6" t="s">
        <v>31</v>
      </c>
      <c r="E3630" s="6" t="s">
        <v>2065</v>
      </c>
      <c r="F3630" s="6" t="s">
        <v>2064</v>
      </c>
      <c r="G3630" s="6" t="s">
        <v>16</v>
      </c>
      <c r="H3630" s="6" t="s">
        <v>28</v>
      </c>
      <c r="I3630" s="6" t="s">
        <v>36</v>
      </c>
      <c r="J3630" s="6" t="s">
        <v>35</v>
      </c>
      <c r="K3630" s="7">
        <v>29.975258969999999</v>
      </c>
      <c r="L3630" s="7">
        <v>-95.644100190000003</v>
      </c>
      <c r="M3630" s="6" t="s">
        <v>279</v>
      </c>
      <c r="N3630" s="6" t="s">
        <v>24</v>
      </c>
      <c r="O3630" s="6" t="s">
        <v>23</v>
      </c>
    </row>
    <row r="3631" spans="1:15" x14ac:dyDescent="0.25">
      <c r="A3631" s="6" t="s">
        <v>2063</v>
      </c>
      <c r="B3631" s="6" t="s">
        <v>2062</v>
      </c>
      <c r="C3631" s="6" t="s">
        <v>31</v>
      </c>
      <c r="E3631" s="6" t="s">
        <v>2061</v>
      </c>
      <c r="F3631" s="6" t="s">
        <v>2060</v>
      </c>
      <c r="G3631" s="6" t="s">
        <v>16</v>
      </c>
      <c r="H3631" s="6" t="s">
        <v>28</v>
      </c>
      <c r="I3631" s="6" t="s">
        <v>36</v>
      </c>
      <c r="J3631" s="6" t="s">
        <v>1275</v>
      </c>
      <c r="K3631" s="7">
        <v>31.79651956</v>
      </c>
      <c r="L3631" s="7">
        <v>-96.454467219999998</v>
      </c>
      <c r="M3631" s="6" t="s">
        <v>1031</v>
      </c>
      <c r="N3631" s="6" t="s">
        <v>102</v>
      </c>
      <c r="O3631" s="6" t="s">
        <v>120</v>
      </c>
    </row>
    <row r="3632" spans="1:15" x14ac:dyDescent="0.25">
      <c r="A3632" s="6" t="s">
        <v>5811</v>
      </c>
      <c r="B3632" s="6" t="s">
        <v>5810</v>
      </c>
      <c r="C3632" s="6" t="s">
        <v>31</v>
      </c>
      <c r="E3632" s="6" t="s">
        <v>5809</v>
      </c>
      <c r="F3632" s="6" t="s">
        <v>5808</v>
      </c>
      <c r="G3632" s="6" t="s">
        <v>16</v>
      </c>
      <c r="H3632" s="6" t="s">
        <v>28</v>
      </c>
      <c r="I3632" s="6" t="s">
        <v>36</v>
      </c>
      <c r="J3632" s="6" t="s">
        <v>1752</v>
      </c>
      <c r="K3632" s="7">
        <v>30.444152110000001</v>
      </c>
      <c r="L3632" s="7">
        <v>-95.031113919999996</v>
      </c>
      <c r="M3632" s="6" t="s">
        <v>1766</v>
      </c>
      <c r="N3632" s="6" t="s">
        <v>24</v>
      </c>
      <c r="O3632" s="6" t="s">
        <v>24</v>
      </c>
    </row>
    <row r="3633" spans="1:15" x14ac:dyDescent="0.25">
      <c r="A3633" s="6" t="s">
        <v>5797</v>
      </c>
      <c r="B3633" s="6" t="s">
        <v>5796</v>
      </c>
      <c r="C3633" s="6" t="s">
        <v>31</v>
      </c>
      <c r="E3633" s="6" t="s">
        <v>5795</v>
      </c>
      <c r="F3633" s="6" t="s">
        <v>5794</v>
      </c>
      <c r="G3633" s="6" t="s">
        <v>16</v>
      </c>
      <c r="H3633" s="6" t="s">
        <v>28</v>
      </c>
      <c r="I3633" s="6" t="s">
        <v>36</v>
      </c>
      <c r="J3633" s="6" t="s">
        <v>132</v>
      </c>
      <c r="K3633" s="7">
        <v>29.505051170000002</v>
      </c>
      <c r="L3633" s="7">
        <v>-95.453794470000005</v>
      </c>
      <c r="M3633" s="6" t="s">
        <v>161</v>
      </c>
      <c r="N3633" s="6" t="s">
        <v>160</v>
      </c>
      <c r="O3633" s="6" t="s">
        <v>23</v>
      </c>
    </row>
    <row r="3634" spans="1:15" x14ac:dyDescent="0.25">
      <c r="A3634" s="6" t="s">
        <v>12169</v>
      </c>
      <c r="B3634" s="6" t="s">
        <v>12168</v>
      </c>
      <c r="C3634" s="6" t="s">
        <v>31</v>
      </c>
      <c r="E3634" s="6" t="s">
        <v>12167</v>
      </c>
      <c r="F3634" s="6" t="s">
        <v>12166</v>
      </c>
      <c r="G3634" s="6" t="s">
        <v>16</v>
      </c>
      <c r="H3634" s="6" t="s">
        <v>28</v>
      </c>
      <c r="I3634" s="6" t="s">
        <v>14</v>
      </c>
      <c r="J3634" s="6" t="s">
        <v>26</v>
      </c>
      <c r="K3634" s="7">
        <v>30.45638898</v>
      </c>
      <c r="L3634" s="7">
        <v>-95.518087489999999</v>
      </c>
      <c r="M3634" s="6" t="s">
        <v>340</v>
      </c>
      <c r="N3634" s="6" t="s">
        <v>24</v>
      </c>
      <c r="O3634" s="6" t="s">
        <v>23</v>
      </c>
    </row>
    <row r="3635" spans="1:15" x14ac:dyDescent="0.25">
      <c r="A3635" s="6" t="s">
        <v>5132</v>
      </c>
      <c r="B3635" s="6" t="s">
        <v>5131</v>
      </c>
      <c r="C3635" s="6" t="s">
        <v>31</v>
      </c>
      <c r="E3635" s="6" t="s">
        <v>5130</v>
      </c>
      <c r="F3635" s="6" t="s">
        <v>5129</v>
      </c>
      <c r="G3635" s="6" t="s">
        <v>16</v>
      </c>
      <c r="H3635" s="6" t="s">
        <v>15</v>
      </c>
      <c r="I3635" s="6" t="s">
        <v>36</v>
      </c>
      <c r="J3635" s="6" t="s">
        <v>215</v>
      </c>
      <c r="K3635" s="7">
        <v>29.385398370000001</v>
      </c>
      <c r="L3635" s="7">
        <v>-94.887659869999993</v>
      </c>
      <c r="M3635" s="6" t="s">
        <v>496</v>
      </c>
      <c r="N3635" s="6" t="s">
        <v>160</v>
      </c>
      <c r="O3635" s="6" t="s">
        <v>23</v>
      </c>
    </row>
    <row r="3636" spans="1:15" x14ac:dyDescent="0.25">
      <c r="A3636" s="6" t="s">
        <v>12190</v>
      </c>
      <c r="B3636" s="6" t="s">
        <v>12189</v>
      </c>
      <c r="C3636" s="6" t="s">
        <v>31</v>
      </c>
      <c r="E3636" s="6" t="s">
        <v>12188</v>
      </c>
      <c r="F3636" s="6" t="s">
        <v>12187</v>
      </c>
      <c r="G3636" s="6" t="s">
        <v>16</v>
      </c>
      <c r="H3636" s="6" t="s">
        <v>28</v>
      </c>
      <c r="I3636" s="6" t="s">
        <v>14</v>
      </c>
      <c r="J3636" s="6" t="s">
        <v>1451</v>
      </c>
      <c r="K3636" s="7">
        <v>31.95360926</v>
      </c>
      <c r="L3636" s="7">
        <v>-97.39727929</v>
      </c>
      <c r="M3636" s="6" t="s">
        <v>1450</v>
      </c>
      <c r="N3636" s="6" t="s">
        <v>23</v>
      </c>
      <c r="O3636" s="6" t="s">
        <v>120</v>
      </c>
    </row>
    <row r="3637" spans="1:15" x14ac:dyDescent="0.25">
      <c r="A3637" s="6" t="s">
        <v>5087</v>
      </c>
      <c r="B3637" s="6" t="s">
        <v>5041</v>
      </c>
      <c r="C3637" s="6" t="s">
        <v>31</v>
      </c>
      <c r="E3637" s="6" t="s">
        <v>5040</v>
      </c>
      <c r="F3637" s="6" t="s">
        <v>5030</v>
      </c>
      <c r="G3637" s="6" t="s">
        <v>16</v>
      </c>
      <c r="H3637" s="6" t="s">
        <v>15</v>
      </c>
      <c r="I3637" s="6" t="s">
        <v>36</v>
      </c>
      <c r="J3637" s="6" t="s">
        <v>385</v>
      </c>
      <c r="K3637" s="7">
        <v>29.980453799999999</v>
      </c>
      <c r="L3637" s="7">
        <v>-93.877832580000003</v>
      </c>
      <c r="M3637" s="6" t="s">
        <v>429</v>
      </c>
      <c r="N3637" s="6" t="s">
        <v>52</v>
      </c>
      <c r="O3637" s="6" t="s">
        <v>24</v>
      </c>
    </row>
    <row r="3638" spans="1:15" x14ac:dyDescent="0.25">
      <c r="A3638" s="6" t="s">
        <v>5042</v>
      </c>
      <c r="B3638" s="6" t="s">
        <v>5041</v>
      </c>
      <c r="C3638" s="6" t="s">
        <v>19</v>
      </c>
      <c r="E3638" s="6" t="s">
        <v>5040</v>
      </c>
      <c r="F3638" s="6" t="s">
        <v>5030</v>
      </c>
      <c r="G3638" s="6" t="s">
        <v>16</v>
      </c>
      <c r="H3638" s="6" t="s">
        <v>430</v>
      </c>
      <c r="I3638" s="6" t="s">
        <v>36</v>
      </c>
      <c r="J3638" s="6" t="s">
        <v>385</v>
      </c>
      <c r="K3638" s="7">
        <v>29.957938259999999</v>
      </c>
      <c r="L3638" s="7">
        <v>-93.88146064</v>
      </c>
      <c r="M3638" s="6" t="s">
        <v>610</v>
      </c>
      <c r="N3638" s="6" t="s">
        <v>383</v>
      </c>
      <c r="O3638" s="6" t="s">
        <v>24</v>
      </c>
    </row>
    <row r="3639" spans="1:15" x14ac:dyDescent="0.25">
      <c r="A3639" s="6" t="s">
        <v>6426</v>
      </c>
      <c r="B3639" s="6" t="s">
        <v>6425</v>
      </c>
      <c r="C3639" s="6" t="s">
        <v>31</v>
      </c>
      <c r="E3639" s="6" t="s">
        <v>6424</v>
      </c>
      <c r="F3639" s="6" t="s">
        <v>6423</v>
      </c>
      <c r="G3639" s="6" t="s">
        <v>284</v>
      </c>
      <c r="H3639" s="6" t="s">
        <v>28</v>
      </c>
      <c r="I3639" s="6" t="s">
        <v>14</v>
      </c>
      <c r="J3639" s="6" t="s">
        <v>753</v>
      </c>
      <c r="K3639" s="7">
        <v>30.196207879999999</v>
      </c>
      <c r="L3639" s="7">
        <v>-97.999423750000005</v>
      </c>
      <c r="M3639" s="6" t="s">
        <v>6422</v>
      </c>
      <c r="N3639" s="6" t="s">
        <v>10</v>
      </c>
      <c r="O3639" s="6" t="s">
        <v>160</v>
      </c>
    </row>
    <row r="3640" spans="1:15" x14ac:dyDescent="0.25">
      <c r="A3640" s="6" t="s">
        <v>5789</v>
      </c>
      <c r="B3640" s="6" t="s">
        <v>5140</v>
      </c>
      <c r="C3640" s="6" t="s">
        <v>31</v>
      </c>
      <c r="E3640" s="6" t="s">
        <v>5139</v>
      </c>
      <c r="F3640" s="6" t="s">
        <v>4115</v>
      </c>
      <c r="G3640" s="6" t="s">
        <v>16</v>
      </c>
      <c r="H3640" s="6" t="s">
        <v>430</v>
      </c>
      <c r="I3640" s="6" t="s">
        <v>36</v>
      </c>
      <c r="J3640" s="6" t="s">
        <v>35</v>
      </c>
      <c r="K3640" s="7">
        <v>29.767495759999999</v>
      </c>
      <c r="L3640" s="7">
        <v>-95.146227769999996</v>
      </c>
      <c r="M3640" s="6" t="s">
        <v>34</v>
      </c>
      <c r="N3640" s="6" t="s">
        <v>24</v>
      </c>
      <c r="O3640" s="6" t="s">
        <v>23</v>
      </c>
    </row>
    <row r="3641" spans="1:15" x14ac:dyDescent="0.25">
      <c r="A3641" s="6" t="s">
        <v>5143</v>
      </c>
      <c r="B3641" s="6" t="s">
        <v>5140</v>
      </c>
      <c r="C3641" s="6" t="s">
        <v>19</v>
      </c>
      <c r="E3641" s="6" t="s">
        <v>5139</v>
      </c>
      <c r="F3641" s="6" t="s">
        <v>4115</v>
      </c>
      <c r="G3641" s="6" t="s">
        <v>16</v>
      </c>
      <c r="H3641" s="6" t="s">
        <v>15</v>
      </c>
      <c r="I3641" s="6" t="s">
        <v>36</v>
      </c>
      <c r="J3641" s="6" t="s">
        <v>35</v>
      </c>
      <c r="K3641" s="7">
        <v>29.767804529999999</v>
      </c>
      <c r="L3641" s="7">
        <v>-95.145840289999995</v>
      </c>
      <c r="M3641" s="6" t="s">
        <v>34</v>
      </c>
      <c r="N3641" s="6" t="s">
        <v>24</v>
      </c>
      <c r="O3641" s="6" t="s">
        <v>23</v>
      </c>
    </row>
    <row r="3642" spans="1:15" x14ac:dyDescent="0.25">
      <c r="A3642" s="6" t="s">
        <v>5142</v>
      </c>
      <c r="B3642" s="6" t="s">
        <v>5140</v>
      </c>
      <c r="C3642" s="6" t="s">
        <v>436</v>
      </c>
      <c r="E3642" s="6" t="s">
        <v>5139</v>
      </c>
      <c r="F3642" s="6" t="s">
        <v>4115</v>
      </c>
      <c r="G3642" s="6" t="s">
        <v>16</v>
      </c>
      <c r="H3642" s="6" t="s">
        <v>15</v>
      </c>
      <c r="I3642" s="6" t="s">
        <v>36</v>
      </c>
      <c r="J3642" s="6" t="s">
        <v>35</v>
      </c>
      <c r="K3642" s="7">
        <v>29.76814332</v>
      </c>
      <c r="L3642" s="7">
        <v>-95.145459880000004</v>
      </c>
      <c r="M3642" s="6" t="s">
        <v>34</v>
      </c>
      <c r="N3642" s="6" t="s">
        <v>24</v>
      </c>
      <c r="O3642" s="6" t="s">
        <v>23</v>
      </c>
    </row>
    <row r="3643" spans="1:15" x14ac:dyDescent="0.25">
      <c r="A3643" s="6" t="s">
        <v>5141</v>
      </c>
      <c r="B3643" s="6" t="s">
        <v>5140</v>
      </c>
      <c r="C3643" s="6" t="s">
        <v>597</v>
      </c>
      <c r="E3643" s="6" t="s">
        <v>5139</v>
      </c>
      <c r="F3643" s="6" t="s">
        <v>4115</v>
      </c>
      <c r="G3643" s="6" t="s">
        <v>16</v>
      </c>
      <c r="H3643" s="6" t="s">
        <v>430</v>
      </c>
      <c r="I3643" s="6" t="s">
        <v>36</v>
      </c>
      <c r="J3643" s="6" t="s">
        <v>35</v>
      </c>
      <c r="K3643" s="7">
        <v>29.768717769999999</v>
      </c>
      <c r="L3643" s="7">
        <v>-95.144788349999999</v>
      </c>
      <c r="M3643" s="6" t="s">
        <v>34</v>
      </c>
      <c r="N3643" s="6" t="s">
        <v>24</v>
      </c>
      <c r="O3643" s="6" t="s">
        <v>23</v>
      </c>
    </row>
    <row r="3644" spans="1:15" x14ac:dyDescent="0.25">
      <c r="A3644" s="6" t="s">
        <v>5135</v>
      </c>
      <c r="B3644" s="6" t="s">
        <v>5134</v>
      </c>
      <c r="C3644" s="6" t="s">
        <v>31</v>
      </c>
      <c r="E3644" s="6" t="s">
        <v>5133</v>
      </c>
      <c r="F3644" s="6" t="s">
        <v>2575</v>
      </c>
      <c r="G3644" s="6" t="s">
        <v>16</v>
      </c>
      <c r="H3644" s="6" t="s">
        <v>28</v>
      </c>
      <c r="I3644" s="6" t="s">
        <v>36</v>
      </c>
      <c r="J3644" s="6" t="s">
        <v>35</v>
      </c>
      <c r="K3644" s="7">
        <v>29.972366829999999</v>
      </c>
      <c r="L3644" s="7">
        <v>-95.782199329999997</v>
      </c>
      <c r="M3644" s="6" t="s">
        <v>279</v>
      </c>
      <c r="N3644" s="6" t="s">
        <v>24</v>
      </c>
      <c r="O3644" s="6" t="s">
        <v>23</v>
      </c>
    </row>
    <row r="3645" spans="1:15" x14ac:dyDescent="0.25">
      <c r="A3645" s="6" t="s">
        <v>2059</v>
      </c>
      <c r="B3645" s="6" t="s">
        <v>2058</v>
      </c>
      <c r="C3645" s="6" t="s">
        <v>31</v>
      </c>
      <c r="E3645" s="6" t="s">
        <v>2057</v>
      </c>
      <c r="F3645" s="6" t="s">
        <v>2056</v>
      </c>
      <c r="G3645" s="6" t="s">
        <v>16</v>
      </c>
      <c r="H3645" s="6" t="s">
        <v>28</v>
      </c>
      <c r="I3645" s="6" t="s">
        <v>36</v>
      </c>
      <c r="J3645" s="6" t="s">
        <v>1519</v>
      </c>
      <c r="K3645" s="7">
        <v>29.96249018</v>
      </c>
      <c r="L3645" s="7">
        <v>-94.890514170000003</v>
      </c>
      <c r="M3645" s="6" t="s">
        <v>2055</v>
      </c>
      <c r="N3645" s="6" t="s">
        <v>102</v>
      </c>
      <c r="O3645" s="6" t="s">
        <v>23</v>
      </c>
    </row>
    <row r="3646" spans="1:15" x14ac:dyDescent="0.25">
      <c r="A3646" s="6" t="s">
        <v>5109</v>
      </c>
      <c r="B3646" s="6" t="s">
        <v>5108</v>
      </c>
      <c r="C3646" s="6" t="s">
        <v>31</v>
      </c>
      <c r="E3646" s="6" t="s">
        <v>5107</v>
      </c>
      <c r="F3646" s="6" t="s">
        <v>5106</v>
      </c>
      <c r="G3646" s="6" t="s">
        <v>16</v>
      </c>
      <c r="H3646" s="6" t="s">
        <v>15</v>
      </c>
      <c r="I3646" s="6" t="s">
        <v>36</v>
      </c>
      <c r="J3646" s="6" t="s">
        <v>35</v>
      </c>
      <c r="K3646" s="7">
        <v>29.816849650000002</v>
      </c>
      <c r="L3646" s="7">
        <v>-94.910839460000005</v>
      </c>
      <c r="M3646" s="6" t="s">
        <v>1445</v>
      </c>
      <c r="N3646" s="6" t="s">
        <v>120</v>
      </c>
      <c r="O3646" s="6" t="s">
        <v>23</v>
      </c>
    </row>
    <row r="3647" spans="1:15" x14ac:dyDescent="0.25">
      <c r="A3647" s="6" t="s">
        <v>9396</v>
      </c>
      <c r="B3647" s="6" t="s">
        <v>9395</v>
      </c>
      <c r="C3647" s="6" t="s">
        <v>31</v>
      </c>
      <c r="E3647" s="6" t="s">
        <v>9394</v>
      </c>
      <c r="F3647" s="6" t="s">
        <v>9393</v>
      </c>
      <c r="G3647" s="6" t="s">
        <v>16</v>
      </c>
      <c r="H3647" s="6" t="s">
        <v>28</v>
      </c>
      <c r="I3647" s="6" t="s">
        <v>36</v>
      </c>
      <c r="J3647" s="6" t="s">
        <v>1676</v>
      </c>
      <c r="K3647" s="7">
        <v>28.661737259999999</v>
      </c>
      <c r="L3647" s="7">
        <v>-99.171696530000006</v>
      </c>
      <c r="M3647" s="6" t="s">
        <v>1644</v>
      </c>
      <c r="N3647" s="6" t="s">
        <v>524</v>
      </c>
      <c r="O3647" s="6" t="s">
        <v>231</v>
      </c>
    </row>
    <row r="3648" spans="1:15" x14ac:dyDescent="0.25">
      <c r="A3648" s="6" t="s">
        <v>5039</v>
      </c>
      <c r="B3648" s="6" t="s">
        <v>5038</v>
      </c>
      <c r="C3648" s="6" t="s">
        <v>31</v>
      </c>
      <c r="E3648" s="6" t="s">
        <v>5037</v>
      </c>
      <c r="F3648" s="6" t="s">
        <v>5036</v>
      </c>
      <c r="G3648" s="6" t="s">
        <v>16</v>
      </c>
      <c r="H3648" s="6" t="s">
        <v>28</v>
      </c>
      <c r="I3648" s="6" t="s">
        <v>36</v>
      </c>
      <c r="J3648" s="6" t="s">
        <v>1676</v>
      </c>
      <c r="K3648" s="7">
        <v>28.666451840000001</v>
      </c>
      <c r="L3648" s="7">
        <v>-99.147574640000002</v>
      </c>
      <c r="M3648" s="6" t="s">
        <v>1644</v>
      </c>
      <c r="N3648" s="6" t="s">
        <v>524</v>
      </c>
      <c r="O3648" s="6" t="s">
        <v>231</v>
      </c>
    </row>
    <row r="3649" spans="1:15" x14ac:dyDescent="0.25">
      <c r="A3649" s="6" t="s">
        <v>5104</v>
      </c>
      <c r="B3649" s="6" t="s">
        <v>5103</v>
      </c>
      <c r="C3649" s="6" t="s">
        <v>31</v>
      </c>
      <c r="E3649" s="6" t="s">
        <v>5102</v>
      </c>
      <c r="F3649" s="6" t="s">
        <v>5101</v>
      </c>
      <c r="G3649" s="6" t="s">
        <v>16</v>
      </c>
      <c r="H3649" s="6" t="s">
        <v>15</v>
      </c>
      <c r="I3649" s="6" t="s">
        <v>14</v>
      </c>
      <c r="J3649" s="6" t="s">
        <v>35</v>
      </c>
      <c r="K3649" s="7">
        <v>29.587945650000002</v>
      </c>
      <c r="L3649" s="7">
        <v>-95.014474759999999</v>
      </c>
      <c r="M3649" s="6" t="s">
        <v>5100</v>
      </c>
      <c r="N3649" s="6" t="s">
        <v>160</v>
      </c>
      <c r="O3649" s="6" t="s">
        <v>23</v>
      </c>
    </row>
    <row r="3650" spans="1:15" x14ac:dyDescent="0.25">
      <c r="A3650" s="6" t="s">
        <v>12199</v>
      </c>
      <c r="B3650" s="6" t="s">
        <v>12198</v>
      </c>
      <c r="C3650" s="6" t="s">
        <v>31</v>
      </c>
      <c r="E3650" s="6" t="s">
        <v>12197</v>
      </c>
      <c r="F3650" s="6" t="s">
        <v>12196</v>
      </c>
      <c r="G3650" s="6" t="s">
        <v>16</v>
      </c>
      <c r="H3650" s="6" t="s">
        <v>28</v>
      </c>
      <c r="I3650" s="6" t="s">
        <v>14</v>
      </c>
      <c r="J3650" s="6" t="s">
        <v>35</v>
      </c>
      <c r="K3650" s="7">
        <v>29.79223691</v>
      </c>
      <c r="L3650" s="7">
        <v>-95.090378580000007</v>
      </c>
      <c r="M3650" s="6" t="s">
        <v>34</v>
      </c>
      <c r="N3650" s="6" t="s">
        <v>24</v>
      </c>
      <c r="O3650" s="6" t="s">
        <v>23</v>
      </c>
    </row>
    <row r="3651" spans="1:15" x14ac:dyDescent="0.25">
      <c r="A3651" s="6" t="s">
        <v>5099</v>
      </c>
      <c r="B3651" s="6" t="s">
        <v>5098</v>
      </c>
      <c r="C3651" s="6" t="s">
        <v>31</v>
      </c>
      <c r="E3651" s="6" t="s">
        <v>5097</v>
      </c>
      <c r="F3651" s="6" t="s">
        <v>5096</v>
      </c>
      <c r="G3651" s="6" t="s">
        <v>16</v>
      </c>
      <c r="H3651" s="6" t="s">
        <v>28</v>
      </c>
      <c r="I3651" s="6" t="s">
        <v>36</v>
      </c>
      <c r="J3651" s="6" t="s">
        <v>132</v>
      </c>
      <c r="K3651" s="7">
        <v>29.546031589999998</v>
      </c>
      <c r="L3651" s="7">
        <v>-95.716801869999998</v>
      </c>
      <c r="M3651" s="6" t="s">
        <v>355</v>
      </c>
      <c r="N3651" s="6" t="s">
        <v>23</v>
      </c>
      <c r="O3651" s="6" t="s">
        <v>23</v>
      </c>
    </row>
    <row r="3652" spans="1:15" x14ac:dyDescent="0.25">
      <c r="A3652" s="6" t="s">
        <v>5029</v>
      </c>
      <c r="B3652" s="6" t="s">
        <v>5028</v>
      </c>
      <c r="C3652" s="6" t="s">
        <v>31</v>
      </c>
      <c r="E3652" s="6" t="s">
        <v>5027</v>
      </c>
      <c r="F3652" s="6" t="s">
        <v>5026</v>
      </c>
      <c r="G3652" s="6" t="s">
        <v>16</v>
      </c>
      <c r="H3652" s="6" t="s">
        <v>28</v>
      </c>
      <c r="I3652" s="6" t="s">
        <v>36</v>
      </c>
      <c r="J3652" s="6" t="s">
        <v>2768</v>
      </c>
      <c r="K3652" s="7">
        <v>32.420774780000002</v>
      </c>
      <c r="L3652" s="7">
        <v>-97.170528910000002</v>
      </c>
      <c r="M3652" s="6" t="s">
        <v>1287</v>
      </c>
      <c r="N3652" s="6" t="s">
        <v>102</v>
      </c>
      <c r="O3652" s="6" t="s">
        <v>42</v>
      </c>
    </row>
    <row r="3653" spans="1:15" x14ac:dyDescent="0.25">
      <c r="A3653" s="6" t="s">
        <v>2728</v>
      </c>
      <c r="B3653" s="6" t="s">
        <v>2727</v>
      </c>
      <c r="C3653" s="6" t="s">
        <v>31</v>
      </c>
      <c r="E3653" s="6" t="s">
        <v>2726</v>
      </c>
      <c r="F3653" s="6" t="s">
        <v>2725</v>
      </c>
      <c r="G3653" s="6" t="s">
        <v>16</v>
      </c>
      <c r="H3653" s="6" t="s">
        <v>28</v>
      </c>
      <c r="I3653" s="6" t="s">
        <v>36</v>
      </c>
      <c r="J3653" s="6" t="s">
        <v>67</v>
      </c>
      <c r="K3653" s="7">
        <v>32.191679649999998</v>
      </c>
      <c r="L3653" s="7">
        <v>-95.438532300000006</v>
      </c>
      <c r="M3653" s="6" t="s">
        <v>66</v>
      </c>
      <c r="N3653" s="6" t="s">
        <v>52</v>
      </c>
      <c r="O3653" s="6" t="s">
        <v>65</v>
      </c>
    </row>
    <row r="3654" spans="1:15" x14ac:dyDescent="0.25">
      <c r="A3654" s="6" t="s">
        <v>5124</v>
      </c>
      <c r="B3654" s="6" t="s">
        <v>5123</v>
      </c>
      <c r="C3654" s="6" t="s">
        <v>31</v>
      </c>
      <c r="E3654" s="6" t="s">
        <v>5122</v>
      </c>
      <c r="F3654" s="6" t="s">
        <v>5121</v>
      </c>
      <c r="G3654" s="6" t="s">
        <v>16</v>
      </c>
      <c r="H3654" s="6" t="s">
        <v>28</v>
      </c>
      <c r="I3654" s="6" t="s">
        <v>36</v>
      </c>
      <c r="J3654" s="6" t="s">
        <v>35</v>
      </c>
      <c r="K3654" s="7">
        <v>29.853281290000002</v>
      </c>
      <c r="L3654" s="7">
        <v>-95.816506340000004</v>
      </c>
      <c r="M3654" s="6" t="s">
        <v>131</v>
      </c>
      <c r="N3654" s="6" t="s">
        <v>24</v>
      </c>
      <c r="O3654" s="6" t="s">
        <v>23</v>
      </c>
    </row>
    <row r="3655" spans="1:15" x14ac:dyDescent="0.25">
      <c r="A3655" s="6" t="s">
        <v>5116</v>
      </c>
      <c r="B3655" s="6" t="s">
        <v>5115</v>
      </c>
      <c r="C3655" s="6" t="s">
        <v>31</v>
      </c>
      <c r="E3655" s="6" t="s">
        <v>5114</v>
      </c>
      <c r="F3655" s="6" t="s">
        <v>5113</v>
      </c>
      <c r="G3655" s="6" t="s">
        <v>16</v>
      </c>
      <c r="H3655" s="6" t="s">
        <v>15</v>
      </c>
      <c r="I3655" s="6" t="s">
        <v>36</v>
      </c>
      <c r="J3655" s="6" t="s">
        <v>26</v>
      </c>
      <c r="K3655" s="7">
        <v>30.206070329999999</v>
      </c>
      <c r="L3655" s="7">
        <v>-95.342245539999993</v>
      </c>
      <c r="M3655" s="6" t="s">
        <v>1022</v>
      </c>
      <c r="N3655" s="6" t="s">
        <v>24</v>
      </c>
      <c r="O3655" s="6" t="s">
        <v>23</v>
      </c>
    </row>
    <row r="3656" spans="1:15" x14ac:dyDescent="0.25">
      <c r="A3656" s="6" t="s">
        <v>5128</v>
      </c>
      <c r="B3656" s="6" t="s">
        <v>5127</v>
      </c>
      <c r="C3656" s="6" t="s">
        <v>31</v>
      </c>
      <c r="E3656" s="6" t="s">
        <v>5126</v>
      </c>
      <c r="F3656" s="6" t="s">
        <v>5125</v>
      </c>
      <c r="G3656" s="6" t="s">
        <v>284</v>
      </c>
      <c r="H3656" s="6" t="s">
        <v>28</v>
      </c>
      <c r="I3656" s="6" t="s">
        <v>14</v>
      </c>
      <c r="J3656" s="6" t="s">
        <v>2267</v>
      </c>
      <c r="K3656" s="7">
        <v>32.177107110000001</v>
      </c>
      <c r="L3656" s="7">
        <v>-96.068443029999997</v>
      </c>
      <c r="M3656" s="6" t="s">
        <v>1031</v>
      </c>
      <c r="N3656" s="6" t="s">
        <v>102</v>
      </c>
      <c r="O3656" s="6" t="s">
        <v>65</v>
      </c>
    </row>
    <row r="3657" spans="1:15" x14ac:dyDescent="0.25">
      <c r="A3657" s="6" t="s">
        <v>541</v>
      </c>
      <c r="B3657" s="6" t="s">
        <v>540</v>
      </c>
      <c r="C3657" s="6" t="s">
        <v>31</v>
      </c>
      <c r="E3657" s="6" t="s">
        <v>539</v>
      </c>
      <c r="F3657" s="6" t="s">
        <v>538</v>
      </c>
      <c r="G3657" s="6" t="s">
        <v>16</v>
      </c>
      <c r="H3657" s="6" t="s">
        <v>28</v>
      </c>
      <c r="I3657" s="6" t="s">
        <v>14</v>
      </c>
      <c r="J3657" s="6" t="s">
        <v>537</v>
      </c>
      <c r="K3657" s="7">
        <v>35.187790419999999</v>
      </c>
      <c r="L3657" s="7">
        <v>-102.01049442999999</v>
      </c>
      <c r="M3657" s="6" t="s">
        <v>536</v>
      </c>
      <c r="N3657" s="6" t="s">
        <v>43</v>
      </c>
      <c r="O3657" s="6" t="s">
        <v>535</v>
      </c>
    </row>
    <row r="3658" spans="1:15" x14ac:dyDescent="0.25">
      <c r="A3658" s="6" t="s">
        <v>12183</v>
      </c>
      <c r="B3658" s="6" t="s">
        <v>12182</v>
      </c>
      <c r="C3658" s="6" t="s">
        <v>31</v>
      </c>
      <c r="E3658" s="6" t="s">
        <v>12181</v>
      </c>
      <c r="F3658" s="6" t="s">
        <v>12180</v>
      </c>
      <c r="G3658" s="6" t="s">
        <v>16</v>
      </c>
      <c r="H3658" s="6" t="s">
        <v>28</v>
      </c>
      <c r="I3658" s="6" t="s">
        <v>14</v>
      </c>
      <c r="J3658" s="6" t="s">
        <v>2768</v>
      </c>
      <c r="K3658" s="7">
        <v>32.367353379999997</v>
      </c>
      <c r="L3658" s="7">
        <v>-97.26690481</v>
      </c>
      <c r="M3658" s="6" t="s">
        <v>2048</v>
      </c>
      <c r="N3658" s="6" t="s">
        <v>102</v>
      </c>
      <c r="O3658" s="6" t="s">
        <v>42</v>
      </c>
    </row>
    <row r="3659" spans="1:15" x14ac:dyDescent="0.25">
      <c r="A3659" s="6" t="s">
        <v>12176</v>
      </c>
      <c r="B3659" s="6" t="s">
        <v>12175</v>
      </c>
      <c r="C3659" s="6" t="s">
        <v>31</v>
      </c>
      <c r="E3659" s="6" t="s">
        <v>12174</v>
      </c>
      <c r="F3659" s="6" t="s">
        <v>11488</v>
      </c>
      <c r="G3659" s="6" t="s">
        <v>16</v>
      </c>
      <c r="H3659" s="6" t="s">
        <v>28</v>
      </c>
      <c r="I3659" s="6" t="s">
        <v>14</v>
      </c>
      <c r="J3659" s="6" t="s">
        <v>35</v>
      </c>
      <c r="K3659" s="7">
        <v>29.869943849999999</v>
      </c>
      <c r="L3659" s="7">
        <v>-95.193905110000003</v>
      </c>
      <c r="M3659" s="6" t="s">
        <v>198</v>
      </c>
      <c r="N3659" s="6" t="s">
        <v>24</v>
      </c>
      <c r="O3659" s="6" t="s">
        <v>23</v>
      </c>
    </row>
    <row r="3660" spans="1:15" x14ac:dyDescent="0.25">
      <c r="A3660" s="6" t="s">
        <v>12173</v>
      </c>
      <c r="B3660" s="6" t="s">
        <v>12172</v>
      </c>
      <c r="C3660" s="6" t="s">
        <v>31</v>
      </c>
      <c r="E3660" s="6" t="s">
        <v>12171</v>
      </c>
      <c r="F3660" s="6" t="s">
        <v>12170</v>
      </c>
      <c r="G3660" s="6" t="s">
        <v>16</v>
      </c>
      <c r="H3660" s="6" t="s">
        <v>28</v>
      </c>
      <c r="I3660" s="6" t="s">
        <v>14</v>
      </c>
      <c r="J3660" s="6" t="s">
        <v>35</v>
      </c>
      <c r="K3660" s="7">
        <v>29.814547510000001</v>
      </c>
      <c r="L3660" s="7">
        <v>-95.737731760000003</v>
      </c>
      <c r="M3660" s="6" t="s">
        <v>131</v>
      </c>
      <c r="N3660" s="6" t="s">
        <v>24</v>
      </c>
      <c r="O3660" s="6" t="s">
        <v>23</v>
      </c>
    </row>
    <row r="3661" spans="1:15" x14ac:dyDescent="0.25">
      <c r="A3661" s="6" t="s">
        <v>12240</v>
      </c>
      <c r="B3661" s="6" t="s">
        <v>12239</v>
      </c>
      <c r="C3661" s="6" t="s">
        <v>31</v>
      </c>
      <c r="E3661" s="6" t="s">
        <v>12238</v>
      </c>
      <c r="F3661" s="6" t="s">
        <v>12237</v>
      </c>
      <c r="G3661" s="6" t="s">
        <v>16</v>
      </c>
      <c r="H3661" s="6" t="s">
        <v>28</v>
      </c>
      <c r="I3661" s="6" t="s">
        <v>14</v>
      </c>
      <c r="J3661" s="6" t="s">
        <v>1861</v>
      </c>
      <c r="K3661" s="7">
        <v>30.661139169999998</v>
      </c>
      <c r="L3661" s="7">
        <v>-96.251212129999999</v>
      </c>
      <c r="M3661" s="6" t="s">
        <v>927</v>
      </c>
      <c r="N3661" s="6" t="s">
        <v>23</v>
      </c>
      <c r="O3661" s="6" t="s">
        <v>120</v>
      </c>
    </row>
    <row r="3662" spans="1:15" x14ac:dyDescent="0.25">
      <c r="A3662" s="6" t="s">
        <v>5881</v>
      </c>
      <c r="B3662" s="6" t="s">
        <v>5880</v>
      </c>
      <c r="C3662" s="6" t="s">
        <v>31</v>
      </c>
      <c r="E3662" s="6" t="s">
        <v>5879</v>
      </c>
      <c r="F3662" s="6" t="s">
        <v>5878</v>
      </c>
      <c r="G3662" s="6" t="s">
        <v>284</v>
      </c>
      <c r="H3662" s="6" t="s">
        <v>15</v>
      </c>
      <c r="I3662" s="6" t="s">
        <v>36</v>
      </c>
      <c r="J3662" s="6" t="s">
        <v>104</v>
      </c>
      <c r="K3662" s="7">
        <v>32.667286560000001</v>
      </c>
      <c r="L3662" s="7">
        <v>-96.428193230000005</v>
      </c>
      <c r="M3662" s="6" t="s">
        <v>450</v>
      </c>
      <c r="N3662" s="6" t="s">
        <v>102</v>
      </c>
      <c r="O3662" s="6" t="s">
        <v>42</v>
      </c>
    </row>
    <row r="3663" spans="1:15" x14ac:dyDescent="0.25">
      <c r="A3663" s="6" t="s">
        <v>5021</v>
      </c>
      <c r="B3663" s="6" t="s">
        <v>5020</v>
      </c>
      <c r="C3663" s="6" t="s">
        <v>31</v>
      </c>
      <c r="E3663" s="6" t="s">
        <v>5019</v>
      </c>
      <c r="F3663" s="6" t="s">
        <v>5018</v>
      </c>
      <c r="G3663" s="6" t="s">
        <v>16</v>
      </c>
      <c r="H3663" s="6" t="s">
        <v>28</v>
      </c>
      <c r="I3663" s="6" t="s">
        <v>14</v>
      </c>
      <c r="J3663" s="6" t="s">
        <v>753</v>
      </c>
      <c r="K3663" s="7">
        <v>29.960416500000001</v>
      </c>
      <c r="L3663" s="7">
        <v>-97.812390269999995</v>
      </c>
      <c r="M3663" s="6" t="s">
        <v>752</v>
      </c>
      <c r="N3663" s="6" t="s">
        <v>559</v>
      </c>
      <c r="O3663" s="6" t="s">
        <v>160</v>
      </c>
    </row>
    <row r="3664" spans="1:15" x14ac:dyDescent="0.25">
      <c r="A3664" s="6" t="s">
        <v>5095</v>
      </c>
      <c r="B3664" s="6" t="s">
        <v>5094</v>
      </c>
      <c r="C3664" s="6" t="s">
        <v>31</v>
      </c>
      <c r="E3664" s="6" t="s">
        <v>5093</v>
      </c>
      <c r="F3664" s="6" t="s">
        <v>5092</v>
      </c>
      <c r="G3664" s="6" t="s">
        <v>16</v>
      </c>
      <c r="H3664" s="6" t="s">
        <v>28</v>
      </c>
      <c r="I3664" s="6" t="s">
        <v>14</v>
      </c>
      <c r="J3664" s="6" t="s">
        <v>132</v>
      </c>
      <c r="K3664" s="7">
        <v>29.561211669999999</v>
      </c>
      <c r="L3664" s="7">
        <v>-95.487003889999997</v>
      </c>
      <c r="M3664" s="6" t="s">
        <v>706</v>
      </c>
      <c r="N3664" s="6" t="s">
        <v>160</v>
      </c>
      <c r="O3664" s="6" t="s">
        <v>23</v>
      </c>
    </row>
    <row r="3665" spans="1:15" x14ac:dyDescent="0.25">
      <c r="A3665" s="6" t="s">
        <v>5005</v>
      </c>
      <c r="B3665" s="6" t="s">
        <v>5004</v>
      </c>
      <c r="C3665" s="6" t="s">
        <v>31</v>
      </c>
      <c r="E3665" s="6" t="s">
        <v>5003</v>
      </c>
      <c r="F3665" s="6" t="s">
        <v>5002</v>
      </c>
      <c r="G3665" s="6" t="s">
        <v>16</v>
      </c>
      <c r="H3665" s="6" t="s">
        <v>28</v>
      </c>
      <c r="I3665" s="6" t="s">
        <v>14</v>
      </c>
      <c r="J3665" s="6" t="s">
        <v>132</v>
      </c>
      <c r="K3665" s="7">
        <v>29.499921789999998</v>
      </c>
      <c r="L3665" s="7">
        <v>-95.446246239999994</v>
      </c>
      <c r="M3665" s="6" t="s">
        <v>161</v>
      </c>
      <c r="N3665" s="6" t="s">
        <v>160</v>
      </c>
      <c r="O3665" s="6" t="s">
        <v>23</v>
      </c>
    </row>
    <row r="3666" spans="1:15" x14ac:dyDescent="0.25">
      <c r="A3666" s="6" t="s">
        <v>12151</v>
      </c>
      <c r="B3666" s="6" t="s">
        <v>12150</v>
      </c>
      <c r="C3666" s="6" t="s">
        <v>31</v>
      </c>
      <c r="E3666" s="6" t="s">
        <v>12149</v>
      </c>
      <c r="F3666" s="6" t="s">
        <v>12148</v>
      </c>
      <c r="G3666" s="6" t="s">
        <v>16</v>
      </c>
      <c r="H3666" s="6" t="s">
        <v>15</v>
      </c>
      <c r="I3666" s="6" t="s">
        <v>14</v>
      </c>
      <c r="J3666" s="6" t="s">
        <v>1240</v>
      </c>
      <c r="K3666" s="7">
        <v>28.69492979</v>
      </c>
      <c r="L3666" s="7">
        <v>-96.945878160000007</v>
      </c>
      <c r="M3666" s="6" t="s">
        <v>83</v>
      </c>
      <c r="N3666" s="6" t="s">
        <v>82</v>
      </c>
      <c r="O3666" s="6" t="s">
        <v>10</v>
      </c>
    </row>
    <row r="3667" spans="1:15" x14ac:dyDescent="0.25">
      <c r="A3667" s="6" t="s">
        <v>6095</v>
      </c>
      <c r="B3667" s="6" t="s">
        <v>6094</v>
      </c>
      <c r="C3667" s="6" t="s">
        <v>31</v>
      </c>
      <c r="E3667" s="6" t="s">
        <v>6093</v>
      </c>
      <c r="F3667" s="6" t="s">
        <v>6092</v>
      </c>
      <c r="G3667" s="6" t="s">
        <v>16</v>
      </c>
      <c r="H3667" s="6" t="s">
        <v>15</v>
      </c>
      <c r="I3667" s="6" t="s">
        <v>14</v>
      </c>
      <c r="J3667" s="6" t="s">
        <v>26</v>
      </c>
      <c r="K3667" s="7">
        <v>30.244401939999999</v>
      </c>
      <c r="L3667" s="7">
        <v>-95.195376400000001</v>
      </c>
      <c r="M3667" s="6" t="s">
        <v>4048</v>
      </c>
      <c r="N3667" s="6" t="s">
        <v>24</v>
      </c>
      <c r="O3667" s="6" t="s">
        <v>23</v>
      </c>
    </row>
    <row r="3668" spans="1:15" x14ac:dyDescent="0.25">
      <c r="A3668" s="6" t="s">
        <v>5014</v>
      </c>
      <c r="B3668" s="6" t="s">
        <v>5013</v>
      </c>
      <c r="C3668" s="6" t="s">
        <v>31</v>
      </c>
      <c r="E3668" s="6" t="s">
        <v>5012</v>
      </c>
      <c r="F3668" s="6" t="s">
        <v>5011</v>
      </c>
      <c r="G3668" s="6" t="s">
        <v>16</v>
      </c>
      <c r="H3668" s="6" t="s">
        <v>15</v>
      </c>
      <c r="I3668" s="6" t="s">
        <v>14</v>
      </c>
      <c r="J3668" s="6" t="s">
        <v>2273</v>
      </c>
      <c r="K3668" s="7">
        <v>31.37721161</v>
      </c>
      <c r="L3668" s="7">
        <v>-97.704432650000001</v>
      </c>
      <c r="M3668" s="6" t="s">
        <v>1322</v>
      </c>
      <c r="N3668" s="6" t="s">
        <v>23</v>
      </c>
      <c r="O3668" s="6" t="s">
        <v>120</v>
      </c>
    </row>
    <row r="3669" spans="1:15" x14ac:dyDescent="0.25">
      <c r="A3669" s="6" t="s">
        <v>12186</v>
      </c>
      <c r="B3669" s="6" t="s">
        <v>12185</v>
      </c>
      <c r="C3669" s="6" t="s">
        <v>31</v>
      </c>
      <c r="E3669" s="6" t="s">
        <v>12184</v>
      </c>
      <c r="F3669" s="6" t="s">
        <v>895</v>
      </c>
      <c r="G3669" s="6" t="s">
        <v>16</v>
      </c>
      <c r="H3669" s="6" t="s">
        <v>28</v>
      </c>
      <c r="I3669" s="6" t="s">
        <v>14</v>
      </c>
      <c r="J3669" s="6" t="s">
        <v>132</v>
      </c>
      <c r="K3669" s="7">
        <v>29.638603</v>
      </c>
      <c r="L3669" s="7">
        <v>-95.817054589999998</v>
      </c>
      <c r="M3669" s="6" t="s">
        <v>616</v>
      </c>
      <c r="N3669" s="6" t="s">
        <v>23</v>
      </c>
      <c r="O3669" s="6" t="s">
        <v>23</v>
      </c>
    </row>
    <row r="3670" spans="1:15" x14ac:dyDescent="0.25">
      <c r="A3670" s="6" t="s">
        <v>12165</v>
      </c>
      <c r="B3670" s="6" t="s">
        <v>12164</v>
      </c>
      <c r="C3670" s="6" t="s">
        <v>31</v>
      </c>
      <c r="E3670" s="6" t="s">
        <v>12163</v>
      </c>
      <c r="F3670" s="6" t="s">
        <v>12162</v>
      </c>
      <c r="G3670" s="6" t="s">
        <v>16</v>
      </c>
      <c r="H3670" s="6" t="s">
        <v>28</v>
      </c>
      <c r="I3670" s="6" t="s">
        <v>14</v>
      </c>
      <c r="J3670" s="6" t="s">
        <v>35</v>
      </c>
      <c r="K3670" s="7">
        <v>30.053479060000001</v>
      </c>
      <c r="L3670" s="7">
        <v>-95.75843544</v>
      </c>
      <c r="M3670" s="6" t="s">
        <v>279</v>
      </c>
      <c r="N3670" s="6" t="s">
        <v>24</v>
      </c>
      <c r="O3670" s="6" t="s">
        <v>23</v>
      </c>
    </row>
    <row r="3671" spans="1:15" x14ac:dyDescent="0.25">
      <c r="A3671" s="6" t="s">
        <v>12158</v>
      </c>
      <c r="B3671" s="6" t="s">
        <v>12157</v>
      </c>
      <c r="C3671" s="6" t="s">
        <v>31</v>
      </c>
      <c r="E3671" s="6" t="s">
        <v>12156</v>
      </c>
      <c r="F3671" s="6" t="s">
        <v>4364</v>
      </c>
      <c r="G3671" s="6" t="s">
        <v>16</v>
      </c>
      <c r="H3671" s="6" t="s">
        <v>28</v>
      </c>
      <c r="I3671" s="6" t="s">
        <v>14</v>
      </c>
      <c r="J3671" s="6" t="s">
        <v>1519</v>
      </c>
      <c r="K3671" s="7">
        <v>30.156787850000001</v>
      </c>
      <c r="L3671" s="7">
        <v>-95.080350670000001</v>
      </c>
      <c r="M3671" s="6" t="s">
        <v>1766</v>
      </c>
      <c r="N3671" s="6" t="s">
        <v>24</v>
      </c>
      <c r="O3671" s="6" t="s">
        <v>23</v>
      </c>
    </row>
    <row r="3672" spans="1:15" x14ac:dyDescent="0.25">
      <c r="A3672" s="6" t="s">
        <v>5001</v>
      </c>
      <c r="B3672" s="6" t="s">
        <v>5000</v>
      </c>
      <c r="C3672" s="6" t="s">
        <v>31</v>
      </c>
      <c r="E3672" s="6" t="s">
        <v>3081</v>
      </c>
      <c r="F3672" s="6" t="s">
        <v>3080</v>
      </c>
      <c r="G3672" s="6" t="s">
        <v>16</v>
      </c>
      <c r="H3672" s="6" t="s">
        <v>28</v>
      </c>
      <c r="I3672" s="6" t="s">
        <v>14</v>
      </c>
      <c r="J3672" s="6" t="s">
        <v>3079</v>
      </c>
      <c r="K3672" s="7">
        <v>29.414168570000001</v>
      </c>
      <c r="L3672" s="7">
        <v>-97.638668769999995</v>
      </c>
      <c r="M3672" s="6" t="s">
        <v>1739</v>
      </c>
      <c r="N3672" s="6" t="s">
        <v>559</v>
      </c>
      <c r="O3672" s="6" t="s">
        <v>10</v>
      </c>
    </row>
    <row r="3673" spans="1:15" x14ac:dyDescent="0.25">
      <c r="A3673" s="6" t="s">
        <v>3083</v>
      </c>
      <c r="B3673" s="6" t="s">
        <v>3082</v>
      </c>
      <c r="C3673" s="6" t="s">
        <v>31</v>
      </c>
      <c r="E3673" s="6" t="s">
        <v>3081</v>
      </c>
      <c r="F3673" s="6" t="s">
        <v>3080</v>
      </c>
      <c r="G3673" s="6" t="s">
        <v>16</v>
      </c>
      <c r="H3673" s="6" t="s">
        <v>28</v>
      </c>
      <c r="I3673" s="6" t="s">
        <v>14</v>
      </c>
      <c r="J3673" s="6" t="s">
        <v>3079</v>
      </c>
      <c r="K3673" s="7">
        <v>29.630085609999998</v>
      </c>
      <c r="L3673" s="7">
        <v>-97.489623989999998</v>
      </c>
      <c r="M3673" s="6" t="s">
        <v>2149</v>
      </c>
      <c r="N3673" s="6" t="s">
        <v>559</v>
      </c>
      <c r="O3673" s="6" t="s">
        <v>10</v>
      </c>
    </row>
    <row r="3674" spans="1:15" x14ac:dyDescent="0.25">
      <c r="A3674" s="6" t="s">
        <v>3086</v>
      </c>
      <c r="B3674" s="6" t="s">
        <v>3085</v>
      </c>
      <c r="C3674" s="6" t="s">
        <v>31</v>
      </c>
      <c r="E3674" s="6" t="s">
        <v>3084</v>
      </c>
      <c r="F3674" s="6" t="s">
        <v>3080</v>
      </c>
      <c r="G3674" s="6" t="s">
        <v>16</v>
      </c>
      <c r="H3674" s="6" t="s">
        <v>28</v>
      </c>
      <c r="I3674" s="6" t="s">
        <v>14</v>
      </c>
      <c r="J3674" s="6" t="s">
        <v>3079</v>
      </c>
      <c r="K3674" s="7">
        <v>29.61740116</v>
      </c>
      <c r="L3674" s="7">
        <v>-97.415264070000006</v>
      </c>
      <c r="M3674" s="6" t="s">
        <v>1739</v>
      </c>
      <c r="N3674" s="6" t="s">
        <v>559</v>
      </c>
      <c r="O3674" s="6" t="s">
        <v>10</v>
      </c>
    </row>
    <row r="3675" spans="1:15" x14ac:dyDescent="0.25">
      <c r="A3675" s="6" t="s">
        <v>5010</v>
      </c>
      <c r="B3675" s="6" t="s">
        <v>5009</v>
      </c>
      <c r="C3675" s="6" t="s">
        <v>31</v>
      </c>
      <c r="E3675" s="6" t="s">
        <v>5008</v>
      </c>
      <c r="F3675" s="6" t="s">
        <v>5007</v>
      </c>
      <c r="G3675" s="6" t="s">
        <v>16</v>
      </c>
      <c r="H3675" s="6" t="s">
        <v>28</v>
      </c>
      <c r="I3675" s="6" t="s">
        <v>14</v>
      </c>
      <c r="J3675" s="6" t="s">
        <v>2267</v>
      </c>
      <c r="K3675" s="7">
        <v>32.291821390000003</v>
      </c>
      <c r="L3675" s="7">
        <v>-95.686029820000002</v>
      </c>
      <c r="M3675" s="6" t="s">
        <v>66</v>
      </c>
      <c r="N3675" s="6" t="s">
        <v>52</v>
      </c>
      <c r="O3675" s="6" t="s">
        <v>23</v>
      </c>
    </row>
    <row r="3676" spans="1:15" x14ac:dyDescent="0.25">
      <c r="A3676" s="6" t="s">
        <v>6759</v>
      </c>
      <c r="B3676" s="6" t="s">
        <v>6758</v>
      </c>
      <c r="C3676" s="6" t="s">
        <v>31</v>
      </c>
      <c r="E3676" s="6" t="s">
        <v>6757</v>
      </c>
      <c r="F3676" s="6" t="s">
        <v>6756</v>
      </c>
      <c r="G3676" s="6" t="s">
        <v>16</v>
      </c>
      <c r="H3676" s="6" t="s">
        <v>28</v>
      </c>
      <c r="I3676" s="6" t="s">
        <v>14</v>
      </c>
      <c r="J3676" s="6" t="s">
        <v>6755</v>
      </c>
      <c r="K3676" s="7">
        <v>30.024221189999999</v>
      </c>
      <c r="L3676" s="7">
        <v>-100.21714233</v>
      </c>
      <c r="M3676" s="6" t="s">
        <v>888</v>
      </c>
      <c r="N3676" s="6" t="s">
        <v>10</v>
      </c>
      <c r="O3676" s="6" t="s">
        <v>231</v>
      </c>
    </row>
    <row r="3677" spans="1:15" x14ac:dyDescent="0.25">
      <c r="A3677" s="6" t="s">
        <v>6001</v>
      </c>
      <c r="B3677" s="6" t="s">
        <v>6000</v>
      </c>
      <c r="C3677" s="6" t="s">
        <v>31</v>
      </c>
      <c r="E3677" s="6" t="s">
        <v>5999</v>
      </c>
      <c r="F3677" s="6" t="s">
        <v>5998</v>
      </c>
      <c r="G3677" s="6" t="s">
        <v>16</v>
      </c>
      <c r="H3677" s="6" t="s">
        <v>15</v>
      </c>
      <c r="I3677" s="6" t="s">
        <v>14</v>
      </c>
      <c r="J3677" s="6" t="s">
        <v>162</v>
      </c>
      <c r="K3677" s="7">
        <v>28.938956109999999</v>
      </c>
      <c r="L3677" s="7">
        <v>-95.302102349999998</v>
      </c>
      <c r="M3677" s="6" t="s">
        <v>2606</v>
      </c>
      <c r="N3677" s="6" t="s">
        <v>160</v>
      </c>
      <c r="O3677" s="6" t="s">
        <v>23</v>
      </c>
    </row>
    <row r="3678" spans="1:15" x14ac:dyDescent="0.25">
      <c r="A3678" s="6" t="s">
        <v>5993</v>
      </c>
      <c r="B3678" s="6" t="s">
        <v>5992</v>
      </c>
      <c r="C3678" s="6" t="s">
        <v>31</v>
      </c>
      <c r="E3678" s="6" t="s">
        <v>5991</v>
      </c>
      <c r="F3678" s="6" t="s">
        <v>5990</v>
      </c>
      <c r="G3678" s="6" t="s">
        <v>16</v>
      </c>
      <c r="H3678" s="6" t="s">
        <v>15</v>
      </c>
      <c r="I3678" s="6" t="s">
        <v>14</v>
      </c>
      <c r="J3678" s="6" t="s">
        <v>26</v>
      </c>
      <c r="K3678" s="7">
        <v>30.290947639999999</v>
      </c>
      <c r="L3678" s="7">
        <v>-95.434786630000005</v>
      </c>
      <c r="M3678" s="6" t="s">
        <v>1022</v>
      </c>
      <c r="N3678" s="6" t="s">
        <v>24</v>
      </c>
      <c r="O3678" s="6" t="s">
        <v>23</v>
      </c>
    </row>
    <row r="3679" spans="1:15" x14ac:dyDescent="0.25">
      <c r="A3679" s="6" t="s">
        <v>5017</v>
      </c>
      <c r="B3679" s="6" t="s">
        <v>5016</v>
      </c>
      <c r="C3679" s="6" t="s">
        <v>31</v>
      </c>
      <c r="E3679" s="6" t="s">
        <v>5015</v>
      </c>
      <c r="F3679" s="6" t="s">
        <v>61</v>
      </c>
      <c r="G3679" s="6" t="s">
        <v>16</v>
      </c>
      <c r="H3679" s="6" t="s">
        <v>28</v>
      </c>
      <c r="I3679" s="6" t="s">
        <v>14</v>
      </c>
      <c r="J3679" s="6" t="s">
        <v>26</v>
      </c>
      <c r="K3679" s="7">
        <v>30.28649527</v>
      </c>
      <c r="L3679" s="7">
        <v>-95.157711430000006</v>
      </c>
      <c r="M3679" s="6" t="s">
        <v>4048</v>
      </c>
      <c r="N3679" s="6" t="s">
        <v>24</v>
      </c>
      <c r="O3679" s="6" t="s">
        <v>23</v>
      </c>
    </row>
    <row r="3680" spans="1:15" x14ac:dyDescent="0.25">
      <c r="A3680" s="6" t="s">
        <v>6079</v>
      </c>
      <c r="B3680" s="6" t="s">
        <v>6078</v>
      </c>
      <c r="C3680" s="6" t="s">
        <v>31</v>
      </c>
      <c r="E3680" s="6" t="s">
        <v>6077</v>
      </c>
      <c r="F3680" s="6" t="s">
        <v>6076</v>
      </c>
      <c r="G3680" s="6" t="s">
        <v>16</v>
      </c>
      <c r="H3680" s="6" t="s">
        <v>15</v>
      </c>
      <c r="I3680" s="6" t="s">
        <v>14</v>
      </c>
      <c r="J3680" s="6" t="s">
        <v>390</v>
      </c>
      <c r="K3680" s="7">
        <v>26.48990148</v>
      </c>
      <c r="L3680" s="7">
        <v>-97.793597779999999</v>
      </c>
      <c r="M3680" s="6" t="s">
        <v>89</v>
      </c>
      <c r="N3680" s="6" t="s">
        <v>11</v>
      </c>
      <c r="O3680" s="6" t="s">
        <v>22</v>
      </c>
    </row>
    <row r="3681" spans="1:15" x14ac:dyDescent="0.25">
      <c r="A3681" s="6" t="s">
        <v>6799</v>
      </c>
      <c r="B3681" s="6" t="s">
        <v>6798</v>
      </c>
      <c r="C3681" s="6" t="s">
        <v>31</v>
      </c>
      <c r="E3681" s="6" t="s">
        <v>6797</v>
      </c>
      <c r="F3681" s="6" t="s">
        <v>6796</v>
      </c>
      <c r="G3681" s="6" t="s">
        <v>16</v>
      </c>
      <c r="H3681" s="6" t="s">
        <v>28</v>
      </c>
      <c r="I3681" s="6" t="s">
        <v>14</v>
      </c>
      <c r="J3681" s="6" t="s">
        <v>274</v>
      </c>
      <c r="K3681" s="7">
        <v>29.782564839999999</v>
      </c>
      <c r="L3681" s="7">
        <v>-98.481399859999996</v>
      </c>
      <c r="M3681" s="6" t="s">
        <v>273</v>
      </c>
      <c r="N3681" s="6" t="s">
        <v>232</v>
      </c>
      <c r="O3681" s="6" t="s">
        <v>231</v>
      </c>
    </row>
    <row r="3682" spans="1:15" x14ac:dyDescent="0.25">
      <c r="A3682" s="6" t="s">
        <v>12155</v>
      </c>
      <c r="B3682" s="6" t="s">
        <v>12154</v>
      </c>
      <c r="C3682" s="6" t="s">
        <v>31</v>
      </c>
      <c r="E3682" s="6" t="s">
        <v>12153</v>
      </c>
      <c r="F3682" s="6" t="s">
        <v>12152</v>
      </c>
      <c r="G3682" s="6" t="s">
        <v>16</v>
      </c>
      <c r="H3682" s="6" t="s">
        <v>28</v>
      </c>
      <c r="I3682" s="6" t="s">
        <v>14</v>
      </c>
      <c r="J3682" s="6" t="s">
        <v>90</v>
      </c>
      <c r="K3682" s="7">
        <v>25.982805670000001</v>
      </c>
      <c r="L3682" s="7">
        <v>-97.438992850000005</v>
      </c>
      <c r="M3682" s="6" t="s">
        <v>770</v>
      </c>
      <c r="N3682" s="6" t="s">
        <v>11</v>
      </c>
      <c r="O3682" s="6" t="s">
        <v>22</v>
      </c>
    </row>
    <row r="3683" spans="1:15" x14ac:dyDescent="0.25">
      <c r="A3683" s="6" t="s">
        <v>6005</v>
      </c>
      <c r="B3683" s="6" t="s">
        <v>6004</v>
      </c>
      <c r="C3683" s="6" t="s">
        <v>31</v>
      </c>
      <c r="E3683" s="6" t="s">
        <v>6003</v>
      </c>
      <c r="F3683" s="6" t="s">
        <v>6002</v>
      </c>
      <c r="G3683" s="6" t="s">
        <v>16</v>
      </c>
      <c r="H3683" s="6" t="s">
        <v>28</v>
      </c>
      <c r="I3683" s="6" t="s">
        <v>14</v>
      </c>
      <c r="J3683" s="6" t="s">
        <v>162</v>
      </c>
      <c r="K3683" s="7">
        <v>29.296182049999999</v>
      </c>
      <c r="L3683" s="7">
        <v>-95.220101979999995</v>
      </c>
      <c r="M3683" s="6" t="s">
        <v>3071</v>
      </c>
      <c r="N3683" s="6" t="s">
        <v>160</v>
      </c>
      <c r="O3683" s="6" t="s">
        <v>23</v>
      </c>
    </row>
    <row r="3684" spans="1:15" x14ac:dyDescent="0.25">
      <c r="A3684" s="6" t="s">
        <v>5997</v>
      </c>
      <c r="B3684" s="6" t="s">
        <v>5996</v>
      </c>
      <c r="C3684" s="6" t="s">
        <v>31</v>
      </c>
      <c r="E3684" s="6" t="s">
        <v>5995</v>
      </c>
      <c r="F3684" s="6" t="s">
        <v>5994</v>
      </c>
      <c r="G3684" s="6" t="s">
        <v>16</v>
      </c>
      <c r="H3684" s="6" t="s">
        <v>28</v>
      </c>
      <c r="I3684" s="6" t="s">
        <v>14</v>
      </c>
      <c r="J3684" s="6" t="s">
        <v>104</v>
      </c>
      <c r="K3684" s="7">
        <v>32.740839610000002</v>
      </c>
      <c r="L3684" s="7">
        <v>-96.372440530000006</v>
      </c>
      <c r="M3684" s="6" t="s">
        <v>193</v>
      </c>
      <c r="N3684" s="6" t="s">
        <v>102</v>
      </c>
      <c r="O3684" s="6" t="s">
        <v>42</v>
      </c>
    </row>
    <row r="3685" spans="1:15" x14ac:dyDescent="0.25">
      <c r="A3685" s="6" t="s">
        <v>6806</v>
      </c>
      <c r="B3685" s="6" t="s">
        <v>6805</v>
      </c>
      <c r="C3685" s="6" t="s">
        <v>31</v>
      </c>
      <c r="E3685" s="6" t="s">
        <v>6804</v>
      </c>
      <c r="F3685" s="6" t="s">
        <v>4996</v>
      </c>
      <c r="G3685" s="6" t="s">
        <v>284</v>
      </c>
      <c r="H3685" s="6" t="s">
        <v>15</v>
      </c>
      <c r="I3685" s="6" t="s">
        <v>14</v>
      </c>
      <c r="J3685" s="6" t="s">
        <v>13</v>
      </c>
      <c r="K3685" s="7">
        <v>27.844121619999999</v>
      </c>
      <c r="L3685" s="7">
        <v>-97.063634390000004</v>
      </c>
      <c r="M3685" s="6" t="s">
        <v>1168</v>
      </c>
      <c r="N3685" s="6" t="s">
        <v>137</v>
      </c>
      <c r="O3685" s="6" t="s">
        <v>10</v>
      </c>
    </row>
    <row r="3686" spans="1:15" x14ac:dyDescent="0.25">
      <c r="A3686" s="6" t="s">
        <v>4999</v>
      </c>
      <c r="B3686" s="6" t="s">
        <v>4998</v>
      </c>
      <c r="C3686" s="6" t="s">
        <v>31</v>
      </c>
      <c r="E3686" s="6" t="s">
        <v>4997</v>
      </c>
      <c r="F3686" s="6" t="s">
        <v>4996</v>
      </c>
      <c r="G3686" s="6" t="s">
        <v>284</v>
      </c>
      <c r="H3686" s="6" t="s">
        <v>15</v>
      </c>
      <c r="I3686" s="6" t="s">
        <v>14</v>
      </c>
      <c r="J3686" s="6" t="s">
        <v>139</v>
      </c>
      <c r="K3686" s="7">
        <v>27.8796192</v>
      </c>
      <c r="L3686" s="7">
        <v>-97.280021329999997</v>
      </c>
      <c r="M3686" s="6" t="s">
        <v>1168</v>
      </c>
      <c r="N3686" s="6" t="s">
        <v>137</v>
      </c>
      <c r="O3686" s="6" t="s">
        <v>10</v>
      </c>
    </row>
    <row r="3687" spans="1:15" x14ac:dyDescent="0.25">
      <c r="A3687" s="6" t="s">
        <v>12147</v>
      </c>
      <c r="B3687" s="6" t="s">
        <v>12146</v>
      </c>
      <c r="C3687" s="6" t="s">
        <v>31</v>
      </c>
      <c r="E3687" s="6" t="s">
        <v>12145</v>
      </c>
      <c r="F3687" s="6" t="s">
        <v>12144</v>
      </c>
      <c r="G3687" s="6" t="s">
        <v>284</v>
      </c>
      <c r="H3687" s="6" t="s">
        <v>28</v>
      </c>
      <c r="I3687" s="6" t="s">
        <v>14</v>
      </c>
      <c r="J3687" s="6" t="s">
        <v>5940</v>
      </c>
      <c r="K3687" s="7">
        <v>31.985664530000001</v>
      </c>
      <c r="L3687" s="7">
        <v>-101.94502337999999</v>
      </c>
      <c r="M3687" s="6" t="s">
        <v>1801</v>
      </c>
      <c r="N3687" s="6" t="s">
        <v>10</v>
      </c>
      <c r="O3687" s="6" t="s">
        <v>383</v>
      </c>
    </row>
    <row r="3688" spans="1:15" x14ac:dyDescent="0.25">
      <c r="A3688" s="6" t="s">
        <v>5969</v>
      </c>
      <c r="B3688" s="6" t="s">
        <v>5968</v>
      </c>
      <c r="C3688" s="6" t="s">
        <v>31</v>
      </c>
      <c r="E3688" s="6" t="s">
        <v>5967</v>
      </c>
      <c r="F3688" s="6" t="s">
        <v>5966</v>
      </c>
      <c r="G3688" s="6" t="s">
        <v>16</v>
      </c>
      <c r="H3688" s="6" t="s">
        <v>15</v>
      </c>
      <c r="I3688" s="6" t="s">
        <v>14</v>
      </c>
      <c r="J3688" s="6" t="s">
        <v>35</v>
      </c>
      <c r="K3688" s="7">
        <v>29.730534630000001</v>
      </c>
      <c r="L3688" s="7">
        <v>-95.217178989999994</v>
      </c>
      <c r="M3688" s="6" t="s">
        <v>866</v>
      </c>
      <c r="N3688" s="6" t="s">
        <v>24</v>
      </c>
      <c r="O3688" s="6" t="s">
        <v>23</v>
      </c>
    </row>
    <row r="3689" spans="1:15" x14ac:dyDescent="0.25">
      <c r="A3689" s="6" t="s">
        <v>4987</v>
      </c>
      <c r="B3689" s="6" t="s">
        <v>4986</v>
      </c>
      <c r="C3689" s="6" t="s">
        <v>31</v>
      </c>
      <c r="E3689" s="6" t="s">
        <v>4985</v>
      </c>
      <c r="F3689" s="6" t="s">
        <v>4984</v>
      </c>
      <c r="G3689" s="6" t="s">
        <v>284</v>
      </c>
      <c r="H3689" s="6" t="s">
        <v>28</v>
      </c>
      <c r="I3689" s="6" t="s">
        <v>14</v>
      </c>
      <c r="J3689" s="6" t="s">
        <v>26</v>
      </c>
      <c r="K3689" s="7">
        <v>30.31744063</v>
      </c>
      <c r="L3689" s="7">
        <v>-95.164346440000003</v>
      </c>
      <c r="M3689" s="6" t="s">
        <v>4048</v>
      </c>
      <c r="N3689" s="6" t="s">
        <v>24</v>
      </c>
      <c r="O3689" s="6" t="s">
        <v>23</v>
      </c>
    </row>
    <row r="3690" spans="1:15" x14ac:dyDescent="0.25">
      <c r="A3690" s="6" t="s">
        <v>6087</v>
      </c>
      <c r="B3690" s="6" t="s">
        <v>6086</v>
      </c>
      <c r="C3690" s="6" t="s">
        <v>31</v>
      </c>
      <c r="E3690" s="6" t="s">
        <v>6085</v>
      </c>
      <c r="F3690" s="6" t="s">
        <v>6084</v>
      </c>
      <c r="G3690" s="6" t="s">
        <v>16</v>
      </c>
      <c r="H3690" s="6" t="s">
        <v>28</v>
      </c>
      <c r="I3690" s="6" t="s">
        <v>14</v>
      </c>
      <c r="J3690" s="6" t="s">
        <v>2768</v>
      </c>
      <c r="K3690" s="7">
        <v>32.444850539999997</v>
      </c>
      <c r="L3690" s="7">
        <v>-97.458200020000007</v>
      </c>
      <c r="M3690" s="6" t="s">
        <v>4460</v>
      </c>
      <c r="N3690" s="6" t="s">
        <v>23</v>
      </c>
      <c r="O3690" s="6" t="s">
        <v>42</v>
      </c>
    </row>
    <row r="3691" spans="1:15" x14ac:dyDescent="0.25">
      <c r="A3691" s="6" t="s">
        <v>6104</v>
      </c>
      <c r="B3691" s="6" t="s">
        <v>6103</v>
      </c>
      <c r="C3691" s="6" t="s">
        <v>31</v>
      </c>
      <c r="E3691" s="6" t="s">
        <v>6102</v>
      </c>
      <c r="F3691" s="6" t="s">
        <v>6088</v>
      </c>
      <c r="G3691" s="6" t="s">
        <v>16</v>
      </c>
      <c r="H3691" s="6" t="s">
        <v>28</v>
      </c>
      <c r="I3691" s="6" t="s">
        <v>14</v>
      </c>
      <c r="J3691" s="6" t="s">
        <v>115</v>
      </c>
      <c r="K3691" s="7">
        <v>32.851801530000003</v>
      </c>
      <c r="L3691" s="7">
        <v>-96.304662160000007</v>
      </c>
      <c r="M3691" s="6" t="s">
        <v>193</v>
      </c>
      <c r="N3691" s="6" t="s">
        <v>102</v>
      </c>
      <c r="O3691" s="6" t="s">
        <v>42</v>
      </c>
    </row>
    <row r="3692" spans="1:15" x14ac:dyDescent="0.25">
      <c r="A3692" s="6" t="s">
        <v>6091</v>
      </c>
      <c r="B3692" s="6" t="s">
        <v>6090</v>
      </c>
      <c r="C3692" s="6" t="s">
        <v>31</v>
      </c>
      <c r="E3692" s="6" t="s">
        <v>6089</v>
      </c>
      <c r="F3692" s="6" t="s">
        <v>6088</v>
      </c>
      <c r="G3692" s="6" t="s">
        <v>16</v>
      </c>
      <c r="H3692" s="6" t="s">
        <v>28</v>
      </c>
      <c r="I3692" s="6" t="s">
        <v>14</v>
      </c>
      <c r="J3692" s="6" t="s">
        <v>239</v>
      </c>
      <c r="K3692" s="7">
        <v>33.257200849999997</v>
      </c>
      <c r="L3692" s="7">
        <v>-96.533548589999995</v>
      </c>
      <c r="M3692" s="6" t="s">
        <v>1941</v>
      </c>
      <c r="N3692" s="6" t="s">
        <v>42</v>
      </c>
      <c r="O3692" s="6" t="s">
        <v>42</v>
      </c>
    </row>
    <row r="3693" spans="1:15" x14ac:dyDescent="0.25">
      <c r="A3693" s="6" t="s">
        <v>5070</v>
      </c>
      <c r="B3693" s="6" t="s">
        <v>5069</v>
      </c>
      <c r="C3693" s="6" t="s">
        <v>31</v>
      </c>
      <c r="E3693" s="6" t="s">
        <v>5068</v>
      </c>
      <c r="F3693" s="6" t="s">
        <v>5067</v>
      </c>
      <c r="G3693" s="6" t="s">
        <v>284</v>
      </c>
      <c r="H3693" s="6" t="s">
        <v>15</v>
      </c>
      <c r="I3693" s="6" t="s">
        <v>14</v>
      </c>
      <c r="J3693" s="6" t="s">
        <v>268</v>
      </c>
      <c r="K3693" s="7">
        <v>32.731042649999999</v>
      </c>
      <c r="L3693" s="7">
        <v>-97.531840360000004</v>
      </c>
      <c r="M3693" s="6" t="s">
        <v>5066</v>
      </c>
      <c r="N3693" s="6" t="s">
        <v>102</v>
      </c>
      <c r="O3693" s="6" t="s">
        <v>42</v>
      </c>
    </row>
    <row r="3694" spans="1:15" x14ac:dyDescent="0.25">
      <c r="A3694" s="6" t="s">
        <v>5939</v>
      </c>
      <c r="B3694" s="6" t="s">
        <v>5938</v>
      </c>
      <c r="C3694" s="6" t="s">
        <v>31</v>
      </c>
      <c r="E3694" s="6" t="s">
        <v>5937</v>
      </c>
      <c r="F3694" s="6" t="s">
        <v>5936</v>
      </c>
      <c r="G3694" s="6" t="s">
        <v>16</v>
      </c>
      <c r="H3694" s="6" t="s">
        <v>28</v>
      </c>
      <c r="I3694" s="6" t="s">
        <v>14</v>
      </c>
      <c r="J3694" s="6" t="s">
        <v>561</v>
      </c>
      <c r="K3694" s="7">
        <v>29.928913229999999</v>
      </c>
      <c r="L3694" s="7">
        <v>-99.029838810000001</v>
      </c>
      <c r="M3694" s="6" t="s">
        <v>560</v>
      </c>
      <c r="N3694" s="6" t="s">
        <v>559</v>
      </c>
      <c r="O3694" s="6" t="s">
        <v>231</v>
      </c>
    </row>
    <row r="3695" spans="1:15" x14ac:dyDescent="0.25">
      <c r="A3695" s="6" t="s">
        <v>7281</v>
      </c>
      <c r="B3695" s="6" t="s">
        <v>7280</v>
      </c>
      <c r="C3695" s="6" t="s">
        <v>31</v>
      </c>
      <c r="E3695" s="6" t="s">
        <v>7279</v>
      </c>
      <c r="F3695" s="6" t="s">
        <v>7278</v>
      </c>
      <c r="G3695" s="6" t="s">
        <v>16</v>
      </c>
      <c r="H3695" s="6" t="s">
        <v>28</v>
      </c>
      <c r="I3695" s="6" t="s">
        <v>14</v>
      </c>
      <c r="J3695" s="6" t="s">
        <v>26</v>
      </c>
      <c r="K3695" s="7">
        <v>30.317719199999999</v>
      </c>
      <c r="L3695" s="7">
        <v>-95.616097229999994</v>
      </c>
      <c r="M3695" s="6" t="s">
        <v>25</v>
      </c>
      <c r="N3695" s="6" t="s">
        <v>24</v>
      </c>
      <c r="O3695" s="6" t="s">
        <v>23</v>
      </c>
    </row>
    <row r="3696" spans="1:15" x14ac:dyDescent="0.25">
      <c r="A3696" s="6" t="s">
        <v>5977</v>
      </c>
      <c r="B3696" s="6" t="s">
        <v>5976</v>
      </c>
      <c r="C3696" s="6" t="s">
        <v>31</v>
      </c>
      <c r="E3696" s="6" t="s">
        <v>5975</v>
      </c>
      <c r="F3696" s="6" t="s">
        <v>5974</v>
      </c>
      <c r="G3696" s="6" t="s">
        <v>16</v>
      </c>
      <c r="H3696" s="6" t="s">
        <v>15</v>
      </c>
      <c r="I3696" s="6" t="s">
        <v>14</v>
      </c>
      <c r="J3696" s="6" t="s">
        <v>35</v>
      </c>
      <c r="K3696" s="7">
        <v>30.065449780000002</v>
      </c>
      <c r="L3696" s="7">
        <v>-95.550278169999999</v>
      </c>
      <c r="M3696" s="6" t="s">
        <v>279</v>
      </c>
      <c r="N3696" s="6" t="s">
        <v>24</v>
      </c>
      <c r="O3696" s="6" t="s">
        <v>23</v>
      </c>
    </row>
    <row r="3697" spans="1:15" x14ac:dyDescent="0.25">
      <c r="A3697" s="6" t="s">
        <v>6754</v>
      </c>
      <c r="B3697" s="6" t="s">
        <v>6753</v>
      </c>
      <c r="C3697" s="6" t="s">
        <v>31</v>
      </c>
      <c r="E3697" s="6" t="s">
        <v>6752</v>
      </c>
      <c r="F3697" s="6" t="s">
        <v>29</v>
      </c>
      <c r="G3697" s="6" t="s">
        <v>16</v>
      </c>
      <c r="H3697" s="6" t="s">
        <v>28</v>
      </c>
      <c r="I3697" s="6" t="s">
        <v>14</v>
      </c>
      <c r="J3697" s="6" t="s">
        <v>26</v>
      </c>
      <c r="K3697" s="7">
        <v>30.466983020000001</v>
      </c>
      <c r="L3697" s="7">
        <v>-95.539482399999997</v>
      </c>
      <c r="M3697" s="6" t="s">
        <v>340</v>
      </c>
      <c r="N3697" s="6" t="s">
        <v>24</v>
      </c>
      <c r="O3697" s="6" t="s">
        <v>23</v>
      </c>
    </row>
    <row r="3698" spans="1:15" x14ac:dyDescent="0.25">
      <c r="A3698" s="6" t="s">
        <v>6083</v>
      </c>
      <c r="B3698" s="6" t="s">
        <v>6082</v>
      </c>
      <c r="C3698" s="6" t="s">
        <v>31</v>
      </c>
      <c r="E3698" s="6" t="s">
        <v>6081</v>
      </c>
      <c r="F3698" s="6" t="s">
        <v>6080</v>
      </c>
      <c r="G3698" s="6" t="s">
        <v>16</v>
      </c>
      <c r="H3698" s="6" t="s">
        <v>28</v>
      </c>
      <c r="I3698" s="6" t="s">
        <v>14</v>
      </c>
      <c r="J3698" s="6" t="s">
        <v>122</v>
      </c>
      <c r="K3698" s="7">
        <v>31.571028299999998</v>
      </c>
      <c r="L3698" s="7">
        <v>-96.931994399999994</v>
      </c>
      <c r="M3698" s="6" t="s">
        <v>121</v>
      </c>
      <c r="N3698" s="6" t="s">
        <v>23</v>
      </c>
      <c r="O3698" s="6" t="s">
        <v>120</v>
      </c>
    </row>
    <row r="3699" spans="1:15" x14ac:dyDescent="0.25">
      <c r="A3699" s="6" t="s">
        <v>5989</v>
      </c>
      <c r="B3699" s="6" t="s">
        <v>5988</v>
      </c>
      <c r="C3699" s="6" t="s">
        <v>31</v>
      </c>
      <c r="E3699" s="6" t="s">
        <v>5987</v>
      </c>
      <c r="F3699" s="6" t="s">
        <v>5986</v>
      </c>
      <c r="G3699" s="6" t="s">
        <v>16</v>
      </c>
      <c r="H3699" s="6" t="s">
        <v>28</v>
      </c>
      <c r="I3699" s="6" t="s">
        <v>14</v>
      </c>
      <c r="J3699" s="6" t="s">
        <v>904</v>
      </c>
      <c r="K3699" s="7">
        <v>32.717821260000001</v>
      </c>
      <c r="L3699" s="7">
        <v>-97.622319250000004</v>
      </c>
      <c r="M3699" s="6" t="s">
        <v>2400</v>
      </c>
      <c r="N3699" s="6" t="s">
        <v>102</v>
      </c>
      <c r="O3699" s="6" t="s">
        <v>42</v>
      </c>
    </row>
    <row r="3700" spans="1:15" x14ac:dyDescent="0.25">
      <c r="A3700" s="6" t="s">
        <v>5944</v>
      </c>
      <c r="B3700" s="6" t="s">
        <v>5943</v>
      </c>
      <c r="C3700" s="6" t="s">
        <v>31</v>
      </c>
      <c r="E3700" s="6" t="s">
        <v>5942</v>
      </c>
      <c r="F3700" s="6" t="s">
        <v>5941</v>
      </c>
      <c r="G3700" s="6" t="s">
        <v>16</v>
      </c>
      <c r="H3700" s="6" t="s">
        <v>15</v>
      </c>
      <c r="I3700" s="6" t="s">
        <v>14</v>
      </c>
      <c r="J3700" s="6" t="s">
        <v>5940</v>
      </c>
      <c r="K3700" s="7">
        <v>31.99738786</v>
      </c>
      <c r="L3700" s="7">
        <v>-102.01629826</v>
      </c>
      <c r="M3700" s="6" t="s">
        <v>1801</v>
      </c>
      <c r="N3700" s="6" t="s">
        <v>10</v>
      </c>
      <c r="O3700" s="6" t="s">
        <v>383</v>
      </c>
    </row>
    <row r="3701" spans="1:15" x14ac:dyDescent="0.25">
      <c r="A3701" s="6" t="s">
        <v>5952</v>
      </c>
      <c r="B3701" s="6" t="s">
        <v>5951</v>
      </c>
      <c r="C3701" s="6" t="s">
        <v>31</v>
      </c>
      <c r="E3701" s="6" t="s">
        <v>5950</v>
      </c>
      <c r="F3701" s="6" t="s">
        <v>5949</v>
      </c>
      <c r="G3701" s="6" t="s">
        <v>16</v>
      </c>
      <c r="H3701" s="6" t="s">
        <v>28</v>
      </c>
      <c r="I3701" s="6" t="s">
        <v>14</v>
      </c>
      <c r="J3701" s="6" t="s">
        <v>35</v>
      </c>
      <c r="K3701" s="7">
        <v>30.04415633</v>
      </c>
      <c r="L3701" s="7">
        <v>-95.793333660000002</v>
      </c>
      <c r="M3701" s="6" t="s">
        <v>279</v>
      </c>
      <c r="N3701" s="6" t="s">
        <v>24</v>
      </c>
      <c r="O3701" s="6" t="s">
        <v>23</v>
      </c>
    </row>
    <row r="3702" spans="1:15" x14ac:dyDescent="0.25">
      <c r="A3702" s="6" t="s">
        <v>5985</v>
      </c>
      <c r="B3702" s="6" t="s">
        <v>5984</v>
      </c>
      <c r="C3702" s="6" t="s">
        <v>31</v>
      </c>
      <c r="E3702" s="6" t="s">
        <v>5983</v>
      </c>
      <c r="F3702" s="6" t="s">
        <v>5982</v>
      </c>
      <c r="G3702" s="6" t="s">
        <v>16</v>
      </c>
      <c r="H3702" s="6" t="s">
        <v>28</v>
      </c>
      <c r="I3702" s="6" t="s">
        <v>14</v>
      </c>
      <c r="J3702" s="6" t="s">
        <v>26</v>
      </c>
      <c r="K3702" s="7">
        <v>30.236847730000001</v>
      </c>
      <c r="L3702" s="7">
        <v>-95.321599320000004</v>
      </c>
      <c r="M3702" s="6" t="s">
        <v>59</v>
      </c>
      <c r="N3702" s="6" t="s">
        <v>24</v>
      </c>
      <c r="O3702" s="6" t="s">
        <v>23</v>
      </c>
    </row>
    <row r="3703" spans="1:15" x14ac:dyDescent="0.25">
      <c r="A3703" s="6" t="s">
        <v>5965</v>
      </c>
      <c r="B3703" s="6" t="s">
        <v>5964</v>
      </c>
      <c r="C3703" s="6" t="s">
        <v>31</v>
      </c>
      <c r="E3703" s="6" t="s">
        <v>5963</v>
      </c>
      <c r="F3703" s="6" t="s">
        <v>5962</v>
      </c>
      <c r="G3703" s="6" t="s">
        <v>284</v>
      </c>
      <c r="H3703" s="6" t="s">
        <v>28</v>
      </c>
      <c r="I3703" s="6" t="s">
        <v>14</v>
      </c>
      <c r="J3703" s="6" t="s">
        <v>471</v>
      </c>
      <c r="K3703" s="7">
        <v>32.843389950000002</v>
      </c>
      <c r="L3703" s="7">
        <v>-96.548905849999997</v>
      </c>
      <c r="M3703" s="6" t="s">
        <v>5476</v>
      </c>
      <c r="N3703" s="6" t="s">
        <v>102</v>
      </c>
      <c r="O3703" s="6" t="s">
        <v>42</v>
      </c>
    </row>
    <row r="3704" spans="1:15" x14ac:dyDescent="0.25">
      <c r="A3704" s="6" t="s">
        <v>5981</v>
      </c>
      <c r="B3704" s="6" t="s">
        <v>5980</v>
      </c>
      <c r="C3704" s="6" t="s">
        <v>31</v>
      </c>
      <c r="E3704" s="6" t="s">
        <v>5979</v>
      </c>
      <c r="F3704" s="6" t="s">
        <v>5978</v>
      </c>
      <c r="G3704" s="6" t="s">
        <v>16</v>
      </c>
      <c r="H3704" s="6" t="s">
        <v>28</v>
      </c>
      <c r="I3704" s="6" t="s">
        <v>14</v>
      </c>
      <c r="J3704" s="6" t="s">
        <v>26</v>
      </c>
      <c r="K3704" s="7">
        <v>30.287908080000001</v>
      </c>
      <c r="L3704" s="7">
        <v>-95.314799570000005</v>
      </c>
      <c r="M3704" s="6" t="s">
        <v>59</v>
      </c>
      <c r="N3704" s="6" t="s">
        <v>24</v>
      </c>
      <c r="O3704" s="6" t="s">
        <v>23</v>
      </c>
    </row>
    <row r="3705" spans="1:15" x14ac:dyDescent="0.25">
      <c r="A3705" s="6" t="s">
        <v>5948</v>
      </c>
      <c r="B3705" s="6" t="s">
        <v>5947</v>
      </c>
      <c r="C3705" s="6" t="s">
        <v>31</v>
      </c>
      <c r="E3705" s="6" t="s">
        <v>5946</v>
      </c>
      <c r="F3705" s="6" t="s">
        <v>5945</v>
      </c>
      <c r="G3705" s="6" t="s">
        <v>16</v>
      </c>
      <c r="H3705" s="6" t="s">
        <v>28</v>
      </c>
      <c r="I3705" s="6" t="s">
        <v>14</v>
      </c>
      <c r="J3705" s="6" t="s">
        <v>35</v>
      </c>
      <c r="K3705" s="7">
        <v>30.049953850000001</v>
      </c>
      <c r="L3705" s="7">
        <v>-95.711206360000006</v>
      </c>
      <c r="M3705" s="6" t="s">
        <v>731</v>
      </c>
      <c r="N3705" s="6" t="s">
        <v>24</v>
      </c>
      <c r="O3705" s="6" t="s">
        <v>23</v>
      </c>
    </row>
    <row r="3706" spans="1:15" x14ac:dyDescent="0.25">
      <c r="A3706" s="6" t="s">
        <v>2047</v>
      </c>
      <c r="B3706" s="6" t="s">
        <v>2046</v>
      </c>
      <c r="C3706" s="6" t="s">
        <v>31</v>
      </c>
      <c r="E3706" s="6" t="s">
        <v>2045</v>
      </c>
      <c r="F3706" s="6" t="s">
        <v>116</v>
      </c>
      <c r="G3706" s="6" t="s">
        <v>284</v>
      </c>
      <c r="H3706" s="6" t="s">
        <v>15</v>
      </c>
      <c r="I3706" s="6" t="s">
        <v>14</v>
      </c>
      <c r="J3706" s="6" t="s">
        <v>239</v>
      </c>
      <c r="K3706" s="7">
        <v>33.227511270000001</v>
      </c>
      <c r="L3706" s="7">
        <v>-96.494442030000002</v>
      </c>
      <c r="M3706" s="6" t="s">
        <v>349</v>
      </c>
      <c r="N3706" s="6" t="s">
        <v>102</v>
      </c>
      <c r="O3706" s="6" t="s">
        <v>42</v>
      </c>
    </row>
    <row r="3707" spans="1:15" x14ac:dyDescent="0.25">
      <c r="A3707" s="6" t="s">
        <v>5955</v>
      </c>
      <c r="B3707" s="6" t="s">
        <v>5954</v>
      </c>
      <c r="C3707" s="6" t="s">
        <v>31</v>
      </c>
      <c r="E3707" s="6" t="s">
        <v>5953</v>
      </c>
      <c r="F3707" s="6" t="s">
        <v>2479</v>
      </c>
      <c r="G3707" s="6" t="s">
        <v>16</v>
      </c>
      <c r="H3707" s="6" t="s">
        <v>15</v>
      </c>
      <c r="I3707" s="6" t="s">
        <v>14</v>
      </c>
      <c r="J3707" s="6" t="s">
        <v>290</v>
      </c>
      <c r="K3707" s="7">
        <v>28.69588925</v>
      </c>
      <c r="L3707" s="7">
        <v>-96.229990369999996</v>
      </c>
      <c r="M3707" s="6" t="s">
        <v>2478</v>
      </c>
      <c r="N3707" s="6" t="s">
        <v>22</v>
      </c>
      <c r="O3707" s="6" t="s">
        <v>23</v>
      </c>
    </row>
    <row r="3708" spans="1:15" x14ac:dyDescent="0.25">
      <c r="A3708" s="6" t="s">
        <v>6751</v>
      </c>
      <c r="B3708" s="6" t="s">
        <v>6750</v>
      </c>
      <c r="C3708" s="6" t="s">
        <v>31</v>
      </c>
      <c r="E3708" s="6" t="s">
        <v>6749</v>
      </c>
      <c r="F3708" s="6" t="s">
        <v>6748</v>
      </c>
      <c r="G3708" s="6" t="s">
        <v>16</v>
      </c>
      <c r="H3708" s="6" t="s">
        <v>15</v>
      </c>
      <c r="I3708" s="6" t="s">
        <v>14</v>
      </c>
      <c r="J3708" s="6" t="s">
        <v>2101</v>
      </c>
      <c r="K3708" s="7">
        <v>33.465555950000002</v>
      </c>
      <c r="L3708" s="7">
        <v>-96.608243029999997</v>
      </c>
      <c r="M3708" s="6" t="s">
        <v>349</v>
      </c>
      <c r="N3708" s="6" t="s">
        <v>102</v>
      </c>
      <c r="O3708" s="6" t="s">
        <v>42</v>
      </c>
    </row>
    <row r="3709" spans="1:15" x14ac:dyDescent="0.25">
      <c r="A3709" s="6" t="s">
        <v>6779</v>
      </c>
      <c r="B3709" s="6" t="s">
        <v>6778</v>
      </c>
      <c r="C3709" s="6" t="s">
        <v>31</v>
      </c>
      <c r="E3709" s="6" t="s">
        <v>6777</v>
      </c>
      <c r="F3709" s="6" t="s">
        <v>6776</v>
      </c>
      <c r="G3709" s="6" t="s">
        <v>16</v>
      </c>
      <c r="H3709" s="6" t="s">
        <v>28</v>
      </c>
      <c r="I3709" s="6" t="s">
        <v>14</v>
      </c>
      <c r="J3709" s="6" t="s">
        <v>268</v>
      </c>
      <c r="K3709" s="7">
        <v>32.688038900000002</v>
      </c>
      <c r="L3709" s="7">
        <v>-97.516529950000006</v>
      </c>
      <c r="M3709" s="6" t="s">
        <v>5066</v>
      </c>
      <c r="N3709" s="6" t="s">
        <v>102</v>
      </c>
      <c r="O3709" s="6" t="s">
        <v>42</v>
      </c>
    </row>
    <row r="3710" spans="1:15" x14ac:dyDescent="0.25">
      <c r="A3710" s="6" t="s">
        <v>1852</v>
      </c>
      <c r="B3710" s="6" t="s">
        <v>1851</v>
      </c>
      <c r="C3710" s="6" t="s">
        <v>31</v>
      </c>
      <c r="E3710" s="6" t="s">
        <v>1850</v>
      </c>
      <c r="F3710" s="6" t="s">
        <v>1849</v>
      </c>
      <c r="G3710" s="6" t="s">
        <v>16</v>
      </c>
      <c r="H3710" s="6" t="s">
        <v>28</v>
      </c>
      <c r="I3710" s="6" t="s">
        <v>14</v>
      </c>
      <c r="J3710" s="6" t="s">
        <v>67</v>
      </c>
      <c r="K3710" s="7">
        <v>32.503898820000003</v>
      </c>
      <c r="L3710" s="7">
        <v>-95.527505930000004</v>
      </c>
      <c r="M3710" s="6" t="s">
        <v>423</v>
      </c>
      <c r="N3710" s="6" t="s">
        <v>65</v>
      </c>
      <c r="O3710" s="6" t="s">
        <v>65</v>
      </c>
    </row>
    <row r="3711" spans="1:15" x14ac:dyDescent="0.25">
      <c r="A3711" s="6" t="s">
        <v>6771</v>
      </c>
      <c r="B3711" s="6" t="s">
        <v>6770</v>
      </c>
      <c r="C3711" s="6" t="s">
        <v>31</v>
      </c>
      <c r="E3711" s="6" t="s">
        <v>6769</v>
      </c>
      <c r="F3711" s="6" t="s">
        <v>6768</v>
      </c>
      <c r="G3711" s="6" t="s">
        <v>16</v>
      </c>
      <c r="H3711" s="6" t="s">
        <v>28</v>
      </c>
      <c r="I3711" s="6" t="s">
        <v>14</v>
      </c>
      <c r="J3711" s="6" t="s">
        <v>253</v>
      </c>
      <c r="K3711" s="7">
        <v>30.969679920000001</v>
      </c>
      <c r="L3711" s="7">
        <v>-97.529959719999994</v>
      </c>
      <c r="M3711" s="6" t="s">
        <v>3476</v>
      </c>
      <c r="N3711" s="6" t="s">
        <v>23</v>
      </c>
      <c r="O3711" s="6" t="s">
        <v>120</v>
      </c>
    </row>
    <row r="3712" spans="1:15" x14ac:dyDescent="0.25">
      <c r="A3712" s="6" t="s">
        <v>1856</v>
      </c>
      <c r="B3712" s="6" t="s">
        <v>1855</v>
      </c>
      <c r="C3712" s="6" t="s">
        <v>31</v>
      </c>
      <c r="E3712" s="6" t="s">
        <v>1854</v>
      </c>
      <c r="F3712" s="6" t="s">
        <v>606</v>
      </c>
      <c r="G3712" s="6" t="s">
        <v>284</v>
      </c>
      <c r="H3712" s="6" t="s">
        <v>28</v>
      </c>
      <c r="I3712" s="6" t="s">
        <v>14</v>
      </c>
      <c r="J3712" s="6" t="s">
        <v>1853</v>
      </c>
      <c r="K3712" s="7">
        <v>29.200480280000001</v>
      </c>
      <c r="L3712" s="7">
        <v>-97.745458499999998</v>
      </c>
      <c r="M3712" s="6" t="s">
        <v>1739</v>
      </c>
      <c r="N3712" s="6" t="s">
        <v>559</v>
      </c>
      <c r="O3712" s="6" t="s">
        <v>231</v>
      </c>
    </row>
    <row r="3713" spans="1:15" x14ac:dyDescent="0.25">
      <c r="A3713" s="6" t="s">
        <v>6788</v>
      </c>
      <c r="B3713" s="6" t="s">
        <v>6787</v>
      </c>
      <c r="C3713" s="6" t="s">
        <v>31</v>
      </c>
      <c r="E3713" s="6" t="s">
        <v>6786</v>
      </c>
      <c r="F3713" s="6" t="s">
        <v>6785</v>
      </c>
      <c r="G3713" s="6" t="s">
        <v>16</v>
      </c>
      <c r="H3713" s="6" t="s">
        <v>28</v>
      </c>
      <c r="I3713" s="6" t="s">
        <v>14</v>
      </c>
      <c r="J3713" s="6" t="s">
        <v>162</v>
      </c>
      <c r="K3713" s="7">
        <v>29.426717459999999</v>
      </c>
      <c r="L3713" s="7">
        <v>-95.458910959999997</v>
      </c>
      <c r="M3713" s="6" t="s">
        <v>161</v>
      </c>
      <c r="N3713" s="6" t="s">
        <v>160</v>
      </c>
      <c r="O3713" s="6" t="s">
        <v>23</v>
      </c>
    </row>
    <row r="3714" spans="1:15" x14ac:dyDescent="0.25">
      <c r="A3714" s="6" t="s">
        <v>6795</v>
      </c>
      <c r="B3714" s="6" t="s">
        <v>6794</v>
      </c>
      <c r="C3714" s="6" t="s">
        <v>31</v>
      </c>
      <c r="E3714" s="6" t="s">
        <v>6793</v>
      </c>
      <c r="F3714" s="6" t="s">
        <v>6792</v>
      </c>
      <c r="G3714" s="6" t="s">
        <v>16</v>
      </c>
      <c r="H3714" s="6" t="s">
        <v>28</v>
      </c>
      <c r="I3714" s="6" t="s">
        <v>14</v>
      </c>
      <c r="J3714" s="6" t="s">
        <v>67</v>
      </c>
      <c r="K3714" s="7">
        <v>32.230680049999997</v>
      </c>
      <c r="L3714" s="7">
        <v>-95.404948219999994</v>
      </c>
      <c r="M3714" s="6" t="s">
        <v>66</v>
      </c>
      <c r="N3714" s="6" t="s">
        <v>52</v>
      </c>
      <c r="O3714" s="6" t="s">
        <v>65</v>
      </c>
    </row>
    <row r="3715" spans="1:15" x14ac:dyDescent="0.25">
      <c r="A3715" s="6" t="s">
        <v>2052</v>
      </c>
      <c r="B3715" s="6" t="s">
        <v>2051</v>
      </c>
      <c r="C3715" s="6" t="s">
        <v>31</v>
      </c>
      <c r="E3715" s="6" t="s">
        <v>2050</v>
      </c>
      <c r="F3715" s="6" t="s">
        <v>2049</v>
      </c>
      <c r="G3715" s="6" t="s">
        <v>16</v>
      </c>
      <c r="H3715" s="6" t="s">
        <v>28</v>
      </c>
      <c r="I3715" s="6" t="s">
        <v>14</v>
      </c>
      <c r="J3715" s="6" t="s">
        <v>1288</v>
      </c>
      <c r="K3715" s="7">
        <v>32.368870389999998</v>
      </c>
      <c r="L3715" s="7">
        <v>-97.060986400000004</v>
      </c>
      <c r="M3715" s="6" t="s">
        <v>2048</v>
      </c>
      <c r="N3715" s="6" t="s">
        <v>102</v>
      </c>
      <c r="O3715" s="6" t="s">
        <v>42</v>
      </c>
    </row>
    <row r="3716" spans="1:15" x14ac:dyDescent="0.25">
      <c r="A3716" s="6" t="s">
        <v>6417</v>
      </c>
      <c r="B3716" s="6" t="s">
        <v>6416</v>
      </c>
      <c r="C3716" s="6" t="s">
        <v>31</v>
      </c>
      <c r="E3716" s="6" t="s">
        <v>6415</v>
      </c>
      <c r="F3716" s="6" t="s">
        <v>3398</v>
      </c>
      <c r="G3716" s="6" t="s">
        <v>284</v>
      </c>
      <c r="H3716" s="6" t="s">
        <v>430</v>
      </c>
      <c r="I3716" s="6" t="s">
        <v>14</v>
      </c>
      <c r="J3716" s="6" t="s">
        <v>904</v>
      </c>
      <c r="K3716" s="7">
        <v>32.585186960000001</v>
      </c>
      <c r="L3716" s="7">
        <v>-97.826402180000002</v>
      </c>
      <c r="M3716" s="6" t="s">
        <v>311</v>
      </c>
      <c r="N3716" s="6" t="s">
        <v>23</v>
      </c>
      <c r="O3716" s="6" t="s">
        <v>42</v>
      </c>
    </row>
    <row r="3717" spans="1:15" x14ac:dyDescent="0.25">
      <c r="A3717" s="6" t="s">
        <v>6775</v>
      </c>
      <c r="B3717" s="6" t="s">
        <v>6774</v>
      </c>
      <c r="C3717" s="6" t="s">
        <v>31</v>
      </c>
      <c r="E3717" s="6" t="s">
        <v>6773</v>
      </c>
      <c r="F3717" s="6" t="s">
        <v>6772</v>
      </c>
      <c r="G3717" s="6" t="s">
        <v>284</v>
      </c>
      <c r="H3717" s="6" t="s">
        <v>15</v>
      </c>
      <c r="I3717" s="6" t="s">
        <v>14</v>
      </c>
      <c r="J3717" s="6" t="s">
        <v>318</v>
      </c>
      <c r="K3717" s="7">
        <v>30.63078114</v>
      </c>
      <c r="L3717" s="7">
        <v>-95.010433180000007</v>
      </c>
      <c r="M3717" s="6" t="s">
        <v>2355</v>
      </c>
      <c r="N3717" s="6" t="s">
        <v>102</v>
      </c>
      <c r="O3717" s="6" t="s">
        <v>24</v>
      </c>
    </row>
    <row r="3718" spans="1:15" x14ac:dyDescent="0.25">
      <c r="A3718" s="6" t="s">
        <v>6654</v>
      </c>
      <c r="B3718" s="6" t="s">
        <v>6653</v>
      </c>
      <c r="C3718" s="6" t="s">
        <v>31</v>
      </c>
      <c r="E3718" s="6" t="s">
        <v>6652</v>
      </c>
      <c r="F3718" s="6" t="s">
        <v>6651</v>
      </c>
      <c r="G3718" s="6" t="s">
        <v>16</v>
      </c>
      <c r="H3718" s="6" t="s">
        <v>28</v>
      </c>
      <c r="I3718" s="6" t="s">
        <v>14</v>
      </c>
      <c r="J3718" s="6" t="s">
        <v>1861</v>
      </c>
      <c r="K3718" s="7">
        <v>30.515015259999998</v>
      </c>
      <c r="L3718" s="7">
        <v>-96.291012469999998</v>
      </c>
      <c r="M3718" s="6" t="s">
        <v>927</v>
      </c>
      <c r="N3718" s="6" t="s">
        <v>23</v>
      </c>
      <c r="O3718" s="6" t="s">
        <v>120</v>
      </c>
    </row>
    <row r="3719" spans="1:15" x14ac:dyDescent="0.25">
      <c r="A3719" s="6" t="s">
        <v>2044</v>
      </c>
      <c r="B3719" s="6" t="s">
        <v>2043</v>
      </c>
      <c r="C3719" s="6" t="s">
        <v>31</v>
      </c>
      <c r="E3719" s="6" t="s">
        <v>2042</v>
      </c>
      <c r="F3719" s="6" t="s">
        <v>2041</v>
      </c>
      <c r="G3719" s="6" t="s">
        <v>16</v>
      </c>
      <c r="H3719" s="6" t="s">
        <v>28</v>
      </c>
      <c r="I3719" s="6" t="s">
        <v>14</v>
      </c>
      <c r="J3719" s="6" t="s">
        <v>268</v>
      </c>
      <c r="K3719" s="7">
        <v>32.941861070000002</v>
      </c>
      <c r="L3719" s="7">
        <v>-97.323900469999998</v>
      </c>
      <c r="M3719" s="6" t="s">
        <v>156</v>
      </c>
      <c r="N3719" s="6" t="s">
        <v>102</v>
      </c>
      <c r="O3719" s="6" t="s">
        <v>42</v>
      </c>
    </row>
    <row r="3720" spans="1:15" x14ac:dyDescent="0.25">
      <c r="A3720" s="6" t="s">
        <v>6763</v>
      </c>
      <c r="B3720" s="6" t="s">
        <v>6762</v>
      </c>
      <c r="C3720" s="6" t="s">
        <v>31</v>
      </c>
      <c r="E3720" s="6" t="s">
        <v>6761</v>
      </c>
      <c r="F3720" s="6" t="s">
        <v>1771</v>
      </c>
      <c r="G3720" s="6" t="s">
        <v>16</v>
      </c>
      <c r="H3720" s="6" t="s">
        <v>28</v>
      </c>
      <c r="I3720" s="6" t="s">
        <v>14</v>
      </c>
      <c r="J3720" s="6" t="s">
        <v>6760</v>
      </c>
      <c r="K3720" s="7">
        <v>30.14373157</v>
      </c>
      <c r="L3720" s="7">
        <v>-96.357409910000001</v>
      </c>
      <c r="M3720" s="6" t="s">
        <v>355</v>
      </c>
      <c r="N3720" s="6" t="s">
        <v>23</v>
      </c>
      <c r="O3720" s="6" t="s">
        <v>120</v>
      </c>
    </row>
    <row r="3721" spans="1:15" x14ac:dyDescent="0.25">
      <c r="A3721" s="6" t="s">
        <v>6646</v>
      </c>
      <c r="B3721" s="6" t="s">
        <v>6645</v>
      </c>
      <c r="C3721" s="6" t="s">
        <v>31</v>
      </c>
      <c r="E3721" s="6" t="s">
        <v>6644</v>
      </c>
      <c r="F3721" s="6" t="s">
        <v>6643</v>
      </c>
      <c r="G3721" s="6" t="s">
        <v>284</v>
      </c>
      <c r="H3721" s="6" t="s">
        <v>28</v>
      </c>
      <c r="I3721" s="6" t="s">
        <v>14</v>
      </c>
      <c r="J3721" s="6" t="s">
        <v>253</v>
      </c>
      <c r="K3721" s="7">
        <v>30.91469537</v>
      </c>
      <c r="L3721" s="7">
        <v>-97.508032479999997</v>
      </c>
      <c r="M3721" s="6" t="s">
        <v>3476</v>
      </c>
      <c r="N3721" s="6" t="s">
        <v>23</v>
      </c>
      <c r="O3721" s="6" t="s">
        <v>120</v>
      </c>
    </row>
    <row r="3722" spans="1:15" x14ac:dyDescent="0.25">
      <c r="A3722" s="6" t="s">
        <v>534</v>
      </c>
      <c r="B3722" s="6" t="s">
        <v>533</v>
      </c>
      <c r="C3722" s="6" t="s">
        <v>31</v>
      </c>
      <c r="E3722" s="6" t="s">
        <v>532</v>
      </c>
      <c r="F3722" s="6" t="s">
        <v>531</v>
      </c>
      <c r="G3722" s="6" t="s">
        <v>16</v>
      </c>
      <c r="H3722" s="6" t="s">
        <v>28</v>
      </c>
      <c r="I3722" s="6" t="s">
        <v>14</v>
      </c>
      <c r="J3722" s="6" t="s">
        <v>122</v>
      </c>
      <c r="K3722" s="7">
        <v>31.314346019999999</v>
      </c>
      <c r="L3722" s="7">
        <v>-97.236732880000005</v>
      </c>
      <c r="M3722" s="6" t="s">
        <v>121</v>
      </c>
      <c r="N3722" s="6" t="s">
        <v>23</v>
      </c>
      <c r="O3722" s="6" t="s">
        <v>120</v>
      </c>
    </row>
    <row r="3723" spans="1:15" x14ac:dyDescent="0.25">
      <c r="A3723" s="6" t="s">
        <v>6659</v>
      </c>
      <c r="B3723" s="6" t="s">
        <v>6658</v>
      </c>
      <c r="C3723" s="6" t="s">
        <v>31</v>
      </c>
      <c r="E3723" s="6" t="s">
        <v>6657</v>
      </c>
      <c r="F3723" s="6" t="s">
        <v>6656</v>
      </c>
      <c r="G3723" s="6" t="s">
        <v>16</v>
      </c>
      <c r="H3723" s="6" t="s">
        <v>15</v>
      </c>
      <c r="I3723" s="6" t="s">
        <v>14</v>
      </c>
      <c r="J3723" s="6" t="s">
        <v>1240</v>
      </c>
      <c r="K3723" s="7">
        <v>28.690430639999999</v>
      </c>
      <c r="L3723" s="7">
        <v>-96.965390790000001</v>
      </c>
      <c r="M3723" s="6" t="s">
        <v>83</v>
      </c>
      <c r="N3723" s="6" t="s">
        <v>82</v>
      </c>
      <c r="O3723" s="6" t="s">
        <v>10</v>
      </c>
    </row>
    <row r="3724" spans="1:15" x14ac:dyDescent="0.25">
      <c r="A3724" s="6" t="s">
        <v>6642</v>
      </c>
      <c r="B3724" s="6" t="s">
        <v>6641</v>
      </c>
      <c r="C3724" s="6" t="s">
        <v>31</v>
      </c>
      <c r="E3724" s="6" t="s">
        <v>6640</v>
      </c>
      <c r="F3724" s="6" t="s">
        <v>6639</v>
      </c>
      <c r="G3724" s="6" t="s">
        <v>16</v>
      </c>
      <c r="H3724" s="6" t="s">
        <v>28</v>
      </c>
      <c r="I3724" s="6" t="s">
        <v>14</v>
      </c>
      <c r="J3724" s="6" t="s">
        <v>571</v>
      </c>
      <c r="K3724" s="7">
        <v>32.290810810000004</v>
      </c>
      <c r="L3724" s="7">
        <v>-97.729310069999997</v>
      </c>
      <c r="M3724" s="6" t="s">
        <v>1681</v>
      </c>
      <c r="N3724" s="6" t="s">
        <v>23</v>
      </c>
      <c r="O3724" s="6" t="s">
        <v>42</v>
      </c>
    </row>
    <row r="3725" spans="1:15" x14ac:dyDescent="0.25">
      <c r="A3725" s="6" t="s">
        <v>6434</v>
      </c>
      <c r="B3725" s="6" t="s">
        <v>6433</v>
      </c>
      <c r="C3725" s="6" t="s">
        <v>31</v>
      </c>
      <c r="E3725" s="6" t="s">
        <v>6432</v>
      </c>
      <c r="F3725" s="6" t="s">
        <v>6431</v>
      </c>
      <c r="G3725" s="6" t="s">
        <v>284</v>
      </c>
      <c r="H3725" s="6" t="s">
        <v>28</v>
      </c>
      <c r="I3725" s="6" t="s">
        <v>14</v>
      </c>
      <c r="J3725" s="6" t="s">
        <v>2137</v>
      </c>
      <c r="K3725" s="7">
        <v>29.811188090000002</v>
      </c>
      <c r="L3725" s="7">
        <v>-97.798757379999998</v>
      </c>
      <c r="M3725" s="6" t="s">
        <v>2149</v>
      </c>
      <c r="N3725" s="6" t="s">
        <v>559</v>
      </c>
      <c r="O3725" s="6" t="s">
        <v>160</v>
      </c>
    </row>
    <row r="3726" spans="1:15" x14ac:dyDescent="0.25">
      <c r="A3726" s="6" t="s">
        <v>913</v>
      </c>
      <c r="B3726" s="6" t="s">
        <v>912</v>
      </c>
      <c r="C3726" s="6" t="s">
        <v>31</v>
      </c>
      <c r="E3726" s="6" t="s">
        <v>911</v>
      </c>
      <c r="F3726" s="6" t="s">
        <v>910</v>
      </c>
      <c r="G3726" s="6" t="s">
        <v>16</v>
      </c>
      <c r="H3726" s="6" t="s">
        <v>28</v>
      </c>
      <c r="I3726" s="6" t="s">
        <v>14</v>
      </c>
      <c r="J3726" s="6" t="s">
        <v>26</v>
      </c>
      <c r="K3726" s="7">
        <v>30.369856909999999</v>
      </c>
      <c r="L3726" s="7">
        <v>-95.662331480000006</v>
      </c>
      <c r="M3726" s="6" t="s">
        <v>340</v>
      </c>
      <c r="N3726" s="6" t="s">
        <v>24</v>
      </c>
      <c r="O3726" s="6" t="s">
        <v>23</v>
      </c>
    </row>
    <row r="3727" spans="1:15" x14ac:dyDescent="0.25">
      <c r="A3727" s="6" t="s">
        <v>6410</v>
      </c>
      <c r="B3727" s="6" t="s">
        <v>6409</v>
      </c>
      <c r="C3727" s="6" t="s">
        <v>31</v>
      </c>
      <c r="E3727" s="6" t="s">
        <v>6408</v>
      </c>
      <c r="F3727" s="6" t="s">
        <v>6407</v>
      </c>
      <c r="G3727" s="6" t="s">
        <v>284</v>
      </c>
      <c r="H3727" s="6" t="s">
        <v>28</v>
      </c>
      <c r="I3727" s="6" t="s">
        <v>14</v>
      </c>
      <c r="J3727" s="6" t="s">
        <v>26</v>
      </c>
      <c r="K3727" s="7">
        <v>30.22177349</v>
      </c>
      <c r="L3727" s="7">
        <v>-95.241871320000001</v>
      </c>
      <c r="M3727" s="6" t="s">
        <v>59</v>
      </c>
      <c r="N3727" s="6" t="s">
        <v>24</v>
      </c>
      <c r="O3727" s="6" t="s">
        <v>23</v>
      </c>
    </row>
    <row r="3728" spans="1:15" x14ac:dyDescent="0.25">
      <c r="A3728" s="6" t="s">
        <v>6442</v>
      </c>
      <c r="B3728" s="6" t="s">
        <v>6441</v>
      </c>
      <c r="C3728" s="6" t="s">
        <v>31</v>
      </c>
      <c r="E3728" s="6" t="s">
        <v>6440</v>
      </c>
      <c r="F3728" s="6" t="s">
        <v>6439</v>
      </c>
      <c r="G3728" s="6" t="s">
        <v>16</v>
      </c>
      <c r="H3728" s="6" t="s">
        <v>28</v>
      </c>
      <c r="I3728" s="6" t="s">
        <v>14</v>
      </c>
      <c r="J3728" s="6" t="s">
        <v>35</v>
      </c>
      <c r="K3728" s="7">
        <v>30.003379389999999</v>
      </c>
      <c r="L3728" s="7">
        <v>-95.80100229</v>
      </c>
      <c r="M3728" s="6" t="s">
        <v>279</v>
      </c>
      <c r="N3728" s="6" t="s">
        <v>24</v>
      </c>
      <c r="O3728" s="6" t="s">
        <v>23</v>
      </c>
    </row>
    <row r="3729" spans="1:15" x14ac:dyDescent="0.25">
      <c r="A3729" s="6" t="s">
        <v>6421</v>
      </c>
      <c r="B3729" s="6" t="s">
        <v>6420</v>
      </c>
      <c r="C3729" s="6" t="s">
        <v>31</v>
      </c>
      <c r="E3729" s="6" t="s">
        <v>6419</v>
      </c>
      <c r="F3729" s="6" t="s">
        <v>6418</v>
      </c>
      <c r="G3729" s="6" t="s">
        <v>16</v>
      </c>
      <c r="H3729" s="6" t="s">
        <v>28</v>
      </c>
      <c r="I3729" s="6" t="s">
        <v>36</v>
      </c>
      <c r="J3729" s="6" t="s">
        <v>35</v>
      </c>
      <c r="K3729" s="7">
        <v>30.021024130000001</v>
      </c>
      <c r="L3729" s="7">
        <v>-95.341204790000006</v>
      </c>
      <c r="M3729" s="6" t="s">
        <v>279</v>
      </c>
      <c r="N3729" s="6" t="s">
        <v>24</v>
      </c>
      <c r="O3729" s="6" t="s">
        <v>23</v>
      </c>
    </row>
    <row r="3730" spans="1:15" x14ac:dyDescent="0.25">
      <c r="A3730" s="6" t="s">
        <v>6384</v>
      </c>
      <c r="B3730" s="6" t="s">
        <v>6383</v>
      </c>
      <c r="C3730" s="6" t="s">
        <v>31</v>
      </c>
      <c r="E3730" s="6" t="s">
        <v>6382</v>
      </c>
      <c r="F3730" s="6" t="s">
        <v>6381</v>
      </c>
      <c r="G3730" s="6" t="s">
        <v>16</v>
      </c>
      <c r="H3730" s="6" t="s">
        <v>28</v>
      </c>
      <c r="I3730" s="6" t="s">
        <v>14</v>
      </c>
      <c r="J3730" s="6" t="s">
        <v>132</v>
      </c>
      <c r="K3730" s="7">
        <v>29.554886440000001</v>
      </c>
      <c r="L3730" s="7">
        <v>-95.496646780000006</v>
      </c>
      <c r="M3730" s="6" t="s">
        <v>706</v>
      </c>
      <c r="N3730" s="6" t="s">
        <v>160</v>
      </c>
      <c r="O3730" s="6" t="s">
        <v>23</v>
      </c>
    </row>
    <row r="3731" spans="1:15" x14ac:dyDescent="0.25">
      <c r="A3731" s="6" t="s">
        <v>6400</v>
      </c>
      <c r="B3731" s="6" t="s">
        <v>6399</v>
      </c>
      <c r="C3731" s="6" t="s">
        <v>31</v>
      </c>
      <c r="E3731" s="6" t="s">
        <v>6398</v>
      </c>
      <c r="F3731" s="6" t="s">
        <v>6397</v>
      </c>
      <c r="G3731" s="6" t="s">
        <v>16</v>
      </c>
      <c r="H3731" s="6" t="s">
        <v>28</v>
      </c>
      <c r="I3731" s="6" t="s">
        <v>14</v>
      </c>
      <c r="J3731" s="6" t="s">
        <v>35</v>
      </c>
      <c r="K3731" s="7">
        <v>29.878236600000001</v>
      </c>
      <c r="L3731" s="7">
        <v>-95.745408999999995</v>
      </c>
      <c r="M3731" s="6" t="s">
        <v>131</v>
      </c>
      <c r="N3731" s="6" t="s">
        <v>24</v>
      </c>
      <c r="O3731" s="6" t="s">
        <v>23</v>
      </c>
    </row>
    <row r="3732" spans="1:15" x14ac:dyDescent="0.25">
      <c r="A3732" s="6" t="s">
        <v>6438</v>
      </c>
      <c r="B3732" s="6" t="s">
        <v>6437</v>
      </c>
      <c r="C3732" s="6" t="s">
        <v>31</v>
      </c>
      <c r="E3732" s="6" t="s">
        <v>6436</v>
      </c>
      <c r="F3732" s="6" t="s">
        <v>6435</v>
      </c>
      <c r="G3732" s="6" t="s">
        <v>16</v>
      </c>
      <c r="H3732" s="6" t="s">
        <v>28</v>
      </c>
      <c r="I3732" s="6" t="s">
        <v>14</v>
      </c>
      <c r="J3732" s="6" t="s">
        <v>409</v>
      </c>
      <c r="K3732" s="7">
        <v>30.120785810000001</v>
      </c>
      <c r="L3732" s="7">
        <v>-97.727296580000001</v>
      </c>
      <c r="M3732" s="6" t="s">
        <v>408</v>
      </c>
      <c r="N3732" s="6" t="s">
        <v>10</v>
      </c>
      <c r="O3732" s="6" t="s">
        <v>160</v>
      </c>
    </row>
    <row r="3733" spans="1:15" x14ac:dyDescent="0.25">
      <c r="A3733" s="6" t="s">
        <v>300</v>
      </c>
      <c r="B3733" s="6" t="s">
        <v>299</v>
      </c>
      <c r="C3733" s="6" t="s">
        <v>31</v>
      </c>
      <c r="E3733" s="6" t="s">
        <v>298</v>
      </c>
      <c r="F3733" s="6" t="s">
        <v>297</v>
      </c>
      <c r="G3733" s="6" t="s">
        <v>16</v>
      </c>
      <c r="H3733" s="6" t="s">
        <v>28</v>
      </c>
      <c r="I3733" s="6" t="s">
        <v>14</v>
      </c>
      <c r="J3733" s="6" t="s">
        <v>296</v>
      </c>
      <c r="K3733" s="7">
        <v>30.033985739999999</v>
      </c>
      <c r="L3733" s="7">
        <v>-96.71901905</v>
      </c>
      <c r="M3733" s="6" t="s">
        <v>295</v>
      </c>
      <c r="N3733" s="6" t="s">
        <v>10</v>
      </c>
      <c r="O3733" s="6" t="s">
        <v>160</v>
      </c>
    </row>
    <row r="3734" spans="1:15" x14ac:dyDescent="0.25">
      <c r="A3734" s="6" t="s">
        <v>643</v>
      </c>
      <c r="B3734" s="6" t="s">
        <v>642</v>
      </c>
      <c r="C3734" s="6" t="s">
        <v>31</v>
      </c>
      <c r="E3734" s="6" t="s">
        <v>641</v>
      </c>
      <c r="F3734" s="6" t="s">
        <v>640</v>
      </c>
      <c r="G3734" s="6" t="s">
        <v>16</v>
      </c>
      <c r="H3734" s="6" t="s">
        <v>28</v>
      </c>
      <c r="I3734" s="6" t="s">
        <v>14</v>
      </c>
      <c r="J3734" s="6" t="s">
        <v>26</v>
      </c>
      <c r="K3734" s="7">
        <v>30.259420519999999</v>
      </c>
      <c r="L3734" s="7">
        <v>-95.302337919999999</v>
      </c>
      <c r="M3734" s="6" t="s">
        <v>59</v>
      </c>
      <c r="N3734" s="6" t="s">
        <v>24</v>
      </c>
      <c r="O3734" s="6" t="s">
        <v>23</v>
      </c>
    </row>
    <row r="3735" spans="1:15" x14ac:dyDescent="0.25">
      <c r="A3735" s="6" t="s">
        <v>6414</v>
      </c>
      <c r="B3735" s="6" t="s">
        <v>6413</v>
      </c>
      <c r="C3735" s="6" t="s">
        <v>31</v>
      </c>
      <c r="E3735" s="6" t="s">
        <v>6412</v>
      </c>
      <c r="F3735" s="6" t="s">
        <v>6411</v>
      </c>
      <c r="G3735" s="6" t="s">
        <v>284</v>
      </c>
      <c r="H3735" s="6" t="s">
        <v>15</v>
      </c>
      <c r="I3735" s="6" t="s">
        <v>36</v>
      </c>
      <c r="J3735" s="6" t="s">
        <v>35</v>
      </c>
      <c r="K3735" s="7">
        <v>29.704521329999999</v>
      </c>
      <c r="L3735" s="7">
        <v>-95.041945249999998</v>
      </c>
      <c r="M3735" s="6" t="s">
        <v>599</v>
      </c>
      <c r="N3735" s="6" t="s">
        <v>24</v>
      </c>
      <c r="O3735" s="6" t="s">
        <v>23</v>
      </c>
    </row>
    <row r="3736" spans="1:15" x14ac:dyDescent="0.25">
      <c r="A3736" s="6" t="s">
        <v>5175</v>
      </c>
      <c r="B3736" s="6" t="s">
        <v>5174</v>
      </c>
      <c r="C3736" s="6" t="s">
        <v>31</v>
      </c>
      <c r="E3736" s="6" t="s">
        <v>5173</v>
      </c>
      <c r="F3736" s="6" t="s">
        <v>5172</v>
      </c>
      <c r="G3736" s="6" t="s">
        <v>284</v>
      </c>
      <c r="H3736" s="6" t="s">
        <v>28</v>
      </c>
      <c r="I3736" s="6" t="s">
        <v>14</v>
      </c>
      <c r="J3736" s="6" t="s">
        <v>132</v>
      </c>
      <c r="K3736" s="7">
        <v>29.721656509999999</v>
      </c>
      <c r="L3736" s="7">
        <v>-96.003803570000002</v>
      </c>
      <c r="M3736" s="6" t="s">
        <v>355</v>
      </c>
      <c r="N3736" s="6" t="s">
        <v>23</v>
      </c>
      <c r="O3736" s="6" t="s">
        <v>23</v>
      </c>
    </row>
    <row r="3737" spans="1:15" x14ac:dyDescent="0.25">
      <c r="A3737" s="6" t="s">
        <v>609</v>
      </c>
      <c r="B3737" s="6" t="s">
        <v>608</v>
      </c>
      <c r="C3737" s="6" t="s">
        <v>31</v>
      </c>
      <c r="E3737" s="6" t="s">
        <v>607</v>
      </c>
      <c r="F3737" s="6" t="s">
        <v>606</v>
      </c>
      <c r="G3737" s="6" t="s">
        <v>16</v>
      </c>
      <c r="H3737" s="6" t="s">
        <v>28</v>
      </c>
      <c r="I3737" s="6" t="s">
        <v>14</v>
      </c>
      <c r="J3737" s="6" t="s">
        <v>605</v>
      </c>
      <c r="K3737" s="7">
        <v>31.828698580000001</v>
      </c>
      <c r="L3737" s="7">
        <v>-103.90988618</v>
      </c>
      <c r="M3737" s="6" t="s">
        <v>604</v>
      </c>
      <c r="N3737" s="6" t="s">
        <v>373</v>
      </c>
      <c r="O3737" s="6" t="s">
        <v>383</v>
      </c>
    </row>
    <row r="3738" spans="1:15" x14ac:dyDescent="0.25">
      <c r="A3738" s="6" t="s">
        <v>6638</v>
      </c>
      <c r="B3738" s="6" t="s">
        <v>6637</v>
      </c>
      <c r="C3738" s="6" t="s">
        <v>31</v>
      </c>
      <c r="E3738" s="6" t="s">
        <v>6636</v>
      </c>
      <c r="F3738" s="6" t="s">
        <v>6635</v>
      </c>
      <c r="G3738" s="6" t="s">
        <v>16</v>
      </c>
      <c r="H3738" s="6" t="s">
        <v>28</v>
      </c>
      <c r="I3738" s="6" t="s">
        <v>14</v>
      </c>
      <c r="J3738" s="6" t="s">
        <v>35</v>
      </c>
      <c r="K3738" s="7">
        <v>29.846066279999999</v>
      </c>
      <c r="L3738" s="7">
        <v>-95.158912909999998</v>
      </c>
      <c r="M3738" s="6" t="s">
        <v>34</v>
      </c>
      <c r="N3738" s="6" t="s">
        <v>24</v>
      </c>
      <c r="O3738" s="6" t="s">
        <v>23</v>
      </c>
    </row>
    <row r="3739" spans="1:15" x14ac:dyDescent="0.25">
      <c r="A3739" s="6" t="s">
        <v>4654</v>
      </c>
      <c r="B3739" s="6" t="s">
        <v>4653</v>
      </c>
      <c r="C3739" s="6" t="s">
        <v>31</v>
      </c>
      <c r="E3739" s="6" t="s">
        <v>4652</v>
      </c>
      <c r="F3739" s="6" t="s">
        <v>4651</v>
      </c>
      <c r="G3739" s="6" t="s">
        <v>16</v>
      </c>
      <c r="H3739" s="6" t="s">
        <v>28</v>
      </c>
      <c r="I3739" s="6" t="s">
        <v>14</v>
      </c>
      <c r="J3739" s="6" t="s">
        <v>982</v>
      </c>
      <c r="K3739" s="7">
        <v>32.002172999999999</v>
      </c>
      <c r="L3739" s="7">
        <v>-96.213563339999993</v>
      </c>
      <c r="M3739" s="6" t="s">
        <v>981</v>
      </c>
      <c r="N3739" s="6" t="s">
        <v>102</v>
      </c>
      <c r="O3739" s="6" t="s">
        <v>42</v>
      </c>
    </row>
    <row r="3740" spans="1:15" x14ac:dyDescent="0.25">
      <c r="A3740" s="6" t="s">
        <v>288</v>
      </c>
      <c r="B3740" s="6" t="s">
        <v>287</v>
      </c>
      <c r="C3740" s="6" t="s">
        <v>31</v>
      </c>
      <c r="E3740" s="6" t="s">
        <v>286</v>
      </c>
      <c r="F3740" s="6" t="s">
        <v>285</v>
      </c>
      <c r="G3740" s="6" t="s">
        <v>284</v>
      </c>
      <c r="H3740" s="6" t="s">
        <v>28</v>
      </c>
      <c r="I3740" s="6" t="s">
        <v>14</v>
      </c>
      <c r="J3740" s="6" t="s">
        <v>35</v>
      </c>
      <c r="K3740" s="7">
        <v>30.052175040000002</v>
      </c>
      <c r="L3740" s="7">
        <v>-95.420013819999994</v>
      </c>
      <c r="M3740" s="6" t="s">
        <v>279</v>
      </c>
      <c r="N3740" s="6" t="s">
        <v>24</v>
      </c>
      <c r="O3740" s="6" t="s">
        <v>23</v>
      </c>
    </row>
    <row r="3741" spans="1:15" x14ac:dyDescent="0.25">
      <c r="A3741" s="6" t="s">
        <v>6388</v>
      </c>
      <c r="B3741" s="6" t="s">
        <v>6387</v>
      </c>
      <c r="C3741" s="6" t="s">
        <v>31</v>
      </c>
      <c r="E3741" s="6" t="s">
        <v>6386</v>
      </c>
      <c r="F3741" s="6" t="s">
        <v>6385</v>
      </c>
      <c r="G3741" s="6" t="s">
        <v>16</v>
      </c>
      <c r="H3741" s="6" t="s">
        <v>28</v>
      </c>
      <c r="I3741" s="6" t="s">
        <v>14</v>
      </c>
      <c r="J3741" s="6" t="s">
        <v>5940</v>
      </c>
      <c r="K3741" s="7">
        <v>31.843433099999999</v>
      </c>
      <c r="L3741" s="7">
        <v>-102.20967631000001</v>
      </c>
      <c r="M3741" s="6" t="s">
        <v>1801</v>
      </c>
      <c r="N3741" s="6" t="s">
        <v>10</v>
      </c>
      <c r="O3741" s="6" t="s">
        <v>383</v>
      </c>
    </row>
    <row r="3742" spans="1:15" x14ac:dyDescent="0.25">
      <c r="A3742" s="6" t="s">
        <v>4846</v>
      </c>
      <c r="B3742" s="6" t="s">
        <v>4845</v>
      </c>
      <c r="C3742" s="6" t="s">
        <v>31</v>
      </c>
      <c r="E3742" s="6" t="s">
        <v>4844</v>
      </c>
      <c r="F3742" s="6" t="s">
        <v>4843</v>
      </c>
      <c r="G3742" s="6" t="s">
        <v>284</v>
      </c>
      <c r="H3742" s="6" t="s">
        <v>28</v>
      </c>
      <c r="I3742" s="6" t="s">
        <v>14</v>
      </c>
      <c r="J3742" s="6" t="s">
        <v>456</v>
      </c>
      <c r="K3742" s="7">
        <v>30.091669679999999</v>
      </c>
      <c r="L3742" s="7">
        <v>-97.581746999999993</v>
      </c>
      <c r="M3742" s="6" t="s">
        <v>455</v>
      </c>
      <c r="N3742" s="6" t="s">
        <v>10</v>
      </c>
      <c r="O3742" s="6" t="s">
        <v>160</v>
      </c>
    </row>
    <row r="3743" spans="1:15" x14ac:dyDescent="0.25">
      <c r="A3743" s="6" t="s">
        <v>523</v>
      </c>
      <c r="B3743" s="6" t="s">
        <v>522</v>
      </c>
      <c r="C3743" s="6" t="s">
        <v>31</v>
      </c>
      <c r="E3743" s="6" t="s">
        <v>521</v>
      </c>
      <c r="F3743" s="6" t="s">
        <v>520</v>
      </c>
      <c r="G3743" s="6" t="s">
        <v>16</v>
      </c>
      <c r="H3743" s="6" t="s">
        <v>28</v>
      </c>
      <c r="I3743" s="6" t="s">
        <v>14</v>
      </c>
      <c r="J3743" s="6" t="s">
        <v>461</v>
      </c>
      <c r="K3743" s="7">
        <v>32.855614809999999</v>
      </c>
      <c r="L3743" s="7">
        <v>-96.068739289999996</v>
      </c>
      <c r="M3743" s="6" t="s">
        <v>109</v>
      </c>
      <c r="N3743" s="6" t="s">
        <v>65</v>
      </c>
      <c r="O3743" s="6" t="s">
        <v>42</v>
      </c>
    </row>
    <row r="3744" spans="1:15" x14ac:dyDescent="0.25">
      <c r="A3744" s="6" t="s">
        <v>6430</v>
      </c>
      <c r="B3744" s="6" t="s">
        <v>6429</v>
      </c>
      <c r="C3744" s="6" t="s">
        <v>31</v>
      </c>
      <c r="E3744" s="6" t="s">
        <v>6428</v>
      </c>
      <c r="F3744" s="6" t="s">
        <v>6427</v>
      </c>
      <c r="G3744" s="6" t="s">
        <v>16</v>
      </c>
      <c r="H3744" s="6" t="s">
        <v>28</v>
      </c>
      <c r="I3744" s="6" t="s">
        <v>14</v>
      </c>
      <c r="J3744" s="6" t="s">
        <v>132</v>
      </c>
      <c r="K3744" s="7">
        <v>29.658818149999998</v>
      </c>
      <c r="L3744" s="7">
        <v>-95.810773060000002</v>
      </c>
      <c r="M3744" s="6" t="s">
        <v>616</v>
      </c>
      <c r="N3744" s="6" t="s">
        <v>23</v>
      </c>
      <c r="O3744" s="6" t="s">
        <v>23</v>
      </c>
    </row>
    <row r="3745" spans="1:15" x14ac:dyDescent="0.25">
      <c r="A3745" s="6" t="s">
        <v>6396</v>
      </c>
      <c r="B3745" s="6" t="s">
        <v>6394</v>
      </c>
      <c r="C3745" s="6" t="s">
        <v>1098</v>
      </c>
      <c r="E3745" s="6" t="s">
        <v>6393</v>
      </c>
      <c r="F3745" s="6" t="s">
        <v>2142</v>
      </c>
      <c r="G3745" s="6" t="s">
        <v>284</v>
      </c>
      <c r="H3745" s="6" t="s">
        <v>430</v>
      </c>
      <c r="I3745" s="6" t="s">
        <v>14</v>
      </c>
      <c r="J3745" s="6" t="s">
        <v>853</v>
      </c>
      <c r="K3745" s="7">
        <v>29.866667960000001</v>
      </c>
      <c r="L3745" s="7">
        <v>-94.932776309999994</v>
      </c>
      <c r="M3745" s="6" t="s">
        <v>914</v>
      </c>
      <c r="N3745" s="6" t="s">
        <v>120</v>
      </c>
      <c r="O3745" s="6" t="s">
        <v>23</v>
      </c>
    </row>
    <row r="3746" spans="1:15" x14ac:dyDescent="0.25">
      <c r="A3746" s="6" t="s">
        <v>6395</v>
      </c>
      <c r="B3746" s="6" t="s">
        <v>6394</v>
      </c>
      <c r="C3746" s="6" t="s">
        <v>1096</v>
      </c>
      <c r="E3746" s="6" t="s">
        <v>6393</v>
      </c>
      <c r="F3746" s="6" t="s">
        <v>2142</v>
      </c>
      <c r="G3746" s="6" t="s">
        <v>284</v>
      </c>
      <c r="H3746" s="6" t="s">
        <v>15</v>
      </c>
      <c r="I3746" s="6" t="s">
        <v>14</v>
      </c>
      <c r="J3746" s="6" t="s">
        <v>853</v>
      </c>
      <c r="K3746" s="7">
        <v>29.866667960000001</v>
      </c>
      <c r="L3746" s="7">
        <v>-94.932776309999994</v>
      </c>
      <c r="M3746" s="6" t="s">
        <v>914</v>
      </c>
      <c r="N3746" s="6" t="s">
        <v>120</v>
      </c>
      <c r="O3746" s="6" t="s">
        <v>23</v>
      </c>
    </row>
    <row r="3747" spans="1:15" x14ac:dyDescent="0.25">
      <c r="A3747" s="6" t="s">
        <v>4945</v>
      </c>
      <c r="B3747" s="6" t="s">
        <v>4944</v>
      </c>
      <c r="C3747" s="6" t="s">
        <v>31</v>
      </c>
      <c r="E3747" s="6" t="s">
        <v>4943</v>
      </c>
      <c r="F3747" s="6" t="s">
        <v>4942</v>
      </c>
      <c r="G3747" s="6" t="s">
        <v>284</v>
      </c>
      <c r="H3747" s="6" t="s">
        <v>15</v>
      </c>
      <c r="I3747" s="6" t="s">
        <v>14</v>
      </c>
      <c r="J3747" s="6" t="s">
        <v>1074</v>
      </c>
      <c r="K3747" s="7">
        <v>29.846028789999998</v>
      </c>
      <c r="L3747" s="7">
        <v>-96.194366259999995</v>
      </c>
      <c r="M3747" s="6" t="s">
        <v>355</v>
      </c>
      <c r="N3747" s="6" t="s">
        <v>23</v>
      </c>
      <c r="O3747" s="6" t="s">
        <v>23</v>
      </c>
    </row>
    <row r="3748" spans="1:15" x14ac:dyDescent="0.25">
      <c r="A3748" s="6" t="s">
        <v>5194</v>
      </c>
      <c r="B3748" s="6" t="s">
        <v>5193</v>
      </c>
      <c r="C3748" s="6" t="s">
        <v>31</v>
      </c>
      <c r="E3748" s="6" t="s">
        <v>5192</v>
      </c>
      <c r="F3748" s="6" t="s">
        <v>1430</v>
      </c>
      <c r="G3748" s="6" t="s">
        <v>284</v>
      </c>
      <c r="H3748" s="6" t="s">
        <v>28</v>
      </c>
      <c r="I3748" s="6" t="s">
        <v>14</v>
      </c>
      <c r="J3748" s="6" t="s">
        <v>1787</v>
      </c>
      <c r="K3748" s="7">
        <v>32.64468901</v>
      </c>
      <c r="L3748" s="7">
        <v>-96.03964603</v>
      </c>
      <c r="M3748" s="6" t="s">
        <v>193</v>
      </c>
      <c r="N3748" s="6" t="s">
        <v>102</v>
      </c>
      <c r="O3748" s="6" t="s">
        <v>65</v>
      </c>
    </row>
    <row r="3749" spans="1:15" x14ac:dyDescent="0.25">
      <c r="A3749" s="6" t="s">
        <v>4976</v>
      </c>
      <c r="B3749" s="6" t="s">
        <v>4975</v>
      </c>
      <c r="C3749" s="6" t="s">
        <v>31</v>
      </c>
      <c r="E3749" s="6" t="s">
        <v>4974</v>
      </c>
      <c r="F3749" s="6" t="s">
        <v>4973</v>
      </c>
      <c r="G3749" s="6" t="s">
        <v>284</v>
      </c>
      <c r="H3749" s="6" t="s">
        <v>15</v>
      </c>
      <c r="I3749" s="6" t="s">
        <v>14</v>
      </c>
      <c r="J3749" s="6" t="s">
        <v>1249</v>
      </c>
      <c r="K3749" s="7">
        <v>31.823479129999999</v>
      </c>
      <c r="L3749" s="7">
        <v>-95.522027510000001</v>
      </c>
      <c r="M3749" s="6" t="s">
        <v>53</v>
      </c>
      <c r="N3749" s="6" t="s">
        <v>52</v>
      </c>
      <c r="O3749" s="6" t="s">
        <v>65</v>
      </c>
    </row>
    <row r="3750" spans="1:15" x14ac:dyDescent="0.25">
      <c r="A3750" s="6" t="s">
        <v>4980</v>
      </c>
      <c r="B3750" s="6" t="s">
        <v>4979</v>
      </c>
      <c r="C3750" s="6" t="s">
        <v>31</v>
      </c>
      <c r="E3750" s="6" t="s">
        <v>4978</v>
      </c>
      <c r="F3750" s="6" t="s">
        <v>4977</v>
      </c>
      <c r="G3750" s="6" t="s">
        <v>284</v>
      </c>
      <c r="H3750" s="6" t="s">
        <v>28</v>
      </c>
      <c r="I3750" s="6" t="s">
        <v>14</v>
      </c>
      <c r="J3750" s="6" t="s">
        <v>2137</v>
      </c>
      <c r="K3750" s="7">
        <v>29.927721699999999</v>
      </c>
      <c r="L3750" s="7">
        <v>-97.811903319999999</v>
      </c>
      <c r="M3750" s="6" t="s">
        <v>752</v>
      </c>
      <c r="N3750" s="6" t="s">
        <v>559</v>
      </c>
      <c r="O3750" s="6" t="s">
        <v>160</v>
      </c>
    </row>
    <row r="3751" spans="1:15" x14ac:dyDescent="0.25">
      <c r="A3751" s="6" t="s">
        <v>4941</v>
      </c>
      <c r="B3751" s="6" t="s">
        <v>4940</v>
      </c>
      <c r="C3751" s="6" t="s">
        <v>31</v>
      </c>
      <c r="E3751" s="6" t="s">
        <v>4939</v>
      </c>
      <c r="F3751" s="6" t="s">
        <v>4938</v>
      </c>
      <c r="G3751" s="6" t="s">
        <v>284</v>
      </c>
      <c r="H3751" s="6" t="s">
        <v>28</v>
      </c>
      <c r="I3751" s="6" t="s">
        <v>14</v>
      </c>
      <c r="J3751" s="6" t="s">
        <v>753</v>
      </c>
      <c r="K3751" s="7">
        <v>29.801401590000001</v>
      </c>
      <c r="L3751" s="7">
        <v>-97.996706649999993</v>
      </c>
      <c r="M3751" s="6" t="s">
        <v>2149</v>
      </c>
      <c r="N3751" s="6" t="s">
        <v>559</v>
      </c>
      <c r="O3751" s="6" t="s">
        <v>160</v>
      </c>
    </row>
    <row r="3752" spans="1:15" x14ac:dyDescent="0.25">
      <c r="A3752" s="6" t="s">
        <v>5191</v>
      </c>
      <c r="B3752" s="6" t="s">
        <v>5190</v>
      </c>
      <c r="C3752" s="6" t="s">
        <v>31</v>
      </c>
      <c r="E3752" s="6" t="s">
        <v>5189</v>
      </c>
      <c r="F3752" s="6" t="s">
        <v>5188</v>
      </c>
      <c r="G3752" s="6" t="s">
        <v>284</v>
      </c>
      <c r="H3752" s="6" t="s">
        <v>28</v>
      </c>
      <c r="I3752" s="6" t="s">
        <v>14</v>
      </c>
      <c r="J3752" s="6" t="s">
        <v>356</v>
      </c>
      <c r="K3752" s="7">
        <v>29.779372670000001</v>
      </c>
      <c r="L3752" s="7">
        <v>-95.935432460000001</v>
      </c>
      <c r="M3752" s="6" t="s">
        <v>355</v>
      </c>
      <c r="N3752" s="6" t="s">
        <v>23</v>
      </c>
      <c r="O3752" s="6" t="s">
        <v>23</v>
      </c>
    </row>
    <row r="3753" spans="1:15" x14ac:dyDescent="0.25">
      <c r="A3753" s="6" t="s">
        <v>4937</v>
      </c>
      <c r="B3753" s="6" t="s">
        <v>4936</v>
      </c>
      <c r="C3753" s="6" t="s">
        <v>31</v>
      </c>
      <c r="E3753" s="6" t="s">
        <v>4935</v>
      </c>
      <c r="F3753" s="6" t="s">
        <v>4934</v>
      </c>
      <c r="G3753" s="6" t="s">
        <v>284</v>
      </c>
      <c r="H3753" s="6" t="s">
        <v>28</v>
      </c>
      <c r="I3753" s="6" t="s">
        <v>14</v>
      </c>
      <c r="J3753" s="6" t="s">
        <v>84</v>
      </c>
      <c r="K3753" s="7">
        <v>28.649942060000001</v>
      </c>
      <c r="L3753" s="7">
        <v>-96.435001240000005</v>
      </c>
      <c r="M3753" s="6" t="s">
        <v>1388</v>
      </c>
      <c r="N3753" s="6" t="s">
        <v>22</v>
      </c>
      <c r="O3753" s="6" t="s">
        <v>10</v>
      </c>
    </row>
    <row r="3754" spans="1:15" x14ac:dyDescent="0.25">
      <c r="A3754" s="6" t="s">
        <v>4833</v>
      </c>
      <c r="B3754" s="6" t="s">
        <v>4832</v>
      </c>
      <c r="C3754" s="6" t="s">
        <v>31</v>
      </c>
      <c r="E3754" s="6" t="s">
        <v>4831</v>
      </c>
      <c r="F3754" s="6" t="s">
        <v>4830</v>
      </c>
      <c r="G3754" s="6" t="s">
        <v>16</v>
      </c>
      <c r="H3754" s="6" t="s">
        <v>28</v>
      </c>
      <c r="I3754" s="6" t="s">
        <v>14</v>
      </c>
      <c r="J3754" s="6" t="s">
        <v>35</v>
      </c>
      <c r="K3754" s="7">
        <v>30.025793910000001</v>
      </c>
      <c r="L3754" s="7">
        <v>-95.765399630000005</v>
      </c>
      <c r="M3754" s="6" t="s">
        <v>279</v>
      </c>
      <c r="N3754" s="6" t="s">
        <v>24</v>
      </c>
      <c r="O3754" s="6" t="s">
        <v>23</v>
      </c>
    </row>
    <row r="3755" spans="1:15" x14ac:dyDescent="0.25">
      <c r="A3755" s="6" t="s">
        <v>4692</v>
      </c>
      <c r="B3755" s="6" t="s">
        <v>4691</v>
      </c>
      <c r="C3755" s="6" t="s">
        <v>31</v>
      </c>
      <c r="E3755" s="6" t="s">
        <v>4690</v>
      </c>
      <c r="F3755" s="6" t="s">
        <v>4689</v>
      </c>
      <c r="G3755" s="6" t="s">
        <v>284</v>
      </c>
      <c r="H3755" s="6" t="s">
        <v>28</v>
      </c>
      <c r="I3755" s="6" t="s">
        <v>14</v>
      </c>
      <c r="J3755" s="6" t="s">
        <v>221</v>
      </c>
      <c r="K3755" s="7">
        <v>30.636367289999999</v>
      </c>
      <c r="L3755" s="7">
        <v>-97.566978239999997</v>
      </c>
      <c r="M3755" s="6" t="s">
        <v>4688</v>
      </c>
      <c r="N3755" s="6" t="s">
        <v>23</v>
      </c>
      <c r="O3755" s="6" t="s">
        <v>160</v>
      </c>
    </row>
    <row r="3756" spans="1:15" x14ac:dyDescent="0.25">
      <c r="A3756" s="6" t="s">
        <v>5062</v>
      </c>
      <c r="B3756" s="6" t="s">
        <v>5057</v>
      </c>
      <c r="C3756" s="6" t="s">
        <v>31</v>
      </c>
      <c r="E3756" s="6" t="s">
        <v>5056</v>
      </c>
      <c r="F3756" s="6" t="s">
        <v>5055</v>
      </c>
      <c r="G3756" s="6" t="s">
        <v>284</v>
      </c>
      <c r="H3756" s="6" t="s">
        <v>15</v>
      </c>
      <c r="I3756" s="6" t="s">
        <v>14</v>
      </c>
      <c r="J3756" s="6" t="s">
        <v>132</v>
      </c>
      <c r="K3756" s="7">
        <v>29.490649999999999</v>
      </c>
      <c r="L3756" s="7">
        <v>-95.612952140000004</v>
      </c>
      <c r="M3756" s="6" t="s">
        <v>355</v>
      </c>
      <c r="N3756" s="6" t="s">
        <v>23</v>
      </c>
      <c r="O3756" s="6" t="s">
        <v>23</v>
      </c>
    </row>
    <row r="3757" spans="1:15" x14ac:dyDescent="0.25">
      <c r="A3757" s="6" t="s">
        <v>5061</v>
      </c>
      <c r="B3757" s="6" t="s">
        <v>5057</v>
      </c>
      <c r="C3757" s="6" t="s">
        <v>19</v>
      </c>
      <c r="E3757" s="6" t="s">
        <v>5056</v>
      </c>
      <c r="F3757" s="6" t="s">
        <v>5055</v>
      </c>
      <c r="G3757" s="6" t="s">
        <v>284</v>
      </c>
      <c r="H3757" s="6" t="s">
        <v>15</v>
      </c>
      <c r="I3757" s="6" t="s">
        <v>14</v>
      </c>
      <c r="J3757" s="6" t="s">
        <v>132</v>
      </c>
      <c r="K3757" s="7">
        <v>29.487917920000001</v>
      </c>
      <c r="L3757" s="7">
        <v>-95.609585870000004</v>
      </c>
      <c r="M3757" s="6" t="s">
        <v>355</v>
      </c>
      <c r="N3757" s="6" t="s">
        <v>23</v>
      </c>
      <c r="O3757" s="6" t="s">
        <v>23</v>
      </c>
    </row>
    <row r="3758" spans="1:15" x14ac:dyDescent="0.25">
      <c r="A3758" s="6" t="s">
        <v>5060</v>
      </c>
      <c r="B3758" s="6" t="s">
        <v>5057</v>
      </c>
      <c r="C3758" s="6" t="s">
        <v>436</v>
      </c>
      <c r="E3758" s="6" t="s">
        <v>5056</v>
      </c>
      <c r="F3758" s="6" t="s">
        <v>5055</v>
      </c>
      <c r="G3758" s="6" t="s">
        <v>284</v>
      </c>
      <c r="H3758" s="6" t="s">
        <v>15</v>
      </c>
      <c r="I3758" s="6" t="s">
        <v>14</v>
      </c>
      <c r="J3758" s="6" t="s">
        <v>132</v>
      </c>
      <c r="K3758" s="7">
        <v>29.48703184</v>
      </c>
      <c r="L3758" s="7">
        <v>-95.609393830000002</v>
      </c>
      <c r="M3758" s="6" t="s">
        <v>355</v>
      </c>
      <c r="N3758" s="6" t="s">
        <v>23</v>
      </c>
      <c r="O3758" s="6" t="s">
        <v>23</v>
      </c>
    </row>
    <row r="3759" spans="1:15" x14ac:dyDescent="0.25">
      <c r="A3759" s="6" t="s">
        <v>5059</v>
      </c>
      <c r="B3759" s="6" t="s">
        <v>5057</v>
      </c>
      <c r="C3759" s="6" t="s">
        <v>597</v>
      </c>
      <c r="E3759" s="6" t="s">
        <v>5056</v>
      </c>
      <c r="F3759" s="6" t="s">
        <v>5055</v>
      </c>
      <c r="G3759" s="6" t="s">
        <v>284</v>
      </c>
      <c r="H3759" s="6" t="s">
        <v>15</v>
      </c>
      <c r="I3759" s="6" t="s">
        <v>14</v>
      </c>
      <c r="J3759" s="6" t="s">
        <v>132</v>
      </c>
      <c r="K3759" s="7">
        <v>29.481095499999999</v>
      </c>
      <c r="L3759" s="7">
        <v>-95.609483089999998</v>
      </c>
      <c r="M3759" s="6" t="s">
        <v>355</v>
      </c>
      <c r="N3759" s="6" t="s">
        <v>23</v>
      </c>
      <c r="O3759" s="6" t="s">
        <v>23</v>
      </c>
    </row>
    <row r="3760" spans="1:15" x14ac:dyDescent="0.25">
      <c r="A3760" s="6" t="s">
        <v>5058</v>
      </c>
      <c r="B3760" s="6" t="s">
        <v>5057</v>
      </c>
      <c r="C3760" s="6" t="s">
        <v>557</v>
      </c>
      <c r="E3760" s="6" t="s">
        <v>5056</v>
      </c>
      <c r="F3760" s="6" t="s">
        <v>5055</v>
      </c>
      <c r="G3760" s="6" t="s">
        <v>284</v>
      </c>
      <c r="H3760" s="6" t="s">
        <v>15</v>
      </c>
      <c r="I3760" s="6" t="s">
        <v>14</v>
      </c>
      <c r="J3760" s="6" t="s">
        <v>132</v>
      </c>
      <c r="K3760" s="7">
        <v>29.468531410000001</v>
      </c>
      <c r="L3760" s="7">
        <v>-95.605772540000004</v>
      </c>
      <c r="M3760" s="6" t="s">
        <v>355</v>
      </c>
      <c r="N3760" s="6" t="s">
        <v>23</v>
      </c>
      <c r="O3760" s="6" t="s">
        <v>23</v>
      </c>
    </row>
    <row r="3761" spans="1:15" x14ac:dyDescent="0.25">
      <c r="A3761" s="6" t="s">
        <v>5159</v>
      </c>
      <c r="B3761" s="6" t="s">
        <v>5158</v>
      </c>
      <c r="C3761" s="6" t="s">
        <v>31</v>
      </c>
      <c r="E3761" s="6" t="s">
        <v>5157</v>
      </c>
      <c r="F3761" s="6" t="s">
        <v>5156</v>
      </c>
      <c r="G3761" s="6" t="s">
        <v>284</v>
      </c>
      <c r="H3761" s="6" t="s">
        <v>28</v>
      </c>
      <c r="I3761" s="6" t="s">
        <v>14</v>
      </c>
      <c r="J3761" s="6" t="s">
        <v>409</v>
      </c>
      <c r="K3761" s="7">
        <v>30.114352650000001</v>
      </c>
      <c r="L3761" s="7">
        <v>-97.628720439999995</v>
      </c>
      <c r="M3761" s="6" t="s">
        <v>455</v>
      </c>
      <c r="N3761" s="6" t="s">
        <v>10</v>
      </c>
      <c r="O3761" s="6" t="s">
        <v>160</v>
      </c>
    </row>
    <row r="3762" spans="1:15" x14ac:dyDescent="0.25">
      <c r="A3762" s="6" t="s">
        <v>4662</v>
      </c>
      <c r="B3762" s="6" t="s">
        <v>4661</v>
      </c>
      <c r="C3762" s="6" t="s">
        <v>31</v>
      </c>
      <c r="E3762" s="6" t="s">
        <v>4660</v>
      </c>
      <c r="F3762" s="6" t="s">
        <v>2938</v>
      </c>
      <c r="G3762" s="6" t="s">
        <v>284</v>
      </c>
      <c r="H3762" s="6" t="s">
        <v>15</v>
      </c>
      <c r="I3762" s="6" t="s">
        <v>14</v>
      </c>
      <c r="J3762" s="6" t="s">
        <v>162</v>
      </c>
      <c r="K3762" s="7">
        <v>29.510017250000001</v>
      </c>
      <c r="L3762" s="7">
        <v>-95.431261180000007</v>
      </c>
      <c r="M3762" s="6" t="s">
        <v>161</v>
      </c>
      <c r="N3762" s="6" t="s">
        <v>160</v>
      </c>
      <c r="O3762" s="6" t="s">
        <v>23</v>
      </c>
    </row>
    <row r="3763" spans="1:15" x14ac:dyDescent="0.25">
      <c r="A3763" s="6" t="s">
        <v>5171</v>
      </c>
      <c r="B3763" s="6" t="s">
        <v>5170</v>
      </c>
      <c r="C3763" s="6" t="s">
        <v>31</v>
      </c>
      <c r="E3763" s="6" t="s">
        <v>5169</v>
      </c>
      <c r="F3763" s="6" t="s">
        <v>5168</v>
      </c>
      <c r="G3763" s="6" t="s">
        <v>284</v>
      </c>
      <c r="H3763" s="6" t="s">
        <v>28</v>
      </c>
      <c r="I3763" s="6" t="s">
        <v>14</v>
      </c>
      <c r="J3763" s="6" t="s">
        <v>35</v>
      </c>
      <c r="K3763" s="7">
        <v>30.05358579</v>
      </c>
      <c r="L3763" s="7">
        <v>-95.364309129999995</v>
      </c>
      <c r="M3763" s="6" t="s">
        <v>279</v>
      </c>
      <c r="N3763" s="6" t="s">
        <v>24</v>
      </c>
      <c r="O3763" s="6" t="s">
        <v>23</v>
      </c>
    </row>
    <row r="3764" spans="1:15" x14ac:dyDescent="0.25">
      <c r="A3764" s="6" t="s">
        <v>4854</v>
      </c>
      <c r="B3764" s="6" t="s">
        <v>4853</v>
      </c>
      <c r="C3764" s="6" t="s">
        <v>31</v>
      </c>
      <c r="E3764" s="6" t="s">
        <v>4852</v>
      </c>
      <c r="F3764" s="6" t="s">
        <v>4851</v>
      </c>
      <c r="G3764" s="6" t="s">
        <v>284</v>
      </c>
      <c r="H3764" s="6" t="s">
        <v>28</v>
      </c>
      <c r="I3764" s="6" t="s">
        <v>14</v>
      </c>
      <c r="J3764" s="6" t="s">
        <v>753</v>
      </c>
      <c r="K3764" s="7">
        <v>29.841076040000001</v>
      </c>
      <c r="L3764" s="7">
        <v>-97.910639410000002</v>
      </c>
      <c r="M3764" s="6" t="s">
        <v>2149</v>
      </c>
      <c r="N3764" s="6" t="s">
        <v>559</v>
      </c>
      <c r="O3764" s="6" t="s">
        <v>160</v>
      </c>
    </row>
    <row r="3765" spans="1:15" x14ac:dyDescent="0.25">
      <c r="A3765" s="6" t="s">
        <v>5180</v>
      </c>
      <c r="B3765" s="6" t="s">
        <v>5178</v>
      </c>
      <c r="C3765" s="6" t="s">
        <v>31</v>
      </c>
      <c r="E3765" s="6" t="s">
        <v>5177</v>
      </c>
      <c r="F3765" s="6" t="s">
        <v>5176</v>
      </c>
      <c r="G3765" s="6" t="s">
        <v>284</v>
      </c>
      <c r="H3765" s="6" t="s">
        <v>28</v>
      </c>
      <c r="I3765" s="6" t="s">
        <v>14</v>
      </c>
      <c r="J3765" s="6" t="s">
        <v>2500</v>
      </c>
      <c r="K3765" s="7">
        <v>29.769315710000001</v>
      </c>
      <c r="L3765" s="7">
        <v>-98.807778369999994</v>
      </c>
      <c r="M3765" s="6" t="s">
        <v>273</v>
      </c>
      <c r="N3765" s="6" t="s">
        <v>232</v>
      </c>
      <c r="O3765" s="6" t="s">
        <v>231</v>
      </c>
    </row>
    <row r="3766" spans="1:15" x14ac:dyDescent="0.25">
      <c r="A3766" s="6" t="s">
        <v>5179</v>
      </c>
      <c r="B3766" s="6" t="s">
        <v>5178</v>
      </c>
      <c r="C3766" s="6" t="s">
        <v>19</v>
      </c>
      <c r="E3766" s="6" t="s">
        <v>5177</v>
      </c>
      <c r="F3766" s="6" t="s">
        <v>5176</v>
      </c>
      <c r="G3766" s="6" t="s">
        <v>284</v>
      </c>
      <c r="H3766" s="6" t="s">
        <v>28</v>
      </c>
      <c r="I3766" s="6" t="s">
        <v>14</v>
      </c>
      <c r="J3766" s="6" t="s">
        <v>2500</v>
      </c>
      <c r="K3766" s="7">
        <v>29.77826134</v>
      </c>
      <c r="L3766" s="7">
        <v>-98.811776069999993</v>
      </c>
      <c r="M3766" s="6" t="s">
        <v>273</v>
      </c>
      <c r="N3766" s="6" t="s">
        <v>232</v>
      </c>
      <c r="O3766" s="6" t="s">
        <v>231</v>
      </c>
    </row>
    <row r="3767" spans="1:15" x14ac:dyDescent="0.25">
      <c r="A3767" s="6" t="s">
        <v>4829</v>
      </c>
      <c r="B3767" s="6" t="s">
        <v>4828</v>
      </c>
      <c r="C3767" s="6" t="s">
        <v>31</v>
      </c>
      <c r="E3767" s="6" t="s">
        <v>4827</v>
      </c>
      <c r="F3767" s="6" t="s">
        <v>4826</v>
      </c>
      <c r="G3767" s="6" t="s">
        <v>284</v>
      </c>
      <c r="H3767" s="6" t="s">
        <v>28</v>
      </c>
      <c r="I3767" s="6" t="s">
        <v>14</v>
      </c>
      <c r="J3767" s="6" t="s">
        <v>35</v>
      </c>
      <c r="K3767" s="7">
        <v>29.695713770000001</v>
      </c>
      <c r="L3767" s="7">
        <v>-95.061615140000001</v>
      </c>
      <c r="M3767" s="6" t="s">
        <v>599</v>
      </c>
      <c r="N3767" s="6" t="s">
        <v>24</v>
      </c>
      <c r="O3767" s="6" t="s">
        <v>23</v>
      </c>
    </row>
    <row r="3768" spans="1:15" x14ac:dyDescent="0.25">
      <c r="A3768" s="6" t="s">
        <v>4858</v>
      </c>
      <c r="B3768" s="6" t="s">
        <v>4857</v>
      </c>
      <c r="C3768" s="6" t="s">
        <v>31</v>
      </c>
      <c r="E3768" s="6" t="s">
        <v>4856</v>
      </c>
      <c r="F3768" s="6" t="s">
        <v>4855</v>
      </c>
      <c r="G3768" s="6" t="s">
        <v>284</v>
      </c>
      <c r="H3768" s="6" t="s">
        <v>28</v>
      </c>
      <c r="I3768" s="6" t="s">
        <v>14</v>
      </c>
      <c r="J3768" s="6" t="s">
        <v>168</v>
      </c>
      <c r="K3768" s="7">
        <v>33.06517727</v>
      </c>
      <c r="L3768" s="7">
        <v>-97.246199970000006</v>
      </c>
      <c r="M3768" s="6" t="s">
        <v>156</v>
      </c>
      <c r="N3768" s="6" t="s">
        <v>102</v>
      </c>
      <c r="O3768" s="6" t="s">
        <v>42</v>
      </c>
    </row>
    <row r="3769" spans="1:15" x14ac:dyDescent="0.25">
      <c r="A3769" s="6" t="s">
        <v>5265</v>
      </c>
      <c r="B3769" s="6" t="s">
        <v>5264</v>
      </c>
      <c r="C3769" s="6" t="s">
        <v>31</v>
      </c>
      <c r="E3769" s="6" t="s">
        <v>5263</v>
      </c>
      <c r="F3769" s="6" t="s">
        <v>5262</v>
      </c>
      <c r="G3769" s="6" t="s">
        <v>284</v>
      </c>
      <c r="H3769" s="6" t="s">
        <v>28</v>
      </c>
      <c r="I3769" s="6" t="s">
        <v>14</v>
      </c>
      <c r="J3769" s="6" t="s">
        <v>253</v>
      </c>
      <c r="K3769" s="7">
        <v>30.88079527</v>
      </c>
      <c r="L3769" s="7">
        <v>-97.550774880000006</v>
      </c>
      <c r="M3769" s="6" t="s">
        <v>252</v>
      </c>
      <c r="N3769" s="6" t="s">
        <v>23</v>
      </c>
      <c r="O3769" s="6" t="s">
        <v>120</v>
      </c>
    </row>
    <row r="3770" spans="1:15" x14ac:dyDescent="0.25">
      <c r="A3770" s="6" t="s">
        <v>5054</v>
      </c>
      <c r="B3770" s="6" t="s">
        <v>5053</v>
      </c>
      <c r="C3770" s="6" t="s">
        <v>31</v>
      </c>
      <c r="E3770" s="6" t="s">
        <v>5052</v>
      </c>
      <c r="F3770" s="6" t="s">
        <v>5051</v>
      </c>
      <c r="G3770" s="6" t="s">
        <v>284</v>
      </c>
      <c r="H3770" s="6" t="s">
        <v>28</v>
      </c>
      <c r="I3770" s="6" t="s">
        <v>14</v>
      </c>
      <c r="J3770" s="6" t="s">
        <v>35</v>
      </c>
      <c r="K3770" s="7">
        <v>30.045540219999999</v>
      </c>
      <c r="L3770" s="7">
        <v>-95.738476890000001</v>
      </c>
      <c r="M3770" s="6" t="s">
        <v>279</v>
      </c>
      <c r="N3770" s="6" t="s">
        <v>24</v>
      </c>
      <c r="O3770" s="6" t="s">
        <v>23</v>
      </c>
    </row>
    <row r="3771" spans="1:15" x14ac:dyDescent="0.25">
      <c r="A3771" s="6" t="s">
        <v>5198</v>
      </c>
      <c r="B3771" s="6" t="s">
        <v>5197</v>
      </c>
      <c r="C3771" s="6" t="s">
        <v>31</v>
      </c>
      <c r="E3771" s="6" t="s">
        <v>5196</v>
      </c>
      <c r="F3771" s="6" t="s">
        <v>5195</v>
      </c>
      <c r="G3771" s="6" t="s">
        <v>284</v>
      </c>
      <c r="H3771" s="6" t="s">
        <v>28</v>
      </c>
      <c r="I3771" s="6" t="s">
        <v>14</v>
      </c>
      <c r="J3771" s="6" t="s">
        <v>26</v>
      </c>
      <c r="K3771" s="7">
        <v>30.262182970000001</v>
      </c>
      <c r="L3771" s="7">
        <v>-95.504047220000004</v>
      </c>
      <c r="M3771" s="6" t="s">
        <v>25</v>
      </c>
      <c r="N3771" s="6" t="s">
        <v>24</v>
      </c>
      <c r="O3771" s="6" t="s">
        <v>23</v>
      </c>
    </row>
    <row r="3772" spans="1:15" x14ac:dyDescent="0.25">
      <c r="A3772" s="6" t="s">
        <v>4983</v>
      </c>
      <c r="B3772" s="6" t="s">
        <v>4982</v>
      </c>
      <c r="C3772" s="6" t="s">
        <v>31</v>
      </c>
      <c r="E3772" s="6" t="s">
        <v>4981</v>
      </c>
      <c r="F3772" s="6" t="s">
        <v>29</v>
      </c>
      <c r="G3772" s="6" t="s">
        <v>284</v>
      </c>
      <c r="H3772" s="6" t="s">
        <v>28</v>
      </c>
      <c r="I3772" s="6" t="s">
        <v>14</v>
      </c>
      <c r="J3772" s="6" t="s">
        <v>26</v>
      </c>
      <c r="K3772" s="7">
        <v>30.149402850000001</v>
      </c>
      <c r="L3772" s="7">
        <v>-95.619147659999996</v>
      </c>
      <c r="M3772" s="6" t="s">
        <v>731</v>
      </c>
      <c r="N3772" s="6" t="s">
        <v>24</v>
      </c>
      <c r="O3772" s="6" t="s">
        <v>23</v>
      </c>
    </row>
    <row r="3773" spans="1:15" x14ac:dyDescent="0.25">
      <c r="A3773" s="6" t="s">
        <v>5187</v>
      </c>
      <c r="B3773" s="6" t="s">
        <v>5186</v>
      </c>
      <c r="C3773" s="6" t="s">
        <v>31</v>
      </c>
      <c r="E3773" s="6" t="s">
        <v>5185</v>
      </c>
      <c r="F3773" s="6" t="s">
        <v>5156</v>
      </c>
      <c r="G3773" s="6" t="s">
        <v>284</v>
      </c>
      <c r="H3773" s="6" t="s">
        <v>28</v>
      </c>
      <c r="I3773" s="6" t="s">
        <v>14</v>
      </c>
      <c r="J3773" s="6" t="s">
        <v>409</v>
      </c>
      <c r="K3773" s="7">
        <v>30.348386850000001</v>
      </c>
      <c r="L3773" s="7">
        <v>-97.451880299999999</v>
      </c>
      <c r="M3773" s="6" t="s">
        <v>455</v>
      </c>
      <c r="N3773" s="6" t="s">
        <v>10</v>
      </c>
      <c r="O3773" s="6" t="s">
        <v>160</v>
      </c>
    </row>
    <row r="3774" spans="1:15" x14ac:dyDescent="0.25">
      <c r="A3774" s="6" t="s">
        <v>5163</v>
      </c>
      <c r="B3774" s="6" t="s">
        <v>5162</v>
      </c>
      <c r="C3774" s="6" t="s">
        <v>31</v>
      </c>
      <c r="E3774" s="6" t="s">
        <v>5161</v>
      </c>
      <c r="F3774" s="6" t="s">
        <v>5160</v>
      </c>
      <c r="G3774" s="6" t="s">
        <v>284</v>
      </c>
      <c r="H3774" s="6" t="s">
        <v>28</v>
      </c>
      <c r="I3774" s="6" t="s">
        <v>14</v>
      </c>
      <c r="J3774" s="6" t="s">
        <v>168</v>
      </c>
      <c r="K3774" s="7">
        <v>33.056397609999998</v>
      </c>
      <c r="L3774" s="7">
        <v>-97.308749759999998</v>
      </c>
      <c r="M3774" s="6" t="s">
        <v>156</v>
      </c>
      <c r="N3774" s="6" t="s">
        <v>102</v>
      </c>
      <c r="O3774" s="6" t="s">
        <v>42</v>
      </c>
    </row>
    <row r="3775" spans="1:15" x14ac:dyDescent="0.25">
      <c r="A3775" s="6" t="s">
        <v>4672</v>
      </c>
      <c r="B3775" s="6" t="s">
        <v>4671</v>
      </c>
      <c r="C3775" s="6" t="s">
        <v>31</v>
      </c>
      <c r="E3775" s="6" t="s">
        <v>4670</v>
      </c>
      <c r="F3775" s="6" t="s">
        <v>4669</v>
      </c>
      <c r="G3775" s="6" t="s">
        <v>284</v>
      </c>
      <c r="H3775" s="6" t="s">
        <v>28</v>
      </c>
      <c r="I3775" s="6" t="s">
        <v>14</v>
      </c>
      <c r="J3775" s="6" t="s">
        <v>456</v>
      </c>
      <c r="K3775" s="7">
        <v>30.063965509999999</v>
      </c>
      <c r="L3775" s="7">
        <v>-97.613929670000005</v>
      </c>
      <c r="M3775" s="6" t="s">
        <v>455</v>
      </c>
      <c r="N3775" s="6" t="s">
        <v>10</v>
      </c>
      <c r="O3775" s="6" t="s">
        <v>160</v>
      </c>
    </row>
    <row r="3776" spans="1:15" x14ac:dyDescent="0.25">
      <c r="A3776" s="6" t="s">
        <v>4837</v>
      </c>
      <c r="B3776" s="6" t="s">
        <v>4836</v>
      </c>
      <c r="C3776" s="6" t="s">
        <v>31</v>
      </c>
      <c r="E3776" s="6" t="s">
        <v>4835</v>
      </c>
      <c r="F3776" s="6" t="s">
        <v>4834</v>
      </c>
      <c r="G3776" s="6" t="s">
        <v>284</v>
      </c>
      <c r="H3776" s="6" t="s">
        <v>28</v>
      </c>
      <c r="I3776" s="6" t="s">
        <v>14</v>
      </c>
      <c r="J3776" s="6" t="s">
        <v>2768</v>
      </c>
      <c r="K3776" s="7">
        <v>32.450479039999998</v>
      </c>
      <c r="L3776" s="7">
        <v>-97.419172399999994</v>
      </c>
      <c r="M3776" s="6" t="s">
        <v>3337</v>
      </c>
      <c r="N3776" s="6" t="s">
        <v>23</v>
      </c>
      <c r="O3776" s="6" t="s">
        <v>42</v>
      </c>
    </row>
    <row r="3777" spans="1:15" x14ac:dyDescent="0.25">
      <c r="A3777" s="6" t="s">
        <v>5079</v>
      </c>
      <c r="B3777" s="6" t="s">
        <v>5078</v>
      </c>
      <c r="C3777" s="6" t="s">
        <v>31</v>
      </c>
      <c r="E3777" s="6" t="s">
        <v>5077</v>
      </c>
      <c r="F3777" s="6" t="s">
        <v>5076</v>
      </c>
      <c r="G3777" s="6" t="s">
        <v>284</v>
      </c>
      <c r="H3777" s="6" t="s">
        <v>15</v>
      </c>
      <c r="I3777" s="6" t="s">
        <v>14</v>
      </c>
      <c r="J3777" s="6" t="s">
        <v>982</v>
      </c>
      <c r="K3777" s="7">
        <v>32.067505740000001</v>
      </c>
      <c r="L3777" s="7">
        <v>-96.232600210000001</v>
      </c>
      <c r="M3777" s="6" t="s">
        <v>981</v>
      </c>
      <c r="N3777" s="6" t="s">
        <v>102</v>
      </c>
      <c r="O3777" s="6" t="s">
        <v>42</v>
      </c>
    </row>
    <row r="3778" spans="1:15" x14ac:dyDescent="0.25">
      <c r="A3778" s="6" t="s">
        <v>4650</v>
      </c>
      <c r="B3778" s="6" t="s">
        <v>4649</v>
      </c>
      <c r="C3778" s="6" t="s">
        <v>31</v>
      </c>
      <c r="E3778" s="6" t="s">
        <v>4648</v>
      </c>
      <c r="F3778" s="6" t="s">
        <v>4647</v>
      </c>
      <c r="G3778" s="6" t="s">
        <v>284</v>
      </c>
      <c r="H3778" s="6" t="s">
        <v>28</v>
      </c>
      <c r="I3778" s="6" t="s">
        <v>14</v>
      </c>
      <c r="J3778" s="6" t="s">
        <v>312</v>
      </c>
      <c r="K3778" s="7">
        <v>32.520387239999998</v>
      </c>
      <c r="L3778" s="7">
        <v>-97.624925090000005</v>
      </c>
      <c r="M3778" s="6" t="s">
        <v>466</v>
      </c>
      <c r="N3778" s="6" t="s">
        <v>23</v>
      </c>
      <c r="O3778" s="6" t="s">
        <v>42</v>
      </c>
    </row>
    <row r="3779" spans="1:15" x14ac:dyDescent="0.25">
      <c r="A3779" s="6" t="s">
        <v>5075</v>
      </c>
      <c r="B3779" s="6" t="s">
        <v>5074</v>
      </c>
      <c r="C3779" s="6" t="s">
        <v>31</v>
      </c>
      <c r="E3779" s="6" t="s">
        <v>5073</v>
      </c>
      <c r="F3779" s="6" t="s">
        <v>5072</v>
      </c>
      <c r="G3779" s="6" t="s">
        <v>284</v>
      </c>
      <c r="H3779" s="6" t="s">
        <v>15</v>
      </c>
      <c r="I3779" s="6" t="s">
        <v>14</v>
      </c>
      <c r="J3779" s="6" t="s">
        <v>776</v>
      </c>
      <c r="K3779" s="7">
        <v>32.843050759999997</v>
      </c>
      <c r="L3779" s="7">
        <v>-98.488075480000006</v>
      </c>
      <c r="M3779" s="6" t="s">
        <v>5071</v>
      </c>
      <c r="N3779" s="6" t="s">
        <v>23</v>
      </c>
      <c r="O3779" s="6" t="s">
        <v>42</v>
      </c>
    </row>
    <row r="3780" spans="1:15" x14ac:dyDescent="0.25">
      <c r="A3780" s="6" t="s">
        <v>4825</v>
      </c>
      <c r="B3780" s="6" t="s">
        <v>4824</v>
      </c>
      <c r="C3780" s="6" t="s">
        <v>31</v>
      </c>
      <c r="E3780" s="6" t="s">
        <v>4823</v>
      </c>
      <c r="F3780" s="6" t="s">
        <v>4822</v>
      </c>
      <c r="G3780" s="6" t="s">
        <v>284</v>
      </c>
      <c r="H3780" s="6" t="s">
        <v>28</v>
      </c>
      <c r="I3780" s="6" t="s">
        <v>14</v>
      </c>
      <c r="J3780" s="6" t="s">
        <v>35</v>
      </c>
      <c r="K3780" s="7">
        <v>29.870190749999999</v>
      </c>
      <c r="L3780" s="7">
        <v>-95.819931890000007</v>
      </c>
      <c r="M3780" s="6" t="s">
        <v>131</v>
      </c>
      <c r="N3780" s="6" t="s">
        <v>24</v>
      </c>
      <c r="O3780" s="6" t="s">
        <v>23</v>
      </c>
    </row>
    <row r="3781" spans="1:15" x14ac:dyDescent="0.25">
      <c r="A3781" s="6" t="s">
        <v>5167</v>
      </c>
      <c r="B3781" s="6" t="s">
        <v>5166</v>
      </c>
      <c r="C3781" s="6" t="s">
        <v>31</v>
      </c>
      <c r="E3781" s="6" t="s">
        <v>5165</v>
      </c>
      <c r="F3781" s="6" t="s">
        <v>5164</v>
      </c>
      <c r="G3781" s="6" t="s">
        <v>284</v>
      </c>
      <c r="H3781" s="6" t="s">
        <v>28</v>
      </c>
      <c r="I3781" s="6" t="s">
        <v>14</v>
      </c>
      <c r="J3781" s="6" t="s">
        <v>409</v>
      </c>
      <c r="K3781" s="7">
        <v>30.099776070000001</v>
      </c>
      <c r="L3781" s="7">
        <v>-97.693911319999998</v>
      </c>
      <c r="M3781" s="6" t="s">
        <v>408</v>
      </c>
      <c r="N3781" s="6" t="s">
        <v>10</v>
      </c>
      <c r="O3781" s="6" t="s">
        <v>160</v>
      </c>
    </row>
    <row r="3782" spans="1:15" x14ac:dyDescent="0.25">
      <c r="A3782" s="6" t="s">
        <v>4668</v>
      </c>
      <c r="B3782" s="6" t="s">
        <v>4667</v>
      </c>
      <c r="C3782" s="6" t="s">
        <v>31</v>
      </c>
      <c r="E3782" s="6" t="s">
        <v>4666</v>
      </c>
      <c r="F3782" s="6" t="s">
        <v>4665</v>
      </c>
      <c r="G3782" s="6" t="s">
        <v>284</v>
      </c>
      <c r="H3782" s="6" t="s">
        <v>15</v>
      </c>
      <c r="I3782" s="6" t="s">
        <v>14</v>
      </c>
      <c r="J3782" s="6" t="s">
        <v>35</v>
      </c>
      <c r="K3782" s="7">
        <v>29.873084080000002</v>
      </c>
      <c r="L3782" s="7">
        <v>-95.115595229999997</v>
      </c>
      <c r="M3782" s="6" t="s">
        <v>198</v>
      </c>
      <c r="N3782" s="6" t="s">
        <v>24</v>
      </c>
      <c r="O3782" s="6" t="s">
        <v>23</v>
      </c>
    </row>
    <row r="3783" spans="1:15" x14ac:dyDescent="0.25">
      <c r="A3783" s="6" t="s">
        <v>4862</v>
      </c>
      <c r="B3783" s="6" t="s">
        <v>4861</v>
      </c>
      <c r="C3783" s="6" t="s">
        <v>31</v>
      </c>
      <c r="E3783" s="6" t="s">
        <v>4860</v>
      </c>
      <c r="F3783" s="6" t="s">
        <v>4859</v>
      </c>
      <c r="G3783" s="6" t="s">
        <v>284</v>
      </c>
      <c r="H3783" s="6" t="s">
        <v>15</v>
      </c>
      <c r="I3783" s="6" t="s">
        <v>14</v>
      </c>
      <c r="J3783" s="6" t="s">
        <v>946</v>
      </c>
      <c r="K3783" s="7">
        <v>31.294411100000001</v>
      </c>
      <c r="L3783" s="7">
        <v>-105.73320572</v>
      </c>
      <c r="M3783" s="6" t="s">
        <v>945</v>
      </c>
      <c r="N3783" s="6" t="s">
        <v>373</v>
      </c>
      <c r="O3783" s="6" t="s">
        <v>52</v>
      </c>
    </row>
    <row r="3784" spans="1:15" x14ac:dyDescent="0.25">
      <c r="A3784" s="6" t="s">
        <v>4866</v>
      </c>
      <c r="B3784" s="6" t="s">
        <v>4865</v>
      </c>
      <c r="C3784" s="6" t="s">
        <v>31</v>
      </c>
      <c r="E3784" s="6" t="s">
        <v>4864</v>
      </c>
      <c r="F3784" s="6" t="s">
        <v>4863</v>
      </c>
      <c r="G3784" s="6" t="s">
        <v>284</v>
      </c>
      <c r="H3784" s="6" t="s">
        <v>28</v>
      </c>
      <c r="I3784" s="6" t="s">
        <v>14</v>
      </c>
      <c r="J3784" s="6" t="s">
        <v>132</v>
      </c>
      <c r="K3784" s="7">
        <v>29.523258640000002</v>
      </c>
      <c r="L3784" s="7">
        <v>-95.488118990000004</v>
      </c>
      <c r="M3784" s="6" t="s">
        <v>4387</v>
      </c>
      <c r="N3784" s="6" t="s">
        <v>23</v>
      </c>
      <c r="O3784" s="6" t="s">
        <v>23</v>
      </c>
    </row>
    <row r="3785" spans="1:15" x14ac:dyDescent="0.25">
      <c r="A3785" s="6" t="s">
        <v>4840</v>
      </c>
      <c r="B3785" s="6" t="s">
        <v>4839</v>
      </c>
      <c r="C3785" s="6" t="s">
        <v>31</v>
      </c>
      <c r="E3785" s="6" t="s">
        <v>4838</v>
      </c>
      <c r="F3785" s="6" t="s">
        <v>3398</v>
      </c>
      <c r="G3785" s="6" t="s">
        <v>284</v>
      </c>
      <c r="H3785" s="6" t="s">
        <v>430</v>
      </c>
      <c r="I3785" s="6" t="s">
        <v>14</v>
      </c>
      <c r="J3785" s="6" t="s">
        <v>904</v>
      </c>
      <c r="K3785" s="7">
        <v>32.602481580000003</v>
      </c>
      <c r="L3785" s="7">
        <v>-97.827887489999995</v>
      </c>
      <c r="M3785" s="6" t="s">
        <v>775</v>
      </c>
      <c r="N3785" s="6" t="s">
        <v>23</v>
      </c>
      <c r="O3785" s="6" t="s">
        <v>42</v>
      </c>
    </row>
    <row r="3786" spans="1:15" x14ac:dyDescent="0.25">
      <c r="A3786" s="6" t="s">
        <v>4972</v>
      </c>
      <c r="B3786" s="6" t="s">
        <v>4971</v>
      </c>
      <c r="C3786" s="6" t="s">
        <v>31</v>
      </c>
      <c r="E3786" s="6" t="s">
        <v>4970</v>
      </c>
      <c r="F3786" s="6" t="s">
        <v>4969</v>
      </c>
      <c r="G3786" s="6" t="s">
        <v>284</v>
      </c>
      <c r="H3786" s="6" t="s">
        <v>15</v>
      </c>
      <c r="I3786" s="6" t="s">
        <v>4968</v>
      </c>
      <c r="J3786" s="6" t="s">
        <v>168</v>
      </c>
      <c r="K3786" s="7">
        <v>33.034525449999997</v>
      </c>
      <c r="L3786" s="7">
        <v>-97.349063790000002</v>
      </c>
      <c r="M3786" s="6" t="s">
        <v>156</v>
      </c>
      <c r="N3786" s="6" t="s">
        <v>102</v>
      </c>
      <c r="O3786" s="6" t="s">
        <v>42</v>
      </c>
    </row>
    <row r="3787" spans="1:15" x14ac:dyDescent="0.25">
      <c r="A3787" s="6" t="s">
        <v>11676</v>
      </c>
      <c r="B3787" s="6" t="s">
        <v>11675</v>
      </c>
      <c r="C3787" s="6" t="s">
        <v>31</v>
      </c>
      <c r="E3787" s="6" t="s">
        <v>11674</v>
      </c>
      <c r="F3787" s="6" t="s">
        <v>11673</v>
      </c>
      <c r="G3787" s="6" t="s">
        <v>284</v>
      </c>
      <c r="H3787" s="6" t="s">
        <v>28</v>
      </c>
      <c r="I3787" s="6" t="s">
        <v>14</v>
      </c>
      <c r="J3787" s="6" t="s">
        <v>26</v>
      </c>
      <c r="K3787" s="7">
        <v>30.36245272</v>
      </c>
      <c r="L3787" s="7">
        <v>-95.394491720000005</v>
      </c>
      <c r="M3787" s="6" t="s">
        <v>1022</v>
      </c>
      <c r="N3787" s="6" t="s">
        <v>24</v>
      </c>
      <c r="O3787" s="6" t="s">
        <v>23</v>
      </c>
    </row>
    <row r="3788" spans="1:15" x14ac:dyDescent="0.25">
      <c r="A3788" s="6" t="s">
        <v>5184</v>
      </c>
      <c r="B3788" s="6" t="s">
        <v>5183</v>
      </c>
      <c r="C3788" s="6" t="s">
        <v>31</v>
      </c>
      <c r="E3788" s="6" t="s">
        <v>5182</v>
      </c>
      <c r="F3788" s="6" t="s">
        <v>5181</v>
      </c>
      <c r="G3788" s="6" t="s">
        <v>284</v>
      </c>
      <c r="H3788" s="6" t="s">
        <v>28</v>
      </c>
      <c r="I3788" s="6" t="s">
        <v>14</v>
      </c>
      <c r="J3788" s="6" t="s">
        <v>35</v>
      </c>
      <c r="K3788" s="7">
        <v>29.9251857</v>
      </c>
      <c r="L3788" s="7">
        <v>-95.064294039999993</v>
      </c>
      <c r="M3788" s="6" t="s">
        <v>716</v>
      </c>
      <c r="N3788" s="6" t="s">
        <v>24</v>
      </c>
      <c r="O3788" s="6" t="s">
        <v>23</v>
      </c>
    </row>
    <row r="3789" spans="1:15" x14ac:dyDescent="0.25">
      <c r="A3789" s="6" t="s">
        <v>4849</v>
      </c>
      <c r="B3789" s="6" t="s">
        <v>4848</v>
      </c>
      <c r="C3789" s="6" t="s">
        <v>31</v>
      </c>
      <c r="E3789" s="6" t="s">
        <v>4847</v>
      </c>
      <c r="F3789" s="6" t="s">
        <v>4673</v>
      </c>
      <c r="G3789" s="6" t="s">
        <v>284</v>
      </c>
      <c r="H3789" s="6" t="s">
        <v>28</v>
      </c>
      <c r="I3789" s="6" t="s">
        <v>14</v>
      </c>
      <c r="J3789" s="6" t="s">
        <v>1032</v>
      </c>
      <c r="K3789" s="7">
        <v>29.809737999999999</v>
      </c>
      <c r="L3789" s="7">
        <v>-97.919338080000003</v>
      </c>
      <c r="M3789" s="6" t="s">
        <v>2149</v>
      </c>
      <c r="N3789" s="6" t="s">
        <v>559</v>
      </c>
      <c r="O3789" s="6" t="s">
        <v>231</v>
      </c>
    </row>
    <row r="3790" spans="1:15" x14ac:dyDescent="0.25">
      <c r="A3790" s="6" t="s">
        <v>11690</v>
      </c>
      <c r="B3790" s="6" t="s">
        <v>4695</v>
      </c>
      <c r="C3790" s="6" t="s">
        <v>31</v>
      </c>
      <c r="E3790" s="6" t="s">
        <v>4694</v>
      </c>
      <c r="F3790" s="6" t="s">
        <v>4693</v>
      </c>
      <c r="G3790" s="6" t="s">
        <v>284</v>
      </c>
      <c r="H3790" s="6" t="s">
        <v>15</v>
      </c>
      <c r="I3790" s="6" t="s">
        <v>14</v>
      </c>
      <c r="J3790" s="6" t="s">
        <v>90</v>
      </c>
      <c r="K3790" s="7">
        <v>25.968416449999999</v>
      </c>
      <c r="L3790" s="7">
        <v>-97.35834758</v>
      </c>
      <c r="M3790" s="6" t="s">
        <v>770</v>
      </c>
      <c r="N3790" s="6" t="s">
        <v>11</v>
      </c>
      <c r="O3790" s="6" t="s">
        <v>22</v>
      </c>
    </row>
    <row r="3791" spans="1:15" x14ac:dyDescent="0.25">
      <c r="A3791" s="6" t="s">
        <v>11679</v>
      </c>
      <c r="B3791" s="6" t="s">
        <v>4695</v>
      </c>
      <c r="C3791" s="6" t="s">
        <v>19</v>
      </c>
      <c r="E3791" s="6" t="s">
        <v>4694</v>
      </c>
      <c r="F3791" s="6" t="s">
        <v>4693</v>
      </c>
      <c r="G3791" s="6" t="s">
        <v>284</v>
      </c>
      <c r="H3791" s="6" t="s">
        <v>15</v>
      </c>
      <c r="I3791" s="6" t="s">
        <v>14</v>
      </c>
      <c r="J3791" s="6" t="s">
        <v>90</v>
      </c>
      <c r="K3791" s="7">
        <v>25.968219680000001</v>
      </c>
      <c r="L3791" s="7">
        <v>-97.358213640000002</v>
      </c>
      <c r="M3791" s="6" t="s">
        <v>770</v>
      </c>
      <c r="N3791" s="6" t="s">
        <v>11</v>
      </c>
      <c r="O3791" s="6" t="s">
        <v>22</v>
      </c>
    </row>
    <row r="3792" spans="1:15" x14ac:dyDescent="0.25">
      <c r="A3792" s="6" t="s">
        <v>11672</v>
      </c>
      <c r="B3792" s="6" t="s">
        <v>4695</v>
      </c>
      <c r="C3792" s="6" t="s">
        <v>436</v>
      </c>
      <c r="E3792" s="6" t="s">
        <v>4694</v>
      </c>
      <c r="F3792" s="6" t="s">
        <v>4693</v>
      </c>
      <c r="G3792" s="6" t="s">
        <v>284</v>
      </c>
      <c r="H3792" s="6" t="s">
        <v>15</v>
      </c>
      <c r="I3792" s="6" t="s">
        <v>14</v>
      </c>
      <c r="J3792" s="6" t="s">
        <v>90</v>
      </c>
      <c r="K3792" s="7">
        <v>25.968051119999998</v>
      </c>
      <c r="L3792" s="7">
        <v>-97.358197919999995</v>
      </c>
      <c r="M3792" s="6" t="s">
        <v>770</v>
      </c>
      <c r="N3792" s="6" t="s">
        <v>11</v>
      </c>
      <c r="O3792" s="6" t="s">
        <v>22</v>
      </c>
    </row>
    <row r="3793" spans="1:15" x14ac:dyDescent="0.25">
      <c r="A3793" s="6" t="s">
        <v>4821</v>
      </c>
      <c r="B3793" s="6" t="s">
        <v>4695</v>
      </c>
      <c r="C3793" s="6" t="s">
        <v>597</v>
      </c>
      <c r="E3793" s="6" t="s">
        <v>4694</v>
      </c>
      <c r="F3793" s="6" t="s">
        <v>4693</v>
      </c>
      <c r="G3793" s="6" t="s">
        <v>284</v>
      </c>
      <c r="H3793" s="6" t="s">
        <v>15</v>
      </c>
      <c r="I3793" s="6" t="s">
        <v>14</v>
      </c>
      <c r="J3793" s="6" t="s">
        <v>90</v>
      </c>
      <c r="K3793" s="7">
        <v>25.96789089</v>
      </c>
      <c r="L3793" s="7">
        <v>-97.358652699999993</v>
      </c>
      <c r="M3793" s="6" t="s">
        <v>770</v>
      </c>
      <c r="N3793" s="6" t="s">
        <v>11</v>
      </c>
      <c r="O3793" s="6" t="s">
        <v>22</v>
      </c>
    </row>
    <row r="3794" spans="1:15" x14ac:dyDescent="0.25">
      <c r="A3794" s="6" t="s">
        <v>4697</v>
      </c>
      <c r="B3794" s="6" t="s">
        <v>4695</v>
      </c>
      <c r="C3794" s="6" t="s">
        <v>557</v>
      </c>
      <c r="E3794" s="6" t="s">
        <v>4694</v>
      </c>
      <c r="F3794" s="6" t="s">
        <v>4693</v>
      </c>
      <c r="G3794" s="6" t="s">
        <v>284</v>
      </c>
      <c r="H3794" s="6" t="s">
        <v>15</v>
      </c>
      <c r="I3794" s="6" t="s">
        <v>14</v>
      </c>
      <c r="J3794" s="6" t="s">
        <v>90</v>
      </c>
      <c r="K3794" s="7">
        <v>25.968257210000001</v>
      </c>
      <c r="L3794" s="7">
        <v>-97.358861360000006</v>
      </c>
      <c r="M3794" s="6" t="s">
        <v>770</v>
      </c>
      <c r="N3794" s="6" t="s">
        <v>11</v>
      </c>
      <c r="O3794" s="6" t="s">
        <v>22</v>
      </c>
    </row>
    <row r="3795" spans="1:15" x14ac:dyDescent="0.25">
      <c r="A3795" s="6" t="s">
        <v>4696</v>
      </c>
      <c r="B3795" s="6" t="s">
        <v>4695</v>
      </c>
      <c r="C3795" s="6" t="s">
        <v>433</v>
      </c>
      <c r="E3795" s="6" t="s">
        <v>4694</v>
      </c>
      <c r="F3795" s="6" t="s">
        <v>4693</v>
      </c>
      <c r="G3795" s="6" t="s">
        <v>284</v>
      </c>
      <c r="H3795" s="6" t="s">
        <v>15</v>
      </c>
      <c r="I3795" s="6" t="s">
        <v>14</v>
      </c>
      <c r="J3795" s="6" t="s">
        <v>90</v>
      </c>
      <c r="K3795" s="7">
        <v>25.968056310000001</v>
      </c>
      <c r="L3795" s="7">
        <v>-97.358768850000004</v>
      </c>
      <c r="M3795" s="6" t="s">
        <v>770</v>
      </c>
      <c r="N3795" s="6" t="s">
        <v>11</v>
      </c>
      <c r="O3795" s="6" t="s">
        <v>22</v>
      </c>
    </row>
    <row r="3796" spans="1:15" x14ac:dyDescent="0.25">
      <c r="A3796" s="6" t="s">
        <v>4949</v>
      </c>
      <c r="B3796" s="6" t="s">
        <v>4948</v>
      </c>
      <c r="C3796" s="6" t="s">
        <v>31</v>
      </c>
      <c r="E3796" s="6" t="s">
        <v>4947</v>
      </c>
      <c r="F3796" s="6" t="s">
        <v>4946</v>
      </c>
      <c r="G3796" s="6" t="s">
        <v>284</v>
      </c>
      <c r="H3796" s="6" t="s">
        <v>28</v>
      </c>
      <c r="I3796" s="6" t="s">
        <v>14</v>
      </c>
      <c r="J3796" s="6" t="s">
        <v>26</v>
      </c>
      <c r="K3796" s="7">
        <v>30.31862186</v>
      </c>
      <c r="L3796" s="7">
        <v>-95.622233210000005</v>
      </c>
      <c r="M3796" s="6" t="s">
        <v>25</v>
      </c>
      <c r="N3796" s="6" t="s">
        <v>24</v>
      </c>
      <c r="O3796" s="6" t="s">
        <v>23</v>
      </c>
    </row>
    <row r="3797" spans="1:15" x14ac:dyDescent="0.25">
      <c r="A3797" s="6" t="s">
        <v>4963</v>
      </c>
      <c r="B3797" s="6" t="s">
        <v>4962</v>
      </c>
      <c r="C3797" s="6" t="s">
        <v>31</v>
      </c>
      <c r="E3797" s="6" t="s">
        <v>4961</v>
      </c>
      <c r="F3797" s="6" t="s">
        <v>313</v>
      </c>
      <c r="G3797" s="6" t="s">
        <v>284</v>
      </c>
      <c r="H3797" s="6" t="s">
        <v>15</v>
      </c>
      <c r="I3797" s="6" t="s">
        <v>14</v>
      </c>
      <c r="J3797" s="6" t="s">
        <v>312</v>
      </c>
      <c r="K3797" s="7">
        <v>32.453406029999996</v>
      </c>
      <c r="L3797" s="7">
        <v>-97.739542069999999</v>
      </c>
      <c r="M3797" s="6" t="s">
        <v>311</v>
      </c>
      <c r="N3797" s="6" t="s">
        <v>23</v>
      </c>
      <c r="O3797" s="6" t="s">
        <v>42</v>
      </c>
    </row>
    <row r="3798" spans="1:15" x14ac:dyDescent="0.25">
      <c r="A3798" s="6" t="s">
        <v>5050</v>
      </c>
      <c r="B3798" s="6" t="s">
        <v>5049</v>
      </c>
      <c r="C3798" s="6" t="s">
        <v>31</v>
      </c>
      <c r="E3798" s="6" t="s">
        <v>5048</v>
      </c>
      <c r="F3798" s="6" t="s">
        <v>4863</v>
      </c>
      <c r="G3798" s="6" t="s">
        <v>284</v>
      </c>
      <c r="H3798" s="6" t="s">
        <v>28</v>
      </c>
      <c r="I3798" s="6" t="s">
        <v>14</v>
      </c>
      <c r="J3798" s="6" t="s">
        <v>26</v>
      </c>
      <c r="K3798" s="7">
        <v>30.182093479999999</v>
      </c>
      <c r="L3798" s="7">
        <v>-95.473493129999994</v>
      </c>
      <c r="M3798" s="6" t="s">
        <v>731</v>
      </c>
      <c r="N3798" s="6" t="s">
        <v>24</v>
      </c>
      <c r="O3798" s="6" t="s">
        <v>23</v>
      </c>
    </row>
    <row r="3799" spans="1:15" x14ac:dyDescent="0.25">
      <c r="A3799" s="6" t="s">
        <v>4683</v>
      </c>
      <c r="B3799" s="6" t="s">
        <v>4682</v>
      </c>
      <c r="C3799" s="6" t="s">
        <v>31</v>
      </c>
      <c r="E3799" s="6" t="s">
        <v>4681</v>
      </c>
      <c r="F3799" s="6" t="s">
        <v>29</v>
      </c>
      <c r="G3799" s="6" t="s">
        <v>284</v>
      </c>
      <c r="H3799" s="6" t="s">
        <v>28</v>
      </c>
      <c r="I3799" s="6" t="s">
        <v>14</v>
      </c>
      <c r="J3799" s="6" t="s">
        <v>35</v>
      </c>
      <c r="K3799" s="7">
        <v>30.098910490000002</v>
      </c>
      <c r="L3799" s="7">
        <v>-95.702094779999996</v>
      </c>
      <c r="M3799" s="6" t="s">
        <v>731</v>
      </c>
      <c r="N3799" s="6" t="s">
        <v>24</v>
      </c>
      <c r="O3799" s="6" t="s">
        <v>23</v>
      </c>
    </row>
    <row r="3800" spans="1:15" x14ac:dyDescent="0.25">
      <c r="A3800" s="6" t="s">
        <v>4929</v>
      </c>
      <c r="B3800" s="6" t="s">
        <v>4928</v>
      </c>
      <c r="C3800" s="6" t="s">
        <v>31</v>
      </c>
      <c r="E3800" s="6" t="s">
        <v>4927</v>
      </c>
      <c r="F3800" s="6" t="s">
        <v>4926</v>
      </c>
      <c r="G3800" s="6" t="s">
        <v>284</v>
      </c>
      <c r="H3800" s="6" t="s">
        <v>28</v>
      </c>
      <c r="I3800" s="6" t="s">
        <v>14</v>
      </c>
      <c r="J3800" s="6" t="s">
        <v>132</v>
      </c>
      <c r="K3800" s="7">
        <v>29.70433332</v>
      </c>
      <c r="L3800" s="7">
        <v>-95.987508360000007</v>
      </c>
      <c r="M3800" s="6" t="s">
        <v>355</v>
      </c>
      <c r="N3800" s="6" t="s">
        <v>23</v>
      </c>
      <c r="O3800" s="6" t="s">
        <v>23</v>
      </c>
    </row>
    <row r="3801" spans="1:15" x14ac:dyDescent="0.25">
      <c r="A3801" s="6" t="s">
        <v>5086</v>
      </c>
      <c r="B3801" s="6" t="s">
        <v>5085</v>
      </c>
      <c r="C3801" s="6" t="s">
        <v>31</v>
      </c>
      <c r="E3801" s="6" t="s">
        <v>5084</v>
      </c>
      <c r="F3801" s="6" t="s">
        <v>3532</v>
      </c>
      <c r="G3801" s="6" t="s">
        <v>284</v>
      </c>
      <c r="H3801" s="6" t="s">
        <v>28</v>
      </c>
      <c r="I3801" s="6" t="s">
        <v>14</v>
      </c>
      <c r="J3801" s="6" t="s">
        <v>132</v>
      </c>
      <c r="K3801" s="7">
        <v>29.619986409999999</v>
      </c>
      <c r="L3801" s="7">
        <v>-95.807085569999998</v>
      </c>
      <c r="M3801" s="6" t="s">
        <v>355</v>
      </c>
      <c r="N3801" s="6" t="s">
        <v>23</v>
      </c>
      <c r="O3801" s="6" t="s">
        <v>23</v>
      </c>
    </row>
    <row r="3802" spans="1:15" x14ac:dyDescent="0.25">
      <c r="A3802" s="6" t="s">
        <v>4680</v>
      </c>
      <c r="B3802" s="6" t="s">
        <v>4679</v>
      </c>
      <c r="C3802" s="6" t="s">
        <v>31</v>
      </c>
      <c r="E3802" s="6" t="s">
        <v>4678</v>
      </c>
      <c r="F3802" s="6" t="s">
        <v>4677</v>
      </c>
      <c r="G3802" s="6" t="s">
        <v>284</v>
      </c>
      <c r="H3802" s="6" t="s">
        <v>15</v>
      </c>
      <c r="I3802" s="6" t="s">
        <v>14</v>
      </c>
      <c r="J3802" s="6" t="s">
        <v>139</v>
      </c>
      <c r="K3802" s="7">
        <v>28.049049749999998</v>
      </c>
      <c r="L3802" s="7">
        <v>-97.446099489999995</v>
      </c>
      <c r="M3802" s="6" t="s">
        <v>4382</v>
      </c>
      <c r="N3802" s="6" t="s">
        <v>137</v>
      </c>
      <c r="O3802" s="6" t="s">
        <v>10</v>
      </c>
    </row>
    <row r="3803" spans="1:15" x14ac:dyDescent="0.25">
      <c r="A3803" s="6" t="s">
        <v>4646</v>
      </c>
      <c r="B3803" s="6" t="s">
        <v>4645</v>
      </c>
      <c r="C3803" s="6" t="s">
        <v>31</v>
      </c>
      <c r="E3803" s="6" t="s">
        <v>4644</v>
      </c>
      <c r="F3803" s="6" t="s">
        <v>4643</v>
      </c>
      <c r="G3803" s="6" t="s">
        <v>284</v>
      </c>
      <c r="H3803" s="6" t="s">
        <v>28</v>
      </c>
      <c r="I3803" s="6" t="s">
        <v>14</v>
      </c>
      <c r="J3803" s="6" t="s">
        <v>356</v>
      </c>
      <c r="K3803" s="7">
        <v>30.194623100000001</v>
      </c>
      <c r="L3803" s="7">
        <v>-95.82054977</v>
      </c>
      <c r="M3803" s="6" t="s">
        <v>731</v>
      </c>
      <c r="N3803" s="6" t="s">
        <v>24</v>
      </c>
      <c r="O3803" s="6" t="s">
        <v>23</v>
      </c>
    </row>
    <row r="3804" spans="1:15" x14ac:dyDescent="0.25">
      <c r="A3804" s="6" t="s">
        <v>4933</v>
      </c>
      <c r="B3804" s="6" t="s">
        <v>4932</v>
      </c>
      <c r="C3804" s="6" t="s">
        <v>31</v>
      </c>
      <c r="E3804" s="6" t="s">
        <v>4931</v>
      </c>
      <c r="F3804" s="6" t="s">
        <v>4930</v>
      </c>
      <c r="G3804" s="6" t="s">
        <v>284</v>
      </c>
      <c r="H3804" s="6" t="s">
        <v>28</v>
      </c>
      <c r="I3804" s="6" t="s">
        <v>14</v>
      </c>
      <c r="J3804" s="6" t="s">
        <v>35</v>
      </c>
      <c r="K3804" s="7">
        <v>30.118233549999999</v>
      </c>
      <c r="L3804" s="7">
        <v>-95.091199590000002</v>
      </c>
      <c r="M3804" s="6" t="s">
        <v>1766</v>
      </c>
      <c r="N3804" s="6" t="s">
        <v>24</v>
      </c>
      <c r="O3804" s="6" t="s">
        <v>23</v>
      </c>
    </row>
    <row r="3805" spans="1:15" x14ac:dyDescent="0.25">
      <c r="A3805" s="6" t="s">
        <v>4953</v>
      </c>
      <c r="B3805" s="6" t="s">
        <v>4952</v>
      </c>
      <c r="C3805" s="6" t="s">
        <v>31</v>
      </c>
      <c r="E3805" s="6" t="s">
        <v>4951</v>
      </c>
      <c r="F3805" s="6" t="s">
        <v>4950</v>
      </c>
      <c r="G3805" s="6" t="s">
        <v>284</v>
      </c>
      <c r="H3805" s="6" t="s">
        <v>28</v>
      </c>
      <c r="I3805" s="6" t="s">
        <v>14</v>
      </c>
      <c r="J3805" s="6" t="s">
        <v>904</v>
      </c>
      <c r="K3805" s="7">
        <v>32.70227139</v>
      </c>
      <c r="L3805" s="7">
        <v>-97.967834420000003</v>
      </c>
      <c r="M3805" s="6" t="s">
        <v>775</v>
      </c>
      <c r="N3805" s="6" t="s">
        <v>23</v>
      </c>
      <c r="O3805" s="6" t="s">
        <v>42</v>
      </c>
    </row>
    <row r="3806" spans="1:15" x14ac:dyDescent="0.25">
      <c r="A3806" s="6" t="s">
        <v>4687</v>
      </c>
      <c r="B3806" s="6" t="s">
        <v>4686</v>
      </c>
      <c r="C3806" s="6" t="s">
        <v>31</v>
      </c>
      <c r="E3806" s="6" t="s">
        <v>4685</v>
      </c>
      <c r="F3806" s="6" t="s">
        <v>4684</v>
      </c>
      <c r="G3806" s="6" t="s">
        <v>284</v>
      </c>
      <c r="H3806" s="6" t="s">
        <v>28</v>
      </c>
      <c r="I3806" s="6" t="s">
        <v>14</v>
      </c>
      <c r="J3806" s="6" t="s">
        <v>26</v>
      </c>
      <c r="K3806" s="7">
        <v>30.144750559999999</v>
      </c>
      <c r="L3806" s="7">
        <v>-95.330871250000001</v>
      </c>
      <c r="M3806" s="6" t="s">
        <v>1022</v>
      </c>
      <c r="N3806" s="6" t="s">
        <v>24</v>
      </c>
      <c r="O3806" s="6" t="s">
        <v>23</v>
      </c>
    </row>
    <row r="3807" spans="1:15" x14ac:dyDescent="0.25">
      <c r="A3807" s="6" t="s">
        <v>4676</v>
      </c>
      <c r="B3807" s="6" t="s">
        <v>4675</v>
      </c>
      <c r="C3807" s="6" t="s">
        <v>31</v>
      </c>
      <c r="E3807" s="6" t="s">
        <v>4674</v>
      </c>
      <c r="F3807" s="6" t="s">
        <v>4673</v>
      </c>
      <c r="G3807" s="6" t="s">
        <v>284</v>
      </c>
      <c r="H3807" s="6" t="s">
        <v>28</v>
      </c>
      <c r="I3807" s="6" t="s">
        <v>14</v>
      </c>
      <c r="J3807" s="6" t="s">
        <v>1032</v>
      </c>
      <c r="K3807" s="7">
        <v>29.751737070000001</v>
      </c>
      <c r="L3807" s="7">
        <v>-97.967161110000006</v>
      </c>
      <c r="M3807" s="6" t="s">
        <v>2149</v>
      </c>
      <c r="N3807" s="6" t="s">
        <v>559</v>
      </c>
      <c r="O3807" s="6" t="s">
        <v>231</v>
      </c>
    </row>
    <row r="3808" spans="1:15" x14ac:dyDescent="0.25">
      <c r="A3808" s="6" t="s">
        <v>1217</v>
      </c>
      <c r="B3808" s="6" t="s">
        <v>1216</v>
      </c>
      <c r="C3808" s="6" t="s">
        <v>31</v>
      </c>
      <c r="E3808" s="6" t="s">
        <v>1215</v>
      </c>
      <c r="F3808" s="6" t="s">
        <v>1214</v>
      </c>
      <c r="G3808" s="6" t="s">
        <v>16</v>
      </c>
      <c r="H3808" s="6" t="s">
        <v>28</v>
      </c>
      <c r="I3808" s="6" t="s">
        <v>14</v>
      </c>
      <c r="J3808" s="6" t="s">
        <v>35</v>
      </c>
      <c r="K3808" s="7">
        <v>29.888689379999999</v>
      </c>
      <c r="L3808" s="7">
        <v>-95.840132109999999</v>
      </c>
      <c r="M3808" s="6" t="s">
        <v>131</v>
      </c>
      <c r="N3808" s="6" t="s">
        <v>24</v>
      </c>
      <c r="O3808" s="6" t="s">
        <v>23</v>
      </c>
    </row>
    <row r="3809" spans="1:15" x14ac:dyDescent="0.25">
      <c r="A3809" s="6" t="s">
        <v>4967</v>
      </c>
      <c r="B3809" s="6" t="s">
        <v>4966</v>
      </c>
      <c r="C3809" s="6" t="s">
        <v>31</v>
      </c>
      <c r="E3809" s="6" t="s">
        <v>4965</v>
      </c>
      <c r="F3809" s="6" t="s">
        <v>4964</v>
      </c>
      <c r="G3809" s="6" t="s">
        <v>284</v>
      </c>
      <c r="H3809" s="6" t="s">
        <v>28</v>
      </c>
      <c r="I3809" s="6" t="s">
        <v>14</v>
      </c>
      <c r="J3809" s="6" t="s">
        <v>26</v>
      </c>
      <c r="K3809" s="7">
        <v>30.432847670000001</v>
      </c>
      <c r="L3809" s="7">
        <v>-95.712731460000001</v>
      </c>
      <c r="M3809" s="6" t="s">
        <v>340</v>
      </c>
      <c r="N3809" s="6" t="s">
        <v>24</v>
      </c>
      <c r="O3809" s="6" t="s">
        <v>23</v>
      </c>
    </row>
    <row r="3810" spans="1:15" x14ac:dyDescent="0.25">
      <c r="A3810" s="6" t="s">
        <v>4960</v>
      </c>
      <c r="B3810" s="6" t="s">
        <v>4959</v>
      </c>
      <c r="C3810" s="6" t="s">
        <v>31</v>
      </c>
      <c r="E3810" s="6" t="s">
        <v>4958</v>
      </c>
      <c r="F3810" s="6" t="s">
        <v>4957</v>
      </c>
      <c r="G3810" s="6" t="s">
        <v>284</v>
      </c>
      <c r="H3810" s="6" t="s">
        <v>28</v>
      </c>
      <c r="I3810" s="6" t="s">
        <v>14</v>
      </c>
      <c r="J3810" s="6" t="s">
        <v>239</v>
      </c>
      <c r="K3810" s="7">
        <v>33.384114109999999</v>
      </c>
      <c r="L3810" s="7">
        <v>-96.513584690000002</v>
      </c>
      <c r="M3810" s="6" t="s">
        <v>349</v>
      </c>
      <c r="N3810" s="6" t="s">
        <v>102</v>
      </c>
      <c r="O3810" s="6" t="s">
        <v>42</v>
      </c>
    </row>
    <row r="3811" spans="1:15" x14ac:dyDescent="0.25">
      <c r="A3811" s="6" t="s">
        <v>6392</v>
      </c>
      <c r="B3811" s="6" t="s">
        <v>6391</v>
      </c>
      <c r="C3811" s="6" t="s">
        <v>31</v>
      </c>
      <c r="E3811" s="6" t="s">
        <v>6390</v>
      </c>
      <c r="F3811" s="6" t="s">
        <v>6389</v>
      </c>
      <c r="G3811" s="6" t="s">
        <v>16</v>
      </c>
      <c r="H3811" s="6" t="s">
        <v>28</v>
      </c>
      <c r="I3811" s="6" t="s">
        <v>1410</v>
      </c>
      <c r="J3811" s="6" t="s">
        <v>356</v>
      </c>
      <c r="K3811" s="7">
        <v>29.78002145</v>
      </c>
      <c r="L3811" s="7">
        <v>-96.002155979999998</v>
      </c>
      <c r="M3811" s="6" t="s">
        <v>355</v>
      </c>
      <c r="N3811" s="6" t="s">
        <v>23</v>
      </c>
      <c r="O3811" s="6" t="s">
        <v>23</v>
      </c>
    </row>
    <row r="3812" spans="1:15" x14ac:dyDescent="0.25">
      <c r="A3812" s="6" t="s">
        <v>9157</v>
      </c>
      <c r="B3812" s="6" t="s">
        <v>9156</v>
      </c>
      <c r="C3812" s="6" t="s">
        <v>31</v>
      </c>
      <c r="D3812" s="6" t="s">
        <v>284</v>
      </c>
      <c r="E3812" s="6" t="s">
        <v>11520</v>
      </c>
      <c r="F3812" s="6" t="s">
        <v>9154</v>
      </c>
      <c r="G3812" s="6" t="s">
        <v>16</v>
      </c>
      <c r="H3812" s="6" t="s">
        <v>15</v>
      </c>
      <c r="I3812" s="6" t="s">
        <v>46</v>
      </c>
      <c r="J3812" s="6" t="s">
        <v>480</v>
      </c>
      <c r="K3812" s="7">
        <v>26.311977129999999</v>
      </c>
      <c r="L3812" s="7">
        <v>-98.134424949999996</v>
      </c>
      <c r="M3812" s="6" t="s">
        <v>89</v>
      </c>
      <c r="N3812" s="6" t="s">
        <v>11</v>
      </c>
      <c r="O3812" s="6" t="s">
        <v>22</v>
      </c>
    </row>
  </sheetData>
  <conditionalFormatting sqref="A2:R3812">
    <cfRule type="expression" dxfId="0" priority="1">
      <formula>$Q2=TRUE</formula>
    </cfRule>
  </conditionalFormatting>
  <pageMargins left="0.7" right="0.7" top="0.75" bottom="0.75" header="0.3" footer="0.3"/>
  <pageSetup orientation="portrait" horizontalDpi="90" verticalDpi="9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"/>
  <dimension ref="A1:B16"/>
  <sheetViews>
    <sheetView workbookViewId="0">
      <selection activeCell="B8" sqref="B8"/>
    </sheetView>
  </sheetViews>
  <sheetFormatPr defaultColWidth="9.85546875" defaultRowHeight="15.75" x14ac:dyDescent="0.25"/>
  <cols>
    <col min="1" max="1" width="15" style="1" bestFit="1" customWidth="1"/>
    <col min="2" max="2" width="82.7109375" style="1" bestFit="1" customWidth="1"/>
    <col min="3" max="16384" width="9.85546875" style="1"/>
  </cols>
  <sheetData>
    <row r="1" spans="1:2" x14ac:dyDescent="0.25">
      <c r="A1" s="1" t="s">
        <v>0</v>
      </c>
      <c r="B1" s="3" t="s">
        <v>17351</v>
      </c>
    </row>
    <row r="2" spans="1:2" x14ac:dyDescent="0.25">
      <c r="A2" s="1" t="s">
        <v>1</v>
      </c>
      <c r="B2" s="3"/>
    </row>
    <row r="3" spans="1:2" x14ac:dyDescent="0.25">
      <c r="A3" s="1" t="s">
        <v>2</v>
      </c>
      <c r="B3" s="3"/>
    </row>
    <row r="4" spans="1:2" x14ac:dyDescent="0.25">
      <c r="A4" s="1" t="s">
        <v>3</v>
      </c>
      <c r="B4" s="3" t="b">
        <v>0</v>
      </c>
    </row>
    <row r="5" spans="1:2" x14ac:dyDescent="0.25">
      <c r="A5" s="1" t="s">
        <v>4</v>
      </c>
      <c r="B5" s="3"/>
    </row>
    <row r="6" spans="1:2" x14ac:dyDescent="0.25">
      <c r="A6" s="1" t="s">
        <v>5</v>
      </c>
      <c r="B6" s="3" t="b">
        <v>0</v>
      </c>
    </row>
    <row r="13" spans="1:2" x14ac:dyDescent="0.25">
      <c r="A13" s="2" t="s">
        <v>6</v>
      </c>
    </row>
    <row r="14" spans="1:2" x14ac:dyDescent="0.25">
      <c r="A14" s="1" t="s">
        <v>7</v>
      </c>
    </row>
    <row r="15" spans="1:2" x14ac:dyDescent="0.25">
      <c r="A15" s="1" t="s">
        <v>8</v>
      </c>
    </row>
    <row r="16" spans="1:2" x14ac:dyDescent="0.25">
      <c r="A16" s="1" t="s">
        <v>9</v>
      </c>
    </row>
  </sheetData>
  <pageMargins left="0.7" right="0.7" top="0.75" bottom="0.75" header="0.3" footer="0.3"/>
  <pageSetup orientation="portrait"/>
</worksheet>
</file>

<file path=customUI/customUI14.xml><?xml version="1.0" encoding="utf-8"?>
<customUI xmlns="http://schemas.microsoft.com/office/2009/07/customui" onLoad="RibbonOnLoad">
  <ribbon>
    <tabs>
      <tab id="apESS" label="TWDB ASR" insertBeforeMso="TabHome">
        <group id="apGroup1" label="Custom Macros">
          <button id="apDownloadXLSX" label="Download NPDES" imageMso="TableExcelSpreadsheetInsert" size="large" onAction="download_xlsx" getEnabled="GetEnabled" supertip="Downloads NPDES data in Excel format."/>
          <button id="apWriteWAM" label="Read WAM Output" imageMso="PivotExportToExcel" size="large" onAction="read_wam_out" getEnabled="GetEnabledWAM" supertip="Reads WAM output using data from WAM sheet, and writes unappropriated flow to csv files.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7</vt:i4>
      </vt:variant>
    </vt:vector>
  </HeadingPairs>
  <TitlesOfParts>
    <vt:vector size="18" baseType="lpstr">
      <vt:lpstr>Settings</vt:lpstr>
      <vt:lpstr>TCEQ_Outfalls</vt:lpstr>
      <vt:lpstr>Wastewater_Outfalls</vt:lpstr>
      <vt:lpstr>WAM</vt:lpstr>
      <vt:lpstr>TWDB_MRBs_2014</vt:lpstr>
      <vt:lpstr>COUNTIES</vt:lpstr>
      <vt:lpstr>pop_county</vt:lpstr>
      <vt:lpstr>discharge_pt_avg_grouped</vt:lpstr>
      <vt:lpstr>Sheet2</vt:lpstr>
      <vt:lpstr>TCEQ_Outfalls_ALL</vt:lpstr>
      <vt:lpstr>xlwings.conf</vt:lpstr>
      <vt:lpstr>basins</vt:lpstr>
      <vt:lpstr>county</vt:lpstr>
      <vt:lpstr>DATA</vt:lpstr>
      <vt:lpstr>TWDB_MRBs_2014!Database</vt:lpstr>
      <vt:lpstr>Database</vt:lpstr>
      <vt:lpstr>sb</vt:lpstr>
      <vt:lpstr>suspect</vt:lpstr>
    </vt:vector>
  </TitlesOfParts>
  <Company>HDR, Inc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Thaman, William</dc:creator>
  <cp:lastModifiedBy>Thaman, Bill</cp:lastModifiedBy>
  <dcterms:created xsi:type="dcterms:W3CDTF">2019-07-03T14:19:06Z</dcterms:created>
  <dcterms:modified xsi:type="dcterms:W3CDTF">2022-08-31T19:24:28Z</dcterms:modified>
</cp:coreProperties>
</file>